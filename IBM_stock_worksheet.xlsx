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ilraysham/Desktop/"/>
    </mc:Choice>
  </mc:AlternateContent>
  <xr:revisionPtr revIDLastSave="0" documentId="8_{2BD3814B-BC1E-1B48-ACB3-F082D7910208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03-25-2026" sheetId="1" r:id="rId1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574" i="1" l="1"/>
  <c r="AV2573" i="1"/>
  <c r="AV2572" i="1"/>
  <c r="AV2571" i="1"/>
  <c r="AV2570" i="1"/>
  <c r="AV2569" i="1"/>
  <c r="AV2568" i="1"/>
  <c r="AV2567" i="1"/>
  <c r="AV2566" i="1"/>
  <c r="AV2565" i="1"/>
  <c r="AV2564" i="1"/>
  <c r="AV2563" i="1"/>
  <c r="AV2562" i="1"/>
  <c r="AQ2562" i="1"/>
  <c r="AS2562" i="1" s="1"/>
  <c r="AU2562" i="1" s="1"/>
  <c r="AO2562" i="1"/>
  <c r="AP2562" i="1" s="1"/>
  <c r="AR2562" i="1" s="1"/>
  <c r="AT2562" i="1" s="1"/>
  <c r="AN2562" i="1"/>
  <c r="AV2561" i="1"/>
  <c r="AQ2561" i="1"/>
  <c r="AO2561" i="1"/>
  <c r="AP2561" i="1" s="1"/>
  <c r="AN2561" i="1"/>
  <c r="AV2560" i="1"/>
  <c r="AQ2560" i="1"/>
  <c r="AS2560" i="1" s="1"/>
  <c r="AU2560" i="1" s="1"/>
  <c r="AO2560" i="1"/>
  <c r="AP2560" i="1" s="1"/>
  <c r="AR2560" i="1" s="1"/>
  <c r="AT2560" i="1" s="1"/>
  <c r="AN2560" i="1"/>
  <c r="AV2559" i="1"/>
  <c r="AQ2559" i="1"/>
  <c r="AO2559" i="1"/>
  <c r="AP2559" i="1" s="1"/>
  <c r="AR2559" i="1" s="1"/>
  <c r="AT2559" i="1" s="1"/>
  <c r="AN2559" i="1"/>
  <c r="AV2558" i="1"/>
  <c r="AQ2558" i="1"/>
  <c r="AS2559" i="1" s="1"/>
  <c r="AU2559" i="1" s="1"/>
  <c r="AO2558" i="1"/>
  <c r="AP2558" i="1" s="1"/>
  <c r="AN2558" i="1"/>
  <c r="AV2557" i="1"/>
  <c r="AQ2557" i="1"/>
  <c r="AS2558" i="1" s="1"/>
  <c r="AU2558" i="1" s="1"/>
  <c r="AO2557" i="1"/>
  <c r="AP2557" i="1" s="1"/>
  <c r="AR2558" i="1" s="1"/>
  <c r="AT2558" i="1" s="1"/>
  <c r="AN2557" i="1"/>
  <c r="AV2556" i="1"/>
  <c r="AO2556" i="1"/>
  <c r="AP2556" i="1" s="1"/>
  <c r="AR2557" i="1" s="1"/>
  <c r="AT2557" i="1" s="1"/>
  <c r="AN2556" i="1"/>
  <c r="AV2555" i="1"/>
  <c r="AQ2555" i="1"/>
  <c r="AO2555" i="1"/>
  <c r="AP2555" i="1" s="1"/>
  <c r="AR2555" i="1" s="1"/>
  <c r="AT2555" i="1" s="1"/>
  <c r="AN2555" i="1"/>
  <c r="AV2554" i="1"/>
  <c r="AT2554" i="1"/>
  <c r="AO2554" i="1"/>
  <c r="AP2554" i="1" s="1"/>
  <c r="AR2554" i="1" s="1"/>
  <c r="AN2554" i="1"/>
  <c r="AV2553" i="1"/>
  <c r="AQ2553" i="1"/>
  <c r="AO2553" i="1"/>
  <c r="AP2553" i="1" s="1"/>
  <c r="AN2553" i="1"/>
  <c r="AV2552" i="1"/>
  <c r="AT2552" i="1"/>
  <c r="AO2552" i="1"/>
  <c r="AP2552" i="1" s="1"/>
  <c r="AR2553" i="1" s="1"/>
  <c r="AT2553" i="1" s="1"/>
  <c r="AN2552" i="1"/>
  <c r="AV2551" i="1"/>
  <c r="AO2551" i="1"/>
  <c r="AP2551" i="1" s="1"/>
  <c r="AR2552" i="1" s="1"/>
  <c r="AN2551" i="1"/>
  <c r="AV2550" i="1"/>
  <c r="AO2550" i="1"/>
  <c r="AP2550" i="1" s="1"/>
  <c r="AR2550" i="1" s="1"/>
  <c r="AT2550" i="1" s="1"/>
  <c r="AN2550" i="1"/>
  <c r="AV2549" i="1"/>
  <c r="AO2549" i="1"/>
  <c r="AP2549" i="1" s="1"/>
  <c r="AR2549" i="1" s="1"/>
  <c r="AT2549" i="1" s="1"/>
  <c r="AN2549" i="1"/>
  <c r="AV2548" i="1"/>
  <c r="AQ2548" i="1"/>
  <c r="AO2548" i="1"/>
  <c r="AP2548" i="1" s="1"/>
  <c r="AN2548" i="1"/>
  <c r="AV2547" i="1"/>
  <c r="AO2547" i="1"/>
  <c r="AN2547" i="1"/>
  <c r="AV2546" i="1"/>
  <c r="AO2546" i="1"/>
  <c r="AP2546" i="1" s="1"/>
  <c r="AN2546" i="1"/>
  <c r="AV2545" i="1"/>
  <c r="AO2545" i="1"/>
  <c r="AN2545" i="1"/>
  <c r="AV2544" i="1"/>
  <c r="AT2544" i="1"/>
  <c r="AO2544" i="1"/>
  <c r="AP2544" i="1" s="1"/>
  <c r="AR2544" i="1" s="1"/>
  <c r="AN2544" i="1"/>
  <c r="AV2543" i="1"/>
  <c r="AQ2543" i="1"/>
  <c r="AO2543" i="1"/>
  <c r="AP2543" i="1" s="1"/>
  <c r="AN2543" i="1"/>
  <c r="AV2542" i="1"/>
  <c r="AQ2542" i="1"/>
  <c r="AO2542" i="1"/>
  <c r="AP2542" i="1" s="1"/>
  <c r="AR2542" i="1" s="1"/>
  <c r="AT2542" i="1" s="1"/>
  <c r="AN2542" i="1"/>
  <c r="AV2541" i="1"/>
  <c r="AR2541" i="1"/>
  <c r="AT2541" i="1" s="1"/>
  <c r="AQ2541" i="1"/>
  <c r="AO2541" i="1"/>
  <c r="AP2541" i="1" s="1"/>
  <c r="AN2541" i="1"/>
  <c r="AV2540" i="1"/>
  <c r="AQ2540" i="1"/>
  <c r="AO2540" i="1"/>
  <c r="AP2540" i="1" s="1"/>
  <c r="AR2540" i="1" s="1"/>
  <c r="AT2540" i="1" s="1"/>
  <c r="AN2540" i="1"/>
  <c r="AV2539" i="1"/>
  <c r="AT2539" i="1"/>
  <c r="AO2539" i="1"/>
  <c r="AP2539" i="1" s="1"/>
  <c r="AR2539" i="1" s="1"/>
  <c r="AN2539" i="1"/>
  <c r="AV2538" i="1"/>
  <c r="AQ2538" i="1"/>
  <c r="AO2538" i="1"/>
  <c r="AP2538" i="1" s="1"/>
  <c r="AN2538" i="1"/>
  <c r="AV2537" i="1"/>
  <c r="AO2537" i="1"/>
  <c r="AN2537" i="1"/>
  <c r="AV2536" i="1"/>
  <c r="AQ2536" i="1"/>
  <c r="AO2536" i="1"/>
  <c r="AP2536" i="1" s="1"/>
  <c r="AN2536" i="1"/>
  <c r="AV2535" i="1"/>
  <c r="AO2535" i="1"/>
  <c r="AN2535" i="1"/>
  <c r="AV2534" i="1"/>
  <c r="AT2534" i="1"/>
  <c r="AO2534" i="1"/>
  <c r="AP2534" i="1" s="1"/>
  <c r="AR2534" i="1" s="1"/>
  <c r="AN2534" i="1"/>
  <c r="AV2533" i="1"/>
  <c r="AQ2533" i="1"/>
  <c r="AO2533" i="1"/>
  <c r="AP2533" i="1" s="1"/>
  <c r="AN2533" i="1"/>
  <c r="AV2532" i="1"/>
  <c r="AO2532" i="1"/>
  <c r="AP2532" i="1" s="1"/>
  <c r="AN2532" i="1"/>
  <c r="AV2531" i="1"/>
  <c r="AO2531" i="1"/>
  <c r="AP2531" i="1" s="1"/>
  <c r="AN2531" i="1"/>
  <c r="AV2530" i="1"/>
  <c r="AO2530" i="1"/>
  <c r="AP2530" i="1" s="1"/>
  <c r="AN2530" i="1"/>
  <c r="AV2529" i="1"/>
  <c r="AT2529" i="1"/>
  <c r="AO2529" i="1"/>
  <c r="AP2529" i="1" s="1"/>
  <c r="AR2529" i="1" s="1"/>
  <c r="AN2529" i="1"/>
  <c r="AV2528" i="1"/>
  <c r="AR2528" i="1"/>
  <c r="AT2528" i="1" s="1"/>
  <c r="AQ2528" i="1"/>
  <c r="AO2528" i="1"/>
  <c r="AP2528" i="1" s="1"/>
  <c r="AN2528" i="1"/>
  <c r="AV2527" i="1"/>
  <c r="AO2527" i="1"/>
  <c r="AP2527" i="1" s="1"/>
  <c r="AN2527" i="1"/>
  <c r="AV2526" i="1"/>
  <c r="AO2526" i="1"/>
  <c r="AN2526" i="1"/>
  <c r="AV2525" i="1"/>
  <c r="AO2525" i="1"/>
  <c r="AP2525" i="1" s="1"/>
  <c r="AR2525" i="1" s="1"/>
  <c r="AT2525" i="1" s="1"/>
  <c r="AN2525" i="1"/>
  <c r="AV2524" i="1"/>
  <c r="AO2524" i="1"/>
  <c r="AP2524" i="1" s="1"/>
  <c r="AR2524" i="1" s="1"/>
  <c r="AT2524" i="1" s="1"/>
  <c r="AN2524" i="1"/>
  <c r="AV2523" i="1"/>
  <c r="AO2523" i="1"/>
  <c r="AP2523" i="1" s="1"/>
  <c r="AN2523" i="1"/>
  <c r="AV2522" i="1"/>
  <c r="AO2522" i="1"/>
  <c r="AP2522" i="1" s="1"/>
  <c r="AR2523" i="1" s="1"/>
  <c r="AT2523" i="1" s="1"/>
  <c r="AN2522" i="1"/>
  <c r="AV2521" i="1"/>
  <c r="AO2521" i="1"/>
  <c r="AN2521" i="1"/>
  <c r="AV2520" i="1"/>
  <c r="AO2520" i="1"/>
  <c r="AQ2520" i="1" s="1"/>
  <c r="AN2520" i="1"/>
  <c r="AV2519" i="1"/>
  <c r="AO2519" i="1"/>
  <c r="AN2519" i="1"/>
  <c r="AV2518" i="1"/>
  <c r="AO2518" i="1"/>
  <c r="AN2518" i="1"/>
  <c r="AV2517" i="1"/>
  <c r="AQ2517" i="1"/>
  <c r="AO2517" i="1"/>
  <c r="AP2517" i="1" s="1"/>
  <c r="AN2517" i="1"/>
  <c r="AV2516" i="1"/>
  <c r="AN2516" i="1"/>
  <c r="AV2515" i="1"/>
  <c r="AN2515" i="1"/>
  <c r="AV2514" i="1"/>
  <c r="AQ2514" i="1"/>
  <c r="AP2514" i="1"/>
  <c r="AN2514" i="1"/>
  <c r="AV2513" i="1"/>
  <c r="AN2513" i="1"/>
  <c r="AV2512" i="1"/>
  <c r="AO2512" i="1"/>
  <c r="AN2512" i="1"/>
  <c r="AO2516" i="1" s="1"/>
  <c r="AV2511" i="1"/>
  <c r="AN2511" i="1"/>
  <c r="AV2510" i="1"/>
  <c r="AN2510" i="1"/>
  <c r="AO2514" i="1" s="1"/>
  <c r="AV2509" i="1"/>
  <c r="AN2509" i="1"/>
  <c r="AO2513" i="1" s="1"/>
  <c r="AV2508" i="1"/>
  <c r="AN2508" i="1"/>
  <c r="AV2507" i="1"/>
  <c r="AO2507" i="1"/>
  <c r="AN2507" i="1"/>
  <c r="AV2506" i="1"/>
  <c r="AN2506" i="1"/>
  <c r="AV2505" i="1"/>
  <c r="AN2505" i="1"/>
  <c r="AV2504" i="1"/>
  <c r="AN2504" i="1"/>
  <c r="AV2503" i="1"/>
  <c r="AN2503" i="1"/>
  <c r="AV2502" i="1"/>
  <c r="AQ2502" i="1"/>
  <c r="AP2502" i="1"/>
  <c r="AO2502" i="1"/>
  <c r="AN2502" i="1"/>
  <c r="AV2501" i="1"/>
  <c r="AN2501" i="1"/>
  <c r="AV2500" i="1"/>
  <c r="AN2500" i="1"/>
  <c r="AV2499" i="1"/>
  <c r="AN2499" i="1"/>
  <c r="AV2498" i="1"/>
  <c r="AN2498" i="1"/>
  <c r="AV2497" i="1"/>
  <c r="AN2497" i="1"/>
  <c r="AV2496" i="1"/>
  <c r="AN2496" i="1"/>
  <c r="AV2495" i="1"/>
  <c r="AN2495" i="1"/>
  <c r="AV2494" i="1"/>
  <c r="AN2494" i="1"/>
  <c r="AO2498" i="1" s="1"/>
  <c r="AV2493" i="1"/>
  <c r="AN2493" i="1"/>
  <c r="AV2492" i="1"/>
  <c r="AN2492" i="1"/>
  <c r="AV2491" i="1"/>
  <c r="AN2491" i="1"/>
  <c r="AV2490" i="1"/>
  <c r="AN2490" i="1"/>
  <c r="AV2489" i="1"/>
  <c r="AN2489" i="1"/>
  <c r="AV2488" i="1"/>
  <c r="AN2488" i="1"/>
  <c r="AV2487" i="1"/>
  <c r="AN2487" i="1"/>
  <c r="AV2486" i="1"/>
  <c r="AN2486" i="1"/>
  <c r="AV2485" i="1"/>
  <c r="AN2485" i="1"/>
  <c r="AV2484" i="1"/>
  <c r="AN2484" i="1"/>
  <c r="AO2488" i="1" s="1"/>
  <c r="AQ2488" i="1" s="1"/>
  <c r="AV2483" i="1"/>
  <c r="AN2483" i="1"/>
  <c r="AV2482" i="1"/>
  <c r="AN2482" i="1"/>
  <c r="AV2481" i="1"/>
  <c r="AN2481" i="1"/>
  <c r="AV2480" i="1"/>
  <c r="AN2480" i="1"/>
  <c r="AV2479" i="1"/>
  <c r="AN2479" i="1"/>
  <c r="AV2478" i="1"/>
  <c r="AN2478" i="1"/>
  <c r="AV2477" i="1"/>
  <c r="AN2477" i="1"/>
  <c r="AV2476" i="1"/>
  <c r="AN2476" i="1"/>
  <c r="AV2475" i="1"/>
  <c r="AN2475" i="1"/>
  <c r="AV2474" i="1"/>
  <c r="AN2474" i="1"/>
  <c r="AV2473" i="1"/>
  <c r="AN2473" i="1"/>
  <c r="AV2472" i="1"/>
  <c r="AN2472" i="1"/>
  <c r="AV2471" i="1"/>
  <c r="AN2471" i="1"/>
  <c r="AV2470" i="1"/>
  <c r="AN2470" i="1"/>
  <c r="AO2474" i="1" s="1"/>
  <c r="AV2469" i="1"/>
  <c r="AN2469" i="1"/>
  <c r="AO2473" i="1" s="1"/>
  <c r="AV2468" i="1"/>
  <c r="AN2468" i="1"/>
  <c r="AV2467" i="1"/>
  <c r="AN2467" i="1"/>
  <c r="AV2466" i="1"/>
  <c r="AN2466" i="1"/>
  <c r="AV2465" i="1"/>
  <c r="AN2465" i="1"/>
  <c r="AV2464" i="1"/>
  <c r="AN2464" i="1"/>
  <c r="AV2463" i="1"/>
  <c r="AN2463" i="1"/>
  <c r="AO2467" i="1" s="1"/>
  <c r="AV2462" i="1"/>
  <c r="AN2462" i="1"/>
  <c r="AV2461" i="1"/>
  <c r="AN2461" i="1"/>
  <c r="AV2460" i="1"/>
  <c r="AN2460" i="1"/>
  <c r="AV2459" i="1"/>
  <c r="AN2459" i="1"/>
  <c r="AV2458" i="1"/>
  <c r="AN2458" i="1"/>
  <c r="AV2457" i="1"/>
  <c r="AN2457" i="1"/>
  <c r="AV2456" i="1"/>
  <c r="AN2456" i="1"/>
  <c r="AV2455" i="1"/>
  <c r="AN2455" i="1"/>
  <c r="AO2459" i="1" s="1"/>
  <c r="AV2454" i="1"/>
  <c r="AN2454" i="1"/>
  <c r="AV2453" i="1"/>
  <c r="AN2453" i="1"/>
  <c r="AV2452" i="1"/>
  <c r="AN2452" i="1"/>
  <c r="AV2451" i="1"/>
  <c r="AN2451" i="1"/>
  <c r="AV2450" i="1"/>
  <c r="AO2450" i="1"/>
  <c r="AN2450" i="1"/>
  <c r="AO2454" i="1" s="1"/>
  <c r="AV2449" i="1"/>
  <c r="AN2449" i="1"/>
  <c r="AV2448" i="1"/>
  <c r="AN2448" i="1"/>
  <c r="AV2447" i="1"/>
  <c r="AN2447" i="1"/>
  <c r="AV2446" i="1"/>
  <c r="AN2446" i="1"/>
  <c r="AV2445" i="1"/>
  <c r="AN2445" i="1"/>
  <c r="AV2444" i="1"/>
  <c r="AQ2444" i="1"/>
  <c r="AN2444" i="1"/>
  <c r="AV2443" i="1"/>
  <c r="AN2443" i="1"/>
  <c r="AV2442" i="1"/>
  <c r="AN2442" i="1"/>
  <c r="AO2446" i="1" s="1"/>
  <c r="AV2441" i="1"/>
  <c r="AN2441" i="1"/>
  <c r="AO2445" i="1" s="1"/>
  <c r="AV2440" i="1"/>
  <c r="AN2440" i="1"/>
  <c r="AO2444" i="1" s="1"/>
  <c r="AP2444" i="1" s="1"/>
  <c r="AV2439" i="1"/>
  <c r="AN2439" i="1"/>
  <c r="AV2438" i="1"/>
  <c r="AP2438" i="1"/>
  <c r="AO2438" i="1"/>
  <c r="AQ2438" i="1" s="1"/>
  <c r="AN2438" i="1"/>
  <c r="AV2437" i="1"/>
  <c r="AN2437" i="1"/>
  <c r="AV2436" i="1"/>
  <c r="AN2436" i="1"/>
  <c r="AO2440" i="1" s="1"/>
  <c r="AV2435" i="1"/>
  <c r="AN2435" i="1"/>
  <c r="AV2434" i="1"/>
  <c r="AN2434" i="1"/>
  <c r="AV2433" i="1"/>
  <c r="AN2433" i="1"/>
  <c r="AV2432" i="1"/>
  <c r="AN2432" i="1"/>
  <c r="AV2431" i="1"/>
  <c r="AN2431" i="1"/>
  <c r="AO2435" i="1" s="1"/>
  <c r="AV2430" i="1"/>
  <c r="AN2430" i="1"/>
  <c r="AO2434" i="1" s="1"/>
  <c r="AV2429" i="1"/>
  <c r="AN2429" i="1"/>
  <c r="AV2428" i="1"/>
  <c r="AN2428" i="1"/>
  <c r="AV2427" i="1"/>
  <c r="AN2427" i="1"/>
  <c r="AV2426" i="1"/>
  <c r="AN2426" i="1"/>
  <c r="AV2425" i="1"/>
  <c r="AN2425" i="1"/>
  <c r="AO2426" i="1" s="1"/>
  <c r="AV2424" i="1"/>
  <c r="AQ2424" i="1"/>
  <c r="AN2424" i="1"/>
  <c r="AV2423" i="1"/>
  <c r="AQ2423" i="1"/>
  <c r="AN2423" i="1"/>
  <c r="AV2422" i="1"/>
  <c r="AN2422" i="1"/>
  <c r="AV2421" i="1"/>
  <c r="AQ2421" i="1"/>
  <c r="AN2421" i="1"/>
  <c r="AO2425" i="1" s="1"/>
  <c r="AV2420" i="1"/>
  <c r="AN2420" i="1"/>
  <c r="AO2424" i="1" s="1"/>
  <c r="AP2424" i="1" s="1"/>
  <c r="AV2419" i="1"/>
  <c r="AR2419" i="1"/>
  <c r="AT2419" i="1" s="1"/>
  <c r="AQ2419" i="1"/>
  <c r="AN2419" i="1"/>
  <c r="AO2423" i="1" s="1"/>
  <c r="AP2423" i="1" s="1"/>
  <c r="AV2418" i="1"/>
  <c r="AQ2418" i="1"/>
  <c r="AN2418" i="1"/>
  <c r="AO2422" i="1" s="1"/>
  <c r="AV2417" i="1"/>
  <c r="AN2417" i="1"/>
  <c r="AO2421" i="1" s="1"/>
  <c r="AP2421" i="1" s="1"/>
  <c r="AV2416" i="1"/>
  <c r="AQ2416" i="1"/>
  <c r="AN2416" i="1"/>
  <c r="AO2420" i="1" s="1"/>
  <c r="AV2415" i="1"/>
  <c r="AN2415" i="1"/>
  <c r="AO2419" i="1" s="1"/>
  <c r="AP2419" i="1" s="1"/>
  <c r="AV2414" i="1"/>
  <c r="AQ2414" i="1"/>
  <c r="AN2414" i="1"/>
  <c r="AO2418" i="1" s="1"/>
  <c r="AP2418" i="1" s="1"/>
  <c r="AR2418" i="1" s="1"/>
  <c r="AT2418" i="1" s="1"/>
  <c r="AV2413" i="1"/>
  <c r="AN2413" i="1"/>
  <c r="AO2417" i="1" s="1"/>
  <c r="AP2417" i="1" s="1"/>
  <c r="AR2417" i="1" s="1"/>
  <c r="AT2417" i="1" s="1"/>
  <c r="AV2412" i="1"/>
  <c r="AR2412" i="1"/>
  <c r="AT2412" i="1" s="1"/>
  <c r="AN2412" i="1"/>
  <c r="AO2416" i="1" s="1"/>
  <c r="AP2416" i="1" s="1"/>
  <c r="AV2411" i="1"/>
  <c r="AQ2411" i="1"/>
  <c r="AN2411" i="1"/>
  <c r="AO2415" i="1" s="1"/>
  <c r="AV2410" i="1"/>
  <c r="AN2410" i="1"/>
  <c r="AO2414" i="1" s="1"/>
  <c r="AP2414" i="1" s="1"/>
  <c r="AV2409" i="1"/>
  <c r="AR2409" i="1"/>
  <c r="AT2409" i="1" s="1"/>
  <c r="AQ2409" i="1"/>
  <c r="AS2409" i="1" s="1"/>
  <c r="AU2409" i="1" s="1"/>
  <c r="AN2409" i="1"/>
  <c r="AO2413" i="1" s="1"/>
  <c r="AV2408" i="1"/>
  <c r="AQ2408" i="1"/>
  <c r="AN2408" i="1"/>
  <c r="AO2412" i="1" s="1"/>
  <c r="AP2412" i="1" s="1"/>
  <c r="AV2407" i="1"/>
  <c r="AN2407" i="1"/>
  <c r="AO2411" i="1" s="1"/>
  <c r="AP2411" i="1" s="1"/>
  <c r="AV2406" i="1"/>
  <c r="AN2406" i="1"/>
  <c r="AO2410" i="1" s="1"/>
  <c r="AV2405" i="1"/>
  <c r="AQ2405" i="1"/>
  <c r="AS2405" i="1" s="1"/>
  <c r="AU2405" i="1" s="1"/>
  <c r="AN2405" i="1"/>
  <c r="AO2409" i="1" s="1"/>
  <c r="AP2409" i="1" s="1"/>
  <c r="AV2404" i="1"/>
  <c r="AU2404" i="1"/>
  <c r="AQ2404" i="1"/>
  <c r="AN2404" i="1"/>
  <c r="AO2408" i="1" s="1"/>
  <c r="AP2408" i="1" s="1"/>
  <c r="AR2408" i="1" s="1"/>
  <c r="AT2408" i="1" s="1"/>
  <c r="AV2403" i="1"/>
  <c r="AR2403" i="1"/>
  <c r="AT2403" i="1" s="1"/>
  <c r="AQ2403" i="1"/>
  <c r="AS2404" i="1" s="1"/>
  <c r="AN2403" i="1"/>
  <c r="AO2407" i="1" s="1"/>
  <c r="AP2407" i="1" s="1"/>
  <c r="AV2402" i="1"/>
  <c r="AN2402" i="1"/>
  <c r="AO2406" i="1" s="1"/>
  <c r="AV2401" i="1"/>
  <c r="AN2401" i="1"/>
  <c r="AO2405" i="1" s="1"/>
  <c r="AP2405" i="1" s="1"/>
  <c r="AR2405" i="1" s="1"/>
  <c r="AT2405" i="1" s="1"/>
  <c r="AV2400" i="1"/>
  <c r="AQ2400" i="1"/>
  <c r="AN2400" i="1"/>
  <c r="AO2404" i="1" s="1"/>
  <c r="AP2404" i="1" s="1"/>
  <c r="AR2404" i="1" s="1"/>
  <c r="AT2404" i="1" s="1"/>
  <c r="AV2399" i="1"/>
  <c r="AQ2399" i="1"/>
  <c r="AS2400" i="1" s="1"/>
  <c r="AU2400" i="1" s="1"/>
  <c r="AN2399" i="1"/>
  <c r="AO2403" i="1" s="1"/>
  <c r="AP2403" i="1" s="1"/>
  <c r="AV2398" i="1"/>
  <c r="AN2398" i="1"/>
  <c r="AO2402" i="1" s="1"/>
  <c r="AP2402" i="1" s="1"/>
  <c r="AR2402" i="1" s="1"/>
  <c r="AT2402" i="1" s="1"/>
  <c r="AV2397" i="1"/>
  <c r="AN2397" i="1"/>
  <c r="AO2401" i="1" s="1"/>
  <c r="AP2401" i="1" s="1"/>
  <c r="AR2401" i="1" s="1"/>
  <c r="AT2401" i="1" s="1"/>
  <c r="AV2396" i="1"/>
  <c r="AR2396" i="1"/>
  <c r="AT2396" i="1" s="1"/>
  <c r="AQ2396" i="1"/>
  <c r="AS2396" i="1" s="1"/>
  <c r="AU2396" i="1" s="1"/>
  <c r="AP2396" i="1"/>
  <c r="AN2396" i="1"/>
  <c r="AO2400" i="1" s="1"/>
  <c r="AP2400" i="1" s="1"/>
  <c r="AV2395" i="1"/>
  <c r="AT2395" i="1"/>
  <c r="AS2395" i="1"/>
  <c r="AU2395" i="1" s="1"/>
  <c r="AQ2395" i="1"/>
  <c r="AP2395" i="1"/>
  <c r="AN2395" i="1"/>
  <c r="AO2399" i="1" s="1"/>
  <c r="AP2399" i="1" s="1"/>
  <c r="AR2400" i="1" s="1"/>
  <c r="AT2400" i="1" s="1"/>
  <c r="AV2394" i="1"/>
  <c r="AQ2394" i="1"/>
  <c r="AP2394" i="1"/>
  <c r="AR2395" i="1" s="1"/>
  <c r="AN2394" i="1"/>
  <c r="AO2398" i="1" s="1"/>
  <c r="AV2393" i="1"/>
  <c r="AN2393" i="1"/>
  <c r="AO2397" i="1" s="1"/>
  <c r="AV2392" i="1"/>
  <c r="AN2392" i="1"/>
  <c r="AO2396" i="1" s="1"/>
  <c r="AV2391" i="1"/>
  <c r="AT2391" i="1"/>
  <c r="AR2391" i="1"/>
  <c r="AQ2391" i="1"/>
  <c r="AS2391" i="1" s="1"/>
  <c r="AU2391" i="1" s="1"/>
  <c r="AP2391" i="1"/>
  <c r="AN2391" i="1"/>
  <c r="AO2395" i="1" s="1"/>
  <c r="AV2390" i="1"/>
  <c r="AQ2390" i="1"/>
  <c r="AP2390" i="1"/>
  <c r="AN2390" i="1"/>
  <c r="AO2394" i="1" s="1"/>
  <c r="AV2389" i="1"/>
  <c r="AQ2389" i="1"/>
  <c r="AP2389" i="1"/>
  <c r="AN2389" i="1"/>
  <c r="AO2393" i="1" s="1"/>
  <c r="AV2388" i="1"/>
  <c r="AN2388" i="1"/>
  <c r="AO2392" i="1" s="1"/>
  <c r="AV2387" i="1"/>
  <c r="AN2387" i="1"/>
  <c r="AO2391" i="1" s="1"/>
  <c r="AV2386" i="1"/>
  <c r="AN2386" i="1"/>
  <c r="AO2390" i="1" s="1"/>
  <c r="AV2385" i="1"/>
  <c r="AQ2385" i="1"/>
  <c r="AS2385" i="1" s="1"/>
  <c r="AU2385" i="1" s="1"/>
  <c r="AP2385" i="1"/>
  <c r="AR2385" i="1" s="1"/>
  <c r="AT2385" i="1" s="1"/>
  <c r="AN2385" i="1"/>
  <c r="AO2389" i="1" s="1"/>
  <c r="AV2384" i="1"/>
  <c r="AQ2384" i="1"/>
  <c r="AP2384" i="1"/>
  <c r="AN2384" i="1"/>
  <c r="AO2388" i="1" s="1"/>
  <c r="AV2383" i="1"/>
  <c r="AQ2383" i="1"/>
  <c r="AS2383" i="1" s="1"/>
  <c r="AU2383" i="1" s="1"/>
  <c r="AP2383" i="1"/>
  <c r="AR2383" i="1" s="1"/>
  <c r="AT2383" i="1" s="1"/>
  <c r="AN2383" i="1"/>
  <c r="AO2387" i="1" s="1"/>
  <c r="AV2382" i="1"/>
  <c r="AQ2382" i="1"/>
  <c r="AS2382" i="1" s="1"/>
  <c r="AU2382" i="1" s="1"/>
  <c r="AP2382" i="1"/>
  <c r="AN2382" i="1"/>
  <c r="AO2386" i="1" s="1"/>
  <c r="AV2381" i="1"/>
  <c r="AN2381" i="1"/>
  <c r="AO2385" i="1" s="1"/>
  <c r="AV2380" i="1"/>
  <c r="AN2380" i="1"/>
  <c r="AO2384" i="1" s="1"/>
  <c r="AV2379" i="1"/>
  <c r="AN2379" i="1"/>
  <c r="AO2383" i="1" s="1"/>
  <c r="AV2378" i="1"/>
  <c r="AN2378" i="1"/>
  <c r="AO2382" i="1" s="1"/>
  <c r="AV2377" i="1"/>
  <c r="AQ2377" i="1"/>
  <c r="AP2377" i="1"/>
  <c r="AN2377" i="1"/>
  <c r="AO2381" i="1" s="1"/>
  <c r="AQ2381" i="1" s="1"/>
  <c r="AV2376" i="1"/>
  <c r="AN2376" i="1"/>
  <c r="AO2380" i="1" s="1"/>
  <c r="AV2375" i="1"/>
  <c r="AN2375" i="1"/>
  <c r="AO2379" i="1" s="1"/>
  <c r="AV2374" i="1"/>
  <c r="AQ2374" i="1"/>
  <c r="AS2374" i="1" s="1"/>
  <c r="AU2374" i="1" s="1"/>
  <c r="AP2374" i="1"/>
  <c r="AR2374" i="1" s="1"/>
  <c r="AT2374" i="1" s="1"/>
  <c r="AN2374" i="1"/>
  <c r="AO2378" i="1" s="1"/>
  <c r="AV2373" i="1"/>
  <c r="AQ2373" i="1"/>
  <c r="AS2373" i="1" s="1"/>
  <c r="AU2373" i="1" s="1"/>
  <c r="AP2373" i="1"/>
  <c r="AN2373" i="1"/>
  <c r="AO2377" i="1" s="1"/>
  <c r="AV2372" i="1"/>
  <c r="AU2372" i="1"/>
  <c r="AQ2372" i="1"/>
  <c r="AS2372" i="1" s="1"/>
  <c r="AP2372" i="1"/>
  <c r="AN2372" i="1"/>
  <c r="AO2376" i="1" s="1"/>
  <c r="AQ2376" i="1" s="1"/>
  <c r="AV2371" i="1"/>
  <c r="AN2371" i="1"/>
  <c r="AO2375" i="1" s="1"/>
  <c r="AV2370" i="1"/>
  <c r="AN2370" i="1"/>
  <c r="AO2374" i="1" s="1"/>
  <c r="AV2369" i="1"/>
  <c r="AN2369" i="1"/>
  <c r="AO2373" i="1" s="1"/>
  <c r="AV2368" i="1"/>
  <c r="AQ2368" i="1"/>
  <c r="AN2368" i="1"/>
  <c r="AO2372" i="1" s="1"/>
  <c r="AV2367" i="1"/>
  <c r="AN2367" i="1"/>
  <c r="AO2371" i="1" s="1"/>
  <c r="AQ2371" i="1" s="1"/>
  <c r="AV2366" i="1"/>
  <c r="AS2366" i="1"/>
  <c r="AU2366" i="1" s="1"/>
  <c r="AQ2366" i="1"/>
  <c r="AP2366" i="1"/>
  <c r="AN2366" i="1"/>
  <c r="AO2370" i="1" s="1"/>
  <c r="AV2365" i="1"/>
  <c r="AN2365" i="1"/>
  <c r="AO2369" i="1" s="1"/>
  <c r="AV2364" i="1"/>
  <c r="AR2364" i="1"/>
  <c r="AT2364" i="1" s="1"/>
  <c r="AQ2364" i="1"/>
  <c r="AS2364" i="1" s="1"/>
  <c r="AU2364" i="1" s="1"/>
  <c r="AP2364" i="1"/>
  <c r="AN2364" i="1"/>
  <c r="AO2368" i="1" s="1"/>
  <c r="AP2368" i="1" s="1"/>
  <c r="AV2363" i="1"/>
  <c r="AQ2363" i="1"/>
  <c r="AS2363" i="1" s="1"/>
  <c r="AU2363" i="1" s="1"/>
  <c r="AP2363" i="1"/>
  <c r="AR2363" i="1" s="1"/>
  <c r="AT2363" i="1" s="1"/>
  <c r="AN2363" i="1"/>
  <c r="AO2367" i="1" s="1"/>
  <c r="AV2362" i="1"/>
  <c r="AQ2362" i="1"/>
  <c r="AP2362" i="1"/>
  <c r="AN2362" i="1"/>
  <c r="AO2366" i="1" s="1"/>
  <c r="AV2361" i="1"/>
  <c r="AN2361" i="1"/>
  <c r="AO2365" i="1" s="1"/>
  <c r="AQ2365" i="1" s="1"/>
  <c r="AV2360" i="1"/>
  <c r="AN2360" i="1"/>
  <c r="AO2364" i="1" s="1"/>
  <c r="AV2359" i="1"/>
  <c r="AN2359" i="1"/>
  <c r="AO2363" i="1" s="1"/>
  <c r="AV2358" i="1"/>
  <c r="AN2358" i="1"/>
  <c r="AO2362" i="1" s="1"/>
  <c r="AV2357" i="1"/>
  <c r="AN2357" i="1"/>
  <c r="AO2361" i="1" s="1"/>
  <c r="AQ2361" i="1" s="1"/>
  <c r="AV2356" i="1"/>
  <c r="AN2356" i="1"/>
  <c r="AO2360" i="1" s="1"/>
  <c r="AV2355" i="1"/>
  <c r="AS2355" i="1"/>
  <c r="AU2355" i="1" s="1"/>
  <c r="AR2355" i="1"/>
  <c r="AT2355" i="1" s="1"/>
  <c r="AQ2355" i="1"/>
  <c r="AP2355" i="1"/>
  <c r="AN2355" i="1"/>
  <c r="AO2359" i="1" s="1"/>
  <c r="AV2354" i="1"/>
  <c r="AQ2354" i="1"/>
  <c r="AP2354" i="1"/>
  <c r="AR2354" i="1" s="1"/>
  <c r="AT2354" i="1" s="1"/>
  <c r="AN2354" i="1"/>
  <c r="AO2358" i="1" s="1"/>
  <c r="AV2353" i="1"/>
  <c r="AQ2353" i="1"/>
  <c r="AS2353" i="1" s="1"/>
  <c r="AU2353" i="1" s="1"/>
  <c r="AP2353" i="1"/>
  <c r="AN2353" i="1"/>
  <c r="AO2357" i="1" s="1"/>
  <c r="AQ2357" i="1" s="1"/>
  <c r="AV2352" i="1"/>
  <c r="AQ2352" i="1"/>
  <c r="AP2352" i="1"/>
  <c r="AN2352" i="1"/>
  <c r="AO2356" i="1" s="1"/>
  <c r="AV2351" i="1"/>
  <c r="AN2351" i="1"/>
  <c r="AO2355" i="1" s="1"/>
  <c r="AV2350" i="1"/>
  <c r="AN2350" i="1"/>
  <c r="AO2354" i="1" s="1"/>
  <c r="AV2349" i="1"/>
  <c r="AN2349" i="1"/>
  <c r="AO2353" i="1" s="1"/>
  <c r="AV2348" i="1"/>
  <c r="AQ2348" i="1"/>
  <c r="AN2348" i="1"/>
  <c r="AO2352" i="1" s="1"/>
  <c r="AV2347" i="1"/>
  <c r="AN2347" i="1"/>
  <c r="AO2351" i="1" s="1"/>
  <c r="AQ2351" i="1" s="1"/>
  <c r="AV2346" i="1"/>
  <c r="AN2346" i="1"/>
  <c r="AO2350" i="1" s="1"/>
  <c r="AV2345" i="1"/>
  <c r="AN2345" i="1"/>
  <c r="AO2349" i="1" s="1"/>
  <c r="AV2344" i="1"/>
  <c r="AN2344" i="1"/>
  <c r="AO2348" i="1" s="1"/>
  <c r="AP2348" i="1" s="1"/>
  <c r="AV2343" i="1"/>
  <c r="AN2343" i="1"/>
  <c r="AV2342" i="1"/>
  <c r="AN2342" i="1"/>
  <c r="AV2341" i="1"/>
  <c r="AN2341" i="1"/>
  <c r="AV2340" i="1"/>
  <c r="AN2340" i="1"/>
  <c r="AV2339" i="1"/>
  <c r="AN2339" i="1"/>
  <c r="AV2338" i="1"/>
  <c r="AN2338" i="1"/>
  <c r="AV2337" i="1"/>
  <c r="AN2337" i="1"/>
  <c r="AV2336" i="1"/>
  <c r="AN2336" i="1"/>
  <c r="AO2340" i="1" s="1"/>
  <c r="AV2335" i="1"/>
  <c r="AN2335" i="1"/>
  <c r="AO2339" i="1" s="1"/>
  <c r="AV2334" i="1"/>
  <c r="AN2334" i="1"/>
  <c r="AV2333" i="1"/>
  <c r="AN2333" i="1"/>
  <c r="AO2337" i="1" s="1"/>
  <c r="AV2332" i="1"/>
  <c r="AN2332" i="1"/>
  <c r="AV2331" i="1"/>
  <c r="AN2331" i="1"/>
  <c r="AV2330" i="1"/>
  <c r="AQ2330" i="1"/>
  <c r="AN2330" i="1"/>
  <c r="AV2329" i="1"/>
  <c r="AN2329" i="1"/>
  <c r="AO2330" i="1" s="1"/>
  <c r="AP2330" i="1" s="1"/>
  <c r="AV2328" i="1"/>
  <c r="AN2328" i="1"/>
  <c r="AV2327" i="1"/>
  <c r="AN2327" i="1"/>
  <c r="AO2331" i="1" s="1"/>
  <c r="AV2326" i="1"/>
  <c r="AN2326" i="1"/>
  <c r="AV2325" i="1"/>
  <c r="AN2325" i="1"/>
  <c r="AV2324" i="1"/>
  <c r="AN2324" i="1"/>
  <c r="AV2323" i="1"/>
  <c r="AN2323" i="1"/>
  <c r="AV2322" i="1"/>
  <c r="AO2322" i="1"/>
  <c r="AN2322" i="1"/>
  <c r="AV2321" i="1"/>
  <c r="AN2321" i="1"/>
  <c r="AV2320" i="1"/>
  <c r="AN2320" i="1"/>
  <c r="AV2319" i="1"/>
  <c r="AO2319" i="1"/>
  <c r="AN2319" i="1"/>
  <c r="AV2318" i="1"/>
  <c r="AN2318" i="1"/>
  <c r="AV2317" i="1"/>
  <c r="AN2317" i="1"/>
  <c r="AO2321" i="1" s="1"/>
  <c r="AV2316" i="1"/>
  <c r="AN2316" i="1"/>
  <c r="AV2315" i="1"/>
  <c r="AN2315" i="1"/>
  <c r="AO2318" i="1" s="1"/>
  <c r="AV2314" i="1"/>
  <c r="AN2314" i="1"/>
  <c r="AV2313" i="1"/>
  <c r="AO2313" i="1"/>
  <c r="AQ2313" i="1" s="1"/>
  <c r="AN2313" i="1"/>
  <c r="AV2312" i="1"/>
  <c r="AN2312" i="1"/>
  <c r="AV2311" i="1"/>
  <c r="AN2311" i="1"/>
  <c r="AV2310" i="1"/>
  <c r="AN2310" i="1"/>
  <c r="AV2309" i="1"/>
  <c r="AN2309" i="1"/>
  <c r="AV2308" i="1"/>
  <c r="AN2308" i="1"/>
  <c r="AV2307" i="1"/>
  <c r="AN2307" i="1"/>
  <c r="AV2306" i="1"/>
  <c r="AN2306" i="1"/>
  <c r="AV2305" i="1"/>
  <c r="AN2305" i="1"/>
  <c r="AV2304" i="1"/>
  <c r="AN2304" i="1"/>
  <c r="AV2303" i="1"/>
  <c r="AN2303" i="1"/>
  <c r="AV2302" i="1"/>
  <c r="AN2302" i="1"/>
  <c r="AV2301" i="1"/>
  <c r="AN2301" i="1"/>
  <c r="AO2305" i="1" s="1"/>
  <c r="AV2300" i="1"/>
  <c r="AN2300" i="1"/>
  <c r="AV2299" i="1"/>
  <c r="AN2299" i="1"/>
  <c r="AV2298" i="1"/>
  <c r="AN2298" i="1"/>
  <c r="AV2297" i="1"/>
  <c r="AO2297" i="1"/>
  <c r="AQ2297" i="1" s="1"/>
  <c r="AN2297" i="1"/>
  <c r="AO2301" i="1" s="1"/>
  <c r="AV2296" i="1"/>
  <c r="AO2296" i="1"/>
  <c r="AN2296" i="1"/>
  <c r="AV2295" i="1"/>
  <c r="AN2295" i="1"/>
  <c r="AO2298" i="1" s="1"/>
  <c r="AV2294" i="1"/>
  <c r="AQ2294" i="1"/>
  <c r="AN2294" i="1"/>
  <c r="AV2293" i="1"/>
  <c r="AN2293" i="1"/>
  <c r="AV2292" i="1"/>
  <c r="AN2292" i="1"/>
  <c r="AV2291" i="1"/>
  <c r="AN2291" i="1"/>
  <c r="AO2295" i="1" s="1"/>
  <c r="AV2290" i="1"/>
  <c r="AN2290" i="1"/>
  <c r="AO2294" i="1" s="1"/>
  <c r="AP2294" i="1" s="1"/>
  <c r="AV2289" i="1"/>
  <c r="AN2289" i="1"/>
  <c r="AO2293" i="1" s="1"/>
  <c r="AV2288" i="1"/>
  <c r="AN2288" i="1"/>
  <c r="AV2287" i="1"/>
  <c r="AN2287" i="1"/>
  <c r="AV2286" i="1"/>
  <c r="AN2286" i="1"/>
  <c r="AV2285" i="1"/>
  <c r="AN2285" i="1"/>
  <c r="AO2285" i="1" s="1"/>
  <c r="AV2284" i="1"/>
  <c r="AN2284" i="1"/>
  <c r="AV2283" i="1"/>
  <c r="AN2283" i="1"/>
  <c r="AV2282" i="1"/>
  <c r="AN2282" i="1"/>
  <c r="AV2281" i="1"/>
  <c r="AN2281" i="1"/>
  <c r="AV2280" i="1"/>
  <c r="AN2280" i="1"/>
  <c r="AO2284" i="1" s="1"/>
  <c r="AV2279" i="1"/>
  <c r="AN2279" i="1"/>
  <c r="AV2278" i="1"/>
  <c r="AN2278" i="1"/>
  <c r="AV2277" i="1"/>
  <c r="AP2277" i="1"/>
  <c r="AO2277" i="1"/>
  <c r="AQ2277" i="1" s="1"/>
  <c r="AN2277" i="1"/>
  <c r="AV2276" i="1"/>
  <c r="AN2276" i="1"/>
  <c r="AO2276" i="1" s="1"/>
  <c r="AV2275" i="1"/>
  <c r="AN2275" i="1"/>
  <c r="AO2278" i="1" s="1"/>
  <c r="AV2274" i="1"/>
  <c r="AN2274" i="1"/>
  <c r="AV2273" i="1"/>
  <c r="AN2273" i="1"/>
  <c r="AV2272" i="1"/>
  <c r="AN2272" i="1"/>
  <c r="AV2271" i="1"/>
  <c r="AN2271" i="1"/>
  <c r="AO2275" i="1" s="1"/>
  <c r="AV2270" i="1"/>
  <c r="AN2270" i="1"/>
  <c r="AV2269" i="1"/>
  <c r="AN2269" i="1"/>
  <c r="AV2268" i="1"/>
  <c r="AN2268" i="1"/>
  <c r="AV2267" i="1"/>
  <c r="AN2267" i="1"/>
  <c r="AV2266" i="1"/>
  <c r="AN2266" i="1"/>
  <c r="AV2265" i="1"/>
  <c r="AN2265" i="1"/>
  <c r="AV2264" i="1"/>
  <c r="AN2264" i="1"/>
  <c r="AV2263" i="1"/>
  <c r="AN2263" i="1"/>
  <c r="AV2262" i="1"/>
  <c r="AN2262" i="1"/>
  <c r="AV2261" i="1"/>
  <c r="AN2261" i="1"/>
  <c r="AV2260" i="1"/>
  <c r="AN2260" i="1"/>
  <c r="AO2264" i="1" s="1"/>
  <c r="AV2259" i="1"/>
  <c r="AN2259" i="1"/>
  <c r="AV2258" i="1"/>
  <c r="AN2258" i="1"/>
  <c r="AV2257" i="1"/>
  <c r="AN2257" i="1"/>
  <c r="AV2256" i="1"/>
  <c r="AN2256" i="1"/>
  <c r="AV2255" i="1"/>
  <c r="AN2255" i="1"/>
  <c r="AO2259" i="1" s="1"/>
  <c r="AV2254" i="1"/>
  <c r="AN2254" i="1"/>
  <c r="AV2253" i="1"/>
  <c r="AN2253" i="1"/>
  <c r="AV2252" i="1"/>
  <c r="AN2252" i="1"/>
  <c r="AV2251" i="1"/>
  <c r="AN2251" i="1"/>
  <c r="AO2251" i="1" s="1"/>
  <c r="AV2250" i="1"/>
  <c r="AN2250" i="1"/>
  <c r="AO2254" i="1" s="1"/>
  <c r="AV2249" i="1"/>
  <c r="AN2249" i="1"/>
  <c r="AV2248" i="1"/>
  <c r="AN2248" i="1"/>
  <c r="AV2247" i="1"/>
  <c r="AN2247" i="1"/>
  <c r="AO2250" i="1" s="1"/>
  <c r="AV2246" i="1"/>
  <c r="AP2246" i="1"/>
  <c r="AN2246" i="1"/>
  <c r="AV2245" i="1"/>
  <c r="AQ2245" i="1"/>
  <c r="AP2245" i="1"/>
  <c r="AO2245" i="1"/>
  <c r="AN2245" i="1"/>
  <c r="AO2249" i="1" s="1"/>
  <c r="AV2244" i="1"/>
  <c r="AN2244" i="1"/>
  <c r="AV2243" i="1"/>
  <c r="AO2243" i="1"/>
  <c r="AQ2243" i="1" s="1"/>
  <c r="AN2243" i="1"/>
  <c r="AV2242" i="1"/>
  <c r="AN2242" i="1"/>
  <c r="AO2246" i="1" s="1"/>
  <c r="AQ2246" i="1" s="1"/>
  <c r="AS2246" i="1" s="1"/>
  <c r="AU2246" i="1" s="1"/>
  <c r="AV2241" i="1"/>
  <c r="AN2241" i="1"/>
  <c r="AV2240" i="1"/>
  <c r="AN2240" i="1"/>
  <c r="AV2239" i="1"/>
  <c r="AN2239" i="1"/>
  <c r="AV2238" i="1"/>
  <c r="AQ2238" i="1"/>
  <c r="AN2238" i="1"/>
  <c r="AV2237" i="1"/>
  <c r="AN2237" i="1"/>
  <c r="AO2240" i="1" s="1"/>
  <c r="AV2236" i="1"/>
  <c r="AN2236" i="1"/>
  <c r="AV2235" i="1"/>
  <c r="AN2235" i="1"/>
  <c r="AO2239" i="1" s="1"/>
  <c r="AV2234" i="1"/>
  <c r="AN2234" i="1"/>
  <c r="AO2238" i="1" s="1"/>
  <c r="AP2238" i="1" s="1"/>
  <c r="AV2233" i="1"/>
  <c r="AN2233" i="1"/>
  <c r="AV2232" i="1"/>
  <c r="AN2232" i="1"/>
  <c r="AV2231" i="1"/>
  <c r="AN2231" i="1"/>
  <c r="AV2230" i="1"/>
  <c r="AN2230" i="1"/>
  <c r="AV2229" i="1"/>
  <c r="AN2229" i="1"/>
  <c r="AV2228" i="1"/>
  <c r="AQ2228" i="1"/>
  <c r="AN2228" i="1"/>
  <c r="AV2227" i="1"/>
  <c r="AN2227" i="1"/>
  <c r="AV2226" i="1"/>
  <c r="AO2226" i="1"/>
  <c r="AN2226" i="1"/>
  <c r="AV2225" i="1"/>
  <c r="AN2225" i="1"/>
  <c r="AO2229" i="1" s="1"/>
  <c r="AV2224" i="1"/>
  <c r="AN2224" i="1"/>
  <c r="AO2228" i="1" s="1"/>
  <c r="AP2228" i="1" s="1"/>
  <c r="AV2223" i="1"/>
  <c r="AN2223" i="1"/>
  <c r="AV2222" i="1"/>
  <c r="AO2222" i="1"/>
  <c r="AQ2222" i="1" s="1"/>
  <c r="AN2222" i="1"/>
  <c r="AO2224" i="1" s="1"/>
  <c r="AV2221" i="1"/>
  <c r="AN2221" i="1"/>
  <c r="AV2220" i="1"/>
  <c r="AN2220" i="1"/>
  <c r="AV2219" i="1"/>
  <c r="AN2219" i="1"/>
  <c r="AV2218" i="1"/>
  <c r="AN2218" i="1"/>
  <c r="AV2217" i="1"/>
  <c r="AN2217" i="1"/>
  <c r="AO2220" i="1" s="1"/>
  <c r="AV2216" i="1"/>
  <c r="AN2216" i="1"/>
  <c r="AV2215" i="1"/>
  <c r="AN2215" i="1"/>
  <c r="AO2219" i="1" s="1"/>
  <c r="AV2214" i="1"/>
  <c r="AN2214" i="1"/>
  <c r="AV2213" i="1"/>
  <c r="AP2213" i="1"/>
  <c r="AO2213" i="1"/>
  <c r="AQ2213" i="1" s="1"/>
  <c r="AN2213" i="1"/>
  <c r="AV2212" i="1"/>
  <c r="AN2212" i="1"/>
  <c r="AV2211" i="1"/>
  <c r="AN2211" i="1"/>
  <c r="AV2210" i="1"/>
  <c r="AN2210" i="1"/>
  <c r="AV2209" i="1"/>
  <c r="AN2209" i="1"/>
  <c r="AV2208" i="1"/>
  <c r="AN2208" i="1"/>
  <c r="AV2207" i="1"/>
  <c r="AN2207" i="1"/>
  <c r="AO2210" i="1" s="1"/>
  <c r="AV2206" i="1"/>
  <c r="AQ2206" i="1"/>
  <c r="AO2206" i="1"/>
  <c r="AP2206" i="1" s="1"/>
  <c r="AN2206" i="1"/>
  <c r="AV2205" i="1"/>
  <c r="AN2205" i="1"/>
  <c r="AO2209" i="1" s="1"/>
  <c r="AV2204" i="1"/>
  <c r="AQ2204" i="1"/>
  <c r="AN2204" i="1"/>
  <c r="AV2203" i="1"/>
  <c r="AN2203" i="1"/>
  <c r="AV2202" i="1"/>
  <c r="AN2202" i="1"/>
  <c r="AV2201" i="1"/>
  <c r="AO2201" i="1"/>
  <c r="AN2201" i="1"/>
  <c r="AV2200" i="1"/>
  <c r="AN2200" i="1"/>
  <c r="AO2204" i="1" s="1"/>
  <c r="AP2204" i="1" s="1"/>
  <c r="AV2199" i="1"/>
  <c r="AN2199" i="1"/>
  <c r="AV2198" i="1"/>
  <c r="AN2198" i="1"/>
  <c r="AO2200" i="1" s="1"/>
  <c r="AV2197" i="1"/>
  <c r="AN2197" i="1"/>
  <c r="AV2196" i="1"/>
  <c r="AN2196" i="1"/>
  <c r="AV2195" i="1"/>
  <c r="AN2195" i="1"/>
  <c r="AO2199" i="1" s="1"/>
  <c r="AV2194" i="1"/>
  <c r="AN2194" i="1"/>
  <c r="AO2198" i="1" s="1"/>
  <c r="AP2198" i="1" s="1"/>
  <c r="AV2193" i="1"/>
  <c r="AO2193" i="1"/>
  <c r="AQ2193" i="1" s="1"/>
  <c r="AN2193" i="1"/>
  <c r="AV2192" i="1"/>
  <c r="AN2192" i="1"/>
  <c r="AV2191" i="1"/>
  <c r="AO2191" i="1"/>
  <c r="AN2191" i="1"/>
  <c r="AV2190" i="1"/>
  <c r="AN2190" i="1"/>
  <c r="AO2194" i="1" s="1"/>
  <c r="AV2189" i="1"/>
  <c r="AN2189" i="1"/>
  <c r="AV2188" i="1"/>
  <c r="AN2188" i="1"/>
  <c r="AV2187" i="1"/>
  <c r="AN2187" i="1"/>
  <c r="AV2186" i="1"/>
  <c r="AN2186" i="1"/>
  <c r="AV2185" i="1"/>
  <c r="AN2185" i="1"/>
  <c r="AO2189" i="1" s="1"/>
  <c r="AV2184" i="1"/>
  <c r="AN2184" i="1"/>
  <c r="AO2188" i="1" s="1"/>
  <c r="AP2188" i="1" s="1"/>
  <c r="AV2183" i="1"/>
  <c r="AN2183" i="1"/>
  <c r="AV2182" i="1"/>
  <c r="AN2182" i="1"/>
  <c r="AO2186" i="1" s="1"/>
  <c r="AV2181" i="1"/>
  <c r="AN2181" i="1"/>
  <c r="AO2185" i="1" s="1"/>
  <c r="AV2180" i="1"/>
  <c r="AN2180" i="1"/>
  <c r="AV2179" i="1"/>
  <c r="AN2179" i="1"/>
  <c r="AV2178" i="1"/>
  <c r="AN2178" i="1"/>
  <c r="AV2177" i="1"/>
  <c r="AN2177" i="1"/>
  <c r="AO2180" i="1" s="1"/>
  <c r="AV2176" i="1"/>
  <c r="AN2176" i="1"/>
  <c r="AV2175" i="1"/>
  <c r="AN2175" i="1"/>
  <c r="AV2174" i="1"/>
  <c r="AP2174" i="1"/>
  <c r="AO2174" i="1"/>
  <c r="AQ2174" i="1" s="1"/>
  <c r="AN2174" i="1"/>
  <c r="AV2173" i="1"/>
  <c r="AN2173" i="1"/>
  <c r="AV2172" i="1"/>
  <c r="AN2172" i="1"/>
  <c r="AV2171" i="1"/>
  <c r="AN2171" i="1"/>
  <c r="AV2170" i="1"/>
  <c r="AN2170" i="1"/>
  <c r="AO2173" i="1" s="1"/>
  <c r="AV2169" i="1"/>
  <c r="AN2169" i="1"/>
  <c r="AV2168" i="1"/>
  <c r="AQ2168" i="1"/>
  <c r="AN2168" i="1"/>
  <c r="AV2167" i="1"/>
  <c r="AN2167" i="1"/>
  <c r="AO2171" i="1" s="1"/>
  <c r="AV2166" i="1"/>
  <c r="AN2166" i="1"/>
  <c r="AV2165" i="1"/>
  <c r="AN2165" i="1"/>
  <c r="AV2164" i="1"/>
  <c r="AN2164" i="1"/>
  <c r="AO2168" i="1" s="1"/>
  <c r="AP2168" i="1" s="1"/>
  <c r="AV2163" i="1"/>
  <c r="AN2163" i="1"/>
  <c r="AV2162" i="1"/>
  <c r="AN2162" i="1"/>
  <c r="AV2161" i="1"/>
  <c r="AN2161" i="1"/>
  <c r="AO2165" i="1" s="1"/>
  <c r="AV2160" i="1"/>
  <c r="AN2160" i="1"/>
  <c r="AV2159" i="1"/>
  <c r="AN2159" i="1"/>
  <c r="AV2158" i="1"/>
  <c r="AN2158" i="1"/>
  <c r="AV2157" i="1"/>
  <c r="AN2157" i="1"/>
  <c r="AV2156" i="1"/>
  <c r="AN2156" i="1"/>
  <c r="AV2155" i="1"/>
  <c r="AO2155" i="1"/>
  <c r="AN2155" i="1"/>
  <c r="AV2154" i="1"/>
  <c r="AP2154" i="1"/>
  <c r="AO2154" i="1"/>
  <c r="AQ2154" i="1" s="1"/>
  <c r="AN2154" i="1"/>
  <c r="AV2153" i="1"/>
  <c r="AN2153" i="1"/>
  <c r="AV2152" i="1"/>
  <c r="AN2152" i="1"/>
  <c r="AV2151" i="1"/>
  <c r="AN2151" i="1"/>
  <c r="AV2150" i="1"/>
  <c r="AN2150" i="1"/>
  <c r="AO2153" i="1" s="1"/>
  <c r="AV2149" i="1"/>
  <c r="AN2149" i="1"/>
  <c r="AV2148" i="1"/>
  <c r="AQ2148" i="1"/>
  <c r="AN2148" i="1"/>
  <c r="AV2147" i="1"/>
  <c r="AN2147" i="1"/>
  <c r="AO2151" i="1" s="1"/>
  <c r="AV2146" i="1"/>
  <c r="AN2146" i="1"/>
  <c r="AV2145" i="1"/>
  <c r="AN2145" i="1"/>
  <c r="AV2144" i="1"/>
  <c r="AN2144" i="1"/>
  <c r="AO2148" i="1" s="1"/>
  <c r="AP2148" i="1" s="1"/>
  <c r="AV2143" i="1"/>
  <c r="AN2143" i="1"/>
  <c r="AV2142" i="1"/>
  <c r="AN2142" i="1"/>
  <c r="AV2141" i="1"/>
  <c r="AN2141" i="1"/>
  <c r="AO2145" i="1" s="1"/>
  <c r="AV2140" i="1"/>
  <c r="AN2140" i="1"/>
  <c r="AV2139" i="1"/>
  <c r="AN2139" i="1"/>
  <c r="AV2138" i="1"/>
  <c r="AN2138" i="1"/>
  <c r="AO2142" i="1" s="1"/>
  <c r="AV2137" i="1"/>
  <c r="AN2137" i="1"/>
  <c r="AO2140" i="1" s="1"/>
  <c r="AV2136" i="1"/>
  <c r="AN2136" i="1"/>
  <c r="AV2135" i="1"/>
  <c r="AN2135" i="1"/>
  <c r="AV2134" i="1"/>
  <c r="AO2134" i="1"/>
  <c r="AQ2134" i="1" s="1"/>
  <c r="AN2134" i="1"/>
  <c r="AV2133" i="1"/>
  <c r="AN2133" i="1"/>
  <c r="AV2132" i="1"/>
  <c r="AN2132" i="1"/>
  <c r="AV2131" i="1"/>
  <c r="AN2131" i="1"/>
  <c r="AV2130" i="1"/>
  <c r="AN2130" i="1"/>
  <c r="AV2129" i="1"/>
  <c r="AO2129" i="1"/>
  <c r="AQ2129" i="1" s="1"/>
  <c r="AN2129" i="1"/>
  <c r="AO2133" i="1" s="1"/>
  <c r="AV2128" i="1"/>
  <c r="AN2128" i="1"/>
  <c r="AV2127" i="1"/>
  <c r="AN2127" i="1"/>
  <c r="AV2126" i="1"/>
  <c r="AN2126" i="1"/>
  <c r="AO2130" i="1" s="1"/>
  <c r="AV2125" i="1"/>
  <c r="AN2125" i="1"/>
  <c r="AV2124" i="1"/>
  <c r="AQ2124" i="1"/>
  <c r="AP2124" i="1"/>
  <c r="AO2124" i="1"/>
  <c r="AN2124" i="1"/>
  <c r="AO2128" i="1" s="1"/>
  <c r="AV2123" i="1"/>
  <c r="AN2123" i="1"/>
  <c r="AO2126" i="1" s="1"/>
  <c r="AQ2126" i="1" s="1"/>
  <c r="AV2122" i="1"/>
  <c r="AN2122" i="1"/>
  <c r="AV2121" i="1"/>
  <c r="AO2121" i="1"/>
  <c r="AQ2121" i="1" s="1"/>
  <c r="AN2121" i="1"/>
  <c r="AV2120" i="1"/>
  <c r="AN2120" i="1"/>
  <c r="AV2119" i="1"/>
  <c r="AN2119" i="1"/>
  <c r="AO2123" i="1" s="1"/>
  <c r="AV2118" i="1"/>
  <c r="AN2118" i="1"/>
  <c r="AV2117" i="1"/>
  <c r="AN2117" i="1"/>
  <c r="AV2116" i="1"/>
  <c r="AN2116" i="1"/>
  <c r="AV2115" i="1"/>
  <c r="AN2115" i="1"/>
  <c r="AV2114" i="1"/>
  <c r="AN2114" i="1"/>
  <c r="AV2113" i="1"/>
  <c r="AN2113" i="1"/>
  <c r="AV2112" i="1"/>
  <c r="AN2112" i="1"/>
  <c r="AV2111" i="1"/>
  <c r="AN2111" i="1"/>
  <c r="AV2110" i="1"/>
  <c r="AN2110" i="1"/>
  <c r="AV2109" i="1"/>
  <c r="AN2109" i="1"/>
  <c r="AO2113" i="1" s="1"/>
  <c r="AV2108" i="1"/>
  <c r="AN2108" i="1"/>
  <c r="AO2112" i="1" s="1"/>
  <c r="AV2107" i="1"/>
  <c r="AN2107" i="1"/>
  <c r="AV2106" i="1"/>
  <c r="AN2106" i="1"/>
  <c r="AV2105" i="1"/>
  <c r="AN2105" i="1"/>
  <c r="AV2104" i="1"/>
  <c r="AN2104" i="1"/>
  <c r="AV2103" i="1"/>
  <c r="AN2103" i="1"/>
  <c r="AV2102" i="1"/>
  <c r="AN2102" i="1"/>
  <c r="AV2101" i="1"/>
  <c r="AN2101" i="1"/>
  <c r="AV2100" i="1"/>
  <c r="AN2100" i="1"/>
  <c r="AV2099" i="1"/>
  <c r="AO2099" i="1"/>
  <c r="AQ2099" i="1" s="1"/>
  <c r="AN2099" i="1"/>
  <c r="AV2098" i="1"/>
  <c r="AN2098" i="1"/>
  <c r="AV2097" i="1"/>
  <c r="AQ2097" i="1"/>
  <c r="AP2097" i="1"/>
  <c r="AN2097" i="1"/>
  <c r="AV2096" i="1"/>
  <c r="AN2096" i="1"/>
  <c r="AV2095" i="1"/>
  <c r="AN2095" i="1"/>
  <c r="AV2094" i="1"/>
  <c r="AN2094" i="1"/>
  <c r="AO2098" i="1" s="1"/>
  <c r="AV2093" i="1"/>
  <c r="AN2093" i="1"/>
  <c r="AO2097" i="1" s="1"/>
  <c r="AV2092" i="1"/>
  <c r="AN2092" i="1"/>
  <c r="AV2091" i="1"/>
  <c r="AN2091" i="1"/>
  <c r="AO2095" i="1" s="1"/>
  <c r="AV2090" i="1"/>
  <c r="AN2090" i="1"/>
  <c r="AV2089" i="1"/>
  <c r="AN2089" i="1"/>
  <c r="AO2093" i="1" s="1"/>
  <c r="AV2088" i="1"/>
  <c r="AN2088" i="1"/>
  <c r="AV2087" i="1"/>
  <c r="AN2087" i="1"/>
  <c r="AV2086" i="1"/>
  <c r="AN2086" i="1"/>
  <c r="AV2085" i="1"/>
  <c r="AN2085" i="1"/>
  <c r="AV2084" i="1"/>
  <c r="AN2084" i="1"/>
  <c r="AV2083" i="1"/>
  <c r="AN2083" i="1"/>
  <c r="AV2082" i="1"/>
  <c r="AN2082" i="1"/>
  <c r="AV2081" i="1"/>
  <c r="AN2081" i="1"/>
  <c r="AO2081" i="1" s="1"/>
  <c r="AV2080" i="1"/>
  <c r="AN2080" i="1"/>
  <c r="AV2079" i="1"/>
  <c r="AO2079" i="1"/>
  <c r="AQ2079" i="1" s="1"/>
  <c r="AN2079" i="1"/>
  <c r="AV2078" i="1"/>
  <c r="AO2078" i="1"/>
  <c r="AN2078" i="1"/>
  <c r="AV2077" i="1"/>
  <c r="AN2077" i="1"/>
  <c r="AV2076" i="1"/>
  <c r="AN2076" i="1"/>
  <c r="AV2075" i="1"/>
  <c r="AN2075" i="1"/>
  <c r="AV2074" i="1"/>
  <c r="AO2074" i="1"/>
  <c r="AQ2074" i="1" s="1"/>
  <c r="AN2074" i="1"/>
  <c r="AO2076" i="1" s="1"/>
  <c r="AV2073" i="1"/>
  <c r="AN2073" i="1"/>
  <c r="AV2072" i="1"/>
  <c r="AQ2072" i="1"/>
  <c r="AP2072" i="1"/>
  <c r="AN2072" i="1"/>
  <c r="AV2071" i="1"/>
  <c r="AN2071" i="1"/>
  <c r="AV2070" i="1"/>
  <c r="AN2070" i="1"/>
  <c r="AV2069" i="1"/>
  <c r="AN2069" i="1"/>
  <c r="AO2073" i="1" s="1"/>
  <c r="AV2068" i="1"/>
  <c r="AN2068" i="1"/>
  <c r="AO2072" i="1" s="1"/>
  <c r="AV2067" i="1"/>
  <c r="AN2067" i="1"/>
  <c r="AV2066" i="1"/>
  <c r="AN2066" i="1"/>
  <c r="AO2070" i="1" s="1"/>
  <c r="AV2065" i="1"/>
  <c r="AN2065" i="1"/>
  <c r="AV2064" i="1"/>
  <c r="AN2064" i="1"/>
  <c r="AV2063" i="1"/>
  <c r="AO2063" i="1"/>
  <c r="AQ2063" i="1" s="1"/>
  <c r="AN2063" i="1"/>
  <c r="AV2062" i="1"/>
  <c r="AN2062" i="1"/>
  <c r="AV2061" i="1"/>
  <c r="AN2061" i="1"/>
  <c r="AV2060" i="1"/>
  <c r="AN2060" i="1"/>
  <c r="AV2059" i="1"/>
  <c r="AN2059" i="1"/>
  <c r="AV2058" i="1"/>
  <c r="AN2058" i="1"/>
  <c r="AV2057" i="1"/>
  <c r="AN2057" i="1"/>
  <c r="AV2056" i="1"/>
  <c r="AN2056" i="1"/>
  <c r="AV2055" i="1"/>
  <c r="AN2055" i="1"/>
  <c r="AV2054" i="1"/>
  <c r="AQ2054" i="1"/>
  <c r="AP2054" i="1"/>
  <c r="AO2054" i="1"/>
  <c r="AN2054" i="1"/>
  <c r="AV2053" i="1"/>
  <c r="AN2053" i="1"/>
  <c r="AO2057" i="1" s="1"/>
  <c r="AV2052" i="1"/>
  <c r="AO2052" i="1"/>
  <c r="AQ2052" i="1" s="1"/>
  <c r="AN2052" i="1"/>
  <c r="AV2051" i="1"/>
  <c r="AN2051" i="1"/>
  <c r="AV2050" i="1"/>
  <c r="AN2050" i="1"/>
  <c r="AV2049" i="1"/>
  <c r="AN2049" i="1"/>
  <c r="AV2048" i="1"/>
  <c r="AN2048" i="1"/>
  <c r="AV2047" i="1"/>
  <c r="AN2047" i="1"/>
  <c r="AV2046" i="1"/>
  <c r="AN2046" i="1"/>
  <c r="AV2045" i="1"/>
  <c r="AN2045" i="1"/>
  <c r="AV2044" i="1"/>
  <c r="AN2044" i="1"/>
  <c r="AV2043" i="1"/>
  <c r="AN2043" i="1"/>
  <c r="AV2042" i="1"/>
  <c r="AN2042" i="1"/>
  <c r="AV2041" i="1"/>
  <c r="AN2041" i="1"/>
  <c r="AV2040" i="1"/>
  <c r="AN2040" i="1"/>
  <c r="AV2039" i="1"/>
  <c r="AN2039" i="1"/>
  <c r="AV2038" i="1"/>
  <c r="AN2038" i="1"/>
  <c r="AV2037" i="1"/>
  <c r="AN2037" i="1"/>
  <c r="AV2036" i="1"/>
  <c r="AN2036" i="1"/>
  <c r="AV2035" i="1"/>
  <c r="AN2035" i="1"/>
  <c r="AV2034" i="1"/>
  <c r="AN2034" i="1"/>
  <c r="AV2033" i="1"/>
  <c r="AN2033" i="1"/>
  <c r="AV2032" i="1"/>
  <c r="AN2032" i="1"/>
  <c r="AV2031" i="1"/>
  <c r="AN2031" i="1"/>
  <c r="AV2030" i="1"/>
  <c r="AN2030" i="1"/>
  <c r="AV2029" i="1"/>
  <c r="AO2029" i="1"/>
  <c r="AQ2029" i="1" s="1"/>
  <c r="AN2029" i="1"/>
  <c r="AV2028" i="1"/>
  <c r="AN2028" i="1"/>
  <c r="AO2032" i="1" s="1"/>
  <c r="AV2027" i="1"/>
  <c r="AP2027" i="1"/>
  <c r="AO2027" i="1"/>
  <c r="AQ2027" i="1" s="1"/>
  <c r="AN2027" i="1"/>
  <c r="AV2026" i="1"/>
  <c r="AN2026" i="1"/>
  <c r="AV2025" i="1"/>
  <c r="AN2025" i="1"/>
  <c r="AV2024" i="1"/>
  <c r="AO2024" i="1"/>
  <c r="AN2024" i="1"/>
  <c r="AV2023" i="1"/>
  <c r="AN2023" i="1"/>
  <c r="AV2022" i="1"/>
  <c r="AO2022" i="1"/>
  <c r="AQ2022" i="1" s="1"/>
  <c r="AN2022" i="1"/>
  <c r="AO2026" i="1" s="1"/>
  <c r="AV2021" i="1"/>
  <c r="AN2021" i="1"/>
  <c r="AV2020" i="1"/>
  <c r="AN2020" i="1"/>
  <c r="AV2019" i="1"/>
  <c r="AN2019" i="1"/>
  <c r="AV2018" i="1"/>
  <c r="AN2018" i="1"/>
  <c r="AV2017" i="1"/>
  <c r="AN2017" i="1"/>
  <c r="AV2016" i="1"/>
  <c r="AN2016" i="1"/>
  <c r="AV2015" i="1"/>
  <c r="AN2015" i="1"/>
  <c r="AV2014" i="1"/>
  <c r="AN2014" i="1"/>
  <c r="AV2013" i="1"/>
  <c r="AO2013" i="1"/>
  <c r="AN2013" i="1"/>
  <c r="AO2017" i="1" s="1"/>
  <c r="AV2012" i="1"/>
  <c r="AN2012" i="1"/>
  <c r="AV2011" i="1"/>
  <c r="AN2011" i="1"/>
  <c r="AV2010" i="1"/>
  <c r="AN2010" i="1"/>
  <c r="AV2009" i="1"/>
  <c r="AN2009" i="1"/>
  <c r="AV2008" i="1"/>
  <c r="AO2008" i="1"/>
  <c r="AN2008" i="1"/>
  <c r="AO2012" i="1" s="1"/>
  <c r="AV2007" i="1"/>
  <c r="AN2007" i="1"/>
  <c r="AV2006" i="1"/>
  <c r="AN2006" i="1"/>
  <c r="AV2005" i="1"/>
  <c r="AN2005" i="1"/>
  <c r="AV2004" i="1"/>
  <c r="AN2004" i="1"/>
  <c r="AV2003" i="1"/>
  <c r="AN2003" i="1"/>
  <c r="AV2002" i="1"/>
  <c r="AO2002" i="1"/>
  <c r="AQ2002" i="1" s="1"/>
  <c r="AN2002" i="1"/>
  <c r="AV2001" i="1"/>
  <c r="AN2001" i="1"/>
  <c r="AV2000" i="1"/>
  <c r="AN2000" i="1"/>
  <c r="AV1999" i="1"/>
  <c r="AN1999" i="1"/>
  <c r="AV1998" i="1"/>
  <c r="AN1998" i="1"/>
  <c r="AV1997" i="1"/>
  <c r="AN1997" i="1"/>
  <c r="AV1996" i="1"/>
  <c r="AN1996" i="1"/>
  <c r="AV1995" i="1"/>
  <c r="AN1995" i="1"/>
  <c r="AV1994" i="1"/>
  <c r="AN1994" i="1"/>
  <c r="AV1993" i="1"/>
  <c r="AN1993" i="1"/>
  <c r="AV1992" i="1"/>
  <c r="AN1992" i="1"/>
  <c r="AV1991" i="1"/>
  <c r="AN1991" i="1"/>
  <c r="AV1990" i="1"/>
  <c r="AN1990" i="1"/>
  <c r="AV1989" i="1"/>
  <c r="AN1989" i="1"/>
  <c r="AV1988" i="1"/>
  <c r="AN1988" i="1"/>
  <c r="AV1987" i="1"/>
  <c r="AN1987" i="1"/>
  <c r="AV1986" i="1"/>
  <c r="AN1986" i="1"/>
  <c r="AV1985" i="1"/>
  <c r="AN1985" i="1"/>
  <c r="AV1984" i="1"/>
  <c r="AN1984" i="1"/>
  <c r="AV1983" i="1"/>
  <c r="AN1983" i="1"/>
  <c r="AO1987" i="1" s="1"/>
  <c r="AV1982" i="1"/>
  <c r="AN1982" i="1"/>
  <c r="AV1981" i="1"/>
  <c r="AN1981" i="1"/>
  <c r="AV1980" i="1"/>
  <c r="AN1980" i="1"/>
  <c r="AV1979" i="1"/>
  <c r="AN1979" i="1"/>
  <c r="AV1978" i="1"/>
  <c r="AN1978" i="1"/>
  <c r="AV1977" i="1"/>
  <c r="AN1977" i="1"/>
  <c r="AV1976" i="1"/>
  <c r="AN1976" i="1"/>
  <c r="AO1980" i="1" s="1"/>
  <c r="AV1975" i="1"/>
  <c r="AN1975" i="1"/>
  <c r="AV1974" i="1"/>
  <c r="AN1974" i="1"/>
  <c r="AV1973" i="1"/>
  <c r="AN1973" i="1"/>
  <c r="AV1972" i="1"/>
  <c r="AN1972" i="1"/>
  <c r="AV1971" i="1"/>
  <c r="AN1971" i="1"/>
  <c r="AV1970" i="1"/>
  <c r="AN1970" i="1"/>
  <c r="AV1969" i="1"/>
  <c r="AN1969" i="1"/>
  <c r="AV1968" i="1"/>
  <c r="AN1968" i="1"/>
  <c r="AV1967" i="1"/>
  <c r="AN1967" i="1"/>
  <c r="AO1971" i="1" s="1"/>
  <c r="AV1966" i="1"/>
  <c r="AN1966" i="1"/>
  <c r="AO1970" i="1" s="1"/>
  <c r="AV1965" i="1"/>
  <c r="AN1965" i="1"/>
  <c r="AO1969" i="1" s="1"/>
  <c r="AV1964" i="1"/>
  <c r="AN1964" i="1"/>
  <c r="AV1963" i="1"/>
  <c r="AN1963" i="1"/>
  <c r="AV1962" i="1"/>
  <c r="AN1962" i="1"/>
  <c r="AV1961" i="1"/>
  <c r="AN1961" i="1"/>
  <c r="AV1960" i="1"/>
  <c r="AN1960" i="1"/>
  <c r="AV1959" i="1"/>
  <c r="AN1959" i="1"/>
  <c r="AV1958" i="1"/>
  <c r="AQ1958" i="1"/>
  <c r="AS1958" i="1" s="1"/>
  <c r="AU1958" i="1" s="1"/>
  <c r="AP1958" i="1"/>
  <c r="AN1958" i="1"/>
  <c r="AV1957" i="1"/>
  <c r="AQ1957" i="1"/>
  <c r="AO1957" i="1"/>
  <c r="AP1957" i="1" s="1"/>
  <c r="AN1957" i="1"/>
  <c r="AO1961" i="1" s="1"/>
  <c r="AV1956" i="1"/>
  <c r="AN1956" i="1"/>
  <c r="AO1960" i="1" s="1"/>
  <c r="AV1955" i="1"/>
  <c r="AN1955" i="1"/>
  <c r="AV1954" i="1"/>
  <c r="AN1954" i="1"/>
  <c r="AO1958" i="1" s="1"/>
  <c r="AV1953" i="1"/>
  <c r="AN1953" i="1"/>
  <c r="AV1952" i="1"/>
  <c r="AN1952" i="1"/>
  <c r="AO1952" i="1" s="1"/>
  <c r="AV1951" i="1"/>
  <c r="AN1951" i="1"/>
  <c r="AV1950" i="1"/>
  <c r="AN1950" i="1"/>
  <c r="AV1949" i="1"/>
  <c r="AN1949" i="1"/>
  <c r="AV1948" i="1"/>
  <c r="AN1948" i="1"/>
  <c r="AV1947" i="1"/>
  <c r="AN1947" i="1"/>
  <c r="AO1951" i="1" s="1"/>
  <c r="AV1946" i="1"/>
  <c r="AN1946" i="1"/>
  <c r="AO1950" i="1" s="1"/>
  <c r="AV1945" i="1"/>
  <c r="AN1945" i="1"/>
  <c r="AV1944" i="1"/>
  <c r="AN1944" i="1"/>
  <c r="AV1943" i="1"/>
  <c r="AN1943" i="1"/>
  <c r="AV1942" i="1"/>
  <c r="AN1942" i="1"/>
  <c r="AV1941" i="1"/>
  <c r="AN1941" i="1"/>
  <c r="AV1940" i="1"/>
  <c r="AN1940" i="1"/>
  <c r="AV1939" i="1"/>
  <c r="AQ1939" i="1"/>
  <c r="AN1939" i="1"/>
  <c r="AV1938" i="1"/>
  <c r="AN1938" i="1"/>
  <c r="AV1937" i="1"/>
  <c r="AN1937" i="1"/>
  <c r="AV1936" i="1"/>
  <c r="AN1936" i="1"/>
  <c r="AO1940" i="1" s="1"/>
  <c r="AV1935" i="1"/>
  <c r="AN1935" i="1"/>
  <c r="AO1939" i="1" s="1"/>
  <c r="AP1939" i="1" s="1"/>
  <c r="AV1934" i="1"/>
  <c r="AN1934" i="1"/>
  <c r="AV1933" i="1"/>
  <c r="AN1933" i="1"/>
  <c r="AO1933" i="1" s="1"/>
  <c r="AV1932" i="1"/>
  <c r="AN1932" i="1"/>
  <c r="AV1931" i="1"/>
  <c r="AN1931" i="1"/>
  <c r="AV1930" i="1"/>
  <c r="AN1930" i="1"/>
  <c r="AV1929" i="1"/>
  <c r="AN1929" i="1"/>
  <c r="AV1928" i="1"/>
  <c r="AN1928" i="1"/>
  <c r="AV1927" i="1"/>
  <c r="AN1927" i="1"/>
  <c r="AV1926" i="1"/>
  <c r="AQ1926" i="1"/>
  <c r="AN1926" i="1"/>
  <c r="AV1925" i="1"/>
  <c r="AN1925" i="1"/>
  <c r="AO1929" i="1" s="1"/>
  <c r="AV1924" i="1"/>
  <c r="AO1924" i="1"/>
  <c r="AQ1924" i="1" s="1"/>
  <c r="AN1924" i="1"/>
  <c r="AV1923" i="1"/>
  <c r="AN1923" i="1"/>
  <c r="AV1922" i="1"/>
  <c r="AN1922" i="1"/>
  <c r="AO1926" i="1" s="1"/>
  <c r="AP1926" i="1" s="1"/>
  <c r="AV1921" i="1"/>
  <c r="AN1921" i="1"/>
  <c r="AV1920" i="1"/>
  <c r="AN1920" i="1"/>
  <c r="AV1919" i="1"/>
  <c r="AN1919" i="1"/>
  <c r="AV1918" i="1"/>
  <c r="AN1918" i="1"/>
  <c r="AO1922" i="1" s="1"/>
  <c r="AV1917" i="1"/>
  <c r="AN1917" i="1"/>
  <c r="AV1916" i="1"/>
  <c r="AN1916" i="1"/>
  <c r="AV1915" i="1"/>
  <c r="AN1915" i="1"/>
  <c r="AV1914" i="1"/>
  <c r="AO1914" i="1"/>
  <c r="AQ1914" i="1" s="1"/>
  <c r="AN1914" i="1"/>
  <c r="AV1913" i="1"/>
  <c r="AN1913" i="1"/>
  <c r="AO1917" i="1" s="1"/>
  <c r="AV1912" i="1"/>
  <c r="AN1912" i="1"/>
  <c r="AV1911" i="1"/>
  <c r="AN1911" i="1"/>
  <c r="AV1910" i="1"/>
  <c r="AN1910" i="1"/>
  <c r="AV1909" i="1"/>
  <c r="AN1909" i="1"/>
  <c r="AV1908" i="1"/>
  <c r="AN1908" i="1"/>
  <c r="AV1907" i="1"/>
  <c r="AN1907" i="1"/>
  <c r="AV1906" i="1"/>
  <c r="AN1906" i="1"/>
  <c r="AV1905" i="1"/>
  <c r="AN1905" i="1"/>
  <c r="AV1904" i="1"/>
  <c r="AN1904" i="1"/>
  <c r="AV1903" i="1"/>
  <c r="AN1903" i="1"/>
  <c r="AV1902" i="1"/>
  <c r="AN1902" i="1"/>
  <c r="AO1902" i="1" s="1"/>
  <c r="AV1901" i="1"/>
  <c r="AN1901" i="1"/>
  <c r="AV1900" i="1"/>
  <c r="AP1900" i="1"/>
  <c r="AO1900" i="1"/>
  <c r="AQ1900" i="1" s="1"/>
  <c r="AN1900" i="1"/>
  <c r="AV1899" i="1"/>
  <c r="AN1899" i="1"/>
  <c r="AV1898" i="1"/>
  <c r="AN1898" i="1"/>
  <c r="AV1897" i="1"/>
  <c r="AN1897" i="1"/>
  <c r="AV1896" i="1"/>
  <c r="AN1896" i="1"/>
  <c r="AV1895" i="1"/>
  <c r="AN1895" i="1"/>
  <c r="AO1899" i="1" s="1"/>
  <c r="AV1894" i="1"/>
  <c r="AN1894" i="1"/>
  <c r="AV1893" i="1"/>
  <c r="AN1893" i="1"/>
  <c r="AV1892" i="1"/>
  <c r="AN1892" i="1"/>
  <c r="AV1891" i="1"/>
  <c r="AN1891" i="1"/>
  <c r="AV1890" i="1"/>
  <c r="AN1890" i="1"/>
  <c r="AV1889" i="1"/>
  <c r="AN1889" i="1"/>
  <c r="AV1888" i="1"/>
  <c r="AP1888" i="1"/>
  <c r="AO1888" i="1"/>
  <c r="AQ1888" i="1" s="1"/>
  <c r="AN1888" i="1"/>
  <c r="AV1887" i="1"/>
  <c r="AN1887" i="1"/>
  <c r="AV1886" i="1"/>
  <c r="AN1886" i="1"/>
  <c r="AV1885" i="1"/>
  <c r="AN1885" i="1"/>
  <c r="AV1884" i="1"/>
  <c r="AN1884" i="1"/>
  <c r="AV1883" i="1"/>
  <c r="AO1883" i="1"/>
  <c r="AQ1883" i="1" s="1"/>
  <c r="AN1883" i="1"/>
  <c r="AV1882" i="1"/>
  <c r="AN1882" i="1"/>
  <c r="AO1886" i="1" s="1"/>
  <c r="AV1881" i="1"/>
  <c r="AN1881" i="1"/>
  <c r="AV1880" i="1"/>
  <c r="AO1880" i="1"/>
  <c r="AQ1880" i="1" s="1"/>
  <c r="AN1880" i="1"/>
  <c r="AO1884" i="1" s="1"/>
  <c r="AV1879" i="1"/>
  <c r="AN1879" i="1"/>
  <c r="AV1878" i="1"/>
  <c r="AN1878" i="1"/>
  <c r="AV1877" i="1"/>
  <c r="AN1877" i="1"/>
  <c r="AV1876" i="1"/>
  <c r="AQ1876" i="1"/>
  <c r="AN1876" i="1"/>
  <c r="AV1875" i="1"/>
  <c r="AN1875" i="1"/>
  <c r="AV1874" i="1"/>
  <c r="AN1874" i="1"/>
  <c r="AV1873" i="1"/>
  <c r="AQ1873" i="1"/>
  <c r="AN1873" i="1"/>
  <c r="AO1877" i="1" s="1"/>
  <c r="AV1872" i="1"/>
  <c r="AN1872" i="1"/>
  <c r="AO1876" i="1" s="1"/>
  <c r="AP1876" i="1" s="1"/>
  <c r="AV1871" i="1"/>
  <c r="AN1871" i="1"/>
  <c r="AV1870" i="1"/>
  <c r="AN1870" i="1"/>
  <c r="AV1869" i="1"/>
  <c r="AN1869" i="1"/>
  <c r="AO1873" i="1" s="1"/>
  <c r="AP1873" i="1" s="1"/>
  <c r="AV1868" i="1"/>
  <c r="AN1868" i="1"/>
  <c r="AV1867" i="1"/>
  <c r="AN1867" i="1"/>
  <c r="AV1866" i="1"/>
  <c r="AN1866" i="1"/>
  <c r="AV1865" i="1"/>
  <c r="AQ1865" i="1"/>
  <c r="AS1865" i="1" s="1"/>
  <c r="AU1865" i="1" s="1"/>
  <c r="AP1865" i="1"/>
  <c r="AN1865" i="1"/>
  <c r="AV1864" i="1"/>
  <c r="AO1864" i="1"/>
  <c r="AQ1864" i="1" s="1"/>
  <c r="AN1864" i="1"/>
  <c r="AO1868" i="1" s="1"/>
  <c r="AV1863" i="1"/>
  <c r="AO1863" i="1"/>
  <c r="AQ1863" i="1" s="1"/>
  <c r="AN1863" i="1"/>
  <c r="AO1867" i="1" s="1"/>
  <c r="AV1862" i="1"/>
  <c r="AO1862" i="1"/>
  <c r="AP1862" i="1" s="1"/>
  <c r="AR1862" i="1" s="1"/>
  <c r="AT1862" i="1" s="1"/>
  <c r="AN1862" i="1"/>
  <c r="AO1866" i="1" s="1"/>
  <c r="AP1866" i="1" s="1"/>
  <c r="AR1866" i="1" s="1"/>
  <c r="AT1866" i="1" s="1"/>
  <c r="AV1861" i="1"/>
  <c r="AQ1861" i="1"/>
  <c r="AP1861" i="1"/>
  <c r="AO1861" i="1"/>
  <c r="AN1861" i="1"/>
  <c r="AO1865" i="1" s="1"/>
  <c r="AV1860" i="1"/>
  <c r="AO1860" i="1"/>
  <c r="AQ1860" i="1" s="1"/>
  <c r="AN1860" i="1"/>
  <c r="AV1859" i="1"/>
  <c r="AO1859" i="1"/>
  <c r="AQ1859" i="1" s="1"/>
  <c r="AN1859" i="1"/>
  <c r="AV1858" i="1"/>
  <c r="AO1858" i="1"/>
  <c r="AQ1858" i="1" s="1"/>
  <c r="AN1858" i="1"/>
  <c r="AV1857" i="1"/>
  <c r="AT1857" i="1"/>
  <c r="AO1857" i="1"/>
  <c r="AP1857" i="1" s="1"/>
  <c r="AR1857" i="1" s="1"/>
  <c r="AN1857" i="1"/>
  <c r="AV1856" i="1"/>
  <c r="AQ1856" i="1"/>
  <c r="AP1856" i="1"/>
  <c r="AO1856" i="1"/>
  <c r="AN1856" i="1"/>
  <c r="AV1855" i="1"/>
  <c r="AO1855" i="1"/>
  <c r="AQ1855" i="1" s="1"/>
  <c r="AS1855" i="1" s="1"/>
  <c r="AU1855" i="1" s="1"/>
  <c r="AN1855" i="1"/>
  <c r="AV1854" i="1"/>
  <c r="AP1854" i="1"/>
  <c r="AO1854" i="1"/>
  <c r="AQ1854" i="1" s="1"/>
  <c r="AN1854" i="1"/>
  <c r="AV1853" i="1"/>
  <c r="AO1853" i="1"/>
  <c r="AQ1853" i="1" s="1"/>
  <c r="AN1853" i="1"/>
  <c r="AV1852" i="1"/>
  <c r="AT1852" i="1"/>
  <c r="AO1852" i="1"/>
  <c r="AP1852" i="1" s="1"/>
  <c r="AN1852" i="1"/>
  <c r="AV1851" i="1"/>
  <c r="AQ1851" i="1"/>
  <c r="AS1851" i="1" s="1"/>
  <c r="AU1851" i="1" s="1"/>
  <c r="AP1851" i="1"/>
  <c r="AR1852" i="1" s="1"/>
  <c r="AO1851" i="1"/>
  <c r="AN1851" i="1"/>
  <c r="AV1850" i="1"/>
  <c r="AO1850" i="1"/>
  <c r="AQ1850" i="1" s="1"/>
  <c r="AN1850" i="1"/>
  <c r="AV1849" i="1"/>
  <c r="AO1849" i="1"/>
  <c r="AQ1849" i="1" s="1"/>
  <c r="AS1849" i="1" s="1"/>
  <c r="AU1849" i="1" s="1"/>
  <c r="AN1849" i="1"/>
  <c r="AV1848" i="1"/>
  <c r="AO1848" i="1"/>
  <c r="AQ1848" i="1" s="1"/>
  <c r="AN1848" i="1"/>
  <c r="AV1847" i="1"/>
  <c r="AO1847" i="1"/>
  <c r="AP1847" i="1" s="1"/>
  <c r="AR1847" i="1" s="1"/>
  <c r="AT1847" i="1" s="1"/>
  <c r="AN1847" i="1"/>
  <c r="AV1846" i="1"/>
  <c r="AQ1846" i="1"/>
  <c r="AS1846" i="1" s="1"/>
  <c r="AU1846" i="1" s="1"/>
  <c r="AP1846" i="1"/>
  <c r="AR1846" i="1" s="1"/>
  <c r="AT1846" i="1" s="1"/>
  <c r="AO1846" i="1"/>
  <c r="AN1846" i="1"/>
  <c r="AV1845" i="1"/>
  <c r="AQ1845" i="1"/>
  <c r="AO1845" i="1"/>
  <c r="AP1845" i="1" s="1"/>
  <c r="AN1845" i="1"/>
  <c r="AV1844" i="1"/>
  <c r="AO1844" i="1"/>
  <c r="AN1844" i="1"/>
  <c r="AV1843" i="1"/>
  <c r="AO1843" i="1"/>
  <c r="AN1843" i="1"/>
  <c r="AV1842" i="1"/>
  <c r="AO1842" i="1"/>
  <c r="AP1842" i="1" s="1"/>
  <c r="AR1842" i="1" s="1"/>
  <c r="AT1842" i="1" s="1"/>
  <c r="AN1842" i="1"/>
  <c r="AV1841" i="1"/>
  <c r="AT1841" i="1"/>
  <c r="AQ1841" i="1"/>
  <c r="AP1841" i="1"/>
  <c r="AR1841" i="1" s="1"/>
  <c r="AO1841" i="1"/>
  <c r="AN1841" i="1"/>
  <c r="AV1840" i="1"/>
  <c r="AQ1840" i="1"/>
  <c r="AS1841" i="1" s="1"/>
  <c r="AU1841" i="1" s="1"/>
  <c r="AP1840" i="1"/>
  <c r="AO1840" i="1"/>
  <c r="AN1840" i="1"/>
  <c r="AV1839" i="1"/>
  <c r="AO1839" i="1"/>
  <c r="AQ1839" i="1" s="1"/>
  <c r="AN1839" i="1"/>
  <c r="AV1838" i="1"/>
  <c r="AO1838" i="1"/>
  <c r="AN1838" i="1"/>
  <c r="AV1837" i="1"/>
  <c r="AO1837" i="1"/>
  <c r="AP1837" i="1" s="1"/>
  <c r="AR1837" i="1" s="1"/>
  <c r="AT1837" i="1" s="1"/>
  <c r="AN1837" i="1"/>
  <c r="AV1836" i="1"/>
  <c r="AQ1836" i="1"/>
  <c r="AP1836" i="1"/>
  <c r="AR1836" i="1" s="1"/>
  <c r="AT1836" i="1" s="1"/>
  <c r="AO1836" i="1"/>
  <c r="AN1836" i="1"/>
  <c r="AV1835" i="1"/>
  <c r="AQ1835" i="1"/>
  <c r="AS1836" i="1" s="1"/>
  <c r="AU1836" i="1" s="1"/>
  <c r="AP1835" i="1"/>
  <c r="AO1835" i="1"/>
  <c r="AN1835" i="1"/>
  <c r="AV1834" i="1"/>
  <c r="AO1834" i="1"/>
  <c r="AN1834" i="1"/>
  <c r="AV1833" i="1"/>
  <c r="AO1833" i="1"/>
  <c r="AN1833" i="1"/>
  <c r="AV1832" i="1"/>
  <c r="AO1832" i="1"/>
  <c r="AP1832" i="1" s="1"/>
  <c r="AR1832" i="1" s="1"/>
  <c r="AT1832" i="1" s="1"/>
  <c r="AN1832" i="1"/>
  <c r="AV1831" i="1"/>
  <c r="AT1831" i="1"/>
  <c r="AQ1831" i="1"/>
  <c r="AP1831" i="1"/>
  <c r="AR1831" i="1" s="1"/>
  <c r="AO1831" i="1"/>
  <c r="AN1831" i="1"/>
  <c r="AV1830" i="1"/>
  <c r="AQ1830" i="1"/>
  <c r="AS1831" i="1" s="1"/>
  <c r="AU1831" i="1" s="1"/>
  <c r="AP1830" i="1"/>
  <c r="AO1830" i="1"/>
  <c r="AN1830" i="1"/>
  <c r="AV1829" i="1"/>
  <c r="AO1829" i="1"/>
  <c r="AQ1829" i="1" s="1"/>
  <c r="AN1829" i="1"/>
  <c r="AV1828" i="1"/>
  <c r="AO1828" i="1"/>
  <c r="AN1828" i="1"/>
  <c r="AV1827" i="1"/>
  <c r="AO1827" i="1"/>
  <c r="AP1827" i="1" s="1"/>
  <c r="AR1827" i="1" s="1"/>
  <c r="AT1827" i="1" s="1"/>
  <c r="AN1827" i="1"/>
  <c r="AV1826" i="1"/>
  <c r="AQ1826" i="1"/>
  <c r="AP1826" i="1"/>
  <c r="AR1826" i="1" s="1"/>
  <c r="AT1826" i="1" s="1"/>
  <c r="AO1826" i="1"/>
  <c r="AN1826" i="1"/>
  <c r="AV1825" i="1"/>
  <c r="AQ1825" i="1"/>
  <c r="AS1826" i="1" s="1"/>
  <c r="AU1826" i="1" s="1"/>
  <c r="AP1825" i="1"/>
  <c r="AO1825" i="1"/>
  <c r="AN1825" i="1"/>
  <c r="AV1824" i="1"/>
  <c r="AO1824" i="1"/>
  <c r="AN1824" i="1"/>
  <c r="AV1823" i="1"/>
  <c r="AO1823" i="1"/>
  <c r="AN1823" i="1"/>
  <c r="AV1822" i="1"/>
  <c r="AO1822" i="1"/>
  <c r="AP1822" i="1" s="1"/>
  <c r="AR1822" i="1" s="1"/>
  <c r="AT1822" i="1" s="1"/>
  <c r="AN1822" i="1"/>
  <c r="AV1821" i="1"/>
  <c r="AT1821" i="1"/>
  <c r="AQ1821" i="1"/>
  <c r="AP1821" i="1"/>
  <c r="AR1821" i="1" s="1"/>
  <c r="AO1821" i="1"/>
  <c r="AN1821" i="1"/>
  <c r="AV1820" i="1"/>
  <c r="AQ1820" i="1"/>
  <c r="AS1821" i="1" s="1"/>
  <c r="AU1821" i="1" s="1"/>
  <c r="AP1820" i="1"/>
  <c r="AO1820" i="1"/>
  <c r="AN1820" i="1"/>
  <c r="AV1819" i="1"/>
  <c r="AO1819" i="1"/>
  <c r="AQ1819" i="1" s="1"/>
  <c r="AN1819" i="1"/>
  <c r="AV1818" i="1"/>
  <c r="AO1818" i="1"/>
  <c r="AN1818" i="1"/>
  <c r="AV1817" i="1"/>
  <c r="AO1817" i="1"/>
  <c r="AP1817" i="1" s="1"/>
  <c r="AR1817" i="1" s="1"/>
  <c r="AT1817" i="1" s="1"/>
  <c r="AN1817" i="1"/>
  <c r="AV1816" i="1"/>
  <c r="AQ1816" i="1"/>
  <c r="AP1816" i="1"/>
  <c r="AR1816" i="1" s="1"/>
  <c r="AT1816" i="1" s="1"/>
  <c r="AO1816" i="1"/>
  <c r="AN1816" i="1"/>
  <c r="AV1815" i="1"/>
  <c r="AQ1815" i="1"/>
  <c r="AS1816" i="1" s="1"/>
  <c r="AU1816" i="1" s="1"/>
  <c r="AP1815" i="1"/>
  <c r="AO1815" i="1"/>
  <c r="AN1815" i="1"/>
  <c r="AV1814" i="1"/>
  <c r="AO1814" i="1"/>
  <c r="AN1814" i="1"/>
  <c r="AV1813" i="1"/>
  <c r="AO1813" i="1"/>
  <c r="AN1813" i="1"/>
  <c r="AV1812" i="1"/>
  <c r="AO1812" i="1"/>
  <c r="AP1812" i="1" s="1"/>
  <c r="AR1812" i="1" s="1"/>
  <c r="AT1812" i="1" s="1"/>
  <c r="AN1812" i="1"/>
  <c r="AV1811" i="1"/>
  <c r="AT1811" i="1"/>
  <c r="AQ1811" i="1"/>
  <c r="AP1811" i="1"/>
  <c r="AR1811" i="1" s="1"/>
  <c r="AO1811" i="1"/>
  <c r="AN1811" i="1"/>
  <c r="AV1810" i="1"/>
  <c r="AQ1810" i="1"/>
  <c r="AS1811" i="1" s="1"/>
  <c r="AU1811" i="1" s="1"/>
  <c r="AP1810" i="1"/>
  <c r="AO1810" i="1"/>
  <c r="AN1810" i="1"/>
  <c r="AV1809" i="1"/>
  <c r="AO1809" i="1"/>
  <c r="AQ1809" i="1" s="1"/>
  <c r="AN1809" i="1"/>
  <c r="AV1808" i="1"/>
  <c r="AO1808" i="1"/>
  <c r="AN1808" i="1"/>
  <c r="AV1807" i="1"/>
  <c r="AO1807" i="1"/>
  <c r="AP1807" i="1" s="1"/>
  <c r="AR1807" i="1" s="1"/>
  <c r="AT1807" i="1" s="1"/>
  <c r="AN1807" i="1"/>
  <c r="AV1806" i="1"/>
  <c r="AQ1806" i="1"/>
  <c r="AP1806" i="1"/>
  <c r="AR1806" i="1" s="1"/>
  <c r="AT1806" i="1" s="1"/>
  <c r="AO1806" i="1"/>
  <c r="AN1806" i="1"/>
  <c r="AV1805" i="1"/>
  <c r="AQ1805" i="1"/>
  <c r="AS1806" i="1" s="1"/>
  <c r="AU1806" i="1" s="1"/>
  <c r="AP1805" i="1"/>
  <c r="AO1805" i="1"/>
  <c r="AN1805" i="1"/>
  <c r="AV1804" i="1"/>
  <c r="AO1804" i="1"/>
  <c r="AN1804" i="1"/>
  <c r="AV1803" i="1"/>
  <c r="AO1803" i="1"/>
  <c r="AN1803" i="1"/>
  <c r="AV1802" i="1"/>
  <c r="AO1802" i="1"/>
  <c r="AP1802" i="1" s="1"/>
  <c r="AR1802" i="1" s="1"/>
  <c r="AT1802" i="1" s="1"/>
  <c r="AN1802" i="1"/>
  <c r="AV1801" i="1"/>
  <c r="AT1801" i="1"/>
  <c r="AQ1801" i="1"/>
  <c r="AP1801" i="1"/>
  <c r="AR1801" i="1" s="1"/>
  <c r="AO1801" i="1"/>
  <c r="AN1801" i="1"/>
  <c r="AV1800" i="1"/>
  <c r="AQ1800" i="1"/>
  <c r="AS1801" i="1" s="1"/>
  <c r="AU1801" i="1" s="1"/>
  <c r="AP1800" i="1"/>
  <c r="AO1800" i="1"/>
  <c r="AN1800" i="1"/>
  <c r="AV1799" i="1"/>
  <c r="AO1799" i="1"/>
  <c r="AQ1799" i="1" s="1"/>
  <c r="AN1799" i="1"/>
  <c r="AV1798" i="1"/>
  <c r="AO1798" i="1"/>
  <c r="AN1798" i="1"/>
  <c r="AV1797" i="1"/>
  <c r="AO1797" i="1"/>
  <c r="AP1797" i="1" s="1"/>
  <c r="AR1797" i="1" s="1"/>
  <c r="AT1797" i="1" s="1"/>
  <c r="AN1797" i="1"/>
  <c r="AV1796" i="1"/>
  <c r="AQ1796" i="1"/>
  <c r="AP1796" i="1"/>
  <c r="AR1796" i="1" s="1"/>
  <c r="AT1796" i="1" s="1"/>
  <c r="AO1796" i="1"/>
  <c r="AN1796" i="1"/>
  <c r="AV1795" i="1"/>
  <c r="AQ1795" i="1"/>
  <c r="AS1796" i="1" s="1"/>
  <c r="AU1796" i="1" s="1"/>
  <c r="AP1795" i="1"/>
  <c r="AO1795" i="1"/>
  <c r="AN1795" i="1"/>
  <c r="AV1794" i="1"/>
  <c r="AO1794" i="1"/>
  <c r="AN1794" i="1"/>
  <c r="AV1793" i="1"/>
  <c r="AO1793" i="1"/>
  <c r="AN1793" i="1"/>
  <c r="AV1792" i="1"/>
  <c r="AO1792" i="1"/>
  <c r="AP1792" i="1" s="1"/>
  <c r="AR1792" i="1" s="1"/>
  <c r="AT1792" i="1" s="1"/>
  <c r="AN1792" i="1"/>
  <c r="AV1791" i="1"/>
  <c r="AT1791" i="1"/>
  <c r="AQ1791" i="1"/>
  <c r="AP1791" i="1"/>
  <c r="AR1791" i="1" s="1"/>
  <c r="AO1791" i="1"/>
  <c r="AN1791" i="1"/>
  <c r="AV1790" i="1"/>
  <c r="AQ1790" i="1"/>
  <c r="AS1791" i="1" s="1"/>
  <c r="AU1791" i="1" s="1"/>
  <c r="AP1790" i="1"/>
  <c r="AO1790" i="1"/>
  <c r="AN1790" i="1"/>
  <c r="AV1789" i="1"/>
  <c r="AO1789" i="1"/>
  <c r="AQ1789" i="1" s="1"/>
  <c r="AN1789" i="1"/>
  <c r="AV1788" i="1"/>
  <c r="AO1788" i="1"/>
  <c r="AN1788" i="1"/>
  <c r="AV1787" i="1"/>
  <c r="AO1787" i="1"/>
  <c r="AP1787" i="1" s="1"/>
  <c r="AR1787" i="1" s="1"/>
  <c r="AT1787" i="1" s="1"/>
  <c r="AN1787" i="1"/>
  <c r="AV1786" i="1"/>
  <c r="AQ1786" i="1"/>
  <c r="AP1786" i="1"/>
  <c r="AR1786" i="1" s="1"/>
  <c r="AT1786" i="1" s="1"/>
  <c r="AO1786" i="1"/>
  <c r="AN1786" i="1"/>
  <c r="AV1785" i="1"/>
  <c r="AQ1785" i="1"/>
  <c r="AS1786" i="1" s="1"/>
  <c r="AU1786" i="1" s="1"/>
  <c r="AP1785" i="1"/>
  <c r="AO1785" i="1"/>
  <c r="AN1785" i="1"/>
  <c r="AV1784" i="1"/>
  <c r="AO1784" i="1"/>
  <c r="AN1784" i="1"/>
  <c r="AV1783" i="1"/>
  <c r="AO1783" i="1"/>
  <c r="AN1783" i="1"/>
  <c r="AV1782" i="1"/>
  <c r="AO1782" i="1"/>
  <c r="AP1782" i="1" s="1"/>
  <c r="AR1782" i="1" s="1"/>
  <c r="AT1782" i="1" s="1"/>
  <c r="AN1782" i="1"/>
  <c r="AV1781" i="1"/>
  <c r="AT1781" i="1"/>
  <c r="AQ1781" i="1"/>
  <c r="AP1781" i="1"/>
  <c r="AR1781" i="1" s="1"/>
  <c r="AO1781" i="1"/>
  <c r="AN1781" i="1"/>
  <c r="AV1780" i="1"/>
  <c r="AQ1780" i="1"/>
  <c r="AS1781" i="1" s="1"/>
  <c r="AU1781" i="1" s="1"/>
  <c r="AP1780" i="1"/>
  <c r="AO1780" i="1"/>
  <c r="AN1780" i="1"/>
  <c r="AV1779" i="1"/>
  <c r="AO1779" i="1"/>
  <c r="AQ1779" i="1" s="1"/>
  <c r="AN1779" i="1"/>
  <c r="AV1778" i="1"/>
  <c r="AO1778" i="1"/>
  <c r="AN1778" i="1"/>
  <c r="AV1777" i="1"/>
  <c r="AO1777" i="1"/>
  <c r="AP1777" i="1" s="1"/>
  <c r="AR1777" i="1" s="1"/>
  <c r="AT1777" i="1" s="1"/>
  <c r="AN1777" i="1"/>
  <c r="AV1776" i="1"/>
  <c r="AQ1776" i="1"/>
  <c r="AP1776" i="1"/>
  <c r="AR1776" i="1" s="1"/>
  <c r="AT1776" i="1" s="1"/>
  <c r="AO1776" i="1"/>
  <c r="AN1776" i="1"/>
  <c r="AV1775" i="1"/>
  <c r="AQ1775" i="1"/>
  <c r="AS1776" i="1" s="1"/>
  <c r="AU1776" i="1" s="1"/>
  <c r="AP1775" i="1"/>
  <c r="AO1775" i="1"/>
  <c r="AN1775" i="1"/>
  <c r="AV1774" i="1"/>
  <c r="AO1774" i="1"/>
  <c r="AN1774" i="1"/>
  <c r="AV1773" i="1"/>
  <c r="AO1773" i="1"/>
  <c r="AN1773" i="1"/>
  <c r="AV1772" i="1"/>
  <c r="AO1772" i="1"/>
  <c r="AP1772" i="1" s="1"/>
  <c r="AR1772" i="1" s="1"/>
  <c r="AT1772" i="1" s="1"/>
  <c r="AN1772" i="1"/>
  <c r="AV1771" i="1"/>
  <c r="AT1771" i="1"/>
  <c r="AQ1771" i="1"/>
  <c r="AP1771" i="1"/>
  <c r="AR1771" i="1" s="1"/>
  <c r="AO1771" i="1"/>
  <c r="AN1771" i="1"/>
  <c r="AV1770" i="1"/>
  <c r="AQ1770" i="1"/>
  <c r="AS1771" i="1" s="1"/>
  <c r="AU1771" i="1" s="1"/>
  <c r="AP1770" i="1"/>
  <c r="AO1770" i="1"/>
  <c r="AN1770" i="1"/>
  <c r="AV1769" i="1"/>
  <c r="AO1769" i="1"/>
  <c r="AQ1769" i="1" s="1"/>
  <c r="AN1769" i="1"/>
  <c r="AV1768" i="1"/>
  <c r="AO1768" i="1"/>
  <c r="AN1768" i="1"/>
  <c r="AV1767" i="1"/>
  <c r="AO1767" i="1"/>
  <c r="AP1767" i="1" s="1"/>
  <c r="AR1767" i="1" s="1"/>
  <c r="AT1767" i="1" s="1"/>
  <c r="AN1767" i="1"/>
  <c r="AV1766" i="1"/>
  <c r="AQ1766" i="1"/>
  <c r="AP1766" i="1"/>
  <c r="AR1766" i="1" s="1"/>
  <c r="AT1766" i="1" s="1"/>
  <c r="AO1766" i="1"/>
  <c r="AN1766" i="1"/>
  <c r="AV1765" i="1"/>
  <c r="AQ1765" i="1"/>
  <c r="AS1766" i="1" s="1"/>
  <c r="AU1766" i="1" s="1"/>
  <c r="AP1765" i="1"/>
  <c r="AO1765" i="1"/>
  <c r="AN1765" i="1"/>
  <c r="AV1764" i="1"/>
  <c r="AO1764" i="1"/>
  <c r="AN1764" i="1"/>
  <c r="AV1763" i="1"/>
  <c r="AO1763" i="1"/>
  <c r="AN1763" i="1"/>
  <c r="AV1762" i="1"/>
  <c r="AO1762" i="1"/>
  <c r="AP1762" i="1" s="1"/>
  <c r="AR1762" i="1" s="1"/>
  <c r="AT1762" i="1" s="1"/>
  <c r="AN1762" i="1"/>
  <c r="AV1761" i="1"/>
  <c r="AT1761" i="1"/>
  <c r="AQ1761" i="1"/>
  <c r="AP1761" i="1"/>
  <c r="AR1761" i="1" s="1"/>
  <c r="AO1761" i="1"/>
  <c r="AN1761" i="1"/>
  <c r="AV1760" i="1"/>
  <c r="AQ1760" i="1"/>
  <c r="AS1761" i="1" s="1"/>
  <c r="AU1761" i="1" s="1"/>
  <c r="AP1760" i="1"/>
  <c r="AO1760" i="1"/>
  <c r="AN1760" i="1"/>
  <c r="AV1759" i="1"/>
  <c r="AO1759" i="1"/>
  <c r="AQ1759" i="1" s="1"/>
  <c r="AN1759" i="1"/>
  <c r="AV1758" i="1"/>
  <c r="AO1758" i="1"/>
  <c r="AN1758" i="1"/>
  <c r="AV1757" i="1"/>
  <c r="AO1757" i="1"/>
  <c r="AP1757" i="1" s="1"/>
  <c r="AR1757" i="1" s="1"/>
  <c r="AT1757" i="1" s="1"/>
  <c r="AN1757" i="1"/>
  <c r="AV1756" i="1"/>
  <c r="AQ1756" i="1"/>
  <c r="AP1756" i="1"/>
  <c r="AR1756" i="1" s="1"/>
  <c r="AT1756" i="1" s="1"/>
  <c r="AO1756" i="1"/>
  <c r="AN1756" i="1"/>
  <c r="AV1755" i="1"/>
  <c r="AQ1755" i="1"/>
  <c r="AS1756" i="1" s="1"/>
  <c r="AU1756" i="1" s="1"/>
  <c r="AP1755" i="1"/>
  <c r="AO1755" i="1"/>
  <c r="AN1755" i="1"/>
  <c r="AV1754" i="1"/>
  <c r="AO1754" i="1"/>
  <c r="AQ1754" i="1" s="1"/>
  <c r="AN1754" i="1"/>
  <c r="AV1753" i="1"/>
  <c r="AO1753" i="1"/>
  <c r="AN1753" i="1"/>
  <c r="AV1752" i="1"/>
  <c r="AO1752" i="1"/>
  <c r="AP1752" i="1" s="1"/>
  <c r="AR1752" i="1" s="1"/>
  <c r="AT1752" i="1" s="1"/>
  <c r="AN1752" i="1"/>
  <c r="AV1751" i="1"/>
  <c r="AQ1751" i="1"/>
  <c r="AP1751" i="1"/>
  <c r="AR1751" i="1" s="1"/>
  <c r="AT1751" i="1" s="1"/>
  <c r="AO1751" i="1"/>
  <c r="AN1751" i="1"/>
  <c r="AV1750" i="1"/>
  <c r="AQ1750" i="1"/>
  <c r="AP1750" i="1"/>
  <c r="AO1750" i="1"/>
  <c r="AN1750" i="1"/>
  <c r="AV1749" i="1"/>
  <c r="AO1749" i="1"/>
  <c r="AN1749" i="1"/>
  <c r="AV1748" i="1"/>
  <c r="AO1748" i="1"/>
  <c r="AN1748" i="1"/>
  <c r="AV1747" i="1"/>
  <c r="AO1747" i="1"/>
  <c r="AP1747" i="1" s="1"/>
  <c r="AR1747" i="1" s="1"/>
  <c r="AT1747" i="1" s="1"/>
  <c r="AN1747" i="1"/>
  <c r="AV1746" i="1"/>
  <c r="AT1746" i="1"/>
  <c r="AQ1746" i="1"/>
  <c r="AP1746" i="1"/>
  <c r="AR1746" i="1" s="1"/>
  <c r="AO1746" i="1"/>
  <c r="AN1746" i="1"/>
  <c r="AV1745" i="1"/>
  <c r="AQ1745" i="1"/>
  <c r="AP1745" i="1"/>
  <c r="AO1745" i="1"/>
  <c r="AN1745" i="1"/>
  <c r="AV1744" i="1"/>
  <c r="AO1744" i="1"/>
  <c r="AQ1744" i="1" s="1"/>
  <c r="AN1744" i="1"/>
  <c r="AV1743" i="1"/>
  <c r="AO1743" i="1"/>
  <c r="AN1743" i="1"/>
  <c r="AV1742" i="1"/>
  <c r="AO1742" i="1"/>
  <c r="AP1742" i="1" s="1"/>
  <c r="AR1742" i="1" s="1"/>
  <c r="AT1742" i="1" s="1"/>
  <c r="AN1742" i="1"/>
  <c r="AV1741" i="1"/>
  <c r="AQ1741" i="1"/>
  <c r="AP1741" i="1"/>
  <c r="AR1741" i="1" s="1"/>
  <c r="AT1741" i="1" s="1"/>
  <c r="AO1741" i="1"/>
  <c r="AN1741" i="1"/>
  <c r="AV1740" i="1"/>
  <c r="AQ1740" i="1"/>
  <c r="AS1741" i="1" s="1"/>
  <c r="AU1741" i="1" s="1"/>
  <c r="AP1740" i="1"/>
  <c r="AO1740" i="1"/>
  <c r="AN1740" i="1"/>
  <c r="AV1739" i="1"/>
  <c r="AQ1739" i="1"/>
  <c r="AP1739" i="1"/>
  <c r="AO1739" i="1"/>
  <c r="AN1739" i="1"/>
  <c r="AV1738" i="1"/>
  <c r="AO1738" i="1"/>
  <c r="AN1738" i="1"/>
  <c r="AV1737" i="1"/>
  <c r="AO1737" i="1"/>
  <c r="AP1737" i="1" s="1"/>
  <c r="AR1737" i="1" s="1"/>
  <c r="AT1737" i="1" s="1"/>
  <c r="AN1737" i="1"/>
  <c r="AV1736" i="1"/>
  <c r="AQ1736" i="1"/>
  <c r="AP1736" i="1"/>
  <c r="AR1736" i="1" s="1"/>
  <c r="AT1736" i="1" s="1"/>
  <c r="AO1736" i="1"/>
  <c r="AN1736" i="1"/>
  <c r="AV1735" i="1"/>
  <c r="AS1735" i="1"/>
  <c r="AU1735" i="1" s="1"/>
  <c r="AR1735" i="1"/>
  <c r="AT1735" i="1" s="1"/>
  <c r="AQ1735" i="1"/>
  <c r="AS1736" i="1" s="1"/>
  <c r="AU1736" i="1" s="1"/>
  <c r="AP1735" i="1"/>
  <c r="AO1735" i="1"/>
  <c r="AN1735" i="1"/>
  <c r="AV1734" i="1"/>
  <c r="AP1734" i="1"/>
  <c r="AO1734" i="1"/>
  <c r="AQ1734" i="1" s="1"/>
  <c r="AN1734" i="1"/>
  <c r="AV1733" i="1"/>
  <c r="AO1733" i="1"/>
  <c r="AN1733" i="1"/>
  <c r="AV1732" i="1"/>
  <c r="AO1732" i="1"/>
  <c r="AP1732" i="1" s="1"/>
  <c r="AR1732" i="1" s="1"/>
  <c r="AT1732" i="1" s="1"/>
  <c r="AN1732" i="1"/>
  <c r="AV1731" i="1"/>
  <c r="AT1731" i="1"/>
  <c r="AQ1731" i="1"/>
  <c r="AP1731" i="1"/>
  <c r="AR1731" i="1" s="1"/>
  <c r="AO1731" i="1"/>
  <c r="AN1731" i="1"/>
  <c r="AV1730" i="1"/>
  <c r="AQ1730" i="1"/>
  <c r="AP1730" i="1"/>
  <c r="AO1730" i="1"/>
  <c r="AN1730" i="1"/>
  <c r="AV1729" i="1"/>
  <c r="AO1729" i="1"/>
  <c r="AQ1729" i="1" s="1"/>
  <c r="AN1729" i="1"/>
  <c r="AV1728" i="1"/>
  <c r="AO1728" i="1"/>
  <c r="AN1728" i="1"/>
  <c r="AV1727" i="1"/>
  <c r="AO1727" i="1"/>
  <c r="AP1727" i="1" s="1"/>
  <c r="AR1727" i="1" s="1"/>
  <c r="AT1727" i="1" s="1"/>
  <c r="AN1727" i="1"/>
  <c r="AV1726" i="1"/>
  <c r="AQ1726" i="1"/>
  <c r="AP1726" i="1"/>
  <c r="AR1726" i="1" s="1"/>
  <c r="AT1726" i="1" s="1"/>
  <c r="AO1726" i="1"/>
  <c r="AN1726" i="1"/>
  <c r="AV1725" i="1"/>
  <c r="AQ1725" i="1"/>
  <c r="AS1726" i="1" s="1"/>
  <c r="AU1726" i="1" s="1"/>
  <c r="AP1725" i="1"/>
  <c r="AO1725" i="1"/>
  <c r="AN1725" i="1"/>
  <c r="AV1724" i="1"/>
  <c r="AQ1724" i="1"/>
  <c r="AO1724" i="1"/>
  <c r="AP1724" i="1" s="1"/>
  <c r="AN1724" i="1"/>
  <c r="AV1723" i="1"/>
  <c r="AO1723" i="1"/>
  <c r="AN1723" i="1"/>
  <c r="AV1722" i="1"/>
  <c r="AR1722" i="1"/>
  <c r="AT1722" i="1" s="1"/>
  <c r="AO1722" i="1"/>
  <c r="AP1722" i="1" s="1"/>
  <c r="AN1722" i="1"/>
  <c r="AV1721" i="1"/>
  <c r="AQ1721" i="1"/>
  <c r="AP1721" i="1"/>
  <c r="AR1721" i="1" s="1"/>
  <c r="AT1721" i="1" s="1"/>
  <c r="AO1721" i="1"/>
  <c r="AN1721" i="1"/>
  <c r="AV1720" i="1"/>
  <c r="AQ1720" i="1"/>
  <c r="AS1721" i="1" s="1"/>
  <c r="AU1721" i="1" s="1"/>
  <c r="AP1720" i="1"/>
  <c r="AO1720" i="1"/>
  <c r="AN1720" i="1"/>
  <c r="AV1719" i="1"/>
  <c r="AO1719" i="1"/>
  <c r="AQ1719" i="1" s="1"/>
  <c r="AN1719" i="1"/>
  <c r="AV1718" i="1"/>
  <c r="AO1718" i="1"/>
  <c r="AN1718" i="1"/>
  <c r="AV1717" i="1"/>
  <c r="AO1717" i="1"/>
  <c r="AP1717" i="1" s="1"/>
  <c r="AR1717" i="1" s="1"/>
  <c r="AT1717" i="1" s="1"/>
  <c r="AN1717" i="1"/>
  <c r="AV1716" i="1"/>
  <c r="AQ1716" i="1"/>
  <c r="AP1716" i="1"/>
  <c r="AO1716" i="1"/>
  <c r="AN1716" i="1"/>
  <c r="AV1715" i="1"/>
  <c r="AQ1715" i="1"/>
  <c r="AS1716" i="1" s="1"/>
  <c r="AU1716" i="1" s="1"/>
  <c r="AP1715" i="1"/>
  <c r="AR1716" i="1" s="1"/>
  <c r="AT1716" i="1" s="1"/>
  <c r="AO1715" i="1"/>
  <c r="AN1715" i="1"/>
  <c r="AV1714" i="1"/>
  <c r="AO1714" i="1"/>
  <c r="AQ1714" i="1" s="1"/>
  <c r="AN1714" i="1"/>
  <c r="AV1713" i="1"/>
  <c r="AO1713" i="1"/>
  <c r="AN1713" i="1"/>
  <c r="AV1712" i="1"/>
  <c r="AO1712" i="1"/>
  <c r="AP1712" i="1" s="1"/>
  <c r="AR1712" i="1" s="1"/>
  <c r="AT1712" i="1" s="1"/>
  <c r="AN1712" i="1"/>
  <c r="AV1711" i="1"/>
  <c r="AQ1711" i="1"/>
  <c r="AP1711" i="1"/>
  <c r="AO1711" i="1"/>
  <c r="AN1711" i="1"/>
  <c r="AV1710" i="1"/>
  <c r="AQ1710" i="1"/>
  <c r="AS1711" i="1" s="1"/>
  <c r="AU1711" i="1" s="1"/>
  <c r="AP1710" i="1"/>
  <c r="AR1711" i="1" s="1"/>
  <c r="AT1711" i="1" s="1"/>
  <c r="AO1710" i="1"/>
  <c r="AN1710" i="1"/>
  <c r="AV1709" i="1"/>
  <c r="AO1709" i="1"/>
  <c r="AP1709" i="1" s="1"/>
  <c r="AN1709" i="1"/>
  <c r="AV1708" i="1"/>
  <c r="AO1708" i="1"/>
  <c r="AN1708" i="1"/>
  <c r="AV1707" i="1"/>
  <c r="AO1707" i="1"/>
  <c r="AP1707" i="1" s="1"/>
  <c r="AR1707" i="1" s="1"/>
  <c r="AT1707" i="1" s="1"/>
  <c r="AN1707" i="1"/>
  <c r="AV1706" i="1"/>
  <c r="AT1706" i="1"/>
  <c r="AQ1706" i="1"/>
  <c r="AP1706" i="1"/>
  <c r="AO1706" i="1"/>
  <c r="AN1706" i="1"/>
  <c r="AV1705" i="1"/>
  <c r="AQ1705" i="1"/>
  <c r="AS1706" i="1" s="1"/>
  <c r="AU1706" i="1" s="1"/>
  <c r="AP1705" i="1"/>
  <c r="AR1706" i="1" s="1"/>
  <c r="AO1705" i="1"/>
  <c r="AN1705" i="1"/>
  <c r="AV1704" i="1"/>
  <c r="AO1704" i="1"/>
  <c r="AQ1704" i="1" s="1"/>
  <c r="AN1704" i="1"/>
  <c r="AV1703" i="1"/>
  <c r="AO1703" i="1"/>
  <c r="AN1703" i="1"/>
  <c r="AV1702" i="1"/>
  <c r="AO1702" i="1"/>
  <c r="AP1702" i="1" s="1"/>
  <c r="AR1702" i="1" s="1"/>
  <c r="AT1702" i="1" s="1"/>
  <c r="AN1702" i="1"/>
  <c r="AV1701" i="1"/>
  <c r="AT1701" i="1"/>
  <c r="AQ1701" i="1"/>
  <c r="AP1701" i="1"/>
  <c r="AO1701" i="1"/>
  <c r="AN1701" i="1"/>
  <c r="AV1700" i="1"/>
  <c r="AQ1700" i="1"/>
  <c r="AS1701" i="1" s="1"/>
  <c r="AU1701" i="1" s="1"/>
  <c r="AP1700" i="1"/>
  <c r="AR1701" i="1" s="1"/>
  <c r="AO1700" i="1"/>
  <c r="AN1700" i="1"/>
  <c r="AV1699" i="1"/>
  <c r="AO1699" i="1"/>
  <c r="AN1699" i="1"/>
  <c r="AV1698" i="1"/>
  <c r="AO1698" i="1"/>
  <c r="AN1698" i="1"/>
  <c r="AV1697" i="1"/>
  <c r="AO1697" i="1"/>
  <c r="AP1697" i="1" s="1"/>
  <c r="AR1697" i="1" s="1"/>
  <c r="AT1697" i="1" s="1"/>
  <c r="AN1697" i="1"/>
  <c r="AV1696" i="1"/>
  <c r="AT1696" i="1"/>
  <c r="AQ1696" i="1"/>
  <c r="AP1696" i="1"/>
  <c r="AO1696" i="1"/>
  <c r="AN1696" i="1"/>
  <c r="AV1695" i="1"/>
  <c r="AQ1695" i="1"/>
  <c r="AP1695" i="1"/>
  <c r="AR1696" i="1" s="1"/>
  <c r="AO1695" i="1"/>
  <c r="AN1695" i="1"/>
  <c r="AV1694" i="1"/>
  <c r="AO1694" i="1"/>
  <c r="AQ1694" i="1" s="1"/>
  <c r="AN1694" i="1"/>
  <c r="AV1693" i="1"/>
  <c r="AO1693" i="1"/>
  <c r="AN1693" i="1"/>
  <c r="AV1692" i="1"/>
  <c r="AO1692" i="1"/>
  <c r="AP1692" i="1" s="1"/>
  <c r="AR1692" i="1" s="1"/>
  <c r="AT1692" i="1" s="1"/>
  <c r="AN1692" i="1"/>
  <c r="AV1691" i="1"/>
  <c r="AT1691" i="1"/>
  <c r="AQ1691" i="1"/>
  <c r="AP1691" i="1"/>
  <c r="AO1691" i="1"/>
  <c r="AN1691" i="1"/>
  <c r="AV1690" i="1"/>
  <c r="AQ1690" i="1"/>
  <c r="AS1691" i="1" s="1"/>
  <c r="AU1691" i="1" s="1"/>
  <c r="AP1690" i="1"/>
  <c r="AR1691" i="1" s="1"/>
  <c r="AO1690" i="1"/>
  <c r="AN1690" i="1"/>
  <c r="AV1689" i="1"/>
  <c r="AQ1689" i="1"/>
  <c r="AP1689" i="1"/>
  <c r="AO1689" i="1"/>
  <c r="AN1689" i="1"/>
  <c r="AV1688" i="1"/>
  <c r="AO1688" i="1"/>
  <c r="AN1688" i="1"/>
  <c r="AV1687" i="1"/>
  <c r="AR1687" i="1"/>
  <c r="AT1687" i="1" s="1"/>
  <c r="AO1687" i="1"/>
  <c r="AP1687" i="1" s="1"/>
  <c r="AN1687" i="1"/>
  <c r="AV1686" i="1"/>
  <c r="AT1686" i="1"/>
  <c r="AQ1686" i="1"/>
  <c r="AP1686" i="1"/>
  <c r="AO1686" i="1"/>
  <c r="AN1686" i="1"/>
  <c r="AV1685" i="1"/>
  <c r="AS1685" i="1"/>
  <c r="AU1685" i="1" s="1"/>
  <c r="AQ1685" i="1"/>
  <c r="AS1686" i="1" s="1"/>
  <c r="AU1686" i="1" s="1"/>
  <c r="AP1685" i="1"/>
  <c r="AR1686" i="1" s="1"/>
  <c r="AO1685" i="1"/>
  <c r="AN1685" i="1"/>
  <c r="AV1684" i="1"/>
  <c r="AO1684" i="1"/>
  <c r="AQ1684" i="1" s="1"/>
  <c r="AN1684" i="1"/>
  <c r="AV1683" i="1"/>
  <c r="AO1683" i="1"/>
  <c r="AN1683" i="1"/>
  <c r="AV1682" i="1"/>
  <c r="AO1682" i="1"/>
  <c r="AP1682" i="1" s="1"/>
  <c r="AR1682" i="1" s="1"/>
  <c r="AT1682" i="1" s="1"/>
  <c r="AN1682" i="1"/>
  <c r="AV1681" i="1"/>
  <c r="AT1681" i="1"/>
  <c r="AQ1681" i="1"/>
  <c r="AP1681" i="1"/>
  <c r="AO1681" i="1"/>
  <c r="AN1681" i="1"/>
  <c r="AV1680" i="1"/>
  <c r="AQ1680" i="1"/>
  <c r="AP1680" i="1"/>
  <c r="AR1681" i="1" s="1"/>
  <c r="AO1680" i="1"/>
  <c r="AN1680" i="1"/>
  <c r="AV1679" i="1"/>
  <c r="AO1679" i="1"/>
  <c r="AQ1679" i="1" s="1"/>
  <c r="AS1679" i="1" s="1"/>
  <c r="AU1679" i="1" s="1"/>
  <c r="AN1679" i="1"/>
  <c r="AV1678" i="1"/>
  <c r="AP1678" i="1"/>
  <c r="AO1678" i="1"/>
  <c r="AQ1678" i="1" s="1"/>
  <c r="AN1678" i="1"/>
  <c r="AV1677" i="1"/>
  <c r="AO1677" i="1"/>
  <c r="AN1677" i="1"/>
  <c r="AV1676" i="1"/>
  <c r="AO1676" i="1"/>
  <c r="AQ1676" i="1" s="1"/>
  <c r="AN1676" i="1"/>
  <c r="AV1675" i="1"/>
  <c r="AO1675" i="1"/>
  <c r="AP1675" i="1" s="1"/>
  <c r="AR1675" i="1" s="1"/>
  <c r="AT1675" i="1" s="1"/>
  <c r="AN1675" i="1"/>
  <c r="AV1674" i="1"/>
  <c r="AS1674" i="1"/>
  <c r="AU1674" i="1" s="1"/>
  <c r="AR1674" i="1"/>
  <c r="AT1674" i="1" s="1"/>
  <c r="AQ1674" i="1"/>
  <c r="AP1674" i="1"/>
  <c r="AO1674" i="1"/>
  <c r="AN1674" i="1"/>
  <c r="AV1673" i="1"/>
  <c r="AQ1673" i="1"/>
  <c r="AP1673" i="1"/>
  <c r="AN1673" i="1"/>
  <c r="AV1672" i="1"/>
  <c r="AO1672" i="1"/>
  <c r="AN1672" i="1"/>
  <c r="AV1671" i="1"/>
  <c r="AQ1671" i="1"/>
  <c r="AN1671" i="1"/>
  <c r="AV1670" i="1"/>
  <c r="AN1670" i="1"/>
  <c r="AV1669" i="1"/>
  <c r="AN1669" i="1"/>
  <c r="AO1673" i="1" s="1"/>
  <c r="AV1668" i="1"/>
  <c r="AN1668" i="1"/>
  <c r="AO1671" i="1" s="1"/>
  <c r="AP1671" i="1" s="1"/>
  <c r="AV1667" i="1"/>
  <c r="AN1667" i="1"/>
  <c r="AV1666" i="1"/>
  <c r="AN1666" i="1"/>
  <c r="AO1668" i="1" s="1"/>
  <c r="AV1665" i="1"/>
  <c r="AN1665" i="1"/>
  <c r="AO1666" i="1" s="1"/>
  <c r="AV1664" i="1"/>
  <c r="AN1664" i="1"/>
  <c r="AV1663" i="1"/>
  <c r="AN1663" i="1"/>
  <c r="AV1662" i="1"/>
  <c r="AN1662" i="1"/>
  <c r="AV1661" i="1"/>
  <c r="AN1661" i="1"/>
  <c r="AO1665" i="1" s="1"/>
  <c r="AV1660" i="1"/>
  <c r="AN1660" i="1"/>
  <c r="AV1659" i="1"/>
  <c r="AN1659" i="1"/>
  <c r="AO1663" i="1" s="1"/>
  <c r="AV1658" i="1"/>
  <c r="AN1658" i="1"/>
  <c r="AV1657" i="1"/>
  <c r="AN1657" i="1"/>
  <c r="AV1656" i="1"/>
  <c r="AN1656" i="1"/>
  <c r="AV1655" i="1"/>
  <c r="AN1655" i="1"/>
  <c r="AO1656" i="1" s="1"/>
  <c r="AV1654" i="1"/>
  <c r="AN1654" i="1"/>
  <c r="AV1653" i="1"/>
  <c r="AN1653" i="1"/>
  <c r="AV1652" i="1"/>
  <c r="AN1652" i="1"/>
  <c r="AV1651" i="1"/>
  <c r="AN1651" i="1"/>
  <c r="AO1655" i="1" s="1"/>
  <c r="AV1650" i="1"/>
  <c r="AN1650" i="1"/>
  <c r="AV1649" i="1"/>
  <c r="AN1649" i="1"/>
  <c r="AV1648" i="1"/>
  <c r="AN1648" i="1"/>
  <c r="AV1647" i="1"/>
  <c r="AN1647" i="1"/>
  <c r="AO1649" i="1" s="1"/>
  <c r="AV1646" i="1"/>
  <c r="AN1646" i="1"/>
  <c r="AV1645" i="1"/>
  <c r="AN1645" i="1"/>
  <c r="AO1646" i="1" s="1"/>
  <c r="AV1644" i="1"/>
  <c r="AN1644" i="1"/>
  <c r="AV1643" i="1"/>
  <c r="AN1643" i="1"/>
  <c r="AV1642" i="1"/>
  <c r="AN1642" i="1"/>
  <c r="AV1641" i="1"/>
  <c r="AN1641" i="1"/>
  <c r="AO1645" i="1" s="1"/>
  <c r="AV1640" i="1"/>
  <c r="AN1640" i="1"/>
  <c r="AO1644" i="1" s="1"/>
  <c r="AP1644" i="1" s="1"/>
  <c r="AV1639" i="1"/>
  <c r="AN1639" i="1"/>
  <c r="AV1638" i="1"/>
  <c r="AN1638" i="1"/>
  <c r="AV1637" i="1"/>
  <c r="AN1637" i="1"/>
  <c r="AO1641" i="1" s="1"/>
  <c r="AV1636" i="1"/>
  <c r="AN1636" i="1"/>
  <c r="AV1635" i="1"/>
  <c r="AN1635" i="1"/>
  <c r="AV1634" i="1"/>
  <c r="AN1634" i="1"/>
  <c r="AV1633" i="1"/>
  <c r="AN1633" i="1"/>
  <c r="AV1632" i="1"/>
  <c r="AN1632" i="1"/>
  <c r="AV1631" i="1"/>
  <c r="AO1631" i="1"/>
  <c r="AQ1631" i="1" s="1"/>
  <c r="AN1631" i="1"/>
  <c r="AO1635" i="1" s="1"/>
  <c r="AV1630" i="1"/>
  <c r="AN1630" i="1"/>
  <c r="AO1634" i="1" s="1"/>
  <c r="AP1634" i="1" s="1"/>
  <c r="AV1629" i="1"/>
  <c r="AN1629" i="1"/>
  <c r="AV1628" i="1"/>
  <c r="AP1628" i="1"/>
  <c r="AO1628" i="1"/>
  <c r="AQ1628" i="1" s="1"/>
  <c r="AN1628" i="1"/>
  <c r="AV1627" i="1"/>
  <c r="AN1627" i="1"/>
  <c r="AV1626" i="1"/>
  <c r="AN1626" i="1"/>
  <c r="AV1625" i="1"/>
  <c r="AN1625" i="1"/>
  <c r="AV1624" i="1"/>
  <c r="AN1624" i="1"/>
  <c r="AV1623" i="1"/>
  <c r="AN1623" i="1"/>
  <c r="AV1622" i="1"/>
  <c r="AN1622" i="1"/>
  <c r="AV1621" i="1"/>
  <c r="AN1621" i="1"/>
  <c r="AO1625" i="1" s="1"/>
  <c r="AV1620" i="1"/>
  <c r="AN1620" i="1"/>
  <c r="AO1624" i="1" s="1"/>
  <c r="AP1624" i="1" s="1"/>
  <c r="AV1619" i="1"/>
  <c r="AN1619" i="1"/>
  <c r="AV1618" i="1"/>
  <c r="AO1618" i="1"/>
  <c r="AN1618" i="1"/>
  <c r="AV1617" i="1"/>
  <c r="AN1617" i="1"/>
  <c r="AV1616" i="1"/>
  <c r="AN1616" i="1"/>
  <c r="AV1615" i="1"/>
  <c r="AN1615" i="1"/>
  <c r="AO1616" i="1" s="1"/>
  <c r="AV1614" i="1"/>
  <c r="AN1614" i="1"/>
  <c r="AV1613" i="1"/>
  <c r="AN1613" i="1"/>
  <c r="AV1612" i="1"/>
  <c r="AN1612" i="1"/>
  <c r="AV1611" i="1"/>
  <c r="AN1611" i="1"/>
  <c r="AO1615" i="1" s="1"/>
  <c r="AV1610" i="1"/>
  <c r="AN1610" i="1"/>
  <c r="AV1609" i="1"/>
  <c r="AN1609" i="1"/>
  <c r="AV1608" i="1"/>
  <c r="AP1608" i="1"/>
  <c r="AO1608" i="1"/>
  <c r="AQ1608" i="1" s="1"/>
  <c r="AN1608" i="1"/>
  <c r="AV1607" i="1"/>
  <c r="AN1607" i="1"/>
  <c r="AV1606" i="1"/>
  <c r="AN1606" i="1"/>
  <c r="AV1605" i="1"/>
  <c r="AN1605" i="1"/>
  <c r="AO1606" i="1" s="1"/>
  <c r="AV1604" i="1"/>
  <c r="AN1604" i="1"/>
  <c r="AV1603" i="1"/>
  <c r="AN1603" i="1"/>
  <c r="AV1602" i="1"/>
  <c r="AO1602" i="1"/>
  <c r="AQ1602" i="1" s="1"/>
  <c r="AN1602" i="1"/>
  <c r="AV1601" i="1"/>
  <c r="AN1601" i="1"/>
  <c r="AO1605" i="1" s="1"/>
  <c r="AV1600" i="1"/>
  <c r="AN1600" i="1"/>
  <c r="AV1599" i="1"/>
  <c r="AO1599" i="1"/>
  <c r="AP1599" i="1" s="1"/>
  <c r="AN1599" i="1"/>
  <c r="AV1598" i="1"/>
  <c r="AN1598" i="1"/>
  <c r="AV1597" i="1"/>
  <c r="AN1597" i="1"/>
  <c r="AO1597" i="1" s="1"/>
  <c r="AV1596" i="1"/>
  <c r="AN1596" i="1"/>
  <c r="AV1595" i="1"/>
  <c r="AN1595" i="1"/>
  <c r="AO1596" i="1" s="1"/>
  <c r="AV1594" i="1"/>
  <c r="AN1594" i="1"/>
  <c r="AV1593" i="1"/>
  <c r="AN1593" i="1"/>
  <c r="AV1592" i="1"/>
  <c r="AN1592" i="1"/>
  <c r="AV1591" i="1"/>
  <c r="AN1591" i="1"/>
  <c r="AO1595" i="1" s="1"/>
  <c r="AV1590" i="1"/>
  <c r="AN1590" i="1"/>
  <c r="AO1594" i="1" s="1"/>
  <c r="AP1594" i="1" s="1"/>
  <c r="AV1589" i="1"/>
  <c r="AO1589" i="1"/>
  <c r="AQ1589" i="1" s="1"/>
  <c r="AN1589" i="1"/>
  <c r="AO1593" i="1" s="1"/>
  <c r="AV1588" i="1"/>
  <c r="AN1588" i="1"/>
  <c r="AV1587" i="1"/>
  <c r="AN1587" i="1"/>
  <c r="AO1591" i="1" s="1"/>
  <c r="AQ1591" i="1" s="1"/>
  <c r="AV1586" i="1"/>
  <c r="AN1586" i="1"/>
  <c r="AV1585" i="1"/>
  <c r="AN1585" i="1"/>
  <c r="AV1584" i="1"/>
  <c r="AN1584" i="1"/>
  <c r="AV1583" i="1"/>
  <c r="AN1583" i="1"/>
  <c r="AV1582" i="1"/>
  <c r="AN1582" i="1"/>
  <c r="AV1581" i="1"/>
  <c r="AN1581" i="1"/>
  <c r="AO1585" i="1" s="1"/>
  <c r="AV1580" i="1"/>
  <c r="AN1580" i="1"/>
  <c r="AO1584" i="1" s="1"/>
  <c r="AP1584" i="1" s="1"/>
  <c r="AV1579" i="1"/>
  <c r="AN1579" i="1"/>
  <c r="AV1578" i="1"/>
  <c r="AO1578" i="1"/>
  <c r="AN1578" i="1"/>
  <c r="AV1577" i="1"/>
  <c r="AN1577" i="1"/>
  <c r="AV1576" i="1"/>
  <c r="AN1576" i="1"/>
  <c r="AV1575" i="1"/>
  <c r="AN1575" i="1"/>
  <c r="AV1574" i="1"/>
  <c r="AN1574" i="1"/>
  <c r="AV1573" i="1"/>
  <c r="AN1573" i="1"/>
  <c r="AV1572" i="1"/>
  <c r="AN1572" i="1"/>
  <c r="AV1571" i="1"/>
  <c r="AN1571" i="1"/>
  <c r="AO1575" i="1" s="1"/>
  <c r="AV1570" i="1"/>
  <c r="AN1570" i="1"/>
  <c r="AO1574" i="1" s="1"/>
  <c r="AV1569" i="1"/>
  <c r="AN1569" i="1"/>
  <c r="AV1568" i="1"/>
  <c r="AN1568" i="1"/>
  <c r="AV1567" i="1"/>
  <c r="AN1567" i="1"/>
  <c r="AV1566" i="1"/>
  <c r="AN1566" i="1"/>
  <c r="AV1565" i="1"/>
  <c r="AN1565" i="1"/>
  <c r="AV1564" i="1"/>
  <c r="AN1564" i="1"/>
  <c r="AV1563" i="1"/>
  <c r="AN1563" i="1"/>
  <c r="AV1562" i="1"/>
  <c r="AO1562" i="1"/>
  <c r="AQ1562" i="1" s="1"/>
  <c r="AN1562" i="1"/>
  <c r="AV1561" i="1"/>
  <c r="AN1561" i="1"/>
  <c r="AO1565" i="1" s="1"/>
  <c r="AV1560" i="1"/>
  <c r="AN1560" i="1"/>
  <c r="AV1559" i="1"/>
  <c r="AN1559" i="1"/>
  <c r="AV1558" i="1"/>
  <c r="AN1558" i="1"/>
  <c r="AV1557" i="1"/>
  <c r="AN1557" i="1"/>
  <c r="AO1560" i="1" s="1"/>
  <c r="AV1556" i="1"/>
  <c r="AN1556" i="1"/>
  <c r="AV1555" i="1"/>
  <c r="AN1555" i="1"/>
  <c r="AO1556" i="1" s="1"/>
  <c r="AV1554" i="1"/>
  <c r="AN1554" i="1"/>
  <c r="AV1553" i="1"/>
  <c r="AN1553" i="1"/>
  <c r="AV1552" i="1"/>
  <c r="AN1552" i="1"/>
  <c r="AV1551" i="1"/>
  <c r="AO1551" i="1"/>
  <c r="AQ1551" i="1" s="1"/>
  <c r="AN1551" i="1"/>
  <c r="AO1555" i="1" s="1"/>
  <c r="AV1550" i="1"/>
  <c r="AN1550" i="1"/>
  <c r="AV1549" i="1"/>
  <c r="AN1549" i="1"/>
  <c r="AO1553" i="1" s="1"/>
  <c r="AP1553" i="1" s="1"/>
  <c r="AV1548" i="1"/>
  <c r="AN1548" i="1"/>
  <c r="AV1547" i="1"/>
  <c r="AN1547" i="1"/>
  <c r="AV1546" i="1"/>
  <c r="AN1546" i="1"/>
  <c r="AV1545" i="1"/>
  <c r="AN1545" i="1"/>
  <c r="AO1546" i="1" s="1"/>
  <c r="AV1544" i="1"/>
  <c r="AN1544" i="1"/>
  <c r="AV1543" i="1"/>
  <c r="AN1543" i="1"/>
  <c r="AV1542" i="1"/>
  <c r="AN1542" i="1"/>
  <c r="AV1541" i="1"/>
  <c r="AN1541" i="1"/>
  <c r="AO1545" i="1" s="1"/>
  <c r="AV1540" i="1"/>
  <c r="AN1540" i="1"/>
  <c r="AO1544" i="1" s="1"/>
  <c r="AP1544" i="1" s="1"/>
  <c r="AV1539" i="1"/>
  <c r="AN1539" i="1"/>
  <c r="AV1538" i="1"/>
  <c r="AN1538" i="1"/>
  <c r="AV1537" i="1"/>
  <c r="AN1537" i="1"/>
  <c r="AV1536" i="1"/>
  <c r="AN1536" i="1"/>
  <c r="AO1537" i="1" s="1"/>
  <c r="AV1535" i="1"/>
  <c r="AN1535" i="1"/>
  <c r="AV1534" i="1"/>
  <c r="AN1534" i="1"/>
  <c r="AV1533" i="1"/>
  <c r="AN1533" i="1"/>
  <c r="AV1532" i="1"/>
  <c r="AN1532" i="1"/>
  <c r="AV1531" i="1"/>
  <c r="AN1531" i="1"/>
  <c r="AV1530" i="1"/>
  <c r="AN1530" i="1"/>
  <c r="AO1534" i="1" s="1"/>
  <c r="AV1529" i="1"/>
  <c r="AN1529" i="1"/>
  <c r="AV1528" i="1"/>
  <c r="AN1528" i="1"/>
  <c r="AV1527" i="1"/>
  <c r="AN1527" i="1"/>
  <c r="AO1531" i="1" s="1"/>
  <c r="AP1531" i="1" s="1"/>
  <c r="AV1526" i="1"/>
  <c r="AN1526" i="1"/>
  <c r="AV1525" i="1"/>
  <c r="AN1525" i="1"/>
  <c r="AV1524" i="1"/>
  <c r="AN1524" i="1"/>
  <c r="AV1523" i="1"/>
  <c r="AN1523" i="1"/>
  <c r="AV1522" i="1"/>
  <c r="AN1522" i="1"/>
  <c r="AV1521" i="1"/>
  <c r="AN1521" i="1"/>
  <c r="AV1520" i="1"/>
  <c r="AN1520" i="1"/>
  <c r="AO1524" i="1" s="1"/>
  <c r="AV1519" i="1"/>
  <c r="AN1519" i="1"/>
  <c r="AO1523" i="1" s="1"/>
  <c r="AV1518" i="1"/>
  <c r="AN1518" i="1"/>
  <c r="AV1517" i="1"/>
  <c r="AN1517" i="1"/>
  <c r="AV1516" i="1"/>
  <c r="AN1516" i="1"/>
  <c r="AV1515" i="1"/>
  <c r="AN1515" i="1"/>
  <c r="AV1514" i="1"/>
  <c r="AQ1514" i="1"/>
  <c r="AN1514" i="1"/>
  <c r="AV1513" i="1"/>
  <c r="AN1513" i="1"/>
  <c r="AV1512" i="1"/>
  <c r="AN1512" i="1"/>
  <c r="AV1511" i="1"/>
  <c r="AN1511" i="1"/>
  <c r="AV1510" i="1"/>
  <c r="AN1510" i="1"/>
  <c r="AO1514" i="1" s="1"/>
  <c r="AP1514" i="1" s="1"/>
  <c r="AV1509" i="1"/>
  <c r="AK1509" i="1"/>
  <c r="AV1508" i="1"/>
  <c r="AK1508" i="1"/>
  <c r="AV1507" i="1"/>
  <c r="AK1507" i="1"/>
  <c r="AV1506" i="1"/>
  <c r="AK1506" i="1"/>
  <c r="AV1505" i="1"/>
  <c r="AK1505" i="1"/>
  <c r="AV1504" i="1"/>
  <c r="AK1504" i="1"/>
  <c r="AV1503" i="1"/>
  <c r="AL1503" i="1"/>
  <c r="AN1503" i="1" s="1"/>
  <c r="AK1503" i="1"/>
  <c r="AL1507" i="1" s="1"/>
  <c r="AN1507" i="1" s="1"/>
  <c r="AV1502" i="1"/>
  <c r="AK1502" i="1"/>
  <c r="AV1501" i="1"/>
  <c r="AK1501" i="1"/>
  <c r="AV1500" i="1"/>
  <c r="AK1500" i="1"/>
  <c r="AV1499" i="1"/>
  <c r="AK1499" i="1"/>
  <c r="AV1498" i="1"/>
  <c r="AK1498" i="1"/>
  <c r="AV1497" i="1"/>
  <c r="AK1497" i="1"/>
  <c r="AV1496" i="1"/>
  <c r="AK1496" i="1"/>
  <c r="AV1495" i="1"/>
  <c r="AK1495" i="1"/>
  <c r="AV1494" i="1"/>
  <c r="AK1494" i="1"/>
  <c r="AL1498" i="1" s="1"/>
  <c r="AN1498" i="1" s="1"/>
  <c r="AV1493" i="1"/>
  <c r="AK1493" i="1"/>
  <c r="AL1497" i="1" s="1"/>
  <c r="AN1497" i="1" s="1"/>
  <c r="AV1492" i="1"/>
  <c r="AK1492" i="1"/>
  <c r="AV1491" i="1"/>
  <c r="AK1491" i="1"/>
  <c r="AV1490" i="1"/>
  <c r="AK1490" i="1"/>
  <c r="AV1489" i="1"/>
  <c r="AK1489" i="1"/>
  <c r="AV1488" i="1"/>
  <c r="AL1488" i="1"/>
  <c r="AN1488" i="1" s="1"/>
  <c r="AK1488" i="1"/>
  <c r="AV1487" i="1"/>
  <c r="AK1487" i="1"/>
  <c r="AL1491" i="1" s="1"/>
  <c r="AN1491" i="1" s="1"/>
  <c r="AV1486" i="1"/>
  <c r="AK1486" i="1"/>
  <c r="AV1485" i="1"/>
  <c r="AK1485" i="1"/>
  <c r="AV1484" i="1"/>
  <c r="AK1484" i="1"/>
  <c r="AV1483" i="1"/>
  <c r="AK1483" i="1"/>
  <c r="AV1482" i="1"/>
  <c r="AK1482" i="1"/>
  <c r="AV1481" i="1"/>
  <c r="AK1481" i="1"/>
  <c r="AV1480" i="1"/>
  <c r="AK1480" i="1"/>
  <c r="AV1479" i="1"/>
  <c r="AK1479" i="1"/>
  <c r="AV1478" i="1"/>
  <c r="AK1478" i="1"/>
  <c r="AL1482" i="1" s="1"/>
  <c r="AN1482" i="1" s="1"/>
  <c r="AV1477" i="1"/>
  <c r="AK1477" i="1"/>
  <c r="AV1476" i="1"/>
  <c r="AL1476" i="1"/>
  <c r="AN1476" i="1" s="1"/>
  <c r="AK1476" i="1"/>
  <c r="AV1475" i="1"/>
  <c r="AK1475" i="1"/>
  <c r="AV1474" i="1"/>
  <c r="AK1474" i="1"/>
  <c r="AV1473" i="1"/>
  <c r="AN1473" i="1"/>
  <c r="AL1473" i="1"/>
  <c r="AK1473" i="1"/>
  <c r="AV1472" i="1"/>
  <c r="AO1472" i="1"/>
  <c r="AN1472" i="1"/>
  <c r="AL1472" i="1"/>
  <c r="AK1472" i="1"/>
  <c r="AV1471" i="1"/>
  <c r="AO1471" i="1"/>
  <c r="AQ1471" i="1" s="1"/>
  <c r="AS1471" i="1" s="1"/>
  <c r="AU1471" i="1" s="1"/>
  <c r="AN1471" i="1"/>
  <c r="AL1471" i="1"/>
  <c r="AK1471" i="1"/>
  <c r="AV1470" i="1"/>
  <c r="AP1470" i="1"/>
  <c r="AN1470" i="1"/>
  <c r="AK1470" i="1"/>
  <c r="AV1469" i="1"/>
  <c r="AL1469" i="1"/>
  <c r="AN1469" i="1" s="1"/>
  <c r="AK1469" i="1"/>
  <c r="AV1468" i="1"/>
  <c r="AO1468" i="1"/>
  <c r="AN1468" i="1"/>
  <c r="AL1468" i="1"/>
  <c r="AK1468" i="1"/>
  <c r="AV1467" i="1"/>
  <c r="AQ1467" i="1"/>
  <c r="AO1467" i="1"/>
  <c r="AP1467" i="1" s="1"/>
  <c r="AN1467" i="1"/>
  <c r="AL1467" i="1"/>
  <c r="AK1467" i="1"/>
  <c r="AV1466" i="1"/>
  <c r="AN1466" i="1"/>
  <c r="AO1470" i="1" s="1"/>
  <c r="AQ1470" i="1" s="1"/>
  <c r="AL1466" i="1"/>
  <c r="AK1466" i="1"/>
  <c r="AL1470" i="1" s="1"/>
  <c r="AV1465" i="1"/>
  <c r="AN1465" i="1"/>
  <c r="AK1465" i="1"/>
  <c r="AV1464" i="1"/>
  <c r="AL1464" i="1"/>
  <c r="AN1464" i="1" s="1"/>
  <c r="AK1464" i="1"/>
  <c r="AV1463" i="1"/>
  <c r="AK1463" i="1"/>
  <c r="AV1462" i="1"/>
  <c r="AK1462" i="1"/>
  <c r="AV1461" i="1"/>
  <c r="AK1461" i="1"/>
  <c r="AL1465" i="1" s="1"/>
  <c r="AV1460" i="1"/>
  <c r="AK1460" i="1"/>
  <c r="AV1459" i="1"/>
  <c r="AK1459" i="1"/>
  <c r="AL1463" i="1" s="1"/>
  <c r="AN1463" i="1" s="1"/>
  <c r="AV1458" i="1"/>
  <c r="AL1458" i="1"/>
  <c r="AN1458" i="1" s="1"/>
  <c r="AK1458" i="1"/>
  <c r="AV1457" i="1"/>
  <c r="AK1457" i="1"/>
  <c r="AL1461" i="1" s="1"/>
  <c r="AN1461" i="1" s="1"/>
  <c r="AV1456" i="1"/>
  <c r="AK1456" i="1"/>
  <c r="AV1455" i="1"/>
  <c r="AK1455" i="1"/>
  <c r="AV1454" i="1"/>
  <c r="AK1454" i="1"/>
  <c r="AV1453" i="1"/>
  <c r="AK1453" i="1"/>
  <c r="AV1452" i="1"/>
  <c r="AK1452" i="1"/>
  <c r="AV1451" i="1"/>
  <c r="AK1451" i="1"/>
  <c r="AL1454" i="1" s="1"/>
  <c r="AN1454" i="1" s="1"/>
  <c r="AV1450" i="1"/>
  <c r="AK1450" i="1"/>
  <c r="AV1449" i="1"/>
  <c r="AK1449" i="1"/>
  <c r="AL1453" i="1" s="1"/>
  <c r="AN1453" i="1" s="1"/>
  <c r="AV1448" i="1"/>
  <c r="AL1448" i="1"/>
  <c r="AN1448" i="1" s="1"/>
  <c r="AK1448" i="1"/>
  <c r="AV1447" i="1"/>
  <c r="AK1447" i="1"/>
  <c r="AV1446" i="1"/>
  <c r="AK1446" i="1"/>
  <c r="AV1445" i="1"/>
  <c r="AK1445" i="1"/>
  <c r="AV1444" i="1"/>
  <c r="AK1444" i="1"/>
  <c r="AV1443" i="1"/>
  <c r="AK1443" i="1"/>
  <c r="AL1447" i="1" s="1"/>
  <c r="AN1447" i="1" s="1"/>
  <c r="AV1442" i="1"/>
  <c r="AL1442" i="1"/>
  <c r="AN1442" i="1" s="1"/>
  <c r="AK1442" i="1"/>
  <c r="AL1446" i="1" s="1"/>
  <c r="AN1446" i="1" s="1"/>
  <c r="AV1441" i="1"/>
  <c r="AL1441" i="1"/>
  <c r="AN1441" i="1" s="1"/>
  <c r="AK1441" i="1"/>
  <c r="AV1440" i="1"/>
  <c r="AL1440" i="1"/>
  <c r="AN1440" i="1" s="1"/>
  <c r="AK1440" i="1"/>
  <c r="AV1439" i="1"/>
  <c r="AK1439" i="1"/>
  <c r="AV1438" i="1"/>
  <c r="AK1438" i="1"/>
  <c r="AV1437" i="1"/>
  <c r="AN1437" i="1"/>
  <c r="AK1437" i="1"/>
  <c r="AV1436" i="1"/>
  <c r="AK1436" i="1"/>
  <c r="AV1435" i="1"/>
  <c r="AK1435" i="1"/>
  <c r="AV1434" i="1"/>
  <c r="AK1434" i="1"/>
  <c r="AL1438" i="1" s="1"/>
  <c r="AN1438" i="1" s="1"/>
  <c r="AV1433" i="1"/>
  <c r="AK1433" i="1"/>
  <c r="AL1437" i="1" s="1"/>
  <c r="AV1432" i="1"/>
  <c r="AK1432" i="1"/>
  <c r="AL1436" i="1" s="1"/>
  <c r="AN1436" i="1" s="1"/>
  <c r="AV1431" i="1"/>
  <c r="AK1431" i="1"/>
  <c r="AV1430" i="1"/>
  <c r="AK1430" i="1"/>
  <c r="AV1429" i="1"/>
  <c r="AK1429" i="1"/>
  <c r="AV1428" i="1"/>
  <c r="AK1428" i="1"/>
  <c r="AV1427" i="1"/>
  <c r="AK1427" i="1"/>
  <c r="AV1426" i="1"/>
  <c r="AK1426" i="1"/>
  <c r="AL1429" i="1" s="1"/>
  <c r="AN1429" i="1" s="1"/>
  <c r="AV1425" i="1"/>
  <c r="AL1425" i="1"/>
  <c r="AN1425" i="1" s="1"/>
  <c r="AK1425" i="1"/>
  <c r="AV1424" i="1"/>
  <c r="AL1424" i="1"/>
  <c r="AN1424" i="1" s="1"/>
  <c r="AK1424" i="1"/>
  <c r="AL1428" i="1" s="1"/>
  <c r="AN1428" i="1" s="1"/>
  <c r="AV1423" i="1"/>
  <c r="AK1423" i="1"/>
  <c r="AV1422" i="1"/>
  <c r="AK1422" i="1"/>
  <c r="AV1421" i="1"/>
  <c r="AK1421" i="1"/>
  <c r="AV1420" i="1"/>
  <c r="AK1420" i="1"/>
  <c r="AV1419" i="1"/>
  <c r="AK1419" i="1"/>
  <c r="AV1418" i="1"/>
  <c r="AK1418" i="1"/>
  <c r="AL1422" i="1" s="1"/>
  <c r="AN1422" i="1" s="1"/>
  <c r="AV1417" i="1"/>
  <c r="AK1417" i="1"/>
  <c r="AL1421" i="1" s="1"/>
  <c r="AN1421" i="1" s="1"/>
  <c r="AV1416" i="1"/>
  <c r="AL1416" i="1"/>
  <c r="AN1416" i="1" s="1"/>
  <c r="AK1416" i="1"/>
  <c r="AV1415" i="1"/>
  <c r="AL1415" i="1"/>
  <c r="AN1415" i="1" s="1"/>
  <c r="AK1415" i="1"/>
  <c r="AV1414" i="1"/>
  <c r="AK1414" i="1"/>
  <c r="AL1414" i="1" s="1"/>
  <c r="AN1414" i="1" s="1"/>
  <c r="AV1413" i="1"/>
  <c r="AL1413" i="1"/>
  <c r="AN1413" i="1" s="1"/>
  <c r="AK1413" i="1"/>
  <c r="AV1412" i="1"/>
  <c r="AK1412" i="1"/>
  <c r="AV1411" i="1"/>
  <c r="AK1411" i="1"/>
  <c r="AV1410" i="1"/>
  <c r="AK1410" i="1"/>
  <c r="AV1409" i="1"/>
  <c r="AK1409" i="1"/>
  <c r="AV1408" i="1"/>
  <c r="AL1408" i="1"/>
  <c r="AN1408" i="1" s="1"/>
  <c r="AK1408" i="1"/>
  <c r="AV1407" i="1"/>
  <c r="AK1407" i="1"/>
  <c r="AV1406" i="1"/>
  <c r="AL1406" i="1"/>
  <c r="AN1406" i="1" s="1"/>
  <c r="AK1406" i="1"/>
  <c r="AV1405" i="1"/>
  <c r="AK1405" i="1"/>
  <c r="AV1404" i="1"/>
  <c r="AK1404" i="1"/>
  <c r="AV1403" i="1"/>
  <c r="AK1403" i="1"/>
  <c r="AV1402" i="1"/>
  <c r="AK1402" i="1"/>
  <c r="AV1401" i="1"/>
  <c r="AK1401" i="1"/>
  <c r="AV1400" i="1"/>
  <c r="AK1400" i="1"/>
  <c r="AV1399" i="1"/>
  <c r="AK1399" i="1"/>
  <c r="AV1398" i="1"/>
  <c r="AK1398" i="1"/>
  <c r="AV1397" i="1"/>
  <c r="AL1397" i="1"/>
  <c r="AN1397" i="1" s="1"/>
  <c r="AK1397" i="1"/>
  <c r="AV1396" i="1"/>
  <c r="AN1396" i="1"/>
  <c r="AK1396" i="1"/>
  <c r="AV1395" i="1"/>
  <c r="AK1395" i="1"/>
  <c r="AV1394" i="1"/>
  <c r="AK1394" i="1"/>
  <c r="AV1393" i="1"/>
  <c r="AK1393" i="1"/>
  <c r="AV1392" i="1"/>
  <c r="AK1392" i="1"/>
  <c r="AL1396" i="1" s="1"/>
  <c r="AV1391" i="1"/>
  <c r="AK1391" i="1"/>
  <c r="AV1390" i="1"/>
  <c r="AK1390" i="1"/>
  <c r="AV1389" i="1"/>
  <c r="AL1389" i="1"/>
  <c r="AN1389" i="1" s="1"/>
  <c r="AK1389" i="1"/>
  <c r="AV1388" i="1"/>
  <c r="AK1388" i="1"/>
  <c r="AV1387" i="1"/>
  <c r="AK1387" i="1"/>
  <c r="AV1386" i="1"/>
  <c r="AK1386" i="1"/>
  <c r="AV1385" i="1"/>
  <c r="AK1385" i="1"/>
  <c r="AV1384" i="1"/>
  <c r="AK1384" i="1"/>
  <c r="AL1388" i="1" s="1"/>
  <c r="AN1388" i="1" s="1"/>
  <c r="AV1383" i="1"/>
  <c r="AK1383" i="1"/>
  <c r="AL1387" i="1" s="1"/>
  <c r="AN1387" i="1" s="1"/>
  <c r="AV1382" i="1"/>
  <c r="AK1382" i="1"/>
  <c r="AV1381" i="1"/>
  <c r="AL1381" i="1"/>
  <c r="AN1381" i="1" s="1"/>
  <c r="AK1381" i="1"/>
  <c r="AV1380" i="1"/>
  <c r="AK1380" i="1"/>
  <c r="AV1379" i="1"/>
  <c r="AK1379" i="1"/>
  <c r="AV1378" i="1"/>
  <c r="AK1378" i="1"/>
  <c r="AV1377" i="1"/>
  <c r="AK1377" i="1"/>
  <c r="AV1376" i="1"/>
  <c r="AK1376" i="1"/>
  <c r="AV1375" i="1"/>
  <c r="AL1375" i="1"/>
  <c r="AN1375" i="1" s="1"/>
  <c r="AK1375" i="1"/>
  <c r="AV1374" i="1"/>
  <c r="AK1374" i="1"/>
  <c r="AV1373" i="1"/>
  <c r="AK1373" i="1"/>
  <c r="AV1372" i="1"/>
  <c r="AL1372" i="1"/>
  <c r="AN1372" i="1" s="1"/>
  <c r="AK1372" i="1"/>
  <c r="AL1376" i="1" s="1"/>
  <c r="AN1376" i="1" s="1"/>
  <c r="AV1371" i="1"/>
  <c r="AK1371" i="1"/>
  <c r="AV1370" i="1"/>
  <c r="AK1370" i="1"/>
  <c r="AV1369" i="1"/>
  <c r="AK1369" i="1"/>
  <c r="AV1368" i="1"/>
  <c r="AK1368" i="1"/>
  <c r="AV1367" i="1"/>
  <c r="AK1367" i="1"/>
  <c r="AV1366" i="1"/>
  <c r="AK1366" i="1"/>
  <c r="AV1365" i="1"/>
  <c r="AL1365" i="1"/>
  <c r="AN1365" i="1" s="1"/>
  <c r="AK1365" i="1"/>
  <c r="AV1364" i="1"/>
  <c r="AK1364" i="1"/>
  <c r="AL1368" i="1" s="1"/>
  <c r="AN1368" i="1" s="1"/>
  <c r="AV1363" i="1"/>
  <c r="AK1363" i="1"/>
  <c r="AV1362" i="1"/>
  <c r="AK1362" i="1"/>
  <c r="AV1361" i="1"/>
  <c r="AK1361" i="1"/>
  <c r="AV1360" i="1"/>
  <c r="AK1360" i="1"/>
  <c r="AV1359" i="1"/>
  <c r="AK1359" i="1"/>
  <c r="AV1358" i="1"/>
  <c r="AK1358" i="1"/>
  <c r="AL1362" i="1" s="1"/>
  <c r="AN1362" i="1" s="1"/>
  <c r="AV1357" i="1"/>
  <c r="AL1357" i="1"/>
  <c r="AN1357" i="1" s="1"/>
  <c r="AK1357" i="1"/>
  <c r="AV1356" i="1"/>
  <c r="AK1356" i="1"/>
  <c r="AV1355" i="1"/>
  <c r="AK1355" i="1"/>
  <c r="AV1354" i="1"/>
  <c r="AK1354" i="1"/>
  <c r="AV1353" i="1"/>
  <c r="AK1353" i="1"/>
  <c r="AV1352" i="1"/>
  <c r="AK1352" i="1"/>
  <c r="AL1356" i="1" s="1"/>
  <c r="AN1356" i="1" s="1"/>
  <c r="AV1351" i="1"/>
  <c r="AK1351" i="1"/>
  <c r="AV1350" i="1"/>
  <c r="AK1350" i="1"/>
  <c r="AV1349" i="1"/>
  <c r="AL1349" i="1"/>
  <c r="AN1349" i="1" s="1"/>
  <c r="AK1349" i="1"/>
  <c r="AL1353" i="1" s="1"/>
  <c r="AN1353" i="1" s="1"/>
  <c r="AV1348" i="1"/>
  <c r="AK1348" i="1"/>
  <c r="AV1347" i="1"/>
  <c r="AL1347" i="1"/>
  <c r="AN1347" i="1" s="1"/>
  <c r="AK1347" i="1"/>
  <c r="AV1346" i="1"/>
  <c r="AK1346" i="1"/>
  <c r="AV1345" i="1"/>
  <c r="AK1345" i="1"/>
  <c r="AV1344" i="1"/>
  <c r="AK1344" i="1"/>
  <c r="AV1343" i="1"/>
  <c r="AK1343" i="1"/>
  <c r="AV1342" i="1"/>
  <c r="AK1342" i="1"/>
  <c r="AL1343" i="1" s="1"/>
  <c r="AN1343" i="1" s="1"/>
  <c r="AV1341" i="1"/>
  <c r="AK1341" i="1"/>
  <c r="AV1340" i="1"/>
  <c r="AK1340" i="1"/>
  <c r="AV1339" i="1"/>
  <c r="AL1339" i="1"/>
  <c r="AN1339" i="1" s="1"/>
  <c r="AK1339" i="1"/>
  <c r="AV1338" i="1"/>
  <c r="AN1338" i="1"/>
  <c r="AK1338" i="1"/>
  <c r="AV1337" i="1"/>
  <c r="AK1337" i="1"/>
  <c r="AL1341" i="1" s="1"/>
  <c r="AN1341" i="1" s="1"/>
  <c r="AV1336" i="1"/>
  <c r="AN1336" i="1"/>
  <c r="AL1336" i="1"/>
  <c r="AK1336" i="1"/>
  <c r="AL1340" i="1" s="1"/>
  <c r="AN1340" i="1" s="1"/>
  <c r="AV1335" i="1"/>
  <c r="AN1335" i="1"/>
  <c r="AL1335" i="1"/>
  <c r="AK1335" i="1"/>
  <c r="AV1334" i="1"/>
  <c r="AL1334" i="1"/>
  <c r="AN1334" i="1" s="1"/>
  <c r="AK1334" i="1"/>
  <c r="AL1338" i="1" s="1"/>
  <c r="AV1333" i="1"/>
  <c r="AN1333" i="1"/>
  <c r="AO1334" i="1" s="1"/>
  <c r="AK1333" i="1"/>
  <c r="AL1337" i="1" s="1"/>
  <c r="AN1337" i="1" s="1"/>
  <c r="AV1332" i="1"/>
  <c r="AK1332" i="1"/>
  <c r="AV1331" i="1"/>
  <c r="AN1331" i="1"/>
  <c r="AL1331" i="1"/>
  <c r="AK1331" i="1"/>
  <c r="AV1330" i="1"/>
  <c r="AN1330" i="1"/>
  <c r="AL1330" i="1"/>
  <c r="AK1330" i="1"/>
  <c r="AV1329" i="1"/>
  <c r="AL1329" i="1"/>
  <c r="AN1329" i="1" s="1"/>
  <c r="AO1333" i="1" s="1"/>
  <c r="AK1329" i="1"/>
  <c r="AL1333" i="1" s="1"/>
  <c r="AV1328" i="1"/>
  <c r="AN1328" i="1"/>
  <c r="AO1332" i="1" s="1"/>
  <c r="AK1328" i="1"/>
  <c r="AL1332" i="1" s="1"/>
  <c r="AN1332" i="1" s="1"/>
  <c r="AV1327" i="1"/>
  <c r="AK1327" i="1"/>
  <c r="AV1326" i="1"/>
  <c r="AK1326" i="1"/>
  <c r="AV1325" i="1"/>
  <c r="AK1325" i="1"/>
  <c r="AV1324" i="1"/>
  <c r="AK1324" i="1"/>
  <c r="AL1328" i="1" s="1"/>
  <c r="AV1323" i="1"/>
  <c r="AK1323" i="1"/>
  <c r="AV1322" i="1"/>
  <c r="AK1322" i="1"/>
  <c r="AV1321" i="1"/>
  <c r="AK1321" i="1"/>
  <c r="AV1320" i="1"/>
  <c r="AK1320" i="1"/>
  <c r="AV1319" i="1"/>
  <c r="AK1319" i="1"/>
  <c r="AV1318" i="1"/>
  <c r="AL1318" i="1"/>
  <c r="AN1318" i="1" s="1"/>
  <c r="AK1318" i="1"/>
  <c r="AV1317" i="1"/>
  <c r="AK1317" i="1"/>
  <c r="AV1316" i="1"/>
  <c r="AL1316" i="1"/>
  <c r="AN1316" i="1" s="1"/>
  <c r="AK1316" i="1"/>
  <c r="AV1315" i="1"/>
  <c r="AK1315" i="1"/>
  <c r="AV1314" i="1"/>
  <c r="AK1314" i="1"/>
  <c r="AV1313" i="1"/>
  <c r="AK1313" i="1"/>
  <c r="AV1312" i="1"/>
  <c r="AK1312" i="1"/>
  <c r="AV1311" i="1"/>
  <c r="AK1311" i="1"/>
  <c r="AL1315" i="1" s="1"/>
  <c r="AN1315" i="1" s="1"/>
  <c r="AV1310" i="1"/>
  <c r="AK1310" i="1"/>
  <c r="AL1314" i="1" s="1"/>
  <c r="AN1314" i="1" s="1"/>
  <c r="AV1309" i="1"/>
  <c r="AL1309" i="1"/>
  <c r="AN1309" i="1" s="1"/>
  <c r="AK1309" i="1"/>
  <c r="AL1313" i="1" s="1"/>
  <c r="AN1313" i="1" s="1"/>
  <c r="AV1308" i="1"/>
  <c r="AK1308" i="1"/>
  <c r="AV1307" i="1"/>
  <c r="AK1307" i="1"/>
  <c r="AL1311" i="1" s="1"/>
  <c r="AN1311" i="1" s="1"/>
  <c r="AV1306" i="1"/>
  <c r="AL1306" i="1"/>
  <c r="AN1306" i="1" s="1"/>
  <c r="AK1306" i="1"/>
  <c r="AL1310" i="1" s="1"/>
  <c r="AN1310" i="1" s="1"/>
  <c r="AV1305" i="1"/>
  <c r="AK1305" i="1"/>
  <c r="AV1304" i="1"/>
  <c r="AN1304" i="1"/>
  <c r="AL1304" i="1"/>
  <c r="AK1304" i="1"/>
  <c r="AV1303" i="1"/>
  <c r="AN1303" i="1"/>
  <c r="AK1303" i="1"/>
  <c r="AV1302" i="1"/>
  <c r="AK1302" i="1"/>
  <c r="AV1301" i="1"/>
  <c r="AK1301" i="1"/>
  <c r="AV1300" i="1"/>
  <c r="AK1300" i="1"/>
  <c r="AV1299" i="1"/>
  <c r="AK1299" i="1"/>
  <c r="AL1303" i="1" s="1"/>
  <c r="AV1298" i="1"/>
  <c r="AK1298" i="1"/>
  <c r="AL1302" i="1" s="1"/>
  <c r="AN1302" i="1" s="1"/>
  <c r="AV1297" i="1"/>
  <c r="AK1297" i="1"/>
  <c r="AV1296" i="1"/>
  <c r="AK1296" i="1"/>
  <c r="AV1295" i="1"/>
  <c r="AK1295" i="1"/>
  <c r="AL1299" i="1" s="1"/>
  <c r="AN1299" i="1" s="1"/>
  <c r="AV1294" i="1"/>
  <c r="AK1294" i="1"/>
  <c r="AV1293" i="1"/>
  <c r="AK1293" i="1"/>
  <c r="AV1292" i="1"/>
  <c r="AK1292" i="1"/>
  <c r="AV1291" i="1"/>
  <c r="AL1291" i="1"/>
  <c r="AN1291" i="1" s="1"/>
  <c r="AK1291" i="1"/>
  <c r="AV1290" i="1"/>
  <c r="AK1290" i="1"/>
  <c r="AV1289" i="1"/>
  <c r="AK1289" i="1"/>
  <c r="AV1288" i="1"/>
  <c r="AK1288" i="1"/>
  <c r="AV1287" i="1"/>
  <c r="AK1287" i="1"/>
  <c r="AV1286" i="1"/>
  <c r="AK1286" i="1"/>
  <c r="AL1290" i="1" s="1"/>
  <c r="AN1290" i="1" s="1"/>
  <c r="AV1285" i="1"/>
  <c r="AK1285" i="1"/>
  <c r="AV1284" i="1"/>
  <c r="AK1284" i="1"/>
  <c r="AL1288" i="1" s="1"/>
  <c r="AN1288" i="1" s="1"/>
  <c r="AV1283" i="1"/>
  <c r="AK1283" i="1"/>
  <c r="AV1282" i="1"/>
  <c r="AK1282" i="1"/>
  <c r="AV1281" i="1"/>
  <c r="AK1281" i="1"/>
  <c r="AV1280" i="1"/>
  <c r="AK1280" i="1"/>
  <c r="AL1283" i="1" s="1"/>
  <c r="AN1283" i="1" s="1"/>
  <c r="AV1279" i="1"/>
  <c r="AN1279" i="1"/>
  <c r="AL1279" i="1"/>
  <c r="AK1279" i="1"/>
  <c r="AV1278" i="1"/>
  <c r="AK1278" i="1"/>
  <c r="AV1277" i="1"/>
  <c r="AK1277" i="1"/>
  <c r="AV1276" i="1"/>
  <c r="AK1276" i="1"/>
  <c r="AV1275" i="1"/>
  <c r="AK1275" i="1"/>
  <c r="AV1274" i="1"/>
  <c r="AK1274" i="1"/>
  <c r="AL1278" i="1" s="1"/>
  <c r="AN1278" i="1" s="1"/>
  <c r="AV1273" i="1"/>
  <c r="AK1273" i="1"/>
  <c r="AL1277" i="1" s="1"/>
  <c r="AN1277" i="1" s="1"/>
  <c r="AV1272" i="1"/>
  <c r="AK1272" i="1"/>
  <c r="AV1271" i="1"/>
  <c r="AK1271" i="1"/>
  <c r="AV1270" i="1"/>
  <c r="AK1270" i="1"/>
  <c r="AV1269" i="1"/>
  <c r="AK1269" i="1"/>
  <c r="AL1269" i="1" s="1"/>
  <c r="AN1269" i="1" s="1"/>
  <c r="AV1268" i="1"/>
  <c r="AK1268" i="1"/>
  <c r="AV1267" i="1"/>
  <c r="AK1267" i="1"/>
  <c r="AL1271" i="1" s="1"/>
  <c r="AN1271" i="1" s="1"/>
  <c r="AV1266" i="1"/>
  <c r="AL1266" i="1"/>
  <c r="AN1266" i="1" s="1"/>
  <c r="AK1266" i="1"/>
  <c r="AV1265" i="1"/>
  <c r="AK1265" i="1"/>
  <c r="AV1264" i="1"/>
  <c r="AK1264" i="1"/>
  <c r="AV1263" i="1"/>
  <c r="AK1263" i="1"/>
  <c r="AV1262" i="1"/>
  <c r="AK1262" i="1"/>
  <c r="AV1261" i="1"/>
  <c r="AK1261" i="1"/>
  <c r="AV1260" i="1"/>
  <c r="AK1260" i="1"/>
  <c r="AV1259" i="1"/>
  <c r="AK1259" i="1"/>
  <c r="AL1263" i="1" s="1"/>
  <c r="AN1263" i="1" s="1"/>
  <c r="AV1258" i="1"/>
  <c r="AK1258" i="1"/>
  <c r="AV1257" i="1"/>
  <c r="AK1257" i="1"/>
  <c r="AV1256" i="1"/>
  <c r="AL1256" i="1"/>
  <c r="AN1256" i="1" s="1"/>
  <c r="AK1256" i="1"/>
  <c r="AV1255" i="1"/>
  <c r="AK1255" i="1"/>
  <c r="AV1254" i="1"/>
  <c r="AK1254" i="1"/>
  <c r="AL1258" i="1" s="1"/>
  <c r="AN1258" i="1" s="1"/>
  <c r="AV1253" i="1"/>
  <c r="AK1253" i="1"/>
  <c r="AV1252" i="1"/>
  <c r="AL1252" i="1"/>
  <c r="AN1252" i="1" s="1"/>
  <c r="AK1252" i="1"/>
  <c r="AV1251" i="1"/>
  <c r="AL1251" i="1"/>
  <c r="AN1251" i="1" s="1"/>
  <c r="AK1251" i="1"/>
  <c r="AV1250" i="1"/>
  <c r="AK1250" i="1"/>
  <c r="AV1249" i="1"/>
  <c r="AK1249" i="1"/>
  <c r="AL1253" i="1" s="1"/>
  <c r="AN1253" i="1" s="1"/>
  <c r="AV1248" i="1"/>
  <c r="AK1248" i="1"/>
  <c r="AV1247" i="1"/>
  <c r="AN1247" i="1"/>
  <c r="AL1247" i="1"/>
  <c r="AK1247" i="1"/>
  <c r="AV1246" i="1"/>
  <c r="AL1246" i="1"/>
  <c r="AN1246" i="1" s="1"/>
  <c r="AK1246" i="1"/>
  <c r="AV1245" i="1"/>
  <c r="AK1245" i="1"/>
  <c r="AV1244" i="1"/>
  <c r="AK1244" i="1"/>
  <c r="AL1248" i="1" s="1"/>
  <c r="AN1248" i="1" s="1"/>
  <c r="AV1243" i="1"/>
  <c r="AK1243" i="1"/>
  <c r="AV1242" i="1"/>
  <c r="AL1242" i="1"/>
  <c r="AN1242" i="1" s="1"/>
  <c r="AK1242" i="1"/>
  <c r="AV1241" i="1"/>
  <c r="AL1241" i="1"/>
  <c r="AN1241" i="1" s="1"/>
  <c r="AK1241" i="1"/>
  <c r="AV1240" i="1"/>
  <c r="AK1240" i="1"/>
  <c r="AV1239" i="1"/>
  <c r="AK1239" i="1"/>
  <c r="AL1243" i="1" s="1"/>
  <c r="AN1243" i="1" s="1"/>
  <c r="AV1238" i="1"/>
  <c r="AK1238" i="1"/>
  <c r="AV1237" i="1"/>
  <c r="AK1237" i="1"/>
  <c r="AV1236" i="1"/>
  <c r="AK1236" i="1"/>
  <c r="AV1235" i="1"/>
  <c r="AK1235" i="1"/>
  <c r="AV1234" i="1"/>
  <c r="AK1234" i="1"/>
  <c r="AV1233" i="1"/>
  <c r="AK1233" i="1"/>
  <c r="AV1232" i="1"/>
  <c r="AK1232" i="1"/>
  <c r="AV1231" i="1"/>
  <c r="AL1231" i="1"/>
  <c r="AN1231" i="1" s="1"/>
  <c r="AK1231" i="1"/>
  <c r="AV1230" i="1"/>
  <c r="AK1230" i="1"/>
  <c r="AV1229" i="1"/>
  <c r="AK1229" i="1"/>
  <c r="AL1233" i="1" s="1"/>
  <c r="AN1233" i="1" s="1"/>
  <c r="AV1228" i="1"/>
  <c r="AK1228" i="1"/>
  <c r="AV1227" i="1"/>
  <c r="AL1227" i="1"/>
  <c r="AN1227" i="1" s="1"/>
  <c r="AK1227" i="1"/>
  <c r="AV1226" i="1"/>
  <c r="AL1226" i="1"/>
  <c r="AN1226" i="1" s="1"/>
  <c r="AK1226" i="1"/>
  <c r="AV1225" i="1"/>
  <c r="AK1225" i="1"/>
  <c r="AV1224" i="1"/>
  <c r="AK1224" i="1"/>
  <c r="AL1228" i="1" s="1"/>
  <c r="AN1228" i="1" s="1"/>
  <c r="AV1223" i="1"/>
  <c r="AK1223" i="1"/>
  <c r="AV1222" i="1"/>
  <c r="AN1222" i="1"/>
  <c r="AL1222" i="1"/>
  <c r="AK1222" i="1"/>
  <c r="AV1221" i="1"/>
  <c r="AL1221" i="1"/>
  <c r="AN1221" i="1" s="1"/>
  <c r="AK1221" i="1"/>
  <c r="AV1220" i="1"/>
  <c r="AK1220" i="1"/>
  <c r="AV1219" i="1"/>
  <c r="AK1219" i="1"/>
  <c r="AL1223" i="1" s="1"/>
  <c r="AN1223" i="1" s="1"/>
  <c r="AV1218" i="1"/>
  <c r="AK1218" i="1"/>
  <c r="AV1217" i="1"/>
  <c r="AL1217" i="1"/>
  <c r="AN1217" i="1" s="1"/>
  <c r="AK1217" i="1"/>
  <c r="AV1216" i="1"/>
  <c r="AL1216" i="1"/>
  <c r="AN1216" i="1" s="1"/>
  <c r="AK1216" i="1"/>
  <c r="AV1215" i="1"/>
  <c r="AK1215" i="1"/>
  <c r="AV1214" i="1"/>
  <c r="AK1214" i="1"/>
  <c r="AL1218" i="1" s="1"/>
  <c r="AN1218" i="1" s="1"/>
  <c r="AV1213" i="1"/>
  <c r="AK1213" i="1"/>
  <c r="AV1212" i="1"/>
  <c r="AK1212" i="1"/>
  <c r="AV1211" i="1"/>
  <c r="AK1211" i="1"/>
  <c r="AV1210" i="1"/>
  <c r="AK1210" i="1"/>
  <c r="AV1209" i="1"/>
  <c r="AK1209" i="1"/>
  <c r="AV1208" i="1"/>
  <c r="AK1208" i="1"/>
  <c r="AV1207" i="1"/>
  <c r="AK1207" i="1"/>
  <c r="AV1206" i="1"/>
  <c r="AL1206" i="1"/>
  <c r="AN1206" i="1" s="1"/>
  <c r="AK1206" i="1"/>
  <c r="AV1205" i="1"/>
  <c r="AK1205" i="1"/>
  <c r="AV1204" i="1"/>
  <c r="AK1204" i="1"/>
  <c r="AL1208" i="1" s="1"/>
  <c r="AN1208" i="1" s="1"/>
  <c r="AV1203" i="1"/>
  <c r="AK1203" i="1"/>
  <c r="AV1202" i="1"/>
  <c r="AK1202" i="1"/>
  <c r="AV1201" i="1"/>
  <c r="AK1201" i="1"/>
  <c r="AV1200" i="1"/>
  <c r="AK1200" i="1"/>
  <c r="AV1199" i="1"/>
  <c r="AK1199" i="1"/>
  <c r="AL1203" i="1" s="1"/>
  <c r="AN1203" i="1" s="1"/>
  <c r="AV1198" i="1"/>
  <c r="AK1198" i="1"/>
  <c r="AV1197" i="1"/>
  <c r="AN1197" i="1"/>
  <c r="AL1197" i="1"/>
  <c r="AK1197" i="1"/>
  <c r="AV1196" i="1"/>
  <c r="AL1196" i="1"/>
  <c r="AN1196" i="1" s="1"/>
  <c r="AK1196" i="1"/>
  <c r="AV1195" i="1"/>
  <c r="AK1195" i="1"/>
  <c r="AV1194" i="1"/>
  <c r="AK1194" i="1"/>
  <c r="AL1198" i="1" s="1"/>
  <c r="AN1198" i="1" s="1"/>
  <c r="AV1193" i="1"/>
  <c r="AK1193" i="1"/>
  <c r="AV1192" i="1"/>
  <c r="AK1192" i="1"/>
  <c r="AV1191" i="1"/>
  <c r="AK1191" i="1"/>
  <c r="AV1190" i="1"/>
  <c r="AK1190" i="1"/>
  <c r="AV1189" i="1"/>
  <c r="AK1189" i="1"/>
  <c r="AL1193" i="1" s="1"/>
  <c r="AN1193" i="1" s="1"/>
  <c r="AV1188" i="1"/>
  <c r="AL1188" i="1"/>
  <c r="AN1188" i="1" s="1"/>
  <c r="AK1188" i="1"/>
  <c r="AV1187" i="1"/>
  <c r="AK1187" i="1"/>
  <c r="AV1186" i="1"/>
  <c r="AL1186" i="1"/>
  <c r="AN1186" i="1" s="1"/>
  <c r="AK1186" i="1"/>
  <c r="AV1185" i="1"/>
  <c r="AK1185" i="1"/>
  <c r="AV1184" i="1"/>
  <c r="AK1184" i="1"/>
  <c r="AV1183" i="1"/>
  <c r="AK1183" i="1"/>
  <c r="AL1184" i="1" s="1"/>
  <c r="AN1184" i="1" s="1"/>
  <c r="AV1182" i="1"/>
  <c r="AK1182" i="1"/>
  <c r="AV1181" i="1"/>
  <c r="AK1181" i="1"/>
  <c r="AV1180" i="1"/>
  <c r="AK1180" i="1"/>
  <c r="AV1179" i="1"/>
  <c r="AK1179" i="1"/>
  <c r="AL1183" i="1" s="1"/>
  <c r="AN1183" i="1" s="1"/>
  <c r="AV1178" i="1"/>
  <c r="AK1178" i="1"/>
  <c r="AL1182" i="1" s="1"/>
  <c r="AN1182" i="1" s="1"/>
  <c r="AV1177" i="1"/>
  <c r="AK1177" i="1"/>
  <c r="AV1176" i="1"/>
  <c r="AL1176" i="1"/>
  <c r="AN1176" i="1" s="1"/>
  <c r="AK1176" i="1"/>
  <c r="AV1175" i="1"/>
  <c r="AK1175" i="1"/>
  <c r="AV1174" i="1"/>
  <c r="AK1174" i="1"/>
  <c r="AV1173" i="1"/>
  <c r="AK1173" i="1"/>
  <c r="AL1177" i="1" s="1"/>
  <c r="AN1177" i="1" s="1"/>
  <c r="AV1172" i="1"/>
  <c r="AK1172" i="1"/>
  <c r="AV1171" i="1"/>
  <c r="AK1171" i="1"/>
  <c r="AV1170" i="1"/>
  <c r="AK1170" i="1"/>
  <c r="AV1169" i="1"/>
  <c r="AK1169" i="1"/>
  <c r="AV1168" i="1"/>
  <c r="AL1168" i="1"/>
  <c r="AN1168" i="1" s="1"/>
  <c r="AK1168" i="1"/>
  <c r="AL1172" i="1" s="1"/>
  <c r="AN1172" i="1" s="1"/>
  <c r="AV1167" i="1"/>
  <c r="AK1167" i="1"/>
  <c r="AV1166" i="1"/>
  <c r="AK1166" i="1"/>
  <c r="AV1165" i="1"/>
  <c r="AK1165" i="1"/>
  <c r="AV1164" i="1"/>
  <c r="AK1164" i="1"/>
  <c r="AV1163" i="1"/>
  <c r="AL1163" i="1"/>
  <c r="AN1163" i="1" s="1"/>
  <c r="AK1163" i="1"/>
  <c r="AV1162" i="1"/>
  <c r="AL1162" i="1"/>
  <c r="AN1162" i="1" s="1"/>
  <c r="AK1162" i="1"/>
  <c r="AV1161" i="1"/>
  <c r="AL1161" i="1"/>
  <c r="AN1161" i="1" s="1"/>
  <c r="AK1161" i="1"/>
  <c r="AV1160" i="1"/>
  <c r="AK1160" i="1"/>
  <c r="AV1159" i="1"/>
  <c r="AK1159" i="1"/>
  <c r="AV1158" i="1"/>
  <c r="AK1158" i="1"/>
  <c r="AL1159" i="1" s="1"/>
  <c r="AN1159" i="1" s="1"/>
  <c r="AV1157" i="1"/>
  <c r="AK1157" i="1"/>
  <c r="AV1156" i="1"/>
  <c r="AK1156" i="1"/>
  <c r="AV1155" i="1"/>
  <c r="AK1155" i="1"/>
  <c r="AV1154" i="1"/>
  <c r="AK1154" i="1"/>
  <c r="AL1158" i="1" s="1"/>
  <c r="AN1158" i="1" s="1"/>
  <c r="AV1153" i="1"/>
  <c r="AK1153" i="1"/>
  <c r="AV1152" i="1"/>
  <c r="AK1152" i="1"/>
  <c r="AL1154" i="1" s="1"/>
  <c r="AN1154" i="1" s="1"/>
  <c r="AV1151" i="1"/>
  <c r="AK1151" i="1"/>
  <c r="AV1150" i="1"/>
  <c r="AK1150" i="1"/>
  <c r="AV1149" i="1"/>
  <c r="AK1149" i="1"/>
  <c r="AV1148" i="1"/>
  <c r="AK1148" i="1"/>
  <c r="AV1147" i="1"/>
  <c r="AK1147" i="1"/>
  <c r="AV1146" i="1"/>
  <c r="AK1146" i="1"/>
  <c r="AV1145" i="1"/>
  <c r="AK1145" i="1"/>
  <c r="AV1144" i="1"/>
  <c r="AK1144" i="1"/>
  <c r="AV1143" i="1"/>
  <c r="AL1143" i="1"/>
  <c r="AN1143" i="1" s="1"/>
  <c r="AK1143" i="1"/>
  <c r="AL1147" i="1" s="1"/>
  <c r="AN1147" i="1" s="1"/>
  <c r="AV1142" i="1"/>
  <c r="AK1142" i="1"/>
  <c r="AV1141" i="1"/>
  <c r="AK1141" i="1"/>
  <c r="AV1140" i="1"/>
  <c r="AK1140" i="1"/>
  <c r="AV1139" i="1"/>
  <c r="AK1139" i="1"/>
  <c r="AV1138" i="1"/>
  <c r="AK1138" i="1"/>
  <c r="AV1137" i="1"/>
  <c r="AL1137" i="1"/>
  <c r="AN1137" i="1" s="1"/>
  <c r="AK1137" i="1"/>
  <c r="AV1136" i="1"/>
  <c r="AL1136" i="1"/>
  <c r="AN1136" i="1" s="1"/>
  <c r="AK1136" i="1"/>
  <c r="AV1135" i="1"/>
  <c r="AK1135" i="1"/>
  <c r="AV1134" i="1"/>
  <c r="AK1134" i="1"/>
  <c r="AV1133" i="1"/>
  <c r="AK1133" i="1"/>
  <c r="AL1134" i="1" s="1"/>
  <c r="AN1134" i="1" s="1"/>
  <c r="AV1132" i="1"/>
  <c r="AK1132" i="1"/>
  <c r="AV1131" i="1"/>
  <c r="AK1131" i="1"/>
  <c r="AV1130" i="1"/>
  <c r="AK1130" i="1"/>
  <c r="AV1129" i="1"/>
  <c r="AK1129" i="1"/>
  <c r="AL1133" i="1" s="1"/>
  <c r="AN1133" i="1" s="1"/>
  <c r="AV1128" i="1"/>
  <c r="AK1128" i="1"/>
  <c r="AV1127" i="1"/>
  <c r="AK1127" i="1"/>
  <c r="AV1126" i="1"/>
  <c r="AK1126" i="1"/>
  <c r="AV1125" i="1"/>
  <c r="AK1125" i="1"/>
  <c r="AV1124" i="1"/>
  <c r="AK1124" i="1"/>
  <c r="AV1123" i="1"/>
  <c r="AK1123" i="1"/>
  <c r="AV1122" i="1"/>
  <c r="AK1122" i="1"/>
  <c r="AV1121" i="1"/>
  <c r="AK1121" i="1"/>
  <c r="AV1120" i="1"/>
  <c r="AK1120" i="1"/>
  <c r="AV1119" i="1"/>
  <c r="AK1119" i="1"/>
  <c r="AV1118" i="1"/>
  <c r="AK1118" i="1"/>
  <c r="AL1122" i="1" s="1"/>
  <c r="AN1122" i="1" s="1"/>
  <c r="AV1117" i="1"/>
  <c r="AK1117" i="1"/>
  <c r="AV1116" i="1"/>
  <c r="AK1116" i="1"/>
  <c r="AV1115" i="1"/>
  <c r="AK1115" i="1"/>
  <c r="AV1114" i="1"/>
  <c r="AK1114" i="1"/>
  <c r="AL1118" i="1" s="1"/>
  <c r="AN1118" i="1" s="1"/>
  <c r="AV1113" i="1"/>
  <c r="AK1113" i="1"/>
  <c r="AV1112" i="1"/>
  <c r="AK1112" i="1"/>
  <c r="AL1116" i="1" s="1"/>
  <c r="AN1116" i="1" s="1"/>
  <c r="AV1111" i="1"/>
  <c r="AK1111" i="1"/>
  <c r="AV1110" i="1"/>
  <c r="AK1110" i="1"/>
  <c r="AV1109" i="1"/>
  <c r="AK1109" i="1"/>
  <c r="AL1113" i="1" s="1"/>
  <c r="AN1113" i="1" s="1"/>
  <c r="AV1108" i="1"/>
  <c r="AK1108" i="1"/>
  <c r="AV1107" i="1"/>
  <c r="AK1107" i="1"/>
  <c r="AV1106" i="1"/>
  <c r="AK1106" i="1"/>
  <c r="AV1105" i="1"/>
  <c r="AK1105" i="1"/>
  <c r="AV1104" i="1"/>
  <c r="AK1104" i="1"/>
  <c r="AL1108" i="1" s="1"/>
  <c r="AN1108" i="1" s="1"/>
  <c r="AV1103" i="1"/>
  <c r="AK1103" i="1"/>
  <c r="AV1102" i="1"/>
  <c r="AK1102" i="1"/>
  <c r="AV1101" i="1"/>
  <c r="AK1101" i="1"/>
  <c r="AV1100" i="1"/>
  <c r="AK1100" i="1"/>
  <c r="AV1099" i="1"/>
  <c r="AK1099" i="1"/>
  <c r="AV1098" i="1"/>
  <c r="AK1098" i="1"/>
  <c r="AL1101" i="1" s="1"/>
  <c r="AN1101" i="1" s="1"/>
  <c r="AV1097" i="1"/>
  <c r="AL1097" i="1"/>
  <c r="AN1097" i="1" s="1"/>
  <c r="AK1097" i="1"/>
  <c r="AV1096" i="1"/>
  <c r="AK1096" i="1"/>
  <c r="AV1095" i="1"/>
  <c r="AK1095" i="1"/>
  <c r="AV1094" i="1"/>
  <c r="AK1094" i="1"/>
  <c r="AV1093" i="1"/>
  <c r="AL1093" i="1"/>
  <c r="AN1093" i="1" s="1"/>
  <c r="AK1093" i="1"/>
  <c r="AV1092" i="1"/>
  <c r="AK1092" i="1"/>
  <c r="AV1091" i="1"/>
  <c r="AK1091" i="1"/>
  <c r="AV1090" i="1"/>
  <c r="AL1090" i="1"/>
  <c r="AN1090" i="1" s="1"/>
  <c r="AK1090" i="1"/>
  <c r="AV1089" i="1"/>
  <c r="AK1089" i="1"/>
  <c r="AV1088" i="1"/>
  <c r="AK1088" i="1"/>
  <c r="AV1087" i="1"/>
  <c r="AK1087" i="1"/>
  <c r="AV1086" i="1"/>
  <c r="AK1086" i="1"/>
  <c r="AV1085" i="1"/>
  <c r="AK1085" i="1"/>
  <c r="AL1085" i="1" s="1"/>
  <c r="AN1085" i="1" s="1"/>
  <c r="AV1084" i="1"/>
  <c r="AK1084" i="1"/>
  <c r="AV1083" i="1"/>
  <c r="AK1083" i="1"/>
  <c r="AV1082" i="1"/>
  <c r="AL1082" i="1"/>
  <c r="AN1082" i="1" s="1"/>
  <c r="AK1082" i="1"/>
  <c r="AV1081" i="1"/>
  <c r="AK1081" i="1"/>
  <c r="AV1080" i="1"/>
  <c r="AK1080" i="1"/>
  <c r="AV1079" i="1"/>
  <c r="AK1079" i="1"/>
  <c r="AV1078" i="1"/>
  <c r="AK1078" i="1"/>
  <c r="AV1077" i="1"/>
  <c r="AK1077" i="1"/>
  <c r="AL1080" i="1" s="1"/>
  <c r="AN1080" i="1" s="1"/>
  <c r="AV1076" i="1"/>
  <c r="AK1076" i="1"/>
  <c r="AV1075" i="1"/>
  <c r="AK1075" i="1"/>
  <c r="AV1074" i="1"/>
  <c r="AK1074" i="1"/>
  <c r="AL1078" i="1" s="1"/>
  <c r="AN1078" i="1" s="1"/>
  <c r="AV1073" i="1"/>
  <c r="AK1073" i="1"/>
  <c r="AV1072" i="1"/>
  <c r="AK1072" i="1"/>
  <c r="AV1071" i="1"/>
  <c r="AK1071" i="1"/>
  <c r="AV1070" i="1"/>
  <c r="AK1070" i="1"/>
  <c r="AV1069" i="1"/>
  <c r="AK1069" i="1"/>
  <c r="AL1073" i="1" s="1"/>
  <c r="AN1073" i="1" s="1"/>
  <c r="AV1068" i="1"/>
  <c r="AK1068" i="1"/>
  <c r="AL1072" i="1" s="1"/>
  <c r="AN1072" i="1" s="1"/>
  <c r="AV1067" i="1"/>
  <c r="AK1067" i="1"/>
  <c r="AV1066" i="1"/>
  <c r="AL1066" i="1"/>
  <c r="AN1066" i="1" s="1"/>
  <c r="AK1066" i="1"/>
  <c r="AV1065" i="1"/>
  <c r="AL1065" i="1"/>
  <c r="AN1065" i="1" s="1"/>
  <c r="AK1065" i="1"/>
  <c r="AV1064" i="1"/>
  <c r="AK1064" i="1"/>
  <c r="AV1063" i="1"/>
  <c r="AK1063" i="1"/>
  <c r="AV1062" i="1"/>
  <c r="AK1062" i="1"/>
  <c r="AV1061" i="1"/>
  <c r="AK1061" i="1"/>
  <c r="AV1060" i="1"/>
  <c r="AK1060" i="1"/>
  <c r="AL1064" i="1" s="1"/>
  <c r="AN1064" i="1" s="1"/>
  <c r="AV1059" i="1"/>
  <c r="AK1059" i="1"/>
  <c r="AV1058" i="1"/>
  <c r="AK1058" i="1"/>
  <c r="AL1062" i="1" s="1"/>
  <c r="AN1062" i="1" s="1"/>
  <c r="AV1057" i="1"/>
  <c r="AL1057" i="1"/>
  <c r="AN1057" i="1" s="1"/>
  <c r="AK1057" i="1"/>
  <c r="AV1056" i="1"/>
  <c r="AK1056" i="1"/>
  <c r="AV1055" i="1"/>
  <c r="AK1055" i="1"/>
  <c r="AV1054" i="1"/>
  <c r="AK1054" i="1"/>
  <c r="AV1053" i="1"/>
  <c r="AK1053" i="1"/>
  <c r="AV1052" i="1"/>
  <c r="AK1052" i="1"/>
  <c r="AV1051" i="1"/>
  <c r="AK1051" i="1"/>
  <c r="AV1050" i="1"/>
  <c r="AK1050" i="1"/>
  <c r="AV1049" i="1"/>
  <c r="AK1049" i="1"/>
  <c r="AL1053" i="1" s="1"/>
  <c r="AN1053" i="1" s="1"/>
  <c r="AV1048" i="1"/>
  <c r="AK1048" i="1"/>
  <c r="AV1047" i="1"/>
  <c r="AK1047" i="1"/>
  <c r="AV1046" i="1"/>
  <c r="AK1046" i="1"/>
  <c r="AV1045" i="1"/>
  <c r="AK1045" i="1"/>
  <c r="AV1044" i="1"/>
  <c r="AK1044" i="1"/>
  <c r="AL1048" i="1" s="1"/>
  <c r="AN1048" i="1" s="1"/>
  <c r="AV1043" i="1"/>
  <c r="AK1043" i="1"/>
  <c r="AV1042" i="1"/>
  <c r="AL1042" i="1"/>
  <c r="AN1042" i="1" s="1"/>
  <c r="AK1042" i="1"/>
  <c r="AV1041" i="1"/>
  <c r="AK1041" i="1"/>
  <c r="AV1040" i="1"/>
  <c r="AK1040" i="1"/>
  <c r="AV1039" i="1"/>
  <c r="AL1039" i="1"/>
  <c r="AN1039" i="1" s="1"/>
  <c r="AK1039" i="1"/>
  <c r="AV1038" i="1"/>
  <c r="AK1038" i="1"/>
  <c r="AV1037" i="1"/>
  <c r="AK1037" i="1"/>
  <c r="AV1036" i="1"/>
  <c r="AK1036" i="1"/>
  <c r="AV1035" i="1"/>
  <c r="AK1035" i="1"/>
  <c r="AV1034" i="1"/>
  <c r="AL1034" i="1"/>
  <c r="AN1034" i="1" s="1"/>
  <c r="AK1034" i="1"/>
  <c r="AL1038" i="1" s="1"/>
  <c r="AN1038" i="1" s="1"/>
  <c r="AV1033" i="1"/>
  <c r="AK1033" i="1"/>
  <c r="AL1037" i="1" s="1"/>
  <c r="AN1037" i="1" s="1"/>
  <c r="AV1032" i="1"/>
  <c r="AK1032" i="1"/>
  <c r="AV1031" i="1"/>
  <c r="AL1031" i="1"/>
  <c r="AN1031" i="1" s="1"/>
  <c r="AK1031" i="1"/>
  <c r="AV1030" i="1"/>
  <c r="AK1030" i="1"/>
  <c r="AV1029" i="1"/>
  <c r="AK1029" i="1"/>
  <c r="AV1028" i="1"/>
  <c r="AK1028" i="1"/>
  <c r="AV1027" i="1"/>
  <c r="AK1027" i="1"/>
  <c r="AL1030" i="1" s="1"/>
  <c r="AN1030" i="1" s="1"/>
  <c r="AV1026" i="1"/>
  <c r="AK1026" i="1"/>
  <c r="AV1025" i="1"/>
  <c r="AK1025" i="1"/>
  <c r="AL1029" i="1" s="1"/>
  <c r="AN1029" i="1" s="1"/>
  <c r="AV1024" i="1"/>
  <c r="AK1024" i="1"/>
  <c r="AV1023" i="1"/>
  <c r="AL1023" i="1"/>
  <c r="AN1023" i="1" s="1"/>
  <c r="AK1023" i="1"/>
  <c r="AV1022" i="1"/>
  <c r="AK1022" i="1"/>
  <c r="AV1021" i="1"/>
  <c r="AK1021" i="1"/>
  <c r="AV1020" i="1"/>
  <c r="AK1020" i="1"/>
  <c r="AV1019" i="1"/>
  <c r="AK1019" i="1"/>
  <c r="AV1018" i="1"/>
  <c r="AL1018" i="1"/>
  <c r="AN1018" i="1" s="1"/>
  <c r="AK1018" i="1"/>
  <c r="AL1022" i="1" s="1"/>
  <c r="AN1022" i="1" s="1"/>
  <c r="AV1017" i="1"/>
  <c r="AK1017" i="1"/>
  <c r="AV1016" i="1"/>
  <c r="AL1016" i="1"/>
  <c r="AN1016" i="1" s="1"/>
  <c r="AK1016" i="1"/>
  <c r="AV1015" i="1"/>
  <c r="AL1015" i="1"/>
  <c r="AN1015" i="1" s="1"/>
  <c r="AK1015" i="1"/>
  <c r="AV1014" i="1"/>
  <c r="AN1014" i="1"/>
  <c r="AL1014" i="1"/>
  <c r="AK1014" i="1"/>
  <c r="AV1013" i="1"/>
  <c r="AK1013" i="1"/>
  <c r="AV1012" i="1"/>
  <c r="AK1012" i="1"/>
  <c r="AV1011" i="1"/>
  <c r="AK1011" i="1"/>
  <c r="AV1010" i="1"/>
  <c r="AK1010" i="1"/>
  <c r="AV1009" i="1"/>
  <c r="AK1009" i="1"/>
  <c r="AL1013" i="1" s="1"/>
  <c r="AN1013" i="1" s="1"/>
  <c r="AV1008" i="1"/>
  <c r="AK1008" i="1"/>
  <c r="AV1007" i="1"/>
  <c r="AK1007" i="1"/>
  <c r="AV1006" i="1"/>
  <c r="AN1006" i="1"/>
  <c r="AL1006" i="1"/>
  <c r="AK1006" i="1"/>
  <c r="AV1005" i="1"/>
  <c r="AK1005" i="1"/>
  <c r="AV1004" i="1"/>
  <c r="AK1004" i="1"/>
  <c r="AV1003" i="1"/>
  <c r="AK1003" i="1"/>
  <c r="AV1002" i="1"/>
  <c r="AK1002" i="1"/>
  <c r="AL1005" i="1" s="1"/>
  <c r="AN1005" i="1" s="1"/>
  <c r="AV1001" i="1"/>
  <c r="AK1001" i="1"/>
  <c r="AV1000" i="1"/>
  <c r="AK1000" i="1"/>
  <c r="AV999" i="1"/>
  <c r="AL999" i="1"/>
  <c r="AN999" i="1" s="1"/>
  <c r="AK999" i="1"/>
  <c r="AV998" i="1"/>
  <c r="AN998" i="1"/>
  <c r="AL998" i="1"/>
  <c r="AK998" i="1"/>
  <c r="AV997" i="1"/>
  <c r="AK997" i="1"/>
  <c r="AV996" i="1"/>
  <c r="AK996" i="1"/>
  <c r="AV995" i="1"/>
  <c r="AK995" i="1"/>
  <c r="AV994" i="1"/>
  <c r="AK994" i="1"/>
  <c r="AV993" i="1"/>
  <c r="AK993" i="1"/>
  <c r="AL997" i="1" s="1"/>
  <c r="AN997" i="1" s="1"/>
  <c r="AV992" i="1"/>
  <c r="AK992" i="1"/>
  <c r="AV991" i="1"/>
  <c r="AL991" i="1"/>
  <c r="AN991" i="1" s="1"/>
  <c r="AK991" i="1"/>
  <c r="AV990" i="1"/>
  <c r="AL990" i="1"/>
  <c r="AN990" i="1" s="1"/>
  <c r="AK990" i="1"/>
  <c r="AV989" i="1"/>
  <c r="AL989" i="1"/>
  <c r="AN989" i="1" s="1"/>
  <c r="AK989" i="1"/>
  <c r="AV988" i="1"/>
  <c r="AK988" i="1"/>
  <c r="AV987" i="1"/>
  <c r="AK987" i="1"/>
  <c r="AV986" i="1"/>
  <c r="AK986" i="1"/>
  <c r="AV985" i="1"/>
  <c r="AL985" i="1"/>
  <c r="AN985" i="1" s="1"/>
  <c r="AK985" i="1"/>
  <c r="AV984" i="1"/>
  <c r="AK984" i="1"/>
  <c r="AL988" i="1" s="1"/>
  <c r="AN988" i="1" s="1"/>
  <c r="AV983" i="1"/>
  <c r="AL983" i="1"/>
  <c r="AN983" i="1" s="1"/>
  <c r="AK983" i="1"/>
  <c r="AV982" i="1"/>
  <c r="AL982" i="1"/>
  <c r="AN982" i="1" s="1"/>
  <c r="AK982" i="1"/>
  <c r="AV981" i="1"/>
  <c r="AK981" i="1"/>
  <c r="AV980" i="1"/>
  <c r="AK980" i="1"/>
  <c r="AV979" i="1"/>
  <c r="AK979" i="1"/>
  <c r="AV978" i="1"/>
  <c r="AK978" i="1"/>
  <c r="AV977" i="1"/>
  <c r="AK977" i="1"/>
  <c r="AL980" i="1" s="1"/>
  <c r="AN980" i="1" s="1"/>
  <c r="AV976" i="1"/>
  <c r="AN976" i="1"/>
  <c r="AL976" i="1"/>
  <c r="AK976" i="1"/>
  <c r="AV975" i="1"/>
  <c r="AK975" i="1"/>
  <c r="AV974" i="1"/>
  <c r="AK974" i="1"/>
  <c r="AV973" i="1"/>
  <c r="AK973" i="1"/>
  <c r="AV972" i="1"/>
  <c r="AK972" i="1"/>
  <c r="AV971" i="1"/>
  <c r="AK971" i="1"/>
  <c r="AV970" i="1"/>
  <c r="AK970" i="1"/>
  <c r="AV969" i="1"/>
  <c r="AK969" i="1"/>
  <c r="AL973" i="1" s="1"/>
  <c r="AN973" i="1" s="1"/>
  <c r="AV968" i="1"/>
  <c r="AK968" i="1"/>
  <c r="AL972" i="1" s="1"/>
  <c r="AN972" i="1" s="1"/>
  <c r="AV967" i="1"/>
  <c r="AK967" i="1"/>
  <c r="AV966" i="1"/>
  <c r="AK966" i="1"/>
  <c r="AV965" i="1"/>
  <c r="AK965" i="1"/>
  <c r="AL968" i="1" s="1"/>
  <c r="AN968" i="1" s="1"/>
  <c r="AV964" i="1"/>
  <c r="AK964" i="1"/>
  <c r="AV963" i="1"/>
  <c r="AK963" i="1"/>
  <c r="AV962" i="1"/>
  <c r="AK962" i="1"/>
  <c r="AV961" i="1"/>
  <c r="AK961" i="1"/>
  <c r="AV960" i="1"/>
  <c r="AK960" i="1"/>
  <c r="AL964" i="1" s="1"/>
  <c r="AN964" i="1" s="1"/>
  <c r="AV959" i="1"/>
  <c r="AK959" i="1"/>
  <c r="AL963" i="1" s="1"/>
  <c r="AN963" i="1" s="1"/>
  <c r="AV958" i="1"/>
  <c r="AK958" i="1"/>
  <c r="AV957" i="1"/>
  <c r="AL957" i="1"/>
  <c r="AN957" i="1" s="1"/>
  <c r="AK957" i="1"/>
  <c r="AV956" i="1"/>
  <c r="AK956" i="1"/>
  <c r="AV955" i="1"/>
  <c r="AK955" i="1"/>
  <c r="AV954" i="1"/>
  <c r="AK954" i="1"/>
  <c r="AV953" i="1"/>
  <c r="AK953" i="1"/>
  <c r="AV952" i="1"/>
  <c r="AK952" i="1"/>
  <c r="AL955" i="1" s="1"/>
  <c r="AN955" i="1" s="1"/>
  <c r="AV951" i="1"/>
  <c r="AK951" i="1"/>
  <c r="AV950" i="1"/>
  <c r="AK950" i="1"/>
  <c r="AV949" i="1"/>
  <c r="AK949" i="1"/>
  <c r="AV948" i="1"/>
  <c r="AK948" i="1"/>
  <c r="AV947" i="1"/>
  <c r="AK947" i="1"/>
  <c r="AV946" i="1"/>
  <c r="AK946" i="1"/>
  <c r="AV945" i="1"/>
  <c r="AK945" i="1"/>
  <c r="AV944" i="1"/>
  <c r="AK944" i="1"/>
  <c r="AL948" i="1" s="1"/>
  <c r="AN948" i="1" s="1"/>
  <c r="AV943" i="1"/>
  <c r="AK943" i="1"/>
  <c r="AV942" i="1"/>
  <c r="AK942" i="1"/>
  <c r="AV941" i="1"/>
  <c r="AK941" i="1"/>
  <c r="AV940" i="1"/>
  <c r="AK940" i="1"/>
  <c r="AV939" i="1"/>
  <c r="AL939" i="1"/>
  <c r="AN939" i="1" s="1"/>
  <c r="AK939" i="1"/>
  <c r="AV938" i="1"/>
  <c r="AK938" i="1"/>
  <c r="AV937" i="1"/>
  <c r="AK937" i="1"/>
  <c r="AV936" i="1"/>
  <c r="AK936" i="1"/>
  <c r="AV935" i="1"/>
  <c r="AK935" i="1"/>
  <c r="AV934" i="1"/>
  <c r="AK934" i="1"/>
  <c r="AV933" i="1"/>
  <c r="AK933" i="1"/>
  <c r="AL937" i="1" s="1"/>
  <c r="AN937" i="1" s="1"/>
  <c r="AV932" i="1"/>
  <c r="AN932" i="1"/>
  <c r="AL932" i="1"/>
  <c r="AK932" i="1"/>
  <c r="AV931" i="1"/>
  <c r="AK931" i="1"/>
  <c r="AV930" i="1"/>
  <c r="AK930" i="1"/>
  <c r="AV929" i="1"/>
  <c r="AK929" i="1"/>
  <c r="AV928" i="1"/>
  <c r="AK928" i="1"/>
  <c r="AV927" i="1"/>
  <c r="AK927" i="1"/>
  <c r="AL930" i="1" s="1"/>
  <c r="AN930" i="1" s="1"/>
  <c r="AV926" i="1"/>
  <c r="AK926" i="1"/>
  <c r="AV925" i="1"/>
  <c r="AL925" i="1"/>
  <c r="AN925" i="1" s="1"/>
  <c r="AK925" i="1"/>
  <c r="AV924" i="1"/>
  <c r="AK924" i="1"/>
  <c r="AV923" i="1"/>
  <c r="AK923" i="1"/>
  <c r="AV922" i="1"/>
  <c r="AK922" i="1"/>
  <c r="AV921" i="1"/>
  <c r="AK921" i="1"/>
  <c r="AV920" i="1"/>
  <c r="AK920" i="1"/>
  <c r="AV919" i="1"/>
  <c r="AK919" i="1"/>
  <c r="AL923" i="1" s="1"/>
  <c r="AN923" i="1" s="1"/>
  <c r="AV918" i="1"/>
  <c r="AK918" i="1"/>
  <c r="AV917" i="1"/>
  <c r="AK917" i="1"/>
  <c r="AV916" i="1"/>
  <c r="AK916" i="1"/>
  <c r="AV915" i="1"/>
  <c r="AL915" i="1"/>
  <c r="AN915" i="1" s="1"/>
  <c r="AK915" i="1"/>
  <c r="AV914" i="1"/>
  <c r="AL914" i="1"/>
  <c r="AN914" i="1" s="1"/>
  <c r="AK914" i="1"/>
  <c r="AV913" i="1"/>
  <c r="AK913" i="1"/>
  <c r="AV912" i="1"/>
  <c r="AK912" i="1"/>
  <c r="AV911" i="1"/>
  <c r="AK911" i="1"/>
  <c r="AV910" i="1"/>
  <c r="AK910" i="1"/>
  <c r="AV909" i="1"/>
  <c r="AK909" i="1"/>
  <c r="AL913" i="1" s="1"/>
  <c r="AN913" i="1" s="1"/>
  <c r="AV908" i="1"/>
  <c r="AK908" i="1"/>
  <c r="AV907" i="1"/>
  <c r="AK907" i="1"/>
  <c r="AV906" i="1"/>
  <c r="AL906" i="1"/>
  <c r="AN906" i="1" s="1"/>
  <c r="AK906" i="1"/>
  <c r="AV905" i="1"/>
  <c r="AK905" i="1"/>
  <c r="AV904" i="1"/>
  <c r="AK904" i="1"/>
  <c r="AV903" i="1"/>
  <c r="AK903" i="1"/>
  <c r="AV902" i="1"/>
  <c r="AK902" i="1"/>
  <c r="AL905" i="1" s="1"/>
  <c r="AN905" i="1" s="1"/>
  <c r="AV901" i="1"/>
  <c r="AK901" i="1"/>
  <c r="AV900" i="1"/>
  <c r="AK900" i="1"/>
  <c r="AL904" i="1" s="1"/>
  <c r="AN904" i="1" s="1"/>
  <c r="AV899" i="1"/>
  <c r="AK899" i="1"/>
  <c r="AV898" i="1"/>
  <c r="AL898" i="1"/>
  <c r="AN898" i="1" s="1"/>
  <c r="AK898" i="1"/>
  <c r="AV897" i="1"/>
  <c r="AN897" i="1"/>
  <c r="AK897" i="1"/>
  <c r="AV896" i="1"/>
  <c r="AK896" i="1"/>
  <c r="AV895" i="1"/>
  <c r="AK895" i="1"/>
  <c r="AV894" i="1"/>
  <c r="AK894" i="1"/>
  <c r="AV893" i="1"/>
  <c r="AK893" i="1"/>
  <c r="AL897" i="1" s="1"/>
  <c r="AV892" i="1"/>
  <c r="AL892" i="1"/>
  <c r="AN892" i="1" s="1"/>
  <c r="AK892" i="1"/>
  <c r="AV891" i="1"/>
  <c r="AL891" i="1"/>
  <c r="AN891" i="1" s="1"/>
  <c r="AK891" i="1"/>
  <c r="AV890" i="1"/>
  <c r="AL890" i="1"/>
  <c r="AN890" i="1" s="1"/>
  <c r="AK890" i="1"/>
  <c r="AV889" i="1"/>
  <c r="AN889" i="1"/>
  <c r="AL889" i="1"/>
  <c r="AK889" i="1"/>
  <c r="AV888" i="1"/>
  <c r="AK888" i="1"/>
  <c r="AV887" i="1"/>
  <c r="AK887" i="1"/>
  <c r="AV886" i="1"/>
  <c r="AK886" i="1"/>
  <c r="AV885" i="1"/>
  <c r="AK885" i="1"/>
  <c r="AV884" i="1"/>
  <c r="AK884" i="1"/>
  <c r="AL888" i="1" s="1"/>
  <c r="AN888" i="1" s="1"/>
  <c r="AO892" i="1" s="1"/>
  <c r="AV883" i="1"/>
  <c r="AK883" i="1"/>
  <c r="AV882" i="1"/>
  <c r="AK882" i="1"/>
  <c r="AV881" i="1"/>
  <c r="AN881" i="1"/>
  <c r="AL881" i="1"/>
  <c r="AK881" i="1"/>
  <c r="AV880" i="1"/>
  <c r="AK880" i="1"/>
  <c r="AV879" i="1"/>
  <c r="AK879" i="1"/>
  <c r="AV878" i="1"/>
  <c r="AK878" i="1"/>
  <c r="AV877" i="1"/>
  <c r="AK877" i="1"/>
  <c r="AL880" i="1" s="1"/>
  <c r="AN880" i="1" s="1"/>
  <c r="AV876" i="1"/>
  <c r="AL876" i="1"/>
  <c r="AN876" i="1" s="1"/>
  <c r="AK876" i="1"/>
  <c r="AV875" i="1"/>
  <c r="AL875" i="1"/>
  <c r="AN875" i="1" s="1"/>
  <c r="AK875" i="1"/>
  <c r="AL879" i="1" s="1"/>
  <c r="AN879" i="1" s="1"/>
  <c r="AV874" i="1"/>
  <c r="AK874" i="1"/>
  <c r="AV873" i="1"/>
  <c r="AK873" i="1"/>
  <c r="AV872" i="1"/>
  <c r="AK872" i="1"/>
  <c r="AV871" i="1"/>
  <c r="AK871" i="1"/>
  <c r="AV870" i="1"/>
  <c r="AK870" i="1"/>
  <c r="AL874" i="1" s="1"/>
  <c r="AN874" i="1" s="1"/>
  <c r="AV869" i="1"/>
  <c r="AK869" i="1"/>
  <c r="AV868" i="1"/>
  <c r="AK868" i="1"/>
  <c r="AV867" i="1"/>
  <c r="AK867" i="1"/>
  <c r="AV866" i="1"/>
  <c r="AK866" i="1"/>
  <c r="AV865" i="1"/>
  <c r="AN865" i="1"/>
  <c r="AL865" i="1"/>
  <c r="AK865" i="1"/>
  <c r="AL869" i="1" s="1"/>
  <c r="AN869" i="1" s="1"/>
  <c r="AV864" i="1"/>
  <c r="AK864" i="1"/>
  <c r="AV863" i="1"/>
  <c r="AK863" i="1"/>
  <c r="AV862" i="1"/>
  <c r="AK862" i="1"/>
  <c r="AV861" i="1"/>
  <c r="AK861" i="1"/>
  <c r="AV860" i="1"/>
  <c r="AL860" i="1"/>
  <c r="AN860" i="1" s="1"/>
  <c r="AK860" i="1"/>
  <c r="AL864" i="1" s="1"/>
  <c r="AN864" i="1" s="1"/>
  <c r="AV859" i="1"/>
  <c r="AK859" i="1"/>
  <c r="AV858" i="1"/>
  <c r="AK858" i="1"/>
  <c r="AV857" i="1"/>
  <c r="AK857" i="1"/>
  <c r="AV856" i="1"/>
  <c r="AK856" i="1"/>
  <c r="AV855" i="1"/>
  <c r="AK855" i="1"/>
  <c r="AL859" i="1" s="1"/>
  <c r="AN859" i="1" s="1"/>
  <c r="AV854" i="1"/>
  <c r="AK854" i="1"/>
  <c r="AV853" i="1"/>
  <c r="AK853" i="1"/>
  <c r="AV852" i="1"/>
  <c r="AK852" i="1"/>
  <c r="AV851" i="1"/>
  <c r="AK851" i="1"/>
  <c r="AV850" i="1"/>
  <c r="AK850" i="1"/>
  <c r="AL854" i="1" s="1"/>
  <c r="AN854" i="1" s="1"/>
  <c r="AV849" i="1"/>
  <c r="AK849" i="1"/>
  <c r="AV848" i="1"/>
  <c r="AK848" i="1"/>
  <c r="AV847" i="1"/>
  <c r="AK847" i="1"/>
  <c r="AV846" i="1"/>
  <c r="AK846" i="1"/>
  <c r="AV845" i="1"/>
  <c r="AK845" i="1"/>
  <c r="AV844" i="1"/>
  <c r="AN844" i="1"/>
  <c r="AL844" i="1"/>
  <c r="AK844" i="1"/>
  <c r="AV843" i="1"/>
  <c r="AK843" i="1"/>
  <c r="AV842" i="1"/>
  <c r="AK842" i="1"/>
  <c r="AV841" i="1"/>
  <c r="AK841" i="1"/>
  <c r="AV840" i="1"/>
  <c r="AK840" i="1"/>
  <c r="AV839" i="1"/>
  <c r="AK839" i="1"/>
  <c r="AV838" i="1"/>
  <c r="AK838" i="1"/>
  <c r="AV837" i="1"/>
  <c r="AK837" i="1"/>
  <c r="AL841" i="1" s="1"/>
  <c r="AN841" i="1" s="1"/>
  <c r="AV836" i="1"/>
  <c r="AK836" i="1"/>
  <c r="AL840" i="1" s="1"/>
  <c r="AN840" i="1" s="1"/>
  <c r="AV835" i="1"/>
  <c r="AK835" i="1"/>
  <c r="AL839" i="1" s="1"/>
  <c r="AN839" i="1" s="1"/>
  <c r="AV834" i="1"/>
  <c r="AK834" i="1"/>
  <c r="AV833" i="1"/>
  <c r="AK833" i="1"/>
  <c r="AV832" i="1"/>
  <c r="AK832" i="1"/>
  <c r="AV831" i="1"/>
  <c r="AK831" i="1"/>
  <c r="AV830" i="1"/>
  <c r="AK830" i="1"/>
  <c r="AL834" i="1" s="1"/>
  <c r="AN834" i="1" s="1"/>
  <c r="AV829" i="1"/>
  <c r="AK829" i="1"/>
  <c r="AV828" i="1"/>
  <c r="AK828" i="1"/>
  <c r="AV827" i="1"/>
  <c r="AK827" i="1"/>
  <c r="AV826" i="1"/>
  <c r="AK826" i="1"/>
  <c r="AL829" i="1" s="1"/>
  <c r="AN829" i="1" s="1"/>
  <c r="AV825" i="1"/>
  <c r="AK825" i="1"/>
  <c r="AV824" i="1"/>
  <c r="AK824" i="1"/>
  <c r="AV823" i="1"/>
  <c r="AK823" i="1"/>
  <c r="AV822" i="1"/>
  <c r="AK822" i="1"/>
  <c r="AL826" i="1" s="1"/>
  <c r="AN826" i="1" s="1"/>
  <c r="AV821" i="1"/>
  <c r="AK821" i="1"/>
  <c r="AV820" i="1"/>
  <c r="AK820" i="1"/>
  <c r="AV819" i="1"/>
  <c r="AL819" i="1"/>
  <c r="AN819" i="1" s="1"/>
  <c r="AK819" i="1"/>
  <c r="AV818" i="1"/>
  <c r="AK818" i="1"/>
  <c r="AV817" i="1"/>
  <c r="AK817" i="1"/>
  <c r="AV816" i="1"/>
  <c r="AK816" i="1"/>
  <c r="AV815" i="1"/>
  <c r="AK815" i="1"/>
  <c r="AV814" i="1"/>
  <c r="AK814" i="1"/>
  <c r="AV813" i="1"/>
  <c r="AK813" i="1"/>
  <c r="AV812" i="1"/>
  <c r="AK812" i="1"/>
  <c r="AL816" i="1" s="1"/>
  <c r="AN816" i="1" s="1"/>
  <c r="AV811" i="1"/>
  <c r="AN811" i="1"/>
  <c r="AK811" i="1"/>
  <c r="AV810" i="1"/>
  <c r="AL810" i="1"/>
  <c r="AN810" i="1" s="1"/>
  <c r="AK810" i="1"/>
  <c r="AL814" i="1" s="1"/>
  <c r="AN814" i="1" s="1"/>
  <c r="AV809" i="1"/>
  <c r="AK809" i="1"/>
  <c r="AL811" i="1" s="1"/>
  <c r="AV808" i="1"/>
  <c r="AK808" i="1"/>
  <c r="AV807" i="1"/>
  <c r="AK807" i="1"/>
  <c r="AV806" i="1"/>
  <c r="AK806" i="1"/>
  <c r="AV805" i="1"/>
  <c r="AK805" i="1"/>
  <c r="AL809" i="1" s="1"/>
  <c r="AN809" i="1" s="1"/>
  <c r="AV804" i="1"/>
  <c r="AK804" i="1"/>
  <c r="AV803" i="1"/>
  <c r="AK803" i="1"/>
  <c r="AV802" i="1"/>
  <c r="AK802" i="1"/>
  <c r="AV801" i="1"/>
  <c r="AK801" i="1"/>
  <c r="AV800" i="1"/>
  <c r="AK800" i="1"/>
  <c r="AV799" i="1"/>
  <c r="AK799" i="1"/>
  <c r="AV798" i="1"/>
  <c r="AK798" i="1"/>
  <c r="AV797" i="1"/>
  <c r="AK797" i="1"/>
  <c r="AV796" i="1"/>
  <c r="AK796" i="1"/>
  <c r="AV795" i="1"/>
  <c r="AL795" i="1"/>
  <c r="AN795" i="1" s="1"/>
  <c r="AK795" i="1"/>
  <c r="AL799" i="1" s="1"/>
  <c r="AN799" i="1" s="1"/>
  <c r="AV794" i="1"/>
  <c r="AK794" i="1"/>
  <c r="AV793" i="1"/>
  <c r="AK793" i="1"/>
  <c r="AV792" i="1"/>
  <c r="AK792" i="1"/>
  <c r="AV791" i="1"/>
  <c r="AK791" i="1"/>
  <c r="AV790" i="1"/>
  <c r="AK790" i="1"/>
  <c r="AV789" i="1"/>
  <c r="AK789" i="1"/>
  <c r="AV788" i="1"/>
  <c r="AK788" i="1"/>
  <c r="AV787" i="1"/>
  <c r="AK787" i="1"/>
  <c r="AL791" i="1" s="1"/>
  <c r="AN791" i="1" s="1"/>
  <c r="AV786" i="1"/>
  <c r="AK786" i="1"/>
  <c r="AV785" i="1"/>
  <c r="AK785" i="1"/>
  <c r="AL785" i="1" s="1"/>
  <c r="AN785" i="1" s="1"/>
  <c r="AV784" i="1"/>
  <c r="AK784" i="1"/>
  <c r="AV783" i="1"/>
  <c r="AK783" i="1"/>
  <c r="AV782" i="1"/>
  <c r="AK782" i="1"/>
  <c r="AV781" i="1"/>
  <c r="AN781" i="1"/>
  <c r="AL781" i="1"/>
  <c r="AK781" i="1"/>
  <c r="AV780" i="1"/>
  <c r="AN780" i="1"/>
  <c r="AL780" i="1"/>
  <c r="AK780" i="1"/>
  <c r="AV779" i="1"/>
  <c r="AN779" i="1"/>
  <c r="AL779" i="1"/>
  <c r="AK779" i="1"/>
  <c r="AV778" i="1"/>
  <c r="AK778" i="1"/>
  <c r="AV777" i="1"/>
  <c r="AK777" i="1"/>
  <c r="AV776" i="1"/>
  <c r="AN776" i="1"/>
  <c r="AL776" i="1"/>
  <c r="AK776" i="1"/>
  <c r="AV775" i="1"/>
  <c r="AN775" i="1"/>
  <c r="AL775" i="1"/>
  <c r="AK775" i="1"/>
  <c r="AV774" i="1"/>
  <c r="AN774" i="1"/>
  <c r="AL774" i="1"/>
  <c r="AK774" i="1"/>
  <c r="AL777" i="1" s="1"/>
  <c r="AN777" i="1" s="1"/>
  <c r="AV773" i="1"/>
  <c r="AK773" i="1"/>
  <c r="AV772" i="1"/>
  <c r="AK772" i="1"/>
  <c r="AV771" i="1"/>
  <c r="AN771" i="1"/>
  <c r="AL771" i="1"/>
  <c r="AK771" i="1"/>
  <c r="AV770" i="1"/>
  <c r="AN770" i="1"/>
  <c r="AL770" i="1"/>
  <c r="AK770" i="1"/>
  <c r="AV769" i="1"/>
  <c r="AN769" i="1"/>
  <c r="AL769" i="1"/>
  <c r="AK769" i="1"/>
  <c r="AL772" i="1" s="1"/>
  <c r="AN772" i="1" s="1"/>
  <c r="AV768" i="1"/>
  <c r="AK768" i="1"/>
  <c r="AV767" i="1"/>
  <c r="AK767" i="1"/>
  <c r="AV766" i="1"/>
  <c r="AN766" i="1"/>
  <c r="AL766" i="1"/>
  <c r="AK766" i="1"/>
  <c r="AV765" i="1"/>
  <c r="AN765" i="1"/>
  <c r="AL765" i="1"/>
  <c r="AK765" i="1"/>
  <c r="AV764" i="1"/>
  <c r="AN764" i="1"/>
  <c r="AL764" i="1"/>
  <c r="AK764" i="1"/>
  <c r="AL767" i="1" s="1"/>
  <c r="AN767" i="1" s="1"/>
  <c r="AV763" i="1"/>
  <c r="AK763" i="1"/>
  <c r="AV762" i="1"/>
  <c r="AK762" i="1"/>
  <c r="AV761" i="1"/>
  <c r="AN761" i="1"/>
  <c r="AL761" i="1"/>
  <c r="AK761" i="1"/>
  <c r="AV760" i="1"/>
  <c r="AN760" i="1"/>
  <c r="AL760" i="1"/>
  <c r="AK760" i="1"/>
  <c r="AV759" i="1"/>
  <c r="AN759" i="1"/>
  <c r="AL759" i="1"/>
  <c r="AK759" i="1"/>
  <c r="AL762" i="1" s="1"/>
  <c r="AN762" i="1" s="1"/>
  <c r="AV758" i="1"/>
  <c r="AK758" i="1"/>
  <c r="AV757" i="1"/>
  <c r="AK757" i="1"/>
  <c r="AV756" i="1"/>
  <c r="AN756" i="1"/>
  <c r="AL756" i="1"/>
  <c r="AK756" i="1"/>
  <c r="AV755" i="1"/>
  <c r="AN755" i="1"/>
  <c r="AL755" i="1"/>
  <c r="AK755" i="1"/>
  <c r="AV754" i="1"/>
  <c r="AN754" i="1"/>
  <c r="AL754" i="1"/>
  <c r="AK754" i="1"/>
  <c r="AL757" i="1" s="1"/>
  <c r="AN757" i="1" s="1"/>
  <c r="AV753" i="1"/>
  <c r="AK753" i="1"/>
  <c r="AV752" i="1"/>
  <c r="AK752" i="1"/>
  <c r="AV751" i="1"/>
  <c r="AN751" i="1"/>
  <c r="AL751" i="1"/>
  <c r="AK751" i="1"/>
  <c r="AV750" i="1"/>
  <c r="AN750" i="1"/>
  <c r="AL750" i="1"/>
  <c r="AK750" i="1"/>
  <c r="AV749" i="1"/>
  <c r="AN749" i="1"/>
  <c r="AL749" i="1"/>
  <c r="AK749" i="1"/>
  <c r="AL752" i="1" s="1"/>
  <c r="AN752" i="1" s="1"/>
  <c r="AV748" i="1"/>
  <c r="AK748" i="1"/>
  <c r="AV747" i="1"/>
  <c r="AK747" i="1"/>
  <c r="AV746" i="1"/>
  <c r="AN746" i="1"/>
  <c r="AL746" i="1"/>
  <c r="AK746" i="1"/>
  <c r="AV745" i="1"/>
  <c r="AN745" i="1"/>
  <c r="AL745" i="1"/>
  <c r="AK745" i="1"/>
  <c r="AV744" i="1"/>
  <c r="AN744" i="1"/>
  <c r="AL744" i="1"/>
  <c r="AK744" i="1"/>
  <c r="AL747" i="1" s="1"/>
  <c r="AN747" i="1" s="1"/>
  <c r="AV743" i="1"/>
  <c r="AK743" i="1"/>
  <c r="AV742" i="1"/>
  <c r="AK742" i="1"/>
  <c r="AV741" i="1"/>
  <c r="AN741" i="1"/>
  <c r="AL741" i="1"/>
  <c r="AK741" i="1"/>
  <c r="AV740" i="1"/>
  <c r="AN740" i="1"/>
  <c r="AL740" i="1"/>
  <c r="AK740" i="1"/>
  <c r="AV739" i="1"/>
  <c r="AN739" i="1"/>
  <c r="AL739" i="1"/>
  <c r="AK739" i="1"/>
  <c r="AL742" i="1" s="1"/>
  <c r="AN742" i="1" s="1"/>
  <c r="AV738" i="1"/>
  <c r="AK738" i="1"/>
  <c r="AV737" i="1"/>
  <c r="AK737" i="1"/>
  <c r="AV736" i="1"/>
  <c r="AN736" i="1"/>
  <c r="AL736" i="1"/>
  <c r="AK736" i="1"/>
  <c r="AV735" i="1"/>
  <c r="AN735" i="1"/>
  <c r="AL735" i="1"/>
  <c r="AK735" i="1"/>
  <c r="AV734" i="1"/>
  <c r="AN734" i="1"/>
  <c r="AL734" i="1"/>
  <c r="AK734" i="1"/>
  <c r="AL737" i="1" s="1"/>
  <c r="AN737" i="1" s="1"/>
  <c r="AV733" i="1"/>
  <c r="AK733" i="1"/>
  <c r="AV732" i="1"/>
  <c r="AK732" i="1"/>
  <c r="AV731" i="1"/>
  <c r="AN731" i="1"/>
  <c r="AL731" i="1"/>
  <c r="AK731" i="1"/>
  <c r="AV730" i="1"/>
  <c r="AN730" i="1"/>
  <c r="AL730" i="1"/>
  <c r="AK730" i="1"/>
  <c r="AV729" i="1"/>
  <c r="AN729" i="1"/>
  <c r="AL729" i="1"/>
  <c r="AK729" i="1"/>
  <c r="AL732" i="1" s="1"/>
  <c r="AN732" i="1" s="1"/>
  <c r="AV728" i="1"/>
  <c r="AK728" i="1"/>
  <c r="AV727" i="1"/>
  <c r="AK727" i="1"/>
  <c r="AV726" i="1"/>
  <c r="AN726" i="1"/>
  <c r="AL726" i="1"/>
  <c r="AK726" i="1"/>
  <c r="AV725" i="1"/>
  <c r="AN725" i="1"/>
  <c r="AL725" i="1"/>
  <c r="AK725" i="1"/>
  <c r="AV724" i="1"/>
  <c r="AN724" i="1"/>
  <c r="AL724" i="1"/>
  <c r="AK724" i="1"/>
  <c r="AL727" i="1" s="1"/>
  <c r="AN727" i="1" s="1"/>
  <c r="AV723" i="1"/>
  <c r="AK723" i="1"/>
  <c r="AV722" i="1"/>
  <c r="AK722" i="1"/>
  <c r="AV721" i="1"/>
  <c r="AN721" i="1"/>
  <c r="AK721" i="1"/>
  <c r="AV720" i="1"/>
  <c r="AK720" i="1"/>
  <c r="AV719" i="1"/>
  <c r="AK719" i="1"/>
  <c r="AL722" i="1" s="1"/>
  <c r="AN722" i="1" s="1"/>
  <c r="AV718" i="1"/>
  <c r="AK718" i="1"/>
  <c r="AV717" i="1"/>
  <c r="AK717" i="1"/>
  <c r="AL721" i="1" s="1"/>
  <c r="AV716" i="1"/>
  <c r="AK716" i="1"/>
  <c r="AL720" i="1" s="1"/>
  <c r="AN720" i="1" s="1"/>
  <c r="AV715" i="1"/>
  <c r="AL715" i="1"/>
  <c r="AN715" i="1" s="1"/>
  <c r="AK715" i="1"/>
  <c r="AL719" i="1" s="1"/>
  <c r="AN719" i="1" s="1"/>
  <c r="AV714" i="1"/>
  <c r="AL714" i="1"/>
  <c r="AN714" i="1" s="1"/>
  <c r="AK714" i="1"/>
  <c r="AV713" i="1"/>
  <c r="AL713" i="1"/>
  <c r="AN713" i="1" s="1"/>
  <c r="AK713" i="1"/>
  <c r="AV712" i="1"/>
  <c r="AL712" i="1"/>
  <c r="AN712" i="1" s="1"/>
  <c r="AK712" i="1"/>
  <c r="AV711" i="1"/>
  <c r="AN711" i="1"/>
  <c r="AK711" i="1"/>
  <c r="AV710" i="1"/>
  <c r="AK710" i="1"/>
  <c r="AV709" i="1"/>
  <c r="AK709" i="1"/>
  <c r="AV708" i="1"/>
  <c r="AK708" i="1"/>
  <c r="AV707" i="1"/>
  <c r="AL707" i="1"/>
  <c r="AN707" i="1" s="1"/>
  <c r="AK707" i="1"/>
  <c r="AL711" i="1" s="1"/>
  <c r="AV706" i="1"/>
  <c r="AK706" i="1"/>
  <c r="AV705" i="1"/>
  <c r="AK705" i="1"/>
  <c r="AV704" i="1"/>
  <c r="AK704" i="1"/>
  <c r="AL706" i="1" s="1"/>
  <c r="AN706" i="1" s="1"/>
  <c r="AV703" i="1"/>
  <c r="AK703" i="1"/>
  <c r="AV702" i="1"/>
  <c r="AK702" i="1"/>
  <c r="AV701" i="1"/>
  <c r="AK701" i="1"/>
  <c r="AV700" i="1"/>
  <c r="AK700" i="1"/>
  <c r="AL704" i="1" s="1"/>
  <c r="AN704" i="1" s="1"/>
  <c r="AV699" i="1"/>
  <c r="AK699" i="1"/>
  <c r="AV698" i="1"/>
  <c r="AK698" i="1"/>
  <c r="AV697" i="1"/>
  <c r="AK697" i="1"/>
  <c r="AV696" i="1"/>
  <c r="AK696" i="1"/>
  <c r="AL699" i="1" s="1"/>
  <c r="AN699" i="1" s="1"/>
  <c r="AV695" i="1"/>
  <c r="AK695" i="1"/>
  <c r="AV694" i="1"/>
  <c r="AK694" i="1"/>
  <c r="AV693" i="1"/>
  <c r="AK693" i="1"/>
  <c r="AV692" i="1"/>
  <c r="AK692" i="1"/>
  <c r="AL696" i="1" s="1"/>
  <c r="AN696" i="1" s="1"/>
  <c r="AV691" i="1"/>
  <c r="AL691" i="1"/>
  <c r="AN691" i="1" s="1"/>
  <c r="AK691" i="1"/>
  <c r="AV690" i="1"/>
  <c r="AK690" i="1"/>
  <c r="AV689" i="1"/>
  <c r="AN689" i="1"/>
  <c r="AL689" i="1"/>
  <c r="AK689" i="1"/>
  <c r="AV688" i="1"/>
  <c r="AL688" i="1"/>
  <c r="AN688" i="1" s="1"/>
  <c r="AK688" i="1"/>
  <c r="AV687" i="1"/>
  <c r="AL687" i="1"/>
  <c r="AN687" i="1" s="1"/>
  <c r="AK687" i="1"/>
  <c r="AV686" i="1"/>
  <c r="AK686" i="1"/>
  <c r="AV685" i="1"/>
  <c r="AK685" i="1"/>
  <c r="AV684" i="1"/>
  <c r="AK684" i="1"/>
  <c r="AV683" i="1"/>
  <c r="AK683" i="1"/>
  <c r="AV682" i="1"/>
  <c r="AK682" i="1"/>
  <c r="AV681" i="1"/>
  <c r="AK681" i="1"/>
  <c r="AV680" i="1"/>
  <c r="AN680" i="1"/>
  <c r="AK680" i="1"/>
  <c r="AV679" i="1"/>
  <c r="AK679" i="1"/>
  <c r="AL680" i="1" s="1"/>
  <c r="AV678" i="1"/>
  <c r="AK678" i="1"/>
  <c r="AV677" i="1"/>
  <c r="AK677" i="1"/>
  <c r="AV676" i="1"/>
  <c r="AK676" i="1"/>
  <c r="AV675" i="1"/>
  <c r="AK675" i="1"/>
  <c r="AL679" i="1" s="1"/>
  <c r="AN679" i="1" s="1"/>
  <c r="AV674" i="1"/>
  <c r="AK674" i="1"/>
  <c r="AV673" i="1"/>
  <c r="AK673" i="1"/>
  <c r="AV672" i="1"/>
  <c r="AK672" i="1"/>
  <c r="AV671" i="1"/>
  <c r="AL671" i="1"/>
  <c r="AN671" i="1" s="1"/>
  <c r="AK671" i="1"/>
  <c r="AV670" i="1"/>
  <c r="AK670" i="1"/>
  <c r="AV669" i="1"/>
  <c r="AK669" i="1"/>
  <c r="AV668" i="1"/>
  <c r="AK668" i="1"/>
  <c r="AV667" i="1"/>
  <c r="AK667" i="1"/>
  <c r="AV666" i="1"/>
  <c r="AK666" i="1"/>
  <c r="AL670" i="1" s="1"/>
  <c r="AN670" i="1" s="1"/>
  <c r="AV665" i="1"/>
  <c r="AK665" i="1"/>
  <c r="AV664" i="1"/>
  <c r="AK664" i="1"/>
  <c r="AV663" i="1"/>
  <c r="AN663" i="1"/>
  <c r="AL663" i="1"/>
  <c r="AK663" i="1"/>
  <c r="AV662" i="1"/>
  <c r="AL662" i="1"/>
  <c r="AN662" i="1" s="1"/>
  <c r="AK662" i="1"/>
  <c r="AV661" i="1"/>
  <c r="AN661" i="1"/>
  <c r="AK661" i="1"/>
  <c r="AV660" i="1"/>
  <c r="AK660" i="1"/>
  <c r="AV659" i="1"/>
  <c r="AK659" i="1"/>
  <c r="AV658" i="1"/>
  <c r="AK658" i="1"/>
  <c r="AV657" i="1"/>
  <c r="AK657" i="1"/>
  <c r="AL661" i="1" s="1"/>
  <c r="AV656" i="1"/>
  <c r="AK656" i="1"/>
  <c r="AL660" i="1" s="1"/>
  <c r="AN660" i="1" s="1"/>
  <c r="AV655" i="1"/>
  <c r="AL655" i="1"/>
  <c r="AN655" i="1" s="1"/>
  <c r="AK655" i="1"/>
  <c r="AL659" i="1" s="1"/>
  <c r="AN659" i="1" s="1"/>
  <c r="AO663" i="1" s="1"/>
  <c r="AV654" i="1"/>
  <c r="AK654" i="1"/>
  <c r="AV653" i="1"/>
  <c r="AK653" i="1"/>
  <c r="AV652" i="1"/>
  <c r="AK652" i="1"/>
  <c r="AV651" i="1"/>
  <c r="AK651" i="1"/>
  <c r="AV650" i="1"/>
  <c r="AK650" i="1"/>
  <c r="AV649" i="1"/>
  <c r="AK649" i="1"/>
  <c r="AV648" i="1"/>
  <c r="AK648" i="1"/>
  <c r="AV647" i="1"/>
  <c r="AK647" i="1"/>
  <c r="AV646" i="1"/>
  <c r="AK646" i="1"/>
  <c r="AV645" i="1"/>
  <c r="AK645" i="1"/>
  <c r="AV644" i="1"/>
  <c r="AK644" i="1"/>
  <c r="AV643" i="1"/>
  <c r="AK643" i="1"/>
  <c r="AV642" i="1"/>
  <c r="AK642" i="1"/>
  <c r="AV641" i="1"/>
  <c r="AK641" i="1"/>
  <c r="AV640" i="1"/>
  <c r="AL640" i="1"/>
  <c r="AN640" i="1" s="1"/>
  <c r="AK640" i="1"/>
  <c r="AV639" i="1"/>
  <c r="AK639" i="1"/>
  <c r="AV638" i="1"/>
  <c r="AL638" i="1"/>
  <c r="AN638" i="1" s="1"/>
  <c r="AK638" i="1"/>
  <c r="AV637" i="1"/>
  <c r="AL637" i="1"/>
  <c r="AN637" i="1" s="1"/>
  <c r="AK637" i="1"/>
  <c r="AV636" i="1"/>
  <c r="AN636" i="1"/>
  <c r="AK636" i="1"/>
  <c r="AV635" i="1"/>
  <c r="AK635" i="1"/>
  <c r="AV634" i="1"/>
  <c r="AK634" i="1"/>
  <c r="AV633" i="1"/>
  <c r="AK633" i="1"/>
  <c r="AV632" i="1"/>
  <c r="AK632" i="1"/>
  <c r="AL636" i="1" s="1"/>
  <c r="AV631" i="1"/>
  <c r="AK631" i="1"/>
  <c r="AV630" i="1"/>
  <c r="AK630" i="1"/>
  <c r="AV629" i="1"/>
  <c r="AL629" i="1"/>
  <c r="AN629" i="1" s="1"/>
  <c r="AK629" i="1"/>
  <c r="AV628" i="1"/>
  <c r="AK628" i="1"/>
  <c r="AV627" i="1"/>
  <c r="AK627" i="1"/>
  <c r="AV626" i="1"/>
  <c r="AK626" i="1"/>
  <c r="AV625" i="1"/>
  <c r="AK625" i="1"/>
  <c r="AV624" i="1"/>
  <c r="AL624" i="1"/>
  <c r="AN624" i="1" s="1"/>
  <c r="AK624" i="1"/>
  <c r="AV623" i="1"/>
  <c r="AK623" i="1"/>
  <c r="AV622" i="1"/>
  <c r="AK622" i="1"/>
  <c r="AL623" i="1" s="1"/>
  <c r="AN623" i="1" s="1"/>
  <c r="AV621" i="1"/>
  <c r="AK621" i="1"/>
  <c r="AV620" i="1"/>
  <c r="AL620" i="1"/>
  <c r="AN620" i="1" s="1"/>
  <c r="AK620" i="1"/>
  <c r="AV619" i="1"/>
  <c r="AK619" i="1"/>
  <c r="AV618" i="1"/>
  <c r="AK618" i="1"/>
  <c r="AV617" i="1"/>
  <c r="AK617" i="1"/>
  <c r="AL621" i="1" s="1"/>
  <c r="AN621" i="1" s="1"/>
  <c r="AV616" i="1"/>
  <c r="AK616" i="1"/>
  <c r="AV615" i="1"/>
  <c r="AK615" i="1"/>
  <c r="AV614" i="1"/>
  <c r="AL614" i="1"/>
  <c r="AN614" i="1" s="1"/>
  <c r="AK614" i="1"/>
  <c r="AV613" i="1"/>
  <c r="AK613" i="1"/>
  <c r="AV612" i="1"/>
  <c r="AK612" i="1"/>
  <c r="AV611" i="1"/>
  <c r="AK611" i="1"/>
  <c r="AV610" i="1"/>
  <c r="AK610" i="1"/>
  <c r="AV609" i="1"/>
  <c r="AK609" i="1"/>
  <c r="AL611" i="1" s="1"/>
  <c r="AN611" i="1" s="1"/>
  <c r="AV608" i="1"/>
  <c r="AK608" i="1"/>
  <c r="AV607" i="1"/>
  <c r="AK607" i="1"/>
  <c r="AV606" i="1"/>
  <c r="AK606" i="1"/>
  <c r="AV605" i="1"/>
  <c r="AK605" i="1"/>
  <c r="AV604" i="1"/>
  <c r="AK604" i="1"/>
  <c r="AV603" i="1"/>
  <c r="AK603" i="1"/>
  <c r="AV602" i="1"/>
  <c r="AK602" i="1"/>
  <c r="AV601" i="1"/>
  <c r="AK601" i="1"/>
  <c r="AV600" i="1"/>
  <c r="AK600" i="1"/>
  <c r="AL600" i="1" s="1"/>
  <c r="AN600" i="1" s="1"/>
  <c r="AV599" i="1"/>
  <c r="AK599" i="1"/>
  <c r="AV598" i="1"/>
  <c r="AK598" i="1"/>
  <c r="AV597" i="1"/>
  <c r="AK597" i="1"/>
  <c r="AV596" i="1"/>
  <c r="AK596" i="1"/>
  <c r="AV595" i="1"/>
  <c r="AL595" i="1"/>
  <c r="AN595" i="1" s="1"/>
  <c r="AK595" i="1"/>
  <c r="AV594" i="1"/>
  <c r="AK594" i="1"/>
  <c r="AV593" i="1"/>
  <c r="AK593" i="1"/>
  <c r="AV592" i="1"/>
  <c r="AK592" i="1"/>
  <c r="AV591" i="1"/>
  <c r="AL591" i="1"/>
  <c r="AN591" i="1" s="1"/>
  <c r="AK591" i="1"/>
  <c r="AV590" i="1"/>
  <c r="AK590" i="1"/>
  <c r="AV589" i="1"/>
  <c r="AL589" i="1"/>
  <c r="AN589" i="1" s="1"/>
  <c r="AK589" i="1"/>
  <c r="AV588" i="1"/>
  <c r="AK588" i="1"/>
  <c r="AV587" i="1"/>
  <c r="AK587" i="1"/>
  <c r="AV586" i="1"/>
  <c r="AL586" i="1"/>
  <c r="AN586" i="1" s="1"/>
  <c r="AK586" i="1"/>
  <c r="AV585" i="1"/>
  <c r="AK585" i="1"/>
  <c r="AV584" i="1"/>
  <c r="AK584" i="1"/>
  <c r="AV583" i="1"/>
  <c r="AK583" i="1"/>
  <c r="AV582" i="1"/>
  <c r="AK582" i="1"/>
  <c r="AV581" i="1"/>
  <c r="AK581" i="1"/>
  <c r="AV580" i="1"/>
  <c r="AK580" i="1"/>
  <c r="AV579" i="1"/>
  <c r="AK579" i="1"/>
  <c r="AV578" i="1"/>
  <c r="AK578" i="1"/>
  <c r="AV577" i="1"/>
  <c r="AK577" i="1"/>
  <c r="AV576" i="1"/>
  <c r="AK576" i="1"/>
  <c r="AV575" i="1"/>
  <c r="AL575" i="1"/>
  <c r="AN575" i="1" s="1"/>
  <c r="AK575" i="1"/>
  <c r="AL579" i="1" s="1"/>
  <c r="AN579" i="1" s="1"/>
  <c r="AV574" i="1"/>
  <c r="AK574" i="1"/>
  <c r="AV573" i="1"/>
  <c r="AK573" i="1"/>
  <c r="AV572" i="1"/>
  <c r="AK572" i="1"/>
  <c r="AV571" i="1"/>
  <c r="AK571" i="1"/>
  <c r="AV570" i="1"/>
  <c r="AK570" i="1"/>
  <c r="AV569" i="1"/>
  <c r="AK569" i="1"/>
  <c r="AV568" i="1"/>
  <c r="AK568" i="1"/>
  <c r="AV567" i="1"/>
  <c r="AK567" i="1"/>
  <c r="AV566" i="1"/>
  <c r="AK566" i="1"/>
  <c r="AV565" i="1"/>
  <c r="AK565" i="1"/>
  <c r="AV564" i="1"/>
  <c r="AN564" i="1"/>
  <c r="AL564" i="1"/>
  <c r="AK564" i="1"/>
  <c r="AV563" i="1"/>
  <c r="AK563" i="1"/>
  <c r="AV562" i="1"/>
  <c r="AK562" i="1"/>
  <c r="AV561" i="1"/>
  <c r="AK561" i="1"/>
  <c r="AV560" i="1"/>
  <c r="AK560" i="1"/>
  <c r="AV559" i="1"/>
  <c r="AL559" i="1"/>
  <c r="AN559" i="1" s="1"/>
  <c r="AK559" i="1"/>
  <c r="AV558" i="1"/>
  <c r="AK558" i="1"/>
  <c r="AV557" i="1"/>
  <c r="AK557" i="1"/>
  <c r="AV556" i="1"/>
  <c r="AK556" i="1"/>
  <c r="AV555" i="1"/>
  <c r="AK555" i="1"/>
  <c r="AV554" i="1"/>
  <c r="AL554" i="1"/>
  <c r="AN554" i="1" s="1"/>
  <c r="AK554" i="1"/>
  <c r="AV553" i="1"/>
  <c r="AK553" i="1"/>
  <c r="AV552" i="1"/>
  <c r="AK552" i="1"/>
  <c r="AV551" i="1"/>
  <c r="AL551" i="1"/>
  <c r="AN551" i="1" s="1"/>
  <c r="AK551" i="1"/>
  <c r="AV550" i="1"/>
  <c r="AK550" i="1"/>
  <c r="AV549" i="1"/>
  <c r="AK549" i="1"/>
  <c r="AV548" i="1"/>
  <c r="AK548" i="1"/>
  <c r="AV547" i="1"/>
  <c r="AK547" i="1"/>
  <c r="AV546" i="1"/>
  <c r="AK546" i="1"/>
  <c r="AL550" i="1" s="1"/>
  <c r="AN550" i="1" s="1"/>
  <c r="AV545" i="1"/>
  <c r="AK545" i="1"/>
  <c r="AV544" i="1"/>
  <c r="AK544" i="1"/>
  <c r="AV543" i="1"/>
  <c r="AK543" i="1"/>
  <c r="AV542" i="1"/>
  <c r="AK542" i="1"/>
  <c r="AV541" i="1"/>
  <c r="AK541" i="1"/>
  <c r="AV540" i="1"/>
  <c r="AL540" i="1"/>
  <c r="AN540" i="1" s="1"/>
  <c r="AK540" i="1"/>
  <c r="AL544" i="1" s="1"/>
  <c r="AN544" i="1" s="1"/>
  <c r="AV539" i="1"/>
  <c r="AK539" i="1"/>
  <c r="AV538" i="1"/>
  <c r="AL538" i="1"/>
  <c r="AN538" i="1" s="1"/>
  <c r="AK538" i="1"/>
  <c r="AV537" i="1"/>
  <c r="AL537" i="1"/>
  <c r="AN537" i="1" s="1"/>
  <c r="AK537" i="1"/>
  <c r="AV536" i="1"/>
  <c r="AK536" i="1"/>
  <c r="AV535" i="1"/>
  <c r="AL535" i="1"/>
  <c r="AN535" i="1" s="1"/>
  <c r="AK535" i="1"/>
  <c r="AL539" i="1" s="1"/>
  <c r="AN539" i="1" s="1"/>
  <c r="AV534" i="1"/>
  <c r="AL534" i="1"/>
  <c r="AN534" i="1" s="1"/>
  <c r="AK534" i="1"/>
  <c r="AL536" i="1" s="1"/>
  <c r="AN536" i="1" s="1"/>
  <c r="AV533" i="1"/>
  <c r="AL533" i="1"/>
  <c r="AN533" i="1" s="1"/>
  <c r="AK533" i="1"/>
  <c r="AV532" i="1"/>
  <c r="AL532" i="1"/>
  <c r="AN532" i="1" s="1"/>
  <c r="AK532" i="1"/>
  <c r="AV531" i="1"/>
  <c r="AL531" i="1"/>
  <c r="AN531" i="1" s="1"/>
  <c r="AK531" i="1"/>
  <c r="AV530" i="1"/>
  <c r="AN530" i="1"/>
  <c r="AL530" i="1"/>
  <c r="AK530" i="1"/>
  <c r="AV529" i="1"/>
  <c r="AN529" i="1"/>
  <c r="AO533" i="1" s="1"/>
  <c r="AL529" i="1"/>
  <c r="AK529" i="1"/>
  <c r="AV528" i="1"/>
  <c r="AK528" i="1"/>
  <c r="AV527" i="1"/>
  <c r="AL527" i="1"/>
  <c r="AN527" i="1" s="1"/>
  <c r="AK527" i="1"/>
  <c r="AV526" i="1"/>
  <c r="AL526" i="1"/>
  <c r="AN526" i="1" s="1"/>
  <c r="AK526" i="1"/>
  <c r="AV525" i="1"/>
  <c r="AK525" i="1"/>
  <c r="AV524" i="1"/>
  <c r="AK524" i="1"/>
  <c r="AL528" i="1" s="1"/>
  <c r="AN528" i="1" s="1"/>
  <c r="AV523" i="1"/>
  <c r="AK523" i="1"/>
  <c r="AV522" i="1"/>
  <c r="AK522" i="1"/>
  <c r="AV521" i="1"/>
  <c r="AK521" i="1"/>
  <c r="AL525" i="1" s="1"/>
  <c r="AN525" i="1" s="1"/>
  <c r="AO529" i="1" s="1"/>
  <c r="AV520" i="1"/>
  <c r="AK520" i="1"/>
  <c r="AV519" i="1"/>
  <c r="AK519" i="1"/>
  <c r="AV518" i="1"/>
  <c r="AK518" i="1"/>
  <c r="AV517" i="1"/>
  <c r="AK517" i="1"/>
  <c r="AV516" i="1"/>
  <c r="AK516" i="1"/>
  <c r="AL516" i="1" s="1"/>
  <c r="AN516" i="1" s="1"/>
  <c r="AV515" i="1"/>
  <c r="AK515" i="1"/>
  <c r="AV514" i="1"/>
  <c r="AL514" i="1"/>
  <c r="AN514" i="1" s="1"/>
  <c r="AK514" i="1"/>
  <c r="AV513" i="1"/>
  <c r="AL513" i="1"/>
  <c r="AN513" i="1" s="1"/>
  <c r="AK513" i="1"/>
  <c r="AV512" i="1"/>
  <c r="AK512" i="1"/>
  <c r="AV511" i="1"/>
  <c r="AK511" i="1"/>
  <c r="AV510" i="1"/>
  <c r="AL510" i="1"/>
  <c r="AN510" i="1" s="1"/>
  <c r="AK510" i="1"/>
  <c r="AV509" i="1"/>
  <c r="AK509" i="1"/>
  <c r="AV508" i="1"/>
  <c r="AL508" i="1"/>
  <c r="AN508" i="1" s="1"/>
  <c r="AK508" i="1"/>
  <c r="AV507" i="1"/>
  <c r="AL507" i="1"/>
  <c r="AN507" i="1" s="1"/>
  <c r="AK507" i="1"/>
  <c r="AV506" i="1"/>
  <c r="AK506" i="1"/>
  <c r="AV505" i="1"/>
  <c r="AK505" i="1"/>
  <c r="AV504" i="1"/>
  <c r="AK504" i="1"/>
  <c r="AV503" i="1"/>
  <c r="AK503" i="1"/>
  <c r="AV502" i="1"/>
  <c r="AK502" i="1"/>
  <c r="AL506" i="1" s="1"/>
  <c r="AN506" i="1" s="1"/>
  <c r="AV501" i="1"/>
  <c r="AK501" i="1"/>
  <c r="AL505" i="1" s="1"/>
  <c r="AN505" i="1" s="1"/>
  <c r="AV500" i="1"/>
  <c r="AK500" i="1"/>
  <c r="AV499" i="1"/>
  <c r="AN499" i="1"/>
  <c r="AL499" i="1"/>
  <c r="AK499" i="1"/>
  <c r="AL503" i="1" s="1"/>
  <c r="AN503" i="1" s="1"/>
  <c r="AV498" i="1"/>
  <c r="AK498" i="1"/>
  <c r="AV497" i="1"/>
  <c r="AK497" i="1"/>
  <c r="AV496" i="1"/>
  <c r="AK496" i="1"/>
  <c r="AV495" i="1"/>
  <c r="AK495" i="1"/>
  <c r="AV494" i="1"/>
  <c r="AL494" i="1"/>
  <c r="AN494" i="1" s="1"/>
  <c r="AK494" i="1"/>
  <c r="AV493" i="1"/>
  <c r="AL493" i="1"/>
  <c r="AN493" i="1" s="1"/>
  <c r="AK493" i="1"/>
  <c r="AV492" i="1"/>
  <c r="AK492" i="1"/>
  <c r="AV491" i="1"/>
  <c r="AN491" i="1"/>
  <c r="AL491" i="1"/>
  <c r="AK491" i="1"/>
  <c r="AV490" i="1"/>
  <c r="AK490" i="1"/>
  <c r="AV489" i="1"/>
  <c r="AK489" i="1"/>
  <c r="AV488" i="1"/>
  <c r="AK488" i="1"/>
  <c r="AV487" i="1"/>
  <c r="AK487" i="1"/>
  <c r="AV486" i="1"/>
  <c r="AK486" i="1"/>
  <c r="AL486" i="1" s="1"/>
  <c r="AN486" i="1" s="1"/>
  <c r="AV485" i="1"/>
  <c r="AL485" i="1"/>
  <c r="AN485" i="1" s="1"/>
  <c r="AK485" i="1"/>
  <c r="AV484" i="1"/>
  <c r="AK484" i="1"/>
  <c r="AV483" i="1"/>
  <c r="AN483" i="1"/>
  <c r="AL483" i="1"/>
  <c r="AK483" i="1"/>
  <c r="AV482" i="1"/>
  <c r="AL482" i="1"/>
  <c r="AN482" i="1" s="1"/>
  <c r="AK482" i="1"/>
  <c r="AV481" i="1"/>
  <c r="AK481" i="1"/>
  <c r="AV480" i="1"/>
  <c r="AK480" i="1"/>
  <c r="AV479" i="1"/>
  <c r="AK479" i="1"/>
  <c r="AV478" i="1"/>
  <c r="AK478" i="1"/>
  <c r="AV477" i="1"/>
  <c r="AK477" i="1"/>
  <c r="AL481" i="1" s="1"/>
  <c r="AN481" i="1" s="1"/>
  <c r="AV476" i="1"/>
  <c r="AK476" i="1"/>
  <c r="AV475" i="1"/>
  <c r="AK475" i="1"/>
  <c r="AV474" i="1"/>
  <c r="AK474" i="1"/>
  <c r="AV473" i="1"/>
  <c r="AK473" i="1"/>
  <c r="AV472" i="1"/>
  <c r="AK472" i="1"/>
  <c r="AV471" i="1"/>
  <c r="AK471" i="1"/>
  <c r="AV470" i="1"/>
  <c r="AK470" i="1"/>
  <c r="AL474" i="1" s="1"/>
  <c r="AN474" i="1" s="1"/>
  <c r="AV469" i="1"/>
  <c r="AK469" i="1"/>
  <c r="AV468" i="1"/>
  <c r="AK468" i="1"/>
  <c r="AV467" i="1"/>
  <c r="AK467" i="1"/>
  <c r="AV466" i="1"/>
  <c r="AK466" i="1"/>
  <c r="AV465" i="1"/>
  <c r="AL465" i="1"/>
  <c r="AN465" i="1" s="1"/>
  <c r="AK465" i="1"/>
  <c r="AV464" i="1"/>
  <c r="AK464" i="1"/>
  <c r="AV463" i="1"/>
  <c r="AK463" i="1"/>
  <c r="AV462" i="1"/>
  <c r="AK462" i="1"/>
  <c r="AV461" i="1"/>
  <c r="AK461" i="1"/>
  <c r="AV460" i="1"/>
  <c r="AK460" i="1"/>
  <c r="AL461" i="1" s="1"/>
  <c r="AN461" i="1" s="1"/>
  <c r="AV459" i="1"/>
  <c r="AN459" i="1"/>
  <c r="AL459" i="1"/>
  <c r="AK459" i="1"/>
  <c r="AV458" i="1"/>
  <c r="AL458" i="1"/>
  <c r="AN458" i="1" s="1"/>
  <c r="AK458" i="1"/>
  <c r="AV457" i="1"/>
  <c r="AL457" i="1"/>
  <c r="AN457" i="1" s="1"/>
  <c r="AK457" i="1"/>
  <c r="AV456" i="1"/>
  <c r="AK456" i="1"/>
  <c r="AV455" i="1"/>
  <c r="AK455" i="1"/>
  <c r="AV454" i="1"/>
  <c r="AK454" i="1"/>
  <c r="AV453" i="1"/>
  <c r="AK453" i="1"/>
  <c r="AV452" i="1"/>
  <c r="AK452" i="1"/>
  <c r="AL456" i="1" s="1"/>
  <c r="AN456" i="1" s="1"/>
  <c r="AV451" i="1"/>
  <c r="AK451" i="1"/>
  <c r="AV450" i="1"/>
  <c r="AL450" i="1"/>
  <c r="AN450" i="1" s="1"/>
  <c r="AK450" i="1"/>
  <c r="AV449" i="1"/>
  <c r="AK449" i="1"/>
  <c r="AL451" i="1" s="1"/>
  <c r="AN451" i="1" s="1"/>
  <c r="AV448" i="1"/>
  <c r="AK448" i="1"/>
  <c r="AV447" i="1"/>
  <c r="AK447" i="1"/>
  <c r="AV446" i="1"/>
  <c r="AK446" i="1"/>
  <c r="AV445" i="1"/>
  <c r="AK445" i="1"/>
  <c r="AL449" i="1" s="1"/>
  <c r="AN449" i="1" s="1"/>
  <c r="AV444" i="1"/>
  <c r="AL444" i="1"/>
  <c r="AN444" i="1" s="1"/>
  <c r="AK444" i="1"/>
  <c r="AV443" i="1"/>
  <c r="AL443" i="1"/>
  <c r="AN443" i="1" s="1"/>
  <c r="AK443" i="1"/>
  <c r="AV442" i="1"/>
  <c r="AK442" i="1"/>
  <c r="AV441" i="1"/>
  <c r="AN441" i="1"/>
  <c r="AK441" i="1"/>
  <c r="AV440" i="1"/>
  <c r="AN440" i="1"/>
  <c r="AL440" i="1"/>
  <c r="AK440" i="1"/>
  <c r="AV439" i="1"/>
  <c r="AK439" i="1"/>
  <c r="AV438" i="1"/>
  <c r="AK438" i="1"/>
  <c r="AV437" i="1"/>
  <c r="AK437" i="1"/>
  <c r="AL441" i="1" s="1"/>
  <c r="AV436" i="1"/>
  <c r="AK436" i="1"/>
  <c r="AV435" i="1"/>
  <c r="AK435" i="1"/>
  <c r="AV434" i="1"/>
  <c r="AK434" i="1"/>
  <c r="AV433" i="1"/>
  <c r="AL433" i="1"/>
  <c r="AN433" i="1" s="1"/>
  <c r="AK433" i="1"/>
  <c r="AV432" i="1"/>
  <c r="AL432" i="1"/>
  <c r="AN432" i="1" s="1"/>
  <c r="AK432" i="1"/>
  <c r="AV431" i="1"/>
  <c r="AN431" i="1"/>
  <c r="AK431" i="1"/>
  <c r="AV430" i="1"/>
  <c r="AK430" i="1"/>
  <c r="AV429" i="1"/>
  <c r="AK429" i="1"/>
  <c r="AV428" i="1"/>
  <c r="AK428" i="1"/>
  <c r="AV427" i="1"/>
  <c r="AK427" i="1"/>
  <c r="AL431" i="1" s="1"/>
  <c r="AV426" i="1"/>
  <c r="AK426" i="1"/>
  <c r="AL430" i="1" s="1"/>
  <c r="AN430" i="1" s="1"/>
  <c r="AV425" i="1"/>
  <c r="AK425" i="1"/>
  <c r="AV424" i="1"/>
  <c r="AK424" i="1"/>
  <c r="AV423" i="1"/>
  <c r="AK423" i="1"/>
  <c r="AV422" i="1"/>
  <c r="AK422" i="1"/>
  <c r="AV421" i="1"/>
  <c r="AK421" i="1"/>
  <c r="AL425" i="1" s="1"/>
  <c r="AN425" i="1" s="1"/>
  <c r="AV420" i="1"/>
  <c r="AK420" i="1"/>
  <c r="AV419" i="1"/>
  <c r="AK419" i="1"/>
  <c r="AL420" i="1" s="1"/>
  <c r="AN420" i="1" s="1"/>
  <c r="AV418" i="1"/>
  <c r="AL418" i="1"/>
  <c r="AN418" i="1" s="1"/>
  <c r="AK418" i="1"/>
  <c r="AV417" i="1"/>
  <c r="AK417" i="1"/>
  <c r="AV416" i="1"/>
  <c r="AK416" i="1"/>
  <c r="AL417" i="1" s="1"/>
  <c r="AN417" i="1" s="1"/>
  <c r="AV415" i="1"/>
  <c r="AK415" i="1"/>
  <c r="AV414" i="1"/>
  <c r="AK414" i="1"/>
  <c r="AV413" i="1"/>
  <c r="AK413" i="1"/>
  <c r="AV412" i="1"/>
  <c r="AK412" i="1"/>
  <c r="AV411" i="1"/>
  <c r="AK411" i="1"/>
  <c r="AV410" i="1"/>
  <c r="AK410" i="1"/>
  <c r="AV409" i="1"/>
  <c r="AK409" i="1"/>
  <c r="AV408" i="1"/>
  <c r="AN408" i="1"/>
  <c r="AL408" i="1"/>
  <c r="AK408" i="1"/>
  <c r="AV407" i="1"/>
  <c r="AL407" i="1"/>
  <c r="AN407" i="1" s="1"/>
  <c r="AK407" i="1"/>
  <c r="AV406" i="1"/>
  <c r="AK406" i="1"/>
  <c r="AV405" i="1"/>
  <c r="AK405" i="1"/>
  <c r="AV404" i="1"/>
  <c r="AK404" i="1"/>
  <c r="AV403" i="1"/>
  <c r="AK403" i="1"/>
  <c r="AV402" i="1"/>
  <c r="AK402" i="1"/>
  <c r="AL406" i="1" s="1"/>
  <c r="AN406" i="1" s="1"/>
  <c r="AV401" i="1"/>
  <c r="AK401" i="1"/>
  <c r="AV400" i="1"/>
  <c r="AL400" i="1"/>
  <c r="AN400" i="1" s="1"/>
  <c r="AK400" i="1"/>
  <c r="AV399" i="1"/>
  <c r="AK399" i="1"/>
  <c r="AV398" i="1"/>
  <c r="AK398" i="1"/>
  <c r="AV397" i="1"/>
  <c r="AK397" i="1"/>
  <c r="AV396" i="1"/>
  <c r="AK396" i="1"/>
  <c r="AV395" i="1"/>
  <c r="AL395" i="1"/>
  <c r="AN395" i="1" s="1"/>
  <c r="AK395" i="1"/>
  <c r="AL399" i="1" s="1"/>
  <c r="AN399" i="1" s="1"/>
  <c r="AV394" i="1"/>
  <c r="AL394" i="1"/>
  <c r="AN394" i="1" s="1"/>
  <c r="AK394" i="1"/>
  <c r="AV393" i="1"/>
  <c r="AL393" i="1"/>
  <c r="AN393" i="1" s="1"/>
  <c r="AK393" i="1"/>
  <c r="AV392" i="1"/>
  <c r="AK392" i="1"/>
  <c r="AV391" i="1"/>
  <c r="AN391" i="1"/>
  <c r="AK391" i="1"/>
  <c r="AL392" i="1" s="1"/>
  <c r="AN392" i="1" s="1"/>
  <c r="AV390" i="1"/>
  <c r="AN390" i="1"/>
  <c r="AL390" i="1"/>
  <c r="AK390" i="1"/>
  <c r="AV389" i="1"/>
  <c r="AK389" i="1"/>
  <c r="AV388" i="1"/>
  <c r="AK388" i="1"/>
  <c r="AV387" i="1"/>
  <c r="AK387" i="1"/>
  <c r="AL391" i="1" s="1"/>
  <c r="AV386" i="1"/>
  <c r="AK386" i="1"/>
  <c r="AV385" i="1"/>
  <c r="AK385" i="1"/>
  <c r="AV384" i="1"/>
  <c r="AO384" i="1"/>
  <c r="AQ384" i="1" s="1"/>
  <c r="AL384" i="1"/>
  <c r="AN384" i="1" s="1"/>
  <c r="AK384" i="1"/>
  <c r="AV383" i="1"/>
  <c r="AL383" i="1"/>
  <c r="AN383" i="1" s="1"/>
  <c r="AK383" i="1"/>
  <c r="AV382" i="1"/>
  <c r="AL382" i="1"/>
  <c r="AN382" i="1" s="1"/>
  <c r="AK382" i="1"/>
  <c r="AV381" i="1"/>
  <c r="AN381" i="1"/>
  <c r="AK381" i="1"/>
  <c r="AV380" i="1"/>
  <c r="AK380" i="1"/>
  <c r="AV379" i="1"/>
  <c r="AK379" i="1"/>
  <c r="AV378" i="1"/>
  <c r="AK378" i="1"/>
  <c r="AV377" i="1"/>
  <c r="AK377" i="1"/>
  <c r="AL381" i="1" s="1"/>
  <c r="AV376" i="1"/>
  <c r="AK376" i="1"/>
  <c r="AL380" i="1" s="1"/>
  <c r="AN380" i="1" s="1"/>
  <c r="AV375" i="1"/>
  <c r="AK375" i="1"/>
  <c r="AV374" i="1"/>
  <c r="AK374" i="1"/>
  <c r="AV373" i="1"/>
  <c r="AK373" i="1"/>
  <c r="AV372" i="1"/>
  <c r="AK372" i="1"/>
  <c r="AV371" i="1"/>
  <c r="AK371" i="1"/>
  <c r="AL375" i="1" s="1"/>
  <c r="AN375" i="1" s="1"/>
  <c r="AV370" i="1"/>
  <c r="AK370" i="1"/>
  <c r="AV369" i="1"/>
  <c r="AK369" i="1"/>
  <c r="AL370" i="1" s="1"/>
  <c r="AN370" i="1" s="1"/>
  <c r="AV368" i="1"/>
  <c r="AL368" i="1"/>
  <c r="AN368" i="1" s="1"/>
  <c r="AK368" i="1"/>
  <c r="AV367" i="1"/>
  <c r="AK367" i="1"/>
  <c r="AV366" i="1"/>
  <c r="AK366" i="1"/>
  <c r="AL367" i="1" s="1"/>
  <c r="AN367" i="1" s="1"/>
  <c r="AV365" i="1"/>
  <c r="AK365" i="1"/>
  <c r="AV364" i="1"/>
  <c r="AK364" i="1"/>
  <c r="AV363" i="1"/>
  <c r="AK363" i="1"/>
  <c r="AV362" i="1"/>
  <c r="AL362" i="1"/>
  <c r="AN362" i="1" s="1"/>
  <c r="AK362" i="1"/>
  <c r="AV361" i="1"/>
  <c r="AK361" i="1"/>
  <c r="AV360" i="1"/>
  <c r="AK360" i="1"/>
  <c r="AV359" i="1"/>
  <c r="AK359" i="1"/>
  <c r="AV358" i="1"/>
  <c r="AN358" i="1"/>
  <c r="AL358" i="1"/>
  <c r="AK358" i="1"/>
  <c r="AV357" i="1"/>
  <c r="AL357" i="1"/>
  <c r="AN357" i="1" s="1"/>
  <c r="AK357" i="1"/>
  <c r="AV356" i="1"/>
  <c r="AN356" i="1"/>
  <c r="AK356" i="1"/>
  <c r="AV355" i="1"/>
  <c r="AK355" i="1"/>
  <c r="AV354" i="1"/>
  <c r="AK354" i="1"/>
  <c r="AV353" i="1"/>
  <c r="AK353" i="1"/>
  <c r="AV352" i="1"/>
  <c r="AK352" i="1"/>
  <c r="AL356" i="1" s="1"/>
  <c r="AV351" i="1"/>
  <c r="AK351" i="1"/>
  <c r="AL355" i="1" s="1"/>
  <c r="AN355" i="1" s="1"/>
  <c r="AV350" i="1"/>
  <c r="AK350" i="1"/>
  <c r="AV349" i="1"/>
  <c r="AK349" i="1"/>
  <c r="AL353" i="1" s="1"/>
  <c r="AN353" i="1" s="1"/>
  <c r="AV348" i="1"/>
  <c r="AK348" i="1"/>
  <c r="AL351" i="1" s="1"/>
  <c r="AN351" i="1" s="1"/>
  <c r="AV347" i="1"/>
  <c r="AN347" i="1"/>
  <c r="AL347" i="1"/>
  <c r="AK347" i="1"/>
  <c r="AV346" i="1"/>
  <c r="AK346" i="1"/>
  <c r="AV345" i="1"/>
  <c r="AK345" i="1"/>
  <c r="AV344" i="1"/>
  <c r="AK344" i="1"/>
  <c r="AV343" i="1"/>
  <c r="AK343" i="1"/>
  <c r="AV342" i="1"/>
  <c r="AK342" i="1"/>
  <c r="AL346" i="1" s="1"/>
  <c r="AN346" i="1" s="1"/>
  <c r="AV341" i="1"/>
  <c r="AK341" i="1"/>
  <c r="AL345" i="1" s="1"/>
  <c r="AN345" i="1" s="1"/>
  <c r="AV340" i="1"/>
  <c r="AK340" i="1"/>
  <c r="AL344" i="1" s="1"/>
  <c r="AN344" i="1" s="1"/>
  <c r="AV339" i="1"/>
  <c r="AK339" i="1"/>
  <c r="AV338" i="1"/>
  <c r="AK338" i="1"/>
  <c r="AL342" i="1" s="1"/>
  <c r="AN342" i="1" s="1"/>
  <c r="AV337" i="1"/>
  <c r="AK337" i="1"/>
  <c r="AL337" i="1" s="1"/>
  <c r="AN337" i="1" s="1"/>
  <c r="AV336" i="1"/>
  <c r="AK336" i="1"/>
  <c r="AV335" i="1"/>
  <c r="AK335" i="1"/>
  <c r="AV334" i="1"/>
  <c r="AN334" i="1"/>
  <c r="AL334" i="1"/>
  <c r="AK334" i="1"/>
  <c r="AV333" i="1"/>
  <c r="AK333" i="1"/>
  <c r="AV332" i="1"/>
  <c r="AK332" i="1"/>
  <c r="AV331" i="1"/>
  <c r="AK331" i="1"/>
  <c r="AV330" i="1"/>
  <c r="AK330" i="1"/>
  <c r="AV329" i="1"/>
  <c r="AK329" i="1"/>
  <c r="AL333" i="1" s="1"/>
  <c r="AN333" i="1" s="1"/>
  <c r="AV328" i="1"/>
  <c r="AK328" i="1"/>
  <c r="AV327" i="1"/>
  <c r="AL327" i="1"/>
  <c r="AN327" i="1" s="1"/>
  <c r="AK327" i="1"/>
  <c r="AV326" i="1"/>
  <c r="AK326" i="1"/>
  <c r="AV325" i="1"/>
  <c r="AK325" i="1"/>
  <c r="AV324" i="1"/>
  <c r="AK324" i="1"/>
  <c r="AV323" i="1"/>
  <c r="AL323" i="1"/>
  <c r="AN323" i="1" s="1"/>
  <c r="AK323" i="1"/>
  <c r="AL324" i="1" s="1"/>
  <c r="AN324" i="1" s="1"/>
  <c r="AV322" i="1"/>
  <c r="AL322" i="1"/>
  <c r="AN322" i="1" s="1"/>
  <c r="AK322" i="1"/>
  <c r="AV321" i="1"/>
  <c r="AK321" i="1"/>
  <c r="AV320" i="1"/>
  <c r="AK320" i="1"/>
  <c r="AV319" i="1"/>
  <c r="AK319" i="1"/>
  <c r="AV318" i="1"/>
  <c r="AK318" i="1"/>
  <c r="AV317" i="1"/>
  <c r="AK317" i="1"/>
  <c r="AL321" i="1" s="1"/>
  <c r="AN321" i="1" s="1"/>
  <c r="AV316" i="1"/>
  <c r="AK316" i="1"/>
  <c r="AV315" i="1"/>
  <c r="AK315" i="1"/>
  <c r="AL319" i="1" s="1"/>
  <c r="AN319" i="1" s="1"/>
  <c r="AV314" i="1"/>
  <c r="AK314" i="1"/>
  <c r="AV313" i="1"/>
  <c r="AK313" i="1"/>
  <c r="AV312" i="1"/>
  <c r="AK312" i="1"/>
  <c r="AL316" i="1" s="1"/>
  <c r="AN316" i="1" s="1"/>
  <c r="AV311" i="1"/>
  <c r="AK311" i="1"/>
  <c r="AV310" i="1"/>
  <c r="AK310" i="1"/>
  <c r="AV309" i="1"/>
  <c r="AN309" i="1"/>
  <c r="AL309" i="1"/>
  <c r="AK309" i="1"/>
  <c r="AV308" i="1"/>
  <c r="AN308" i="1"/>
  <c r="AK308" i="1"/>
  <c r="AV307" i="1"/>
  <c r="AK307" i="1"/>
  <c r="AV306" i="1"/>
  <c r="AK306" i="1"/>
  <c r="AV305" i="1"/>
  <c r="AK305" i="1"/>
  <c r="AV304" i="1"/>
  <c r="AK304" i="1"/>
  <c r="AL308" i="1" s="1"/>
  <c r="AV303" i="1"/>
  <c r="AK303" i="1"/>
  <c r="AV302" i="1"/>
  <c r="AK302" i="1"/>
  <c r="AV301" i="1"/>
  <c r="AK301" i="1"/>
  <c r="AV300" i="1"/>
  <c r="AK300" i="1"/>
  <c r="AV299" i="1"/>
  <c r="AK299" i="1"/>
  <c r="AL302" i="1" s="1"/>
  <c r="AN302" i="1" s="1"/>
  <c r="AV298" i="1"/>
  <c r="AL298" i="1"/>
  <c r="AN298" i="1" s="1"/>
  <c r="AK298" i="1"/>
  <c r="AV297" i="1"/>
  <c r="AN297" i="1"/>
  <c r="AL297" i="1"/>
  <c r="AK297" i="1"/>
  <c r="AV296" i="1"/>
  <c r="AK296" i="1"/>
  <c r="AV295" i="1"/>
  <c r="AK295" i="1"/>
  <c r="AV294" i="1"/>
  <c r="AK294" i="1"/>
  <c r="AV293" i="1"/>
  <c r="AK293" i="1"/>
  <c r="AV292" i="1"/>
  <c r="AK292" i="1"/>
  <c r="AL296" i="1" s="1"/>
  <c r="AN296" i="1" s="1"/>
  <c r="AV291" i="1"/>
  <c r="AK291" i="1"/>
  <c r="AV290" i="1"/>
  <c r="AK290" i="1"/>
  <c r="AL294" i="1" s="1"/>
  <c r="AN294" i="1" s="1"/>
  <c r="AV289" i="1"/>
  <c r="AK289" i="1"/>
  <c r="AV288" i="1"/>
  <c r="AK288" i="1"/>
  <c r="AV287" i="1"/>
  <c r="AL287" i="1"/>
  <c r="AN287" i="1" s="1"/>
  <c r="AK287" i="1"/>
  <c r="AV286" i="1"/>
  <c r="AK286" i="1"/>
  <c r="AV285" i="1"/>
  <c r="AK285" i="1"/>
  <c r="AL288" i="1" s="1"/>
  <c r="AN288" i="1" s="1"/>
  <c r="AV284" i="1"/>
  <c r="AN284" i="1"/>
  <c r="AL284" i="1"/>
  <c r="AK284" i="1"/>
  <c r="AV283" i="1"/>
  <c r="AK283" i="1"/>
  <c r="AV282" i="1"/>
  <c r="AK282" i="1"/>
  <c r="AV281" i="1"/>
  <c r="AK281" i="1"/>
  <c r="AV280" i="1"/>
  <c r="AK280" i="1"/>
  <c r="AV279" i="1"/>
  <c r="AK279" i="1"/>
  <c r="AL283" i="1" s="1"/>
  <c r="AN283" i="1" s="1"/>
  <c r="AV278" i="1"/>
  <c r="AL278" i="1"/>
  <c r="AN278" i="1" s="1"/>
  <c r="AK278" i="1"/>
  <c r="AL282" i="1" s="1"/>
  <c r="AN282" i="1" s="1"/>
  <c r="AV277" i="1"/>
  <c r="AK277" i="1"/>
  <c r="AV276" i="1"/>
  <c r="AK276" i="1"/>
  <c r="AV275" i="1"/>
  <c r="AK275" i="1"/>
  <c r="AL279" i="1" s="1"/>
  <c r="AN279" i="1" s="1"/>
  <c r="AV274" i="1"/>
  <c r="AK274" i="1"/>
  <c r="AV273" i="1"/>
  <c r="AL273" i="1"/>
  <c r="AN273" i="1" s="1"/>
  <c r="AK273" i="1"/>
  <c r="AL277" i="1" s="1"/>
  <c r="AN277" i="1" s="1"/>
  <c r="AV272" i="1"/>
  <c r="AL272" i="1"/>
  <c r="AN272" i="1" s="1"/>
  <c r="AK272" i="1"/>
  <c r="AV271" i="1"/>
  <c r="AN271" i="1"/>
  <c r="AK271" i="1"/>
  <c r="AV270" i="1"/>
  <c r="AK270" i="1"/>
  <c r="AV269" i="1"/>
  <c r="AK269" i="1"/>
  <c r="AV268" i="1"/>
  <c r="AK268" i="1"/>
  <c r="AV267" i="1"/>
  <c r="AK267" i="1"/>
  <c r="AL271" i="1" s="1"/>
  <c r="AV266" i="1"/>
  <c r="AK266" i="1"/>
  <c r="AL270" i="1" s="1"/>
  <c r="AN270" i="1" s="1"/>
  <c r="AV265" i="1"/>
  <c r="AK265" i="1"/>
  <c r="AV264" i="1"/>
  <c r="AK264" i="1"/>
  <c r="AL268" i="1" s="1"/>
  <c r="AN268" i="1" s="1"/>
  <c r="AV263" i="1"/>
  <c r="AK263" i="1"/>
  <c r="AV262" i="1"/>
  <c r="AK262" i="1"/>
  <c r="AV261" i="1"/>
  <c r="AK261" i="1"/>
  <c r="AV260" i="1"/>
  <c r="AK260" i="1"/>
  <c r="AV259" i="1"/>
  <c r="AL259" i="1"/>
  <c r="AN259" i="1" s="1"/>
  <c r="AK259" i="1"/>
  <c r="AV258" i="1"/>
  <c r="AK258" i="1"/>
  <c r="AV257" i="1"/>
  <c r="AK257" i="1"/>
  <c r="AV256" i="1"/>
  <c r="AK256" i="1"/>
  <c r="AV255" i="1"/>
  <c r="AK255" i="1"/>
  <c r="AV254" i="1"/>
  <c r="AK254" i="1"/>
  <c r="AL258" i="1" s="1"/>
  <c r="AN258" i="1" s="1"/>
  <c r="AV253" i="1"/>
  <c r="AK253" i="1"/>
  <c r="AL257" i="1" s="1"/>
  <c r="AN257" i="1" s="1"/>
  <c r="AV252" i="1"/>
  <c r="AK252" i="1"/>
  <c r="AV251" i="1"/>
  <c r="AK251" i="1"/>
  <c r="AV250" i="1"/>
  <c r="AK250" i="1"/>
  <c r="AV249" i="1"/>
  <c r="AK249" i="1"/>
  <c r="AL252" i="1" s="1"/>
  <c r="AN252" i="1" s="1"/>
  <c r="AV248" i="1"/>
  <c r="AK248" i="1"/>
  <c r="AL251" i="1" s="1"/>
  <c r="AN251" i="1" s="1"/>
  <c r="AV247" i="1"/>
  <c r="AL247" i="1"/>
  <c r="AN247" i="1" s="1"/>
  <c r="AK247" i="1"/>
  <c r="AV246" i="1"/>
  <c r="AN246" i="1"/>
  <c r="AK246" i="1"/>
  <c r="AV245" i="1"/>
  <c r="AK245" i="1"/>
  <c r="AV244" i="1"/>
  <c r="AK244" i="1"/>
  <c r="AV243" i="1"/>
  <c r="AK243" i="1"/>
  <c r="AV242" i="1"/>
  <c r="AK242" i="1"/>
  <c r="AL246" i="1" s="1"/>
  <c r="AV241" i="1"/>
  <c r="AK241" i="1"/>
  <c r="AL245" i="1" s="1"/>
  <c r="AN245" i="1" s="1"/>
  <c r="AV240" i="1"/>
  <c r="AK240" i="1"/>
  <c r="AV239" i="1"/>
  <c r="AK239" i="1"/>
  <c r="AV238" i="1"/>
  <c r="AK238" i="1"/>
  <c r="AL242" i="1" s="1"/>
  <c r="AN242" i="1" s="1"/>
  <c r="AV237" i="1"/>
  <c r="AK237" i="1"/>
  <c r="AV236" i="1"/>
  <c r="AK236" i="1"/>
  <c r="AV235" i="1"/>
  <c r="AK235" i="1"/>
  <c r="AV234" i="1"/>
  <c r="AL234" i="1"/>
  <c r="AN234" i="1" s="1"/>
  <c r="AK234" i="1"/>
  <c r="AV233" i="1"/>
  <c r="AK233" i="1"/>
  <c r="AV232" i="1"/>
  <c r="AK232" i="1"/>
  <c r="AV231" i="1"/>
  <c r="AK231" i="1"/>
  <c r="AV230" i="1"/>
  <c r="AK230" i="1"/>
  <c r="AV229" i="1"/>
  <c r="AK229" i="1"/>
  <c r="AL233" i="1" s="1"/>
  <c r="AN233" i="1" s="1"/>
  <c r="AV228" i="1"/>
  <c r="AK228" i="1"/>
  <c r="AV227" i="1"/>
  <c r="AL227" i="1"/>
  <c r="AN227" i="1" s="1"/>
  <c r="AK227" i="1"/>
  <c r="AL231" i="1" s="1"/>
  <c r="AN231" i="1" s="1"/>
  <c r="AV226" i="1"/>
  <c r="AK226" i="1"/>
  <c r="AL230" i="1" s="1"/>
  <c r="AN230" i="1" s="1"/>
  <c r="AV225" i="1"/>
  <c r="AK225" i="1"/>
  <c r="AV224" i="1"/>
  <c r="AK224" i="1"/>
  <c r="AL228" i="1" s="1"/>
  <c r="AN228" i="1" s="1"/>
  <c r="AV223" i="1"/>
  <c r="AL223" i="1"/>
  <c r="AN223" i="1" s="1"/>
  <c r="AK223" i="1"/>
  <c r="AL226" i="1" s="1"/>
  <c r="AN226" i="1" s="1"/>
  <c r="AV222" i="1"/>
  <c r="AN222" i="1"/>
  <c r="AL222" i="1"/>
  <c r="AK222" i="1"/>
  <c r="AV221" i="1"/>
  <c r="AN221" i="1"/>
  <c r="AK221" i="1"/>
  <c r="AV220" i="1"/>
  <c r="AK220" i="1"/>
  <c r="AV219" i="1"/>
  <c r="AK219" i="1"/>
  <c r="AV218" i="1"/>
  <c r="AK218" i="1"/>
  <c r="AV217" i="1"/>
  <c r="AK217" i="1"/>
  <c r="AL221" i="1" s="1"/>
  <c r="AV216" i="1"/>
  <c r="AK216" i="1"/>
  <c r="AL220" i="1" s="1"/>
  <c r="AN220" i="1" s="1"/>
  <c r="AV215" i="1"/>
  <c r="AK215" i="1"/>
  <c r="AL219" i="1" s="1"/>
  <c r="AN219" i="1" s="1"/>
  <c r="AV214" i="1"/>
  <c r="AK214" i="1"/>
  <c r="AV213" i="1"/>
  <c r="AK213" i="1"/>
  <c r="AL217" i="1" s="1"/>
  <c r="AN217" i="1" s="1"/>
  <c r="AV212" i="1"/>
  <c r="AL212" i="1"/>
  <c r="AN212" i="1" s="1"/>
  <c r="AK212" i="1"/>
  <c r="AV211" i="1"/>
  <c r="AK211" i="1"/>
  <c r="AV210" i="1"/>
  <c r="AK210" i="1"/>
  <c r="AL211" i="1" s="1"/>
  <c r="AN211" i="1" s="1"/>
  <c r="AV209" i="1"/>
  <c r="AL209" i="1"/>
  <c r="AN209" i="1" s="1"/>
  <c r="AK209" i="1"/>
  <c r="AV208" i="1"/>
  <c r="AK208" i="1"/>
  <c r="AV207" i="1"/>
  <c r="AK207" i="1"/>
  <c r="AV206" i="1"/>
  <c r="AK206" i="1"/>
  <c r="AV205" i="1"/>
  <c r="AK205" i="1"/>
  <c r="AV204" i="1"/>
  <c r="AK204" i="1"/>
  <c r="AL208" i="1" s="1"/>
  <c r="AN208" i="1" s="1"/>
  <c r="AV203" i="1"/>
  <c r="AK203" i="1"/>
  <c r="AV202" i="1"/>
  <c r="AK202" i="1"/>
  <c r="AV201" i="1"/>
  <c r="AK201" i="1"/>
  <c r="AV200" i="1"/>
  <c r="AK200" i="1"/>
  <c r="AV199" i="1"/>
  <c r="AK199" i="1"/>
  <c r="AV198" i="1"/>
  <c r="AK198" i="1"/>
  <c r="AL201" i="1" s="1"/>
  <c r="AN201" i="1" s="1"/>
  <c r="AV197" i="1"/>
  <c r="AL197" i="1"/>
  <c r="AN197" i="1" s="1"/>
  <c r="AK197" i="1"/>
  <c r="AV196" i="1"/>
  <c r="AK196" i="1"/>
  <c r="AV195" i="1"/>
  <c r="AK195" i="1"/>
  <c r="AV194" i="1"/>
  <c r="AK194" i="1"/>
  <c r="AV193" i="1"/>
  <c r="AK193" i="1"/>
  <c r="AV192" i="1"/>
  <c r="AK192" i="1"/>
  <c r="AL196" i="1" s="1"/>
  <c r="AN196" i="1" s="1"/>
  <c r="AV191" i="1"/>
  <c r="AK191" i="1"/>
  <c r="AV190" i="1"/>
  <c r="AK190" i="1"/>
  <c r="AL194" i="1" s="1"/>
  <c r="AN194" i="1" s="1"/>
  <c r="AV189" i="1"/>
  <c r="AK189" i="1"/>
  <c r="AV188" i="1"/>
  <c r="AK188" i="1"/>
  <c r="AV187" i="1"/>
  <c r="AL187" i="1"/>
  <c r="AN187" i="1" s="1"/>
  <c r="AK187" i="1"/>
  <c r="AL191" i="1" s="1"/>
  <c r="AN191" i="1" s="1"/>
  <c r="AV186" i="1"/>
  <c r="AL186" i="1"/>
  <c r="AN186" i="1" s="1"/>
  <c r="AK186" i="1"/>
  <c r="AV185" i="1"/>
  <c r="AK185" i="1"/>
  <c r="AV184" i="1"/>
  <c r="AN184" i="1"/>
  <c r="AL184" i="1"/>
  <c r="AK184" i="1"/>
  <c r="AV183" i="1"/>
  <c r="AN183" i="1"/>
  <c r="AK183" i="1"/>
  <c r="AV182" i="1"/>
  <c r="AK182" i="1"/>
  <c r="AV181" i="1"/>
  <c r="AK181" i="1"/>
  <c r="AV180" i="1"/>
  <c r="AK180" i="1"/>
  <c r="AV179" i="1"/>
  <c r="AK179" i="1"/>
  <c r="AL183" i="1" s="1"/>
  <c r="AV178" i="1"/>
  <c r="AK178" i="1"/>
  <c r="AV177" i="1"/>
  <c r="AK177" i="1"/>
  <c r="AV176" i="1"/>
  <c r="AK176" i="1"/>
  <c r="AV175" i="1"/>
  <c r="AK175" i="1"/>
  <c r="AL176" i="1" s="1"/>
  <c r="AN176" i="1" s="1"/>
  <c r="AV174" i="1"/>
  <c r="AL174" i="1"/>
  <c r="AN174" i="1" s="1"/>
  <c r="AK174" i="1"/>
  <c r="AV173" i="1"/>
  <c r="AL173" i="1"/>
  <c r="AN173" i="1" s="1"/>
  <c r="AK173" i="1"/>
  <c r="AV172" i="1"/>
  <c r="AN172" i="1"/>
  <c r="AL172" i="1"/>
  <c r="AK172" i="1"/>
  <c r="AV171" i="1"/>
  <c r="AK171" i="1"/>
  <c r="AV170" i="1"/>
  <c r="AK170" i="1"/>
  <c r="AV169" i="1"/>
  <c r="AK169" i="1"/>
  <c r="AV168" i="1"/>
  <c r="AK168" i="1"/>
  <c r="AV167" i="1"/>
  <c r="AK167" i="1"/>
  <c r="AL171" i="1" s="1"/>
  <c r="AN171" i="1" s="1"/>
  <c r="AV166" i="1"/>
  <c r="AK166" i="1"/>
  <c r="AV165" i="1"/>
  <c r="AK165" i="1"/>
  <c r="AL169" i="1" s="1"/>
  <c r="AN169" i="1" s="1"/>
  <c r="AV164" i="1"/>
  <c r="AK164" i="1"/>
  <c r="AL168" i="1" s="1"/>
  <c r="AN168" i="1" s="1"/>
  <c r="AV163" i="1"/>
  <c r="AK163" i="1"/>
  <c r="AV162" i="1"/>
  <c r="AL162" i="1"/>
  <c r="AN162" i="1" s="1"/>
  <c r="AK162" i="1"/>
  <c r="AV161" i="1"/>
  <c r="AK161" i="1"/>
  <c r="AV160" i="1"/>
  <c r="AK160" i="1"/>
  <c r="AL163" i="1" s="1"/>
  <c r="AN163" i="1" s="1"/>
  <c r="AV159" i="1"/>
  <c r="AK159" i="1"/>
  <c r="AV158" i="1"/>
  <c r="AK158" i="1"/>
  <c r="AV157" i="1"/>
  <c r="AK157" i="1"/>
  <c r="AV156" i="1"/>
  <c r="AK156" i="1"/>
  <c r="AL160" i="1" s="1"/>
  <c r="AN160" i="1" s="1"/>
  <c r="AV155" i="1"/>
  <c r="AK155" i="1"/>
  <c r="AL157" i="1" s="1"/>
  <c r="AN157" i="1" s="1"/>
  <c r="AV154" i="1"/>
  <c r="AK154" i="1"/>
  <c r="AV153" i="1"/>
  <c r="AK153" i="1"/>
  <c r="AV152" i="1"/>
  <c r="AK152" i="1"/>
  <c r="AL152" i="1" s="1"/>
  <c r="AN152" i="1" s="1"/>
  <c r="AV151" i="1"/>
  <c r="AL151" i="1"/>
  <c r="AN151" i="1" s="1"/>
  <c r="AK151" i="1"/>
  <c r="AV150" i="1"/>
  <c r="AK150" i="1"/>
  <c r="AV149" i="1"/>
  <c r="AK149" i="1"/>
  <c r="AV148" i="1"/>
  <c r="AK148" i="1"/>
  <c r="AV147" i="1"/>
  <c r="AK147" i="1"/>
  <c r="AV146" i="1"/>
  <c r="AK146" i="1"/>
  <c r="AL150" i="1" s="1"/>
  <c r="AN150" i="1" s="1"/>
  <c r="AV145" i="1"/>
  <c r="AK145" i="1"/>
  <c r="AL147" i="1" s="1"/>
  <c r="AN147" i="1" s="1"/>
  <c r="AV144" i="1"/>
  <c r="AK144" i="1"/>
  <c r="AV143" i="1"/>
  <c r="AK143" i="1"/>
  <c r="AV142" i="1"/>
  <c r="AK142" i="1"/>
  <c r="AL146" i="1" s="1"/>
  <c r="AN146" i="1" s="1"/>
  <c r="AV141" i="1"/>
  <c r="AL141" i="1"/>
  <c r="AN141" i="1" s="1"/>
  <c r="AK141" i="1"/>
  <c r="AV140" i="1"/>
  <c r="AK140" i="1"/>
  <c r="AV139" i="1"/>
  <c r="AK139" i="1"/>
  <c r="AV138" i="1"/>
  <c r="AK138" i="1"/>
  <c r="AV137" i="1"/>
  <c r="AK137" i="1"/>
  <c r="AV136" i="1"/>
  <c r="AK136" i="1"/>
  <c r="AL140" i="1" s="1"/>
  <c r="AN140" i="1" s="1"/>
  <c r="AV135" i="1"/>
  <c r="AK135" i="1"/>
  <c r="AL137" i="1" s="1"/>
  <c r="AN137" i="1" s="1"/>
  <c r="AV134" i="1"/>
  <c r="AK134" i="1"/>
  <c r="AV133" i="1"/>
  <c r="AK133" i="1"/>
  <c r="AV132" i="1"/>
  <c r="AK132" i="1"/>
  <c r="AL132" i="1" s="1"/>
  <c r="AN132" i="1" s="1"/>
  <c r="AV131" i="1"/>
  <c r="AL131" i="1"/>
  <c r="AN131" i="1" s="1"/>
  <c r="AK131" i="1"/>
  <c r="AV130" i="1"/>
  <c r="AK130" i="1"/>
  <c r="AV129" i="1"/>
  <c r="AK129" i="1"/>
  <c r="AV128" i="1"/>
  <c r="AK128" i="1"/>
  <c r="AV127" i="1"/>
  <c r="AK127" i="1"/>
  <c r="AV126" i="1"/>
  <c r="AK126" i="1"/>
  <c r="AL130" i="1" s="1"/>
  <c r="AN130" i="1" s="1"/>
  <c r="AV125" i="1"/>
  <c r="AK125" i="1"/>
  <c r="AL127" i="1" s="1"/>
  <c r="AN127" i="1" s="1"/>
  <c r="AV124" i="1"/>
  <c r="AK124" i="1"/>
  <c r="AV123" i="1"/>
  <c r="AK123" i="1"/>
  <c r="AV122" i="1"/>
  <c r="AK122" i="1"/>
  <c r="AL126" i="1" s="1"/>
  <c r="AN126" i="1" s="1"/>
  <c r="AV121" i="1"/>
  <c r="AL121" i="1"/>
  <c r="AN121" i="1" s="1"/>
  <c r="AK121" i="1"/>
  <c r="AV120" i="1"/>
  <c r="AK120" i="1"/>
  <c r="AV119" i="1"/>
  <c r="AK119" i="1"/>
  <c r="AV118" i="1"/>
  <c r="AK118" i="1"/>
  <c r="AV117" i="1"/>
  <c r="AK117" i="1"/>
  <c r="AV116" i="1"/>
  <c r="AK116" i="1"/>
  <c r="AL120" i="1" s="1"/>
  <c r="AN120" i="1" s="1"/>
  <c r="AV115" i="1"/>
  <c r="AK115" i="1"/>
  <c r="AL117" i="1" s="1"/>
  <c r="AN117" i="1" s="1"/>
  <c r="AV114" i="1"/>
  <c r="AK114" i="1"/>
  <c r="AV113" i="1"/>
  <c r="AK113" i="1"/>
  <c r="AV112" i="1"/>
  <c r="AK112" i="1"/>
  <c r="AL116" i="1" s="1"/>
  <c r="AN116" i="1" s="1"/>
  <c r="AV111" i="1"/>
  <c r="AL111" i="1"/>
  <c r="AN111" i="1" s="1"/>
  <c r="AK111" i="1"/>
  <c r="AV110" i="1"/>
  <c r="AK110" i="1"/>
  <c r="AV109" i="1"/>
  <c r="AK109" i="1"/>
  <c r="AV108" i="1"/>
  <c r="AK108" i="1"/>
  <c r="AV107" i="1"/>
  <c r="AK107" i="1"/>
  <c r="AV106" i="1"/>
  <c r="AK106" i="1"/>
  <c r="AL110" i="1" s="1"/>
  <c r="AN110" i="1" s="1"/>
  <c r="AV105" i="1"/>
  <c r="AK105" i="1"/>
  <c r="AL107" i="1" s="1"/>
  <c r="AN107" i="1" s="1"/>
  <c r="AV104" i="1"/>
  <c r="AK104" i="1"/>
  <c r="AV103" i="1"/>
  <c r="AK103" i="1"/>
  <c r="AV102" i="1"/>
  <c r="AK102" i="1"/>
  <c r="AL106" i="1" s="1"/>
  <c r="AN106" i="1" s="1"/>
  <c r="AV101" i="1"/>
  <c r="AL101" i="1"/>
  <c r="AN101" i="1" s="1"/>
  <c r="AK101" i="1"/>
  <c r="AV100" i="1"/>
  <c r="AK100" i="1"/>
  <c r="AV99" i="1"/>
  <c r="AK99" i="1"/>
  <c r="AV98" i="1"/>
  <c r="AK98" i="1"/>
  <c r="AV97" i="1"/>
  <c r="AK97" i="1"/>
  <c r="AV96" i="1"/>
  <c r="AK96" i="1"/>
  <c r="AL100" i="1" s="1"/>
  <c r="AN100" i="1" s="1"/>
  <c r="AV95" i="1"/>
  <c r="AK95" i="1"/>
  <c r="AL97" i="1" s="1"/>
  <c r="AN97" i="1" s="1"/>
  <c r="AV94" i="1"/>
  <c r="AK94" i="1"/>
  <c r="AV93" i="1"/>
  <c r="AK93" i="1"/>
  <c r="AV92" i="1"/>
  <c r="AK92" i="1"/>
  <c r="AL96" i="1" s="1"/>
  <c r="AN96" i="1" s="1"/>
  <c r="AV91" i="1"/>
  <c r="AL91" i="1"/>
  <c r="AN91" i="1" s="1"/>
  <c r="AK91" i="1"/>
  <c r="AV90" i="1"/>
  <c r="AK90" i="1"/>
  <c r="AV89" i="1"/>
  <c r="AK89" i="1"/>
  <c r="AV88" i="1"/>
  <c r="AK88" i="1"/>
  <c r="AV87" i="1"/>
  <c r="AK87" i="1"/>
  <c r="AV86" i="1"/>
  <c r="AK86" i="1"/>
  <c r="AL90" i="1" s="1"/>
  <c r="AN90" i="1" s="1"/>
  <c r="AV85" i="1"/>
  <c r="AK85" i="1"/>
  <c r="AL87" i="1" s="1"/>
  <c r="AN87" i="1" s="1"/>
  <c r="AV84" i="1"/>
  <c r="AK84" i="1"/>
  <c r="AV83" i="1"/>
  <c r="AK83" i="1"/>
  <c r="AV82" i="1"/>
  <c r="AK82" i="1"/>
  <c r="AL86" i="1" s="1"/>
  <c r="AN86" i="1" s="1"/>
  <c r="AV81" i="1"/>
  <c r="AL81" i="1"/>
  <c r="AN81" i="1" s="1"/>
  <c r="AK81" i="1"/>
  <c r="AV80" i="1"/>
  <c r="AK80" i="1"/>
  <c r="AV79" i="1"/>
  <c r="AK79" i="1"/>
  <c r="AV78" i="1"/>
  <c r="AK78" i="1"/>
  <c r="AV77" i="1"/>
  <c r="AK77" i="1"/>
  <c r="AV76" i="1"/>
  <c r="AK76" i="1"/>
  <c r="AL80" i="1" s="1"/>
  <c r="AN80" i="1" s="1"/>
  <c r="AV75" i="1"/>
  <c r="AK75" i="1"/>
  <c r="AL77" i="1" s="1"/>
  <c r="AN77" i="1" s="1"/>
  <c r="AV74" i="1"/>
  <c r="AK74" i="1"/>
  <c r="AV73" i="1"/>
  <c r="AK73" i="1"/>
  <c r="AV72" i="1"/>
  <c r="AK72" i="1"/>
  <c r="AL72" i="1" s="1"/>
  <c r="AN72" i="1" s="1"/>
  <c r="AV71" i="1"/>
  <c r="AL71" i="1"/>
  <c r="AN71" i="1" s="1"/>
  <c r="AK71" i="1"/>
  <c r="AV70" i="1"/>
  <c r="AK70" i="1"/>
  <c r="AV69" i="1"/>
  <c r="AK69" i="1"/>
  <c r="AV68" i="1"/>
  <c r="AK68" i="1"/>
  <c r="AV67" i="1"/>
  <c r="AK67" i="1"/>
  <c r="AV66" i="1"/>
  <c r="AK66" i="1"/>
  <c r="AL70" i="1" s="1"/>
  <c r="AN70" i="1" s="1"/>
  <c r="AV65" i="1"/>
  <c r="AK65" i="1"/>
  <c r="AL67" i="1" s="1"/>
  <c r="AN67" i="1" s="1"/>
  <c r="AV64" i="1"/>
  <c r="AK64" i="1"/>
  <c r="AV63" i="1"/>
  <c r="AK63" i="1"/>
  <c r="AV62" i="1"/>
  <c r="AK62" i="1"/>
  <c r="AL66" i="1" s="1"/>
  <c r="AN66" i="1" s="1"/>
  <c r="AV61" i="1"/>
  <c r="AL61" i="1"/>
  <c r="AN61" i="1" s="1"/>
  <c r="AK61" i="1"/>
  <c r="AV60" i="1"/>
  <c r="AK60" i="1"/>
  <c r="AV59" i="1"/>
  <c r="AK59" i="1"/>
  <c r="AV58" i="1"/>
  <c r="AK58" i="1"/>
  <c r="AV57" i="1"/>
  <c r="AK57" i="1"/>
  <c r="AV56" i="1"/>
  <c r="AK56" i="1"/>
  <c r="AL60" i="1" s="1"/>
  <c r="AN60" i="1" s="1"/>
  <c r="AV55" i="1"/>
  <c r="AK55" i="1"/>
  <c r="AL57" i="1" s="1"/>
  <c r="AN57" i="1" s="1"/>
  <c r="AV54" i="1"/>
  <c r="AK54" i="1"/>
  <c r="AV53" i="1"/>
  <c r="AK53" i="1"/>
  <c r="AV52" i="1"/>
  <c r="AK52" i="1"/>
  <c r="AL56" i="1" s="1"/>
  <c r="AN56" i="1" s="1"/>
  <c r="AV51" i="1"/>
  <c r="AL51" i="1"/>
  <c r="AN51" i="1" s="1"/>
  <c r="AK51" i="1"/>
  <c r="AV50" i="1"/>
  <c r="AK50" i="1"/>
  <c r="AV49" i="1"/>
  <c r="AK49" i="1"/>
  <c r="AV48" i="1"/>
  <c r="AK48" i="1"/>
  <c r="AV47" i="1"/>
  <c r="AK47" i="1"/>
  <c r="AV46" i="1"/>
  <c r="AK46" i="1"/>
  <c r="AL50" i="1" s="1"/>
  <c r="AN50" i="1" s="1"/>
  <c r="AV45" i="1"/>
  <c r="AK45" i="1"/>
  <c r="AL47" i="1" s="1"/>
  <c r="AN47" i="1" s="1"/>
  <c r="AV44" i="1"/>
  <c r="AK44" i="1"/>
  <c r="AV43" i="1"/>
  <c r="AK43" i="1"/>
  <c r="AV42" i="1"/>
  <c r="AK42" i="1"/>
  <c r="AL46" i="1" s="1"/>
  <c r="AN46" i="1" s="1"/>
  <c r="AV41" i="1"/>
  <c r="AL41" i="1"/>
  <c r="AN41" i="1" s="1"/>
  <c r="AK41" i="1"/>
  <c r="AV40" i="1"/>
  <c r="AK40" i="1"/>
  <c r="AV39" i="1"/>
  <c r="AK39" i="1"/>
  <c r="AV38" i="1"/>
  <c r="AK38" i="1"/>
  <c r="AV37" i="1"/>
  <c r="AK37" i="1"/>
  <c r="AV36" i="1"/>
  <c r="AK36" i="1"/>
  <c r="AL40" i="1" s="1"/>
  <c r="AN40" i="1" s="1"/>
  <c r="AV35" i="1"/>
  <c r="AK35" i="1"/>
  <c r="AL37" i="1" s="1"/>
  <c r="AN37" i="1" s="1"/>
  <c r="AV34" i="1"/>
  <c r="AK34" i="1"/>
  <c r="AV33" i="1"/>
  <c r="AK33" i="1"/>
  <c r="AV32" i="1"/>
  <c r="AK32" i="1"/>
  <c r="AL36" i="1" s="1"/>
  <c r="AN36" i="1" s="1"/>
  <c r="AV31" i="1"/>
  <c r="AL31" i="1"/>
  <c r="AN31" i="1" s="1"/>
  <c r="AK31" i="1"/>
  <c r="AV30" i="1"/>
  <c r="AK30" i="1"/>
  <c r="AV29" i="1"/>
  <c r="AK29" i="1"/>
  <c r="AV28" i="1"/>
  <c r="AK28" i="1"/>
  <c r="AV27" i="1"/>
  <c r="AK27" i="1"/>
  <c r="AV26" i="1"/>
  <c r="AK26" i="1"/>
  <c r="AL30" i="1" s="1"/>
  <c r="AN30" i="1" s="1"/>
  <c r="AV25" i="1"/>
  <c r="AK25" i="1"/>
  <c r="AV24" i="1"/>
  <c r="AK24" i="1"/>
  <c r="AV23" i="1"/>
  <c r="AK23" i="1"/>
  <c r="AV22" i="1"/>
  <c r="AK22" i="1"/>
  <c r="AL22" i="1" s="1"/>
  <c r="AN22" i="1" s="1"/>
  <c r="AV21" i="1"/>
  <c r="AL21" i="1"/>
  <c r="AN21" i="1" s="1"/>
  <c r="AK21" i="1"/>
  <c r="AV20" i="1"/>
  <c r="AK20" i="1"/>
  <c r="AV19" i="1"/>
  <c r="AK19" i="1"/>
  <c r="AV18" i="1"/>
  <c r="AK18" i="1"/>
  <c r="AV17" i="1"/>
  <c r="AK17" i="1"/>
  <c r="AV16" i="1"/>
  <c r="AK16" i="1"/>
  <c r="AL20" i="1" s="1"/>
  <c r="AN20" i="1" s="1"/>
  <c r="AV15" i="1"/>
  <c r="AK15" i="1"/>
  <c r="AL17" i="1" s="1"/>
  <c r="AN17" i="1" s="1"/>
  <c r="AV14" i="1"/>
  <c r="AK14" i="1"/>
  <c r="AV13" i="1"/>
  <c r="AK13" i="1"/>
  <c r="AV12" i="1"/>
  <c r="AK12" i="1"/>
  <c r="AL16" i="1" s="1"/>
  <c r="AN16" i="1" s="1"/>
  <c r="AV11" i="1"/>
  <c r="AL11" i="1"/>
  <c r="AN11" i="1" s="1"/>
  <c r="AK11" i="1"/>
  <c r="AV10" i="1"/>
  <c r="AK10" i="1"/>
  <c r="AV9" i="1"/>
  <c r="AK9" i="1"/>
  <c r="AV8" i="1"/>
  <c r="AK8" i="1"/>
  <c r="AV7" i="1"/>
  <c r="AL7" i="1"/>
  <c r="AN7" i="1" s="1"/>
  <c r="AK7" i="1"/>
  <c r="AV6" i="1"/>
  <c r="AN6" i="1"/>
  <c r="AK6" i="1"/>
  <c r="AV5" i="1"/>
  <c r="AN5" i="1"/>
  <c r="AK5" i="1"/>
  <c r="AL9" i="1" s="1"/>
  <c r="AN9" i="1" s="1"/>
  <c r="AV4" i="1"/>
  <c r="AW4" i="1" s="1"/>
  <c r="AW5" i="1" s="1"/>
  <c r="AW6" i="1" s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17" i="1" s="1"/>
  <c r="AW118" i="1" s="1"/>
  <c r="AW119" i="1" s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W130" i="1" s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W152" i="1" s="1"/>
  <c r="AW153" i="1" s="1"/>
  <c r="AW154" i="1" s="1"/>
  <c r="AW155" i="1" s="1"/>
  <c r="AW156" i="1" s="1"/>
  <c r="AW157" i="1" s="1"/>
  <c r="AW158" i="1" s="1"/>
  <c r="AW159" i="1" s="1"/>
  <c r="AW160" i="1" s="1"/>
  <c r="AW161" i="1" s="1"/>
  <c r="AW162" i="1" s="1"/>
  <c r="AW163" i="1" s="1"/>
  <c r="AW164" i="1" s="1"/>
  <c r="AW165" i="1" s="1"/>
  <c r="AW166" i="1" s="1"/>
  <c r="AW167" i="1" s="1"/>
  <c r="AW168" i="1" s="1"/>
  <c r="AW169" i="1" s="1"/>
  <c r="AW170" i="1" s="1"/>
  <c r="AW171" i="1" s="1"/>
  <c r="AW172" i="1" s="1"/>
  <c r="AW173" i="1" s="1"/>
  <c r="AW174" i="1" s="1"/>
  <c r="AW175" i="1" s="1"/>
  <c r="AW176" i="1" s="1"/>
  <c r="AW177" i="1" s="1"/>
  <c r="AW178" i="1" s="1"/>
  <c r="AW179" i="1" s="1"/>
  <c r="AW180" i="1" s="1"/>
  <c r="AW181" i="1" s="1"/>
  <c r="AW182" i="1" s="1"/>
  <c r="AW183" i="1" s="1"/>
  <c r="AW184" i="1" s="1"/>
  <c r="AW185" i="1" s="1"/>
  <c r="AW186" i="1" s="1"/>
  <c r="AW187" i="1" s="1"/>
  <c r="AW188" i="1" s="1"/>
  <c r="AW189" i="1" s="1"/>
  <c r="AW190" i="1" s="1"/>
  <c r="AW191" i="1" s="1"/>
  <c r="AW192" i="1" s="1"/>
  <c r="AW193" i="1" s="1"/>
  <c r="AW194" i="1" s="1"/>
  <c r="AW195" i="1" s="1"/>
  <c r="AW196" i="1" s="1"/>
  <c r="AW197" i="1" s="1"/>
  <c r="AW198" i="1" s="1"/>
  <c r="AW199" i="1" s="1"/>
  <c r="AW200" i="1" s="1"/>
  <c r="AW201" i="1" s="1"/>
  <c r="AW202" i="1" s="1"/>
  <c r="AW203" i="1" s="1"/>
  <c r="AW204" i="1" s="1"/>
  <c r="AW205" i="1" s="1"/>
  <c r="AW206" i="1" s="1"/>
  <c r="AW207" i="1" s="1"/>
  <c r="AW208" i="1" s="1"/>
  <c r="AW209" i="1" s="1"/>
  <c r="AW210" i="1" s="1"/>
  <c r="AW211" i="1" s="1"/>
  <c r="AW212" i="1" s="1"/>
  <c r="AW213" i="1" s="1"/>
  <c r="AW214" i="1" s="1"/>
  <c r="AW215" i="1" s="1"/>
  <c r="AW216" i="1" s="1"/>
  <c r="AW217" i="1" s="1"/>
  <c r="AW218" i="1" s="1"/>
  <c r="AW219" i="1" s="1"/>
  <c r="AW220" i="1" s="1"/>
  <c r="AW221" i="1" s="1"/>
  <c r="AW222" i="1" s="1"/>
  <c r="AW223" i="1" s="1"/>
  <c r="AW224" i="1" s="1"/>
  <c r="AW225" i="1" s="1"/>
  <c r="AW226" i="1" s="1"/>
  <c r="AW227" i="1" s="1"/>
  <c r="AW228" i="1" s="1"/>
  <c r="AW229" i="1" s="1"/>
  <c r="AW230" i="1" s="1"/>
  <c r="AW231" i="1" s="1"/>
  <c r="AW232" i="1" s="1"/>
  <c r="AW233" i="1" s="1"/>
  <c r="AW234" i="1" s="1"/>
  <c r="AW235" i="1" s="1"/>
  <c r="AW236" i="1" s="1"/>
  <c r="AW237" i="1" s="1"/>
  <c r="AW238" i="1" s="1"/>
  <c r="AW239" i="1" s="1"/>
  <c r="AW240" i="1" s="1"/>
  <c r="AW241" i="1" s="1"/>
  <c r="AW242" i="1" s="1"/>
  <c r="AW243" i="1" s="1"/>
  <c r="AW244" i="1" s="1"/>
  <c r="AW245" i="1" s="1"/>
  <c r="AW246" i="1" s="1"/>
  <c r="AW247" i="1" s="1"/>
  <c r="AW248" i="1" s="1"/>
  <c r="AW249" i="1" s="1"/>
  <c r="AW250" i="1" s="1"/>
  <c r="AW251" i="1" s="1"/>
  <c r="AW252" i="1" s="1"/>
  <c r="AW253" i="1" s="1"/>
  <c r="AW254" i="1" s="1"/>
  <c r="AW255" i="1" s="1"/>
  <c r="AW256" i="1" s="1"/>
  <c r="AW257" i="1" s="1"/>
  <c r="AW258" i="1" s="1"/>
  <c r="AW259" i="1" s="1"/>
  <c r="AW260" i="1" s="1"/>
  <c r="AW261" i="1" s="1"/>
  <c r="AW262" i="1" s="1"/>
  <c r="AW263" i="1" s="1"/>
  <c r="AW264" i="1" s="1"/>
  <c r="AW265" i="1" s="1"/>
  <c r="AW266" i="1" s="1"/>
  <c r="AW267" i="1" s="1"/>
  <c r="AW268" i="1" s="1"/>
  <c r="AW269" i="1" s="1"/>
  <c r="AW270" i="1" s="1"/>
  <c r="AW271" i="1" s="1"/>
  <c r="AW272" i="1" s="1"/>
  <c r="AW273" i="1" s="1"/>
  <c r="AW274" i="1" s="1"/>
  <c r="AW275" i="1" s="1"/>
  <c r="AW276" i="1" s="1"/>
  <c r="AW277" i="1" s="1"/>
  <c r="AW278" i="1" s="1"/>
  <c r="AW279" i="1" s="1"/>
  <c r="AW280" i="1" s="1"/>
  <c r="AW281" i="1" s="1"/>
  <c r="AW282" i="1" s="1"/>
  <c r="AW283" i="1" s="1"/>
  <c r="AW284" i="1" s="1"/>
  <c r="AW285" i="1" s="1"/>
  <c r="AW286" i="1" s="1"/>
  <c r="AW287" i="1" s="1"/>
  <c r="AW288" i="1" s="1"/>
  <c r="AW289" i="1" s="1"/>
  <c r="AW290" i="1" s="1"/>
  <c r="AW291" i="1" s="1"/>
  <c r="AW292" i="1" s="1"/>
  <c r="AW293" i="1" s="1"/>
  <c r="AW294" i="1" s="1"/>
  <c r="AW295" i="1" s="1"/>
  <c r="AW296" i="1" s="1"/>
  <c r="AW297" i="1" s="1"/>
  <c r="AW298" i="1" s="1"/>
  <c r="AW299" i="1" s="1"/>
  <c r="AW300" i="1" s="1"/>
  <c r="AW301" i="1" s="1"/>
  <c r="AW302" i="1" s="1"/>
  <c r="AW303" i="1" s="1"/>
  <c r="AW304" i="1" s="1"/>
  <c r="AW305" i="1" s="1"/>
  <c r="AW306" i="1" s="1"/>
  <c r="AW307" i="1" s="1"/>
  <c r="AW308" i="1" s="1"/>
  <c r="AW309" i="1" s="1"/>
  <c r="AW310" i="1" s="1"/>
  <c r="AW311" i="1" s="1"/>
  <c r="AW312" i="1" s="1"/>
  <c r="AW313" i="1" s="1"/>
  <c r="AW314" i="1" s="1"/>
  <c r="AW315" i="1" s="1"/>
  <c r="AW316" i="1" s="1"/>
  <c r="AW317" i="1" s="1"/>
  <c r="AW318" i="1" s="1"/>
  <c r="AW319" i="1" s="1"/>
  <c r="AW320" i="1" s="1"/>
  <c r="AW321" i="1" s="1"/>
  <c r="AW322" i="1" s="1"/>
  <c r="AW323" i="1" s="1"/>
  <c r="AW324" i="1" s="1"/>
  <c r="AW325" i="1" s="1"/>
  <c r="AW326" i="1" s="1"/>
  <c r="AW327" i="1" s="1"/>
  <c r="AW328" i="1" s="1"/>
  <c r="AW329" i="1" s="1"/>
  <c r="AW330" i="1" s="1"/>
  <c r="AW331" i="1" s="1"/>
  <c r="AW332" i="1" s="1"/>
  <c r="AW333" i="1" s="1"/>
  <c r="AW334" i="1" s="1"/>
  <c r="AW335" i="1" s="1"/>
  <c r="AW336" i="1" s="1"/>
  <c r="AW337" i="1" s="1"/>
  <c r="AW338" i="1" s="1"/>
  <c r="AW339" i="1" s="1"/>
  <c r="AW340" i="1" s="1"/>
  <c r="AW341" i="1" s="1"/>
  <c r="AW342" i="1" s="1"/>
  <c r="AW343" i="1" s="1"/>
  <c r="AW344" i="1" s="1"/>
  <c r="AW345" i="1" s="1"/>
  <c r="AW346" i="1" s="1"/>
  <c r="AW347" i="1" s="1"/>
  <c r="AW348" i="1" s="1"/>
  <c r="AW349" i="1" s="1"/>
  <c r="AW350" i="1" s="1"/>
  <c r="AW351" i="1" s="1"/>
  <c r="AW352" i="1" s="1"/>
  <c r="AW353" i="1" s="1"/>
  <c r="AW354" i="1" s="1"/>
  <c r="AW355" i="1" s="1"/>
  <c r="AW356" i="1" s="1"/>
  <c r="AW357" i="1" s="1"/>
  <c r="AW358" i="1" s="1"/>
  <c r="AW359" i="1" s="1"/>
  <c r="AW360" i="1" s="1"/>
  <c r="AW361" i="1" s="1"/>
  <c r="AW362" i="1" s="1"/>
  <c r="AW363" i="1" s="1"/>
  <c r="AW364" i="1" s="1"/>
  <c r="AW365" i="1" s="1"/>
  <c r="AW366" i="1" s="1"/>
  <c r="AW367" i="1" s="1"/>
  <c r="AW368" i="1" s="1"/>
  <c r="AW369" i="1" s="1"/>
  <c r="AW370" i="1" s="1"/>
  <c r="AW371" i="1" s="1"/>
  <c r="AW372" i="1" s="1"/>
  <c r="AW373" i="1" s="1"/>
  <c r="AW374" i="1" s="1"/>
  <c r="AW375" i="1" s="1"/>
  <c r="AW376" i="1" s="1"/>
  <c r="AW377" i="1" s="1"/>
  <c r="AW378" i="1" s="1"/>
  <c r="AW379" i="1" s="1"/>
  <c r="AW380" i="1" s="1"/>
  <c r="AW381" i="1" s="1"/>
  <c r="AW382" i="1" s="1"/>
  <c r="AW383" i="1" s="1"/>
  <c r="AW384" i="1" s="1"/>
  <c r="AW385" i="1" s="1"/>
  <c r="AW386" i="1" s="1"/>
  <c r="AW387" i="1" s="1"/>
  <c r="AW388" i="1" s="1"/>
  <c r="AW389" i="1" s="1"/>
  <c r="AW390" i="1" s="1"/>
  <c r="AW391" i="1" s="1"/>
  <c r="AW392" i="1" s="1"/>
  <c r="AW393" i="1" s="1"/>
  <c r="AW394" i="1" s="1"/>
  <c r="AW395" i="1" s="1"/>
  <c r="AW396" i="1" s="1"/>
  <c r="AW397" i="1" s="1"/>
  <c r="AW398" i="1" s="1"/>
  <c r="AW399" i="1" s="1"/>
  <c r="AW400" i="1" s="1"/>
  <c r="AW401" i="1" s="1"/>
  <c r="AW402" i="1" s="1"/>
  <c r="AW403" i="1" s="1"/>
  <c r="AW404" i="1" s="1"/>
  <c r="AW405" i="1" s="1"/>
  <c r="AW406" i="1" s="1"/>
  <c r="AW407" i="1" s="1"/>
  <c r="AW408" i="1" s="1"/>
  <c r="AW409" i="1" s="1"/>
  <c r="AW410" i="1" s="1"/>
  <c r="AW411" i="1" s="1"/>
  <c r="AW412" i="1" s="1"/>
  <c r="AW413" i="1" s="1"/>
  <c r="AW414" i="1" s="1"/>
  <c r="AW415" i="1" s="1"/>
  <c r="AW416" i="1" s="1"/>
  <c r="AW417" i="1" s="1"/>
  <c r="AW418" i="1" s="1"/>
  <c r="AW419" i="1" s="1"/>
  <c r="AW420" i="1" s="1"/>
  <c r="AW421" i="1" s="1"/>
  <c r="AW422" i="1" s="1"/>
  <c r="AW423" i="1" s="1"/>
  <c r="AW424" i="1" s="1"/>
  <c r="AW425" i="1" s="1"/>
  <c r="AW426" i="1" s="1"/>
  <c r="AW427" i="1" s="1"/>
  <c r="AW428" i="1" s="1"/>
  <c r="AW429" i="1" s="1"/>
  <c r="AW430" i="1" s="1"/>
  <c r="AW431" i="1" s="1"/>
  <c r="AW432" i="1" s="1"/>
  <c r="AW433" i="1" s="1"/>
  <c r="AW434" i="1" s="1"/>
  <c r="AW435" i="1" s="1"/>
  <c r="AW436" i="1" s="1"/>
  <c r="AW437" i="1" s="1"/>
  <c r="AW438" i="1" s="1"/>
  <c r="AW439" i="1" s="1"/>
  <c r="AW440" i="1" s="1"/>
  <c r="AW441" i="1" s="1"/>
  <c r="AW442" i="1" s="1"/>
  <c r="AW443" i="1" s="1"/>
  <c r="AW444" i="1" s="1"/>
  <c r="AW445" i="1" s="1"/>
  <c r="AW446" i="1" s="1"/>
  <c r="AW447" i="1" s="1"/>
  <c r="AW448" i="1" s="1"/>
  <c r="AW449" i="1" s="1"/>
  <c r="AW450" i="1" s="1"/>
  <c r="AW451" i="1" s="1"/>
  <c r="AW452" i="1" s="1"/>
  <c r="AW453" i="1" s="1"/>
  <c r="AW454" i="1" s="1"/>
  <c r="AW455" i="1" s="1"/>
  <c r="AW456" i="1" s="1"/>
  <c r="AW457" i="1" s="1"/>
  <c r="AW458" i="1" s="1"/>
  <c r="AW459" i="1" s="1"/>
  <c r="AW460" i="1" s="1"/>
  <c r="AW461" i="1" s="1"/>
  <c r="AW462" i="1" s="1"/>
  <c r="AW463" i="1" s="1"/>
  <c r="AW464" i="1" s="1"/>
  <c r="AW465" i="1" s="1"/>
  <c r="AW466" i="1" s="1"/>
  <c r="AW467" i="1" s="1"/>
  <c r="AW468" i="1" s="1"/>
  <c r="AW469" i="1" s="1"/>
  <c r="AW470" i="1" s="1"/>
  <c r="AW471" i="1" s="1"/>
  <c r="AW472" i="1" s="1"/>
  <c r="AW473" i="1" s="1"/>
  <c r="AW474" i="1" s="1"/>
  <c r="AW475" i="1" s="1"/>
  <c r="AW476" i="1" s="1"/>
  <c r="AW477" i="1" s="1"/>
  <c r="AW478" i="1" s="1"/>
  <c r="AW479" i="1" s="1"/>
  <c r="AW480" i="1" s="1"/>
  <c r="AW481" i="1" s="1"/>
  <c r="AW482" i="1" s="1"/>
  <c r="AW483" i="1" s="1"/>
  <c r="AW484" i="1" s="1"/>
  <c r="AW485" i="1" s="1"/>
  <c r="AW486" i="1" s="1"/>
  <c r="AW487" i="1" s="1"/>
  <c r="AW488" i="1" s="1"/>
  <c r="AW489" i="1" s="1"/>
  <c r="AW490" i="1" s="1"/>
  <c r="AW491" i="1" s="1"/>
  <c r="AW492" i="1" s="1"/>
  <c r="AW493" i="1" s="1"/>
  <c r="AW494" i="1" s="1"/>
  <c r="AW495" i="1" s="1"/>
  <c r="AW496" i="1" s="1"/>
  <c r="AW497" i="1" s="1"/>
  <c r="AW498" i="1" s="1"/>
  <c r="AW499" i="1" s="1"/>
  <c r="AW500" i="1" s="1"/>
  <c r="AW501" i="1" s="1"/>
  <c r="AW502" i="1" s="1"/>
  <c r="AW503" i="1" s="1"/>
  <c r="AW504" i="1" s="1"/>
  <c r="AW505" i="1" s="1"/>
  <c r="AW506" i="1" s="1"/>
  <c r="AW507" i="1" s="1"/>
  <c r="AW508" i="1" s="1"/>
  <c r="AW509" i="1" s="1"/>
  <c r="AW510" i="1" s="1"/>
  <c r="AW511" i="1" s="1"/>
  <c r="AW512" i="1" s="1"/>
  <c r="AW513" i="1" s="1"/>
  <c r="AW514" i="1" s="1"/>
  <c r="AW515" i="1" s="1"/>
  <c r="AW516" i="1" s="1"/>
  <c r="AW517" i="1" s="1"/>
  <c r="AW518" i="1" s="1"/>
  <c r="AW519" i="1" s="1"/>
  <c r="AW520" i="1" s="1"/>
  <c r="AW521" i="1" s="1"/>
  <c r="AW522" i="1" s="1"/>
  <c r="AW523" i="1" s="1"/>
  <c r="AW524" i="1" s="1"/>
  <c r="AW525" i="1" s="1"/>
  <c r="AW526" i="1" s="1"/>
  <c r="AW527" i="1" s="1"/>
  <c r="AW528" i="1" s="1"/>
  <c r="AW529" i="1" s="1"/>
  <c r="AW530" i="1" s="1"/>
  <c r="AW531" i="1" s="1"/>
  <c r="AW532" i="1" s="1"/>
  <c r="AW533" i="1" s="1"/>
  <c r="AW534" i="1" s="1"/>
  <c r="AW535" i="1" s="1"/>
  <c r="AW536" i="1" s="1"/>
  <c r="AW537" i="1" s="1"/>
  <c r="AW538" i="1" s="1"/>
  <c r="AW539" i="1" s="1"/>
  <c r="AW540" i="1" s="1"/>
  <c r="AW541" i="1" s="1"/>
  <c r="AW542" i="1" s="1"/>
  <c r="AW543" i="1" s="1"/>
  <c r="AW544" i="1" s="1"/>
  <c r="AW545" i="1" s="1"/>
  <c r="AW546" i="1" s="1"/>
  <c r="AW547" i="1" s="1"/>
  <c r="AW548" i="1" s="1"/>
  <c r="AW549" i="1" s="1"/>
  <c r="AW550" i="1" s="1"/>
  <c r="AW551" i="1" s="1"/>
  <c r="AW552" i="1" s="1"/>
  <c r="AW553" i="1" s="1"/>
  <c r="AW554" i="1" s="1"/>
  <c r="AW555" i="1" s="1"/>
  <c r="AW556" i="1" s="1"/>
  <c r="AW557" i="1" s="1"/>
  <c r="AW558" i="1" s="1"/>
  <c r="AW559" i="1" s="1"/>
  <c r="AW560" i="1" s="1"/>
  <c r="AW561" i="1" s="1"/>
  <c r="AW562" i="1" s="1"/>
  <c r="AW563" i="1" s="1"/>
  <c r="AW564" i="1" s="1"/>
  <c r="AW565" i="1" s="1"/>
  <c r="AW566" i="1" s="1"/>
  <c r="AW567" i="1" s="1"/>
  <c r="AW568" i="1" s="1"/>
  <c r="AW569" i="1" s="1"/>
  <c r="AW570" i="1" s="1"/>
  <c r="AW571" i="1" s="1"/>
  <c r="AW572" i="1" s="1"/>
  <c r="AW573" i="1" s="1"/>
  <c r="AW574" i="1" s="1"/>
  <c r="AW575" i="1" s="1"/>
  <c r="AW576" i="1" s="1"/>
  <c r="AW577" i="1" s="1"/>
  <c r="AW578" i="1" s="1"/>
  <c r="AW579" i="1" s="1"/>
  <c r="AW580" i="1" s="1"/>
  <c r="AW581" i="1" s="1"/>
  <c r="AW582" i="1" s="1"/>
  <c r="AW583" i="1" s="1"/>
  <c r="AW584" i="1" s="1"/>
  <c r="AW585" i="1" s="1"/>
  <c r="AW586" i="1" s="1"/>
  <c r="AW587" i="1" s="1"/>
  <c r="AW588" i="1" s="1"/>
  <c r="AW589" i="1" s="1"/>
  <c r="AW590" i="1" s="1"/>
  <c r="AW591" i="1" s="1"/>
  <c r="AW592" i="1" s="1"/>
  <c r="AW593" i="1" s="1"/>
  <c r="AW594" i="1" s="1"/>
  <c r="AW595" i="1" s="1"/>
  <c r="AW596" i="1" s="1"/>
  <c r="AW597" i="1" s="1"/>
  <c r="AW598" i="1" s="1"/>
  <c r="AW599" i="1" s="1"/>
  <c r="AW600" i="1" s="1"/>
  <c r="AW601" i="1" s="1"/>
  <c r="AW602" i="1" s="1"/>
  <c r="AW603" i="1" s="1"/>
  <c r="AW604" i="1" s="1"/>
  <c r="AW605" i="1" s="1"/>
  <c r="AW606" i="1" s="1"/>
  <c r="AW607" i="1" s="1"/>
  <c r="AW608" i="1" s="1"/>
  <c r="AW609" i="1" s="1"/>
  <c r="AW610" i="1" s="1"/>
  <c r="AW611" i="1" s="1"/>
  <c r="AW612" i="1" s="1"/>
  <c r="AW613" i="1" s="1"/>
  <c r="AW614" i="1" s="1"/>
  <c r="AW615" i="1" s="1"/>
  <c r="AW616" i="1" s="1"/>
  <c r="AW617" i="1" s="1"/>
  <c r="AW618" i="1" s="1"/>
  <c r="AW619" i="1" s="1"/>
  <c r="AW620" i="1" s="1"/>
  <c r="AW621" i="1" s="1"/>
  <c r="AW622" i="1" s="1"/>
  <c r="AW623" i="1" s="1"/>
  <c r="AW624" i="1" s="1"/>
  <c r="AW625" i="1" s="1"/>
  <c r="AW626" i="1" s="1"/>
  <c r="AW627" i="1" s="1"/>
  <c r="AW628" i="1" s="1"/>
  <c r="AW629" i="1" s="1"/>
  <c r="AW630" i="1" s="1"/>
  <c r="AW631" i="1" s="1"/>
  <c r="AW632" i="1" s="1"/>
  <c r="AW633" i="1" s="1"/>
  <c r="AW634" i="1" s="1"/>
  <c r="AW635" i="1" s="1"/>
  <c r="AW636" i="1" s="1"/>
  <c r="AW637" i="1" s="1"/>
  <c r="AW638" i="1" s="1"/>
  <c r="AW639" i="1" s="1"/>
  <c r="AW640" i="1" s="1"/>
  <c r="AW641" i="1" s="1"/>
  <c r="AW642" i="1" s="1"/>
  <c r="AW643" i="1" s="1"/>
  <c r="AW644" i="1" s="1"/>
  <c r="AW645" i="1" s="1"/>
  <c r="AW646" i="1" s="1"/>
  <c r="AW647" i="1" s="1"/>
  <c r="AW648" i="1" s="1"/>
  <c r="AW649" i="1" s="1"/>
  <c r="AW650" i="1" s="1"/>
  <c r="AW651" i="1" s="1"/>
  <c r="AW652" i="1" s="1"/>
  <c r="AW653" i="1" s="1"/>
  <c r="AW654" i="1" s="1"/>
  <c r="AW655" i="1" s="1"/>
  <c r="AW656" i="1" s="1"/>
  <c r="AW657" i="1" s="1"/>
  <c r="AW658" i="1" s="1"/>
  <c r="AW659" i="1" s="1"/>
  <c r="AW660" i="1" s="1"/>
  <c r="AW661" i="1" s="1"/>
  <c r="AW662" i="1" s="1"/>
  <c r="AW663" i="1" s="1"/>
  <c r="AW664" i="1" s="1"/>
  <c r="AW665" i="1" s="1"/>
  <c r="AW666" i="1" s="1"/>
  <c r="AW667" i="1" s="1"/>
  <c r="AW668" i="1" s="1"/>
  <c r="AW669" i="1" s="1"/>
  <c r="AW670" i="1" s="1"/>
  <c r="AW671" i="1" s="1"/>
  <c r="AW672" i="1" s="1"/>
  <c r="AW673" i="1" s="1"/>
  <c r="AW674" i="1" s="1"/>
  <c r="AW675" i="1" s="1"/>
  <c r="AW676" i="1" s="1"/>
  <c r="AW677" i="1" s="1"/>
  <c r="AW678" i="1" s="1"/>
  <c r="AW679" i="1" s="1"/>
  <c r="AW680" i="1" s="1"/>
  <c r="AW681" i="1" s="1"/>
  <c r="AW682" i="1" s="1"/>
  <c r="AW683" i="1" s="1"/>
  <c r="AW684" i="1" s="1"/>
  <c r="AW685" i="1" s="1"/>
  <c r="AW686" i="1" s="1"/>
  <c r="AW687" i="1" s="1"/>
  <c r="AW688" i="1" s="1"/>
  <c r="AW689" i="1" s="1"/>
  <c r="AW690" i="1" s="1"/>
  <c r="AW691" i="1" s="1"/>
  <c r="AW692" i="1" s="1"/>
  <c r="AW693" i="1" s="1"/>
  <c r="AW694" i="1" s="1"/>
  <c r="AW695" i="1" s="1"/>
  <c r="AW696" i="1" s="1"/>
  <c r="AW697" i="1" s="1"/>
  <c r="AW698" i="1" s="1"/>
  <c r="AW699" i="1" s="1"/>
  <c r="AW700" i="1" s="1"/>
  <c r="AW701" i="1" s="1"/>
  <c r="AW702" i="1" s="1"/>
  <c r="AW703" i="1" s="1"/>
  <c r="AW704" i="1" s="1"/>
  <c r="AW705" i="1" s="1"/>
  <c r="AW706" i="1" s="1"/>
  <c r="AW707" i="1" s="1"/>
  <c r="AW708" i="1" s="1"/>
  <c r="AW709" i="1" s="1"/>
  <c r="AW710" i="1" s="1"/>
  <c r="AW711" i="1" s="1"/>
  <c r="AW712" i="1" s="1"/>
  <c r="AW713" i="1" s="1"/>
  <c r="AW714" i="1" s="1"/>
  <c r="AW715" i="1" s="1"/>
  <c r="AW716" i="1" s="1"/>
  <c r="AW717" i="1" s="1"/>
  <c r="AW718" i="1" s="1"/>
  <c r="AW719" i="1" s="1"/>
  <c r="AW720" i="1" s="1"/>
  <c r="AW721" i="1" s="1"/>
  <c r="AW722" i="1" s="1"/>
  <c r="AW723" i="1" s="1"/>
  <c r="AW724" i="1" s="1"/>
  <c r="AW725" i="1" s="1"/>
  <c r="AW726" i="1" s="1"/>
  <c r="AW727" i="1" s="1"/>
  <c r="AW728" i="1" s="1"/>
  <c r="AW729" i="1" s="1"/>
  <c r="AW730" i="1" s="1"/>
  <c r="AW731" i="1" s="1"/>
  <c r="AW732" i="1" s="1"/>
  <c r="AW733" i="1" s="1"/>
  <c r="AW734" i="1" s="1"/>
  <c r="AW735" i="1" s="1"/>
  <c r="AW736" i="1" s="1"/>
  <c r="AW737" i="1" s="1"/>
  <c r="AW738" i="1" s="1"/>
  <c r="AW739" i="1" s="1"/>
  <c r="AW740" i="1" s="1"/>
  <c r="AW741" i="1" s="1"/>
  <c r="AW742" i="1" s="1"/>
  <c r="AW743" i="1" s="1"/>
  <c r="AW744" i="1" s="1"/>
  <c r="AW745" i="1" s="1"/>
  <c r="AW746" i="1" s="1"/>
  <c r="AW747" i="1" s="1"/>
  <c r="AW748" i="1" s="1"/>
  <c r="AW749" i="1" s="1"/>
  <c r="AW750" i="1" s="1"/>
  <c r="AW751" i="1" s="1"/>
  <c r="AW752" i="1" s="1"/>
  <c r="AW753" i="1" s="1"/>
  <c r="AW754" i="1" s="1"/>
  <c r="AW755" i="1" s="1"/>
  <c r="AW756" i="1" s="1"/>
  <c r="AW757" i="1" s="1"/>
  <c r="AW758" i="1" s="1"/>
  <c r="AW759" i="1" s="1"/>
  <c r="AW760" i="1" s="1"/>
  <c r="AW761" i="1" s="1"/>
  <c r="AW762" i="1" s="1"/>
  <c r="AW763" i="1" s="1"/>
  <c r="AW764" i="1" s="1"/>
  <c r="AW765" i="1" s="1"/>
  <c r="AW766" i="1" s="1"/>
  <c r="AW767" i="1" s="1"/>
  <c r="AW768" i="1" s="1"/>
  <c r="AW769" i="1" s="1"/>
  <c r="AW770" i="1" s="1"/>
  <c r="AW771" i="1" s="1"/>
  <c r="AW772" i="1" s="1"/>
  <c r="AW773" i="1" s="1"/>
  <c r="AW774" i="1" s="1"/>
  <c r="AW775" i="1" s="1"/>
  <c r="AW776" i="1" s="1"/>
  <c r="AW777" i="1" s="1"/>
  <c r="AW778" i="1" s="1"/>
  <c r="AW779" i="1" s="1"/>
  <c r="AW780" i="1" s="1"/>
  <c r="AW781" i="1" s="1"/>
  <c r="AW782" i="1" s="1"/>
  <c r="AW783" i="1" s="1"/>
  <c r="AW784" i="1" s="1"/>
  <c r="AW785" i="1" s="1"/>
  <c r="AW786" i="1" s="1"/>
  <c r="AW787" i="1" s="1"/>
  <c r="AW788" i="1" s="1"/>
  <c r="AW789" i="1" s="1"/>
  <c r="AW790" i="1" s="1"/>
  <c r="AW791" i="1" s="1"/>
  <c r="AW792" i="1" s="1"/>
  <c r="AW793" i="1" s="1"/>
  <c r="AW794" i="1" s="1"/>
  <c r="AW795" i="1" s="1"/>
  <c r="AW796" i="1" s="1"/>
  <c r="AW797" i="1" s="1"/>
  <c r="AW798" i="1" s="1"/>
  <c r="AW799" i="1" s="1"/>
  <c r="AW800" i="1" s="1"/>
  <c r="AW801" i="1" s="1"/>
  <c r="AW802" i="1" s="1"/>
  <c r="AW803" i="1" s="1"/>
  <c r="AW804" i="1" s="1"/>
  <c r="AW805" i="1" s="1"/>
  <c r="AW806" i="1" s="1"/>
  <c r="AW807" i="1" s="1"/>
  <c r="AW808" i="1" s="1"/>
  <c r="AW809" i="1" s="1"/>
  <c r="AW810" i="1" s="1"/>
  <c r="AW811" i="1" s="1"/>
  <c r="AW812" i="1" s="1"/>
  <c r="AW813" i="1" s="1"/>
  <c r="AW814" i="1" s="1"/>
  <c r="AW815" i="1" s="1"/>
  <c r="AW816" i="1" s="1"/>
  <c r="AW817" i="1" s="1"/>
  <c r="AW818" i="1" s="1"/>
  <c r="AW819" i="1" s="1"/>
  <c r="AW820" i="1" s="1"/>
  <c r="AW821" i="1" s="1"/>
  <c r="AW822" i="1" s="1"/>
  <c r="AW823" i="1" s="1"/>
  <c r="AW824" i="1" s="1"/>
  <c r="AW825" i="1" s="1"/>
  <c r="AW826" i="1" s="1"/>
  <c r="AW827" i="1" s="1"/>
  <c r="AW828" i="1" s="1"/>
  <c r="AW829" i="1" s="1"/>
  <c r="AW830" i="1" s="1"/>
  <c r="AW831" i="1" s="1"/>
  <c r="AW832" i="1" s="1"/>
  <c r="AW833" i="1" s="1"/>
  <c r="AW834" i="1" s="1"/>
  <c r="AW835" i="1" s="1"/>
  <c r="AW836" i="1" s="1"/>
  <c r="AW837" i="1" s="1"/>
  <c r="AW838" i="1" s="1"/>
  <c r="AW839" i="1" s="1"/>
  <c r="AW840" i="1" s="1"/>
  <c r="AW841" i="1" s="1"/>
  <c r="AW842" i="1" s="1"/>
  <c r="AW843" i="1" s="1"/>
  <c r="AW844" i="1" s="1"/>
  <c r="AW845" i="1" s="1"/>
  <c r="AW846" i="1" s="1"/>
  <c r="AW847" i="1" s="1"/>
  <c r="AW848" i="1" s="1"/>
  <c r="AW849" i="1" s="1"/>
  <c r="AW850" i="1" s="1"/>
  <c r="AW851" i="1" s="1"/>
  <c r="AW852" i="1" s="1"/>
  <c r="AW853" i="1" s="1"/>
  <c r="AW854" i="1" s="1"/>
  <c r="AW855" i="1" s="1"/>
  <c r="AW856" i="1" s="1"/>
  <c r="AW857" i="1" s="1"/>
  <c r="AW858" i="1" s="1"/>
  <c r="AW859" i="1" s="1"/>
  <c r="AW860" i="1" s="1"/>
  <c r="AW861" i="1" s="1"/>
  <c r="AW862" i="1" s="1"/>
  <c r="AW863" i="1" s="1"/>
  <c r="AW864" i="1" s="1"/>
  <c r="AW865" i="1" s="1"/>
  <c r="AW866" i="1" s="1"/>
  <c r="AW867" i="1" s="1"/>
  <c r="AW868" i="1" s="1"/>
  <c r="AW869" i="1" s="1"/>
  <c r="AW870" i="1" s="1"/>
  <c r="AW871" i="1" s="1"/>
  <c r="AW872" i="1" s="1"/>
  <c r="AW873" i="1" s="1"/>
  <c r="AW874" i="1" s="1"/>
  <c r="AW875" i="1" s="1"/>
  <c r="AW876" i="1" s="1"/>
  <c r="AW877" i="1" s="1"/>
  <c r="AW878" i="1" s="1"/>
  <c r="AW879" i="1" s="1"/>
  <c r="AW880" i="1" s="1"/>
  <c r="AW881" i="1" s="1"/>
  <c r="AW882" i="1" s="1"/>
  <c r="AW883" i="1" s="1"/>
  <c r="AW884" i="1" s="1"/>
  <c r="AW885" i="1" s="1"/>
  <c r="AW886" i="1" s="1"/>
  <c r="AW887" i="1" s="1"/>
  <c r="AW888" i="1" s="1"/>
  <c r="AW889" i="1" s="1"/>
  <c r="AW890" i="1" s="1"/>
  <c r="AW891" i="1" s="1"/>
  <c r="AW892" i="1" s="1"/>
  <c r="AW893" i="1" s="1"/>
  <c r="AW894" i="1" s="1"/>
  <c r="AW895" i="1" s="1"/>
  <c r="AW896" i="1" s="1"/>
  <c r="AW897" i="1" s="1"/>
  <c r="AW898" i="1" s="1"/>
  <c r="AW899" i="1" s="1"/>
  <c r="AW900" i="1" s="1"/>
  <c r="AW901" i="1" s="1"/>
  <c r="AW902" i="1" s="1"/>
  <c r="AW903" i="1" s="1"/>
  <c r="AW904" i="1" s="1"/>
  <c r="AW905" i="1" s="1"/>
  <c r="AW906" i="1" s="1"/>
  <c r="AW907" i="1" s="1"/>
  <c r="AW908" i="1" s="1"/>
  <c r="AW909" i="1" s="1"/>
  <c r="AW910" i="1" s="1"/>
  <c r="AW911" i="1" s="1"/>
  <c r="AW912" i="1" s="1"/>
  <c r="AW913" i="1" s="1"/>
  <c r="AW914" i="1" s="1"/>
  <c r="AW915" i="1" s="1"/>
  <c r="AW916" i="1" s="1"/>
  <c r="AW917" i="1" s="1"/>
  <c r="AW918" i="1" s="1"/>
  <c r="AW919" i="1" s="1"/>
  <c r="AW920" i="1" s="1"/>
  <c r="AW921" i="1" s="1"/>
  <c r="AW922" i="1" s="1"/>
  <c r="AW923" i="1" s="1"/>
  <c r="AW924" i="1" s="1"/>
  <c r="AW925" i="1" s="1"/>
  <c r="AW926" i="1" s="1"/>
  <c r="AW927" i="1" s="1"/>
  <c r="AW928" i="1" s="1"/>
  <c r="AW929" i="1" s="1"/>
  <c r="AW930" i="1" s="1"/>
  <c r="AW931" i="1" s="1"/>
  <c r="AW932" i="1" s="1"/>
  <c r="AW933" i="1" s="1"/>
  <c r="AW934" i="1" s="1"/>
  <c r="AW935" i="1" s="1"/>
  <c r="AW936" i="1" s="1"/>
  <c r="AW937" i="1" s="1"/>
  <c r="AW938" i="1" s="1"/>
  <c r="AW939" i="1" s="1"/>
  <c r="AW940" i="1" s="1"/>
  <c r="AW941" i="1" s="1"/>
  <c r="AW942" i="1" s="1"/>
  <c r="AW943" i="1" s="1"/>
  <c r="AW944" i="1" s="1"/>
  <c r="AW945" i="1" s="1"/>
  <c r="AW946" i="1" s="1"/>
  <c r="AW947" i="1" s="1"/>
  <c r="AW948" i="1" s="1"/>
  <c r="AW949" i="1" s="1"/>
  <c r="AW950" i="1" s="1"/>
  <c r="AW951" i="1" s="1"/>
  <c r="AW952" i="1" s="1"/>
  <c r="AW953" i="1" s="1"/>
  <c r="AW954" i="1" s="1"/>
  <c r="AW955" i="1" s="1"/>
  <c r="AW956" i="1" s="1"/>
  <c r="AW957" i="1" s="1"/>
  <c r="AW958" i="1" s="1"/>
  <c r="AW959" i="1" s="1"/>
  <c r="AW960" i="1" s="1"/>
  <c r="AW961" i="1" s="1"/>
  <c r="AW962" i="1" s="1"/>
  <c r="AW963" i="1" s="1"/>
  <c r="AW964" i="1" s="1"/>
  <c r="AW965" i="1" s="1"/>
  <c r="AW966" i="1" s="1"/>
  <c r="AW967" i="1" s="1"/>
  <c r="AW968" i="1" s="1"/>
  <c r="AW969" i="1" s="1"/>
  <c r="AW970" i="1" s="1"/>
  <c r="AW971" i="1" s="1"/>
  <c r="AW972" i="1" s="1"/>
  <c r="AW973" i="1" s="1"/>
  <c r="AW974" i="1" s="1"/>
  <c r="AW975" i="1" s="1"/>
  <c r="AW976" i="1" s="1"/>
  <c r="AW977" i="1" s="1"/>
  <c r="AW978" i="1" s="1"/>
  <c r="AW979" i="1" s="1"/>
  <c r="AW980" i="1" s="1"/>
  <c r="AW981" i="1" s="1"/>
  <c r="AW982" i="1" s="1"/>
  <c r="AW983" i="1" s="1"/>
  <c r="AW984" i="1" s="1"/>
  <c r="AW985" i="1" s="1"/>
  <c r="AW986" i="1" s="1"/>
  <c r="AW987" i="1" s="1"/>
  <c r="AW988" i="1" s="1"/>
  <c r="AW989" i="1" s="1"/>
  <c r="AW990" i="1" s="1"/>
  <c r="AW991" i="1" s="1"/>
  <c r="AW992" i="1" s="1"/>
  <c r="AW993" i="1" s="1"/>
  <c r="AW994" i="1" s="1"/>
  <c r="AW995" i="1" s="1"/>
  <c r="AW996" i="1" s="1"/>
  <c r="AW997" i="1" s="1"/>
  <c r="AW998" i="1" s="1"/>
  <c r="AW999" i="1" s="1"/>
  <c r="AW1000" i="1" s="1"/>
  <c r="AW1001" i="1" s="1"/>
  <c r="AW1002" i="1" s="1"/>
  <c r="AW1003" i="1" s="1"/>
  <c r="AW1004" i="1" s="1"/>
  <c r="AW1005" i="1" s="1"/>
  <c r="AW1006" i="1" s="1"/>
  <c r="AW1007" i="1" s="1"/>
  <c r="AW1008" i="1" s="1"/>
  <c r="AW1009" i="1" s="1"/>
  <c r="AW1010" i="1" s="1"/>
  <c r="AW1011" i="1" s="1"/>
  <c r="AW1012" i="1" s="1"/>
  <c r="AW1013" i="1" s="1"/>
  <c r="AW1014" i="1" s="1"/>
  <c r="AW1015" i="1" s="1"/>
  <c r="AW1016" i="1" s="1"/>
  <c r="AW1017" i="1" s="1"/>
  <c r="AW1018" i="1" s="1"/>
  <c r="AW1019" i="1" s="1"/>
  <c r="AW1020" i="1" s="1"/>
  <c r="AW1021" i="1" s="1"/>
  <c r="AW1022" i="1" s="1"/>
  <c r="AW1023" i="1" s="1"/>
  <c r="AW1024" i="1" s="1"/>
  <c r="AW1025" i="1" s="1"/>
  <c r="AW1026" i="1" s="1"/>
  <c r="AW1027" i="1" s="1"/>
  <c r="AW1028" i="1" s="1"/>
  <c r="AW1029" i="1" s="1"/>
  <c r="AW1030" i="1" s="1"/>
  <c r="AW1031" i="1" s="1"/>
  <c r="AW1032" i="1" s="1"/>
  <c r="AW1033" i="1" s="1"/>
  <c r="AW1034" i="1" s="1"/>
  <c r="AW1035" i="1" s="1"/>
  <c r="AW1036" i="1" s="1"/>
  <c r="AW1037" i="1" s="1"/>
  <c r="AW1038" i="1" s="1"/>
  <c r="AW1039" i="1" s="1"/>
  <c r="AW1040" i="1" s="1"/>
  <c r="AW1041" i="1" s="1"/>
  <c r="AW1042" i="1" s="1"/>
  <c r="AW1043" i="1" s="1"/>
  <c r="AW1044" i="1" s="1"/>
  <c r="AW1045" i="1" s="1"/>
  <c r="AW1046" i="1" s="1"/>
  <c r="AW1047" i="1" s="1"/>
  <c r="AW1048" i="1" s="1"/>
  <c r="AW1049" i="1" s="1"/>
  <c r="AW1050" i="1" s="1"/>
  <c r="AW1051" i="1" s="1"/>
  <c r="AW1052" i="1" s="1"/>
  <c r="AW1053" i="1" s="1"/>
  <c r="AW1054" i="1" s="1"/>
  <c r="AW1055" i="1" s="1"/>
  <c r="AW1056" i="1" s="1"/>
  <c r="AW1057" i="1" s="1"/>
  <c r="AW1058" i="1" s="1"/>
  <c r="AW1059" i="1" s="1"/>
  <c r="AW1060" i="1" s="1"/>
  <c r="AW1061" i="1" s="1"/>
  <c r="AW1062" i="1" s="1"/>
  <c r="AW1063" i="1" s="1"/>
  <c r="AW1064" i="1" s="1"/>
  <c r="AW1065" i="1" s="1"/>
  <c r="AW1066" i="1" s="1"/>
  <c r="AW1067" i="1" s="1"/>
  <c r="AW1068" i="1" s="1"/>
  <c r="AW1069" i="1" s="1"/>
  <c r="AW1070" i="1" s="1"/>
  <c r="AW1071" i="1" s="1"/>
  <c r="AW1072" i="1" s="1"/>
  <c r="AW1073" i="1" s="1"/>
  <c r="AW1074" i="1" s="1"/>
  <c r="AW1075" i="1" s="1"/>
  <c r="AW1076" i="1" s="1"/>
  <c r="AW1077" i="1" s="1"/>
  <c r="AW1078" i="1" s="1"/>
  <c r="AW1079" i="1" s="1"/>
  <c r="AW1080" i="1" s="1"/>
  <c r="AW1081" i="1" s="1"/>
  <c r="AW1082" i="1" s="1"/>
  <c r="AW1083" i="1" s="1"/>
  <c r="AW1084" i="1" s="1"/>
  <c r="AW1085" i="1" s="1"/>
  <c r="AW1086" i="1" s="1"/>
  <c r="AW1087" i="1" s="1"/>
  <c r="AW1088" i="1" s="1"/>
  <c r="AW1089" i="1" s="1"/>
  <c r="AW1090" i="1" s="1"/>
  <c r="AW1091" i="1" s="1"/>
  <c r="AW1092" i="1" s="1"/>
  <c r="AW1093" i="1" s="1"/>
  <c r="AW1094" i="1" s="1"/>
  <c r="AW1095" i="1" s="1"/>
  <c r="AW1096" i="1" s="1"/>
  <c r="AW1097" i="1" s="1"/>
  <c r="AW1098" i="1" s="1"/>
  <c r="AW1099" i="1" s="1"/>
  <c r="AW1100" i="1" s="1"/>
  <c r="AW1101" i="1" s="1"/>
  <c r="AW1102" i="1" s="1"/>
  <c r="AW1103" i="1" s="1"/>
  <c r="AW1104" i="1" s="1"/>
  <c r="AW1105" i="1" s="1"/>
  <c r="AW1106" i="1" s="1"/>
  <c r="AW1107" i="1" s="1"/>
  <c r="AW1108" i="1" s="1"/>
  <c r="AW1109" i="1" s="1"/>
  <c r="AW1110" i="1" s="1"/>
  <c r="AW1111" i="1" s="1"/>
  <c r="AW1112" i="1" s="1"/>
  <c r="AW1113" i="1" s="1"/>
  <c r="AW1114" i="1" s="1"/>
  <c r="AW1115" i="1" s="1"/>
  <c r="AW1116" i="1" s="1"/>
  <c r="AW1117" i="1" s="1"/>
  <c r="AW1118" i="1" s="1"/>
  <c r="AW1119" i="1" s="1"/>
  <c r="AW1120" i="1" s="1"/>
  <c r="AW1121" i="1" s="1"/>
  <c r="AW1122" i="1" s="1"/>
  <c r="AW1123" i="1" s="1"/>
  <c r="AW1124" i="1" s="1"/>
  <c r="AW1125" i="1" s="1"/>
  <c r="AW1126" i="1" s="1"/>
  <c r="AW1127" i="1" s="1"/>
  <c r="AW1128" i="1" s="1"/>
  <c r="AW1129" i="1" s="1"/>
  <c r="AW1130" i="1" s="1"/>
  <c r="AW1131" i="1" s="1"/>
  <c r="AW1132" i="1" s="1"/>
  <c r="AW1133" i="1" s="1"/>
  <c r="AW1134" i="1" s="1"/>
  <c r="AW1135" i="1" s="1"/>
  <c r="AW1136" i="1" s="1"/>
  <c r="AW1137" i="1" s="1"/>
  <c r="AW1138" i="1" s="1"/>
  <c r="AW1139" i="1" s="1"/>
  <c r="AW1140" i="1" s="1"/>
  <c r="AW1141" i="1" s="1"/>
  <c r="AW1142" i="1" s="1"/>
  <c r="AW1143" i="1" s="1"/>
  <c r="AW1144" i="1" s="1"/>
  <c r="AW1145" i="1" s="1"/>
  <c r="AW1146" i="1" s="1"/>
  <c r="AW1147" i="1" s="1"/>
  <c r="AW1148" i="1" s="1"/>
  <c r="AW1149" i="1" s="1"/>
  <c r="AW1150" i="1" s="1"/>
  <c r="AW1151" i="1" s="1"/>
  <c r="AW1152" i="1" s="1"/>
  <c r="AW1153" i="1" s="1"/>
  <c r="AW1154" i="1" s="1"/>
  <c r="AW1155" i="1" s="1"/>
  <c r="AW1156" i="1" s="1"/>
  <c r="AW1157" i="1" s="1"/>
  <c r="AW1158" i="1" s="1"/>
  <c r="AW1159" i="1" s="1"/>
  <c r="AW1160" i="1" s="1"/>
  <c r="AW1161" i="1" s="1"/>
  <c r="AW1162" i="1" s="1"/>
  <c r="AW1163" i="1" s="1"/>
  <c r="AW1164" i="1" s="1"/>
  <c r="AW1165" i="1" s="1"/>
  <c r="AW1166" i="1" s="1"/>
  <c r="AW1167" i="1" s="1"/>
  <c r="AW1168" i="1" s="1"/>
  <c r="AW1169" i="1" s="1"/>
  <c r="AW1170" i="1" s="1"/>
  <c r="AW1171" i="1" s="1"/>
  <c r="AW1172" i="1" s="1"/>
  <c r="AW1173" i="1" s="1"/>
  <c r="AW1174" i="1" s="1"/>
  <c r="AW1175" i="1" s="1"/>
  <c r="AW1176" i="1" s="1"/>
  <c r="AW1177" i="1" s="1"/>
  <c r="AW1178" i="1" s="1"/>
  <c r="AW1179" i="1" s="1"/>
  <c r="AW1180" i="1" s="1"/>
  <c r="AW1181" i="1" s="1"/>
  <c r="AW1182" i="1" s="1"/>
  <c r="AW1183" i="1" s="1"/>
  <c r="AW1184" i="1" s="1"/>
  <c r="AW1185" i="1" s="1"/>
  <c r="AW1186" i="1" s="1"/>
  <c r="AW1187" i="1" s="1"/>
  <c r="AW1188" i="1" s="1"/>
  <c r="AW1189" i="1" s="1"/>
  <c r="AW1190" i="1" s="1"/>
  <c r="AW1191" i="1" s="1"/>
  <c r="AW1192" i="1" s="1"/>
  <c r="AW1193" i="1" s="1"/>
  <c r="AW1194" i="1" s="1"/>
  <c r="AW1195" i="1" s="1"/>
  <c r="AW1196" i="1" s="1"/>
  <c r="AW1197" i="1" s="1"/>
  <c r="AW1198" i="1" s="1"/>
  <c r="AW1199" i="1" s="1"/>
  <c r="AW1200" i="1" s="1"/>
  <c r="AW1201" i="1" s="1"/>
  <c r="AW1202" i="1" s="1"/>
  <c r="AW1203" i="1" s="1"/>
  <c r="AW1204" i="1" s="1"/>
  <c r="AW1205" i="1" s="1"/>
  <c r="AW1206" i="1" s="1"/>
  <c r="AW1207" i="1" s="1"/>
  <c r="AW1208" i="1" s="1"/>
  <c r="AW1209" i="1" s="1"/>
  <c r="AW1210" i="1" s="1"/>
  <c r="AW1211" i="1" s="1"/>
  <c r="AW1212" i="1" s="1"/>
  <c r="AW1213" i="1" s="1"/>
  <c r="AW1214" i="1" s="1"/>
  <c r="AW1215" i="1" s="1"/>
  <c r="AW1216" i="1" s="1"/>
  <c r="AW1217" i="1" s="1"/>
  <c r="AW1218" i="1" s="1"/>
  <c r="AW1219" i="1" s="1"/>
  <c r="AW1220" i="1" s="1"/>
  <c r="AW1221" i="1" s="1"/>
  <c r="AW1222" i="1" s="1"/>
  <c r="AW1223" i="1" s="1"/>
  <c r="AW1224" i="1" s="1"/>
  <c r="AW1225" i="1" s="1"/>
  <c r="AW1226" i="1" s="1"/>
  <c r="AW1227" i="1" s="1"/>
  <c r="AW1228" i="1" s="1"/>
  <c r="AW1229" i="1" s="1"/>
  <c r="AW1230" i="1" s="1"/>
  <c r="AW1231" i="1" s="1"/>
  <c r="AW1232" i="1" s="1"/>
  <c r="AW1233" i="1" s="1"/>
  <c r="AW1234" i="1" s="1"/>
  <c r="AW1235" i="1" s="1"/>
  <c r="AW1236" i="1" s="1"/>
  <c r="AW1237" i="1" s="1"/>
  <c r="AW1238" i="1" s="1"/>
  <c r="AW1239" i="1" s="1"/>
  <c r="AW1240" i="1" s="1"/>
  <c r="AW1241" i="1" s="1"/>
  <c r="AW1242" i="1" s="1"/>
  <c r="AW1243" i="1" s="1"/>
  <c r="AW1244" i="1" s="1"/>
  <c r="AW1245" i="1" s="1"/>
  <c r="AW1246" i="1" s="1"/>
  <c r="AW1247" i="1" s="1"/>
  <c r="AW1248" i="1" s="1"/>
  <c r="AW1249" i="1" s="1"/>
  <c r="AW1250" i="1" s="1"/>
  <c r="AW1251" i="1" s="1"/>
  <c r="AW1252" i="1" s="1"/>
  <c r="AW1253" i="1" s="1"/>
  <c r="AW1254" i="1" s="1"/>
  <c r="AW1255" i="1" s="1"/>
  <c r="AW1256" i="1" s="1"/>
  <c r="AW1257" i="1" s="1"/>
  <c r="AW1258" i="1" s="1"/>
  <c r="AW1259" i="1" s="1"/>
  <c r="AW1260" i="1" s="1"/>
  <c r="AW1261" i="1" s="1"/>
  <c r="AW1262" i="1" s="1"/>
  <c r="AW1263" i="1" s="1"/>
  <c r="AW1264" i="1" s="1"/>
  <c r="AW1265" i="1" s="1"/>
  <c r="AW1266" i="1" s="1"/>
  <c r="AW1267" i="1" s="1"/>
  <c r="AW1268" i="1" s="1"/>
  <c r="AW1269" i="1" s="1"/>
  <c r="AW1270" i="1" s="1"/>
  <c r="AW1271" i="1" s="1"/>
  <c r="AW1272" i="1" s="1"/>
  <c r="AW1273" i="1" s="1"/>
  <c r="AW1274" i="1" s="1"/>
  <c r="AW1275" i="1" s="1"/>
  <c r="AW1276" i="1" s="1"/>
  <c r="AW1277" i="1" s="1"/>
  <c r="AW1278" i="1" s="1"/>
  <c r="AW1279" i="1" s="1"/>
  <c r="AW1280" i="1" s="1"/>
  <c r="AW1281" i="1" s="1"/>
  <c r="AW1282" i="1" s="1"/>
  <c r="AW1283" i="1" s="1"/>
  <c r="AW1284" i="1" s="1"/>
  <c r="AW1285" i="1" s="1"/>
  <c r="AW1286" i="1" s="1"/>
  <c r="AW1287" i="1" s="1"/>
  <c r="AW1288" i="1" s="1"/>
  <c r="AW1289" i="1" s="1"/>
  <c r="AW1290" i="1" s="1"/>
  <c r="AW1291" i="1" s="1"/>
  <c r="AW1292" i="1" s="1"/>
  <c r="AW1293" i="1" s="1"/>
  <c r="AW1294" i="1" s="1"/>
  <c r="AW1295" i="1" s="1"/>
  <c r="AW1296" i="1" s="1"/>
  <c r="AW1297" i="1" s="1"/>
  <c r="AW1298" i="1" s="1"/>
  <c r="AW1299" i="1" s="1"/>
  <c r="AW1300" i="1" s="1"/>
  <c r="AW1301" i="1" s="1"/>
  <c r="AW1302" i="1" s="1"/>
  <c r="AW1303" i="1" s="1"/>
  <c r="AW1304" i="1" s="1"/>
  <c r="AW1305" i="1" s="1"/>
  <c r="AW1306" i="1" s="1"/>
  <c r="AW1307" i="1" s="1"/>
  <c r="AW1308" i="1" s="1"/>
  <c r="AW1309" i="1" s="1"/>
  <c r="AW1310" i="1" s="1"/>
  <c r="AW1311" i="1" s="1"/>
  <c r="AW1312" i="1" s="1"/>
  <c r="AW1313" i="1" s="1"/>
  <c r="AW1314" i="1" s="1"/>
  <c r="AW1315" i="1" s="1"/>
  <c r="AW1316" i="1" s="1"/>
  <c r="AW1317" i="1" s="1"/>
  <c r="AW1318" i="1" s="1"/>
  <c r="AW1319" i="1" s="1"/>
  <c r="AW1320" i="1" s="1"/>
  <c r="AW1321" i="1" s="1"/>
  <c r="AW1322" i="1" s="1"/>
  <c r="AW1323" i="1" s="1"/>
  <c r="AW1324" i="1" s="1"/>
  <c r="AW1325" i="1" s="1"/>
  <c r="AW1326" i="1" s="1"/>
  <c r="AW1327" i="1" s="1"/>
  <c r="AW1328" i="1" s="1"/>
  <c r="AW1329" i="1" s="1"/>
  <c r="AW1330" i="1" s="1"/>
  <c r="AW1331" i="1" s="1"/>
  <c r="AW1332" i="1" s="1"/>
  <c r="AW1333" i="1" s="1"/>
  <c r="AW1334" i="1" s="1"/>
  <c r="AW1335" i="1" s="1"/>
  <c r="AW1336" i="1" s="1"/>
  <c r="AW1337" i="1" s="1"/>
  <c r="AW1338" i="1" s="1"/>
  <c r="AW1339" i="1" s="1"/>
  <c r="AW1340" i="1" s="1"/>
  <c r="AW1341" i="1" s="1"/>
  <c r="AW1342" i="1" s="1"/>
  <c r="AW1343" i="1" s="1"/>
  <c r="AW1344" i="1" s="1"/>
  <c r="AW1345" i="1" s="1"/>
  <c r="AW1346" i="1" s="1"/>
  <c r="AW1347" i="1" s="1"/>
  <c r="AW1348" i="1" s="1"/>
  <c r="AW1349" i="1" s="1"/>
  <c r="AW1350" i="1" s="1"/>
  <c r="AW1351" i="1" s="1"/>
  <c r="AW1352" i="1" s="1"/>
  <c r="AW1353" i="1" s="1"/>
  <c r="AW1354" i="1" s="1"/>
  <c r="AW1355" i="1" s="1"/>
  <c r="AW1356" i="1" s="1"/>
  <c r="AW1357" i="1" s="1"/>
  <c r="AW1358" i="1" s="1"/>
  <c r="AW1359" i="1" s="1"/>
  <c r="AW1360" i="1" s="1"/>
  <c r="AW1361" i="1" s="1"/>
  <c r="AW1362" i="1" s="1"/>
  <c r="AW1363" i="1" s="1"/>
  <c r="AW1364" i="1" s="1"/>
  <c r="AW1365" i="1" s="1"/>
  <c r="AW1366" i="1" s="1"/>
  <c r="AW1367" i="1" s="1"/>
  <c r="AW1368" i="1" s="1"/>
  <c r="AW1369" i="1" s="1"/>
  <c r="AW1370" i="1" s="1"/>
  <c r="AW1371" i="1" s="1"/>
  <c r="AW1372" i="1" s="1"/>
  <c r="AW1373" i="1" s="1"/>
  <c r="AW1374" i="1" s="1"/>
  <c r="AW1375" i="1" s="1"/>
  <c r="AW1376" i="1" s="1"/>
  <c r="AW1377" i="1" s="1"/>
  <c r="AW1378" i="1" s="1"/>
  <c r="AW1379" i="1" s="1"/>
  <c r="AW1380" i="1" s="1"/>
  <c r="AW1381" i="1" s="1"/>
  <c r="AW1382" i="1" s="1"/>
  <c r="AW1383" i="1" s="1"/>
  <c r="AW1384" i="1" s="1"/>
  <c r="AW1385" i="1" s="1"/>
  <c r="AW1386" i="1" s="1"/>
  <c r="AW1387" i="1" s="1"/>
  <c r="AW1388" i="1" s="1"/>
  <c r="AW1389" i="1" s="1"/>
  <c r="AW1390" i="1" s="1"/>
  <c r="AW1391" i="1" s="1"/>
  <c r="AW1392" i="1" s="1"/>
  <c r="AW1393" i="1" s="1"/>
  <c r="AW1394" i="1" s="1"/>
  <c r="AW1395" i="1" s="1"/>
  <c r="AW1396" i="1" s="1"/>
  <c r="AW1397" i="1" s="1"/>
  <c r="AW1398" i="1" s="1"/>
  <c r="AW1399" i="1" s="1"/>
  <c r="AW1400" i="1" s="1"/>
  <c r="AW1401" i="1" s="1"/>
  <c r="AW1402" i="1" s="1"/>
  <c r="AW1403" i="1" s="1"/>
  <c r="AW1404" i="1" s="1"/>
  <c r="AW1405" i="1" s="1"/>
  <c r="AW1406" i="1" s="1"/>
  <c r="AW1407" i="1" s="1"/>
  <c r="AW1408" i="1" s="1"/>
  <c r="AW1409" i="1" s="1"/>
  <c r="AW1410" i="1" s="1"/>
  <c r="AW1411" i="1" s="1"/>
  <c r="AW1412" i="1" s="1"/>
  <c r="AW1413" i="1" s="1"/>
  <c r="AW1414" i="1" s="1"/>
  <c r="AW1415" i="1" s="1"/>
  <c r="AW1416" i="1" s="1"/>
  <c r="AW1417" i="1" s="1"/>
  <c r="AW1418" i="1" s="1"/>
  <c r="AW1419" i="1" s="1"/>
  <c r="AW1420" i="1" s="1"/>
  <c r="AW1421" i="1" s="1"/>
  <c r="AW1422" i="1" s="1"/>
  <c r="AW1423" i="1" s="1"/>
  <c r="AW1424" i="1" s="1"/>
  <c r="AW1425" i="1" s="1"/>
  <c r="AW1426" i="1" s="1"/>
  <c r="AW1427" i="1" s="1"/>
  <c r="AW1428" i="1" s="1"/>
  <c r="AW1429" i="1" s="1"/>
  <c r="AW1430" i="1" s="1"/>
  <c r="AW1431" i="1" s="1"/>
  <c r="AW1432" i="1" s="1"/>
  <c r="AW1433" i="1" s="1"/>
  <c r="AW1434" i="1" s="1"/>
  <c r="AW1435" i="1" s="1"/>
  <c r="AW1436" i="1" s="1"/>
  <c r="AW1437" i="1" s="1"/>
  <c r="AW1438" i="1" s="1"/>
  <c r="AW1439" i="1" s="1"/>
  <c r="AW1440" i="1" s="1"/>
  <c r="AW1441" i="1" s="1"/>
  <c r="AW1442" i="1" s="1"/>
  <c r="AW1443" i="1" s="1"/>
  <c r="AW1444" i="1" s="1"/>
  <c r="AW1445" i="1" s="1"/>
  <c r="AW1446" i="1" s="1"/>
  <c r="AW1447" i="1" s="1"/>
  <c r="AW1448" i="1" s="1"/>
  <c r="AW1449" i="1" s="1"/>
  <c r="AW1450" i="1" s="1"/>
  <c r="AW1451" i="1" s="1"/>
  <c r="AW1452" i="1" s="1"/>
  <c r="AW1453" i="1" s="1"/>
  <c r="AW1454" i="1" s="1"/>
  <c r="AW1455" i="1" s="1"/>
  <c r="AW1456" i="1" s="1"/>
  <c r="AW1457" i="1" s="1"/>
  <c r="AW1458" i="1" s="1"/>
  <c r="AW1459" i="1" s="1"/>
  <c r="AW1460" i="1" s="1"/>
  <c r="AW1461" i="1" s="1"/>
  <c r="AW1462" i="1" s="1"/>
  <c r="AW1463" i="1" s="1"/>
  <c r="AW1464" i="1" s="1"/>
  <c r="AW1465" i="1" s="1"/>
  <c r="AW1466" i="1" s="1"/>
  <c r="AW1467" i="1" s="1"/>
  <c r="AW1468" i="1" s="1"/>
  <c r="AW1469" i="1" s="1"/>
  <c r="AW1470" i="1" s="1"/>
  <c r="AW1471" i="1" s="1"/>
  <c r="AW1472" i="1" s="1"/>
  <c r="AW1473" i="1" s="1"/>
  <c r="AW1474" i="1" s="1"/>
  <c r="AW1475" i="1" s="1"/>
  <c r="AW1476" i="1" s="1"/>
  <c r="AW1477" i="1" s="1"/>
  <c r="AW1478" i="1" s="1"/>
  <c r="AW1479" i="1" s="1"/>
  <c r="AW1480" i="1" s="1"/>
  <c r="AW1481" i="1" s="1"/>
  <c r="AW1482" i="1" s="1"/>
  <c r="AW1483" i="1" s="1"/>
  <c r="AW1484" i="1" s="1"/>
  <c r="AW1485" i="1" s="1"/>
  <c r="AW1486" i="1" s="1"/>
  <c r="AW1487" i="1" s="1"/>
  <c r="AW1488" i="1" s="1"/>
  <c r="AW1489" i="1" s="1"/>
  <c r="AW1490" i="1" s="1"/>
  <c r="AW1491" i="1" s="1"/>
  <c r="AW1492" i="1" s="1"/>
  <c r="AW1493" i="1" s="1"/>
  <c r="AW1494" i="1" s="1"/>
  <c r="AW1495" i="1" s="1"/>
  <c r="AW1496" i="1" s="1"/>
  <c r="AW1497" i="1" s="1"/>
  <c r="AW1498" i="1" s="1"/>
  <c r="AW1499" i="1" s="1"/>
  <c r="AW1500" i="1" s="1"/>
  <c r="AW1501" i="1" s="1"/>
  <c r="AW1502" i="1" s="1"/>
  <c r="AW1503" i="1" s="1"/>
  <c r="AW1504" i="1" s="1"/>
  <c r="AW1505" i="1" s="1"/>
  <c r="AW1506" i="1" s="1"/>
  <c r="AW1507" i="1" s="1"/>
  <c r="AW1508" i="1" s="1"/>
  <c r="AW1509" i="1" s="1"/>
  <c r="AW1510" i="1" s="1"/>
  <c r="AW1511" i="1" s="1"/>
  <c r="AW1512" i="1" s="1"/>
  <c r="AW1513" i="1" s="1"/>
  <c r="AW1514" i="1" s="1"/>
  <c r="AW1515" i="1" s="1"/>
  <c r="AW1516" i="1" s="1"/>
  <c r="AW1517" i="1" s="1"/>
  <c r="AW1518" i="1" s="1"/>
  <c r="AW1519" i="1" s="1"/>
  <c r="AW1520" i="1" s="1"/>
  <c r="AW1521" i="1" s="1"/>
  <c r="AW1522" i="1" s="1"/>
  <c r="AW1523" i="1" s="1"/>
  <c r="AW1524" i="1" s="1"/>
  <c r="AW1525" i="1" s="1"/>
  <c r="AW1526" i="1" s="1"/>
  <c r="AW1527" i="1" s="1"/>
  <c r="AW1528" i="1" s="1"/>
  <c r="AW1529" i="1" s="1"/>
  <c r="AW1530" i="1" s="1"/>
  <c r="AW1531" i="1" s="1"/>
  <c r="AW1532" i="1" s="1"/>
  <c r="AW1533" i="1" s="1"/>
  <c r="AW1534" i="1" s="1"/>
  <c r="AW1535" i="1" s="1"/>
  <c r="AW1536" i="1" s="1"/>
  <c r="AW1537" i="1" s="1"/>
  <c r="AW1538" i="1" s="1"/>
  <c r="AW1539" i="1" s="1"/>
  <c r="AW1540" i="1" s="1"/>
  <c r="AW1541" i="1" s="1"/>
  <c r="AW1542" i="1" s="1"/>
  <c r="AW1543" i="1" s="1"/>
  <c r="AW1544" i="1" s="1"/>
  <c r="AW1545" i="1" s="1"/>
  <c r="AW1546" i="1" s="1"/>
  <c r="AW1547" i="1" s="1"/>
  <c r="AW1548" i="1" s="1"/>
  <c r="AW1549" i="1" s="1"/>
  <c r="AW1550" i="1" s="1"/>
  <c r="AW1551" i="1" s="1"/>
  <c r="AW1552" i="1" s="1"/>
  <c r="AW1553" i="1" s="1"/>
  <c r="AW1554" i="1" s="1"/>
  <c r="AW1555" i="1" s="1"/>
  <c r="AW1556" i="1" s="1"/>
  <c r="AW1557" i="1" s="1"/>
  <c r="AW1558" i="1" s="1"/>
  <c r="AW1559" i="1" s="1"/>
  <c r="AW1560" i="1" s="1"/>
  <c r="AW1561" i="1" s="1"/>
  <c r="AW1562" i="1" s="1"/>
  <c r="AW1563" i="1" s="1"/>
  <c r="AW1564" i="1" s="1"/>
  <c r="AW1565" i="1" s="1"/>
  <c r="AW1566" i="1" s="1"/>
  <c r="AW1567" i="1" s="1"/>
  <c r="AW1568" i="1" s="1"/>
  <c r="AW1569" i="1" s="1"/>
  <c r="AW1570" i="1" s="1"/>
  <c r="AW1571" i="1" s="1"/>
  <c r="AW1572" i="1" s="1"/>
  <c r="AW1573" i="1" s="1"/>
  <c r="AW1574" i="1" s="1"/>
  <c r="AW1575" i="1" s="1"/>
  <c r="AW1576" i="1" s="1"/>
  <c r="AW1577" i="1" s="1"/>
  <c r="AW1578" i="1" s="1"/>
  <c r="AW1579" i="1" s="1"/>
  <c r="AW1580" i="1" s="1"/>
  <c r="AW1581" i="1" s="1"/>
  <c r="AW1582" i="1" s="1"/>
  <c r="AW1583" i="1" s="1"/>
  <c r="AW1584" i="1" s="1"/>
  <c r="AW1585" i="1" s="1"/>
  <c r="AW1586" i="1" s="1"/>
  <c r="AW1587" i="1" s="1"/>
  <c r="AW1588" i="1" s="1"/>
  <c r="AW1589" i="1" s="1"/>
  <c r="AW1590" i="1" s="1"/>
  <c r="AW1591" i="1" s="1"/>
  <c r="AW1592" i="1" s="1"/>
  <c r="AW1593" i="1" s="1"/>
  <c r="AW1594" i="1" s="1"/>
  <c r="AW1595" i="1" s="1"/>
  <c r="AW1596" i="1" s="1"/>
  <c r="AW1597" i="1" s="1"/>
  <c r="AW1598" i="1" s="1"/>
  <c r="AW1599" i="1" s="1"/>
  <c r="AW1600" i="1" s="1"/>
  <c r="AW1601" i="1" s="1"/>
  <c r="AW1602" i="1" s="1"/>
  <c r="AW1603" i="1" s="1"/>
  <c r="AW1604" i="1" s="1"/>
  <c r="AW1605" i="1" s="1"/>
  <c r="AW1606" i="1" s="1"/>
  <c r="AW1607" i="1" s="1"/>
  <c r="AW1608" i="1" s="1"/>
  <c r="AW1609" i="1" s="1"/>
  <c r="AW1610" i="1" s="1"/>
  <c r="AW1611" i="1" s="1"/>
  <c r="AW1612" i="1" s="1"/>
  <c r="AW1613" i="1" s="1"/>
  <c r="AW1614" i="1" s="1"/>
  <c r="AW1615" i="1" s="1"/>
  <c r="AW1616" i="1" s="1"/>
  <c r="AW1617" i="1" s="1"/>
  <c r="AW1618" i="1" s="1"/>
  <c r="AW1619" i="1" s="1"/>
  <c r="AW1620" i="1" s="1"/>
  <c r="AW1621" i="1" s="1"/>
  <c r="AW1622" i="1" s="1"/>
  <c r="AW1623" i="1" s="1"/>
  <c r="AW1624" i="1" s="1"/>
  <c r="AW1625" i="1" s="1"/>
  <c r="AW1626" i="1" s="1"/>
  <c r="AW1627" i="1" s="1"/>
  <c r="AW1628" i="1" s="1"/>
  <c r="AW1629" i="1" s="1"/>
  <c r="AW1630" i="1" s="1"/>
  <c r="AW1631" i="1" s="1"/>
  <c r="AW1632" i="1" s="1"/>
  <c r="AW1633" i="1" s="1"/>
  <c r="AW1634" i="1" s="1"/>
  <c r="AW1635" i="1" s="1"/>
  <c r="AW1636" i="1" s="1"/>
  <c r="AW1637" i="1" s="1"/>
  <c r="AW1638" i="1" s="1"/>
  <c r="AW1639" i="1" s="1"/>
  <c r="AW1640" i="1" s="1"/>
  <c r="AW1641" i="1" s="1"/>
  <c r="AW1642" i="1" s="1"/>
  <c r="AW1643" i="1" s="1"/>
  <c r="AW1644" i="1" s="1"/>
  <c r="AW1645" i="1" s="1"/>
  <c r="AW1646" i="1" s="1"/>
  <c r="AW1647" i="1" s="1"/>
  <c r="AW1648" i="1" s="1"/>
  <c r="AW1649" i="1" s="1"/>
  <c r="AW1650" i="1" s="1"/>
  <c r="AW1651" i="1" s="1"/>
  <c r="AW1652" i="1" s="1"/>
  <c r="AW1653" i="1" s="1"/>
  <c r="AW1654" i="1" s="1"/>
  <c r="AW1655" i="1" s="1"/>
  <c r="AW1656" i="1" s="1"/>
  <c r="AW1657" i="1" s="1"/>
  <c r="AW1658" i="1" s="1"/>
  <c r="AW1659" i="1" s="1"/>
  <c r="AW1660" i="1" s="1"/>
  <c r="AW1661" i="1" s="1"/>
  <c r="AW1662" i="1" s="1"/>
  <c r="AW1663" i="1" s="1"/>
  <c r="AW1664" i="1" s="1"/>
  <c r="AW1665" i="1" s="1"/>
  <c r="AW1666" i="1" s="1"/>
  <c r="AW1667" i="1" s="1"/>
  <c r="AW1668" i="1" s="1"/>
  <c r="AW1669" i="1" s="1"/>
  <c r="AW1670" i="1" s="1"/>
  <c r="AW1671" i="1" s="1"/>
  <c r="AW1672" i="1" s="1"/>
  <c r="AW1673" i="1" s="1"/>
  <c r="AW1674" i="1" s="1"/>
  <c r="AW1675" i="1" s="1"/>
  <c r="AW1676" i="1" s="1"/>
  <c r="AW1677" i="1" s="1"/>
  <c r="AW1678" i="1" s="1"/>
  <c r="AW1679" i="1" s="1"/>
  <c r="AW1680" i="1" s="1"/>
  <c r="AW1681" i="1" s="1"/>
  <c r="AW1682" i="1" s="1"/>
  <c r="AW1683" i="1" s="1"/>
  <c r="AW1684" i="1" s="1"/>
  <c r="AW1685" i="1" s="1"/>
  <c r="AW1686" i="1" s="1"/>
  <c r="AW1687" i="1" s="1"/>
  <c r="AW1688" i="1" s="1"/>
  <c r="AW1689" i="1" s="1"/>
  <c r="AW1690" i="1" s="1"/>
  <c r="AW1691" i="1" s="1"/>
  <c r="AW1692" i="1" s="1"/>
  <c r="AW1693" i="1" s="1"/>
  <c r="AW1694" i="1" s="1"/>
  <c r="AW1695" i="1" s="1"/>
  <c r="AW1696" i="1" s="1"/>
  <c r="AW1697" i="1" s="1"/>
  <c r="AW1698" i="1" s="1"/>
  <c r="AW1699" i="1" s="1"/>
  <c r="AW1700" i="1" s="1"/>
  <c r="AW1701" i="1" s="1"/>
  <c r="AW1702" i="1" s="1"/>
  <c r="AW1703" i="1" s="1"/>
  <c r="AW1704" i="1" s="1"/>
  <c r="AW1705" i="1" s="1"/>
  <c r="AW1706" i="1" s="1"/>
  <c r="AW1707" i="1" s="1"/>
  <c r="AW1708" i="1" s="1"/>
  <c r="AW1709" i="1" s="1"/>
  <c r="AW1710" i="1" s="1"/>
  <c r="AW1711" i="1" s="1"/>
  <c r="AW1712" i="1" s="1"/>
  <c r="AW1713" i="1" s="1"/>
  <c r="AW1714" i="1" s="1"/>
  <c r="AW1715" i="1" s="1"/>
  <c r="AW1716" i="1" s="1"/>
  <c r="AW1717" i="1" s="1"/>
  <c r="AW1718" i="1" s="1"/>
  <c r="AW1719" i="1" s="1"/>
  <c r="AW1720" i="1" s="1"/>
  <c r="AW1721" i="1" s="1"/>
  <c r="AW1722" i="1" s="1"/>
  <c r="AW1723" i="1" s="1"/>
  <c r="AW1724" i="1" s="1"/>
  <c r="AW1725" i="1" s="1"/>
  <c r="AW1726" i="1" s="1"/>
  <c r="AW1727" i="1" s="1"/>
  <c r="AW1728" i="1" s="1"/>
  <c r="AW1729" i="1" s="1"/>
  <c r="AW1730" i="1" s="1"/>
  <c r="AW1731" i="1" s="1"/>
  <c r="AW1732" i="1" s="1"/>
  <c r="AW1733" i="1" s="1"/>
  <c r="AW1734" i="1" s="1"/>
  <c r="AW1735" i="1" s="1"/>
  <c r="AW1736" i="1" s="1"/>
  <c r="AW1737" i="1" s="1"/>
  <c r="AW1738" i="1" s="1"/>
  <c r="AW1739" i="1" s="1"/>
  <c r="AW1740" i="1" s="1"/>
  <c r="AW1741" i="1" s="1"/>
  <c r="AW1742" i="1" s="1"/>
  <c r="AW1743" i="1" s="1"/>
  <c r="AW1744" i="1" s="1"/>
  <c r="AW1745" i="1" s="1"/>
  <c r="AW1746" i="1" s="1"/>
  <c r="AW1747" i="1" s="1"/>
  <c r="AW1748" i="1" s="1"/>
  <c r="AW1749" i="1" s="1"/>
  <c r="AW1750" i="1" s="1"/>
  <c r="AW1751" i="1" s="1"/>
  <c r="AW1752" i="1" s="1"/>
  <c r="AW1753" i="1" s="1"/>
  <c r="AW1754" i="1" s="1"/>
  <c r="AW1755" i="1" s="1"/>
  <c r="AW1756" i="1" s="1"/>
  <c r="AW1757" i="1" s="1"/>
  <c r="AW1758" i="1" s="1"/>
  <c r="AW1759" i="1" s="1"/>
  <c r="AW1760" i="1" s="1"/>
  <c r="AW1761" i="1" s="1"/>
  <c r="AW1762" i="1" s="1"/>
  <c r="AW1763" i="1" s="1"/>
  <c r="AW1764" i="1" s="1"/>
  <c r="AW1765" i="1" s="1"/>
  <c r="AW1766" i="1" s="1"/>
  <c r="AW1767" i="1" s="1"/>
  <c r="AW1768" i="1" s="1"/>
  <c r="AW1769" i="1" s="1"/>
  <c r="AW1770" i="1" s="1"/>
  <c r="AW1771" i="1" s="1"/>
  <c r="AW1772" i="1" s="1"/>
  <c r="AW1773" i="1" s="1"/>
  <c r="AW1774" i="1" s="1"/>
  <c r="AW1775" i="1" s="1"/>
  <c r="AW1776" i="1" s="1"/>
  <c r="AW1777" i="1" s="1"/>
  <c r="AW1778" i="1" s="1"/>
  <c r="AW1779" i="1" s="1"/>
  <c r="AW1780" i="1" s="1"/>
  <c r="AW1781" i="1" s="1"/>
  <c r="AW1782" i="1" s="1"/>
  <c r="AW1783" i="1" s="1"/>
  <c r="AW1784" i="1" s="1"/>
  <c r="AW1785" i="1" s="1"/>
  <c r="AW1786" i="1" s="1"/>
  <c r="AW1787" i="1" s="1"/>
  <c r="AW1788" i="1" s="1"/>
  <c r="AW1789" i="1" s="1"/>
  <c r="AW1790" i="1" s="1"/>
  <c r="AW1791" i="1" s="1"/>
  <c r="AW1792" i="1" s="1"/>
  <c r="AW1793" i="1" s="1"/>
  <c r="AW1794" i="1" s="1"/>
  <c r="AW1795" i="1" s="1"/>
  <c r="AW1796" i="1" s="1"/>
  <c r="AW1797" i="1" s="1"/>
  <c r="AW1798" i="1" s="1"/>
  <c r="AW1799" i="1" s="1"/>
  <c r="AW1800" i="1" s="1"/>
  <c r="AW1801" i="1" s="1"/>
  <c r="AW1802" i="1" s="1"/>
  <c r="AW1803" i="1" s="1"/>
  <c r="AW1804" i="1" s="1"/>
  <c r="AW1805" i="1" s="1"/>
  <c r="AW1806" i="1" s="1"/>
  <c r="AW1807" i="1" s="1"/>
  <c r="AW1808" i="1" s="1"/>
  <c r="AW1809" i="1" s="1"/>
  <c r="AW1810" i="1" s="1"/>
  <c r="AW1811" i="1" s="1"/>
  <c r="AW1812" i="1" s="1"/>
  <c r="AW1813" i="1" s="1"/>
  <c r="AW1814" i="1" s="1"/>
  <c r="AW1815" i="1" s="1"/>
  <c r="AW1816" i="1" s="1"/>
  <c r="AW1817" i="1" s="1"/>
  <c r="AW1818" i="1" s="1"/>
  <c r="AW1819" i="1" s="1"/>
  <c r="AW1820" i="1" s="1"/>
  <c r="AW1821" i="1" s="1"/>
  <c r="AW1822" i="1" s="1"/>
  <c r="AW1823" i="1" s="1"/>
  <c r="AW1824" i="1" s="1"/>
  <c r="AW1825" i="1" s="1"/>
  <c r="AW1826" i="1" s="1"/>
  <c r="AW1827" i="1" s="1"/>
  <c r="AW1828" i="1" s="1"/>
  <c r="AW1829" i="1" s="1"/>
  <c r="AW1830" i="1" s="1"/>
  <c r="AW1831" i="1" s="1"/>
  <c r="AW1832" i="1" s="1"/>
  <c r="AW1833" i="1" s="1"/>
  <c r="AW1834" i="1" s="1"/>
  <c r="AW1835" i="1" s="1"/>
  <c r="AW1836" i="1" s="1"/>
  <c r="AW1837" i="1" s="1"/>
  <c r="AW1838" i="1" s="1"/>
  <c r="AW1839" i="1" s="1"/>
  <c r="AW1840" i="1" s="1"/>
  <c r="AW1841" i="1" s="1"/>
  <c r="AW1842" i="1" s="1"/>
  <c r="AW1843" i="1" s="1"/>
  <c r="AW1844" i="1" s="1"/>
  <c r="AW1845" i="1" s="1"/>
  <c r="AW1846" i="1" s="1"/>
  <c r="AW1847" i="1" s="1"/>
  <c r="AW1848" i="1" s="1"/>
  <c r="AW1849" i="1" s="1"/>
  <c r="AW1850" i="1" s="1"/>
  <c r="AW1851" i="1" s="1"/>
  <c r="AW1852" i="1" s="1"/>
  <c r="AW1853" i="1" s="1"/>
  <c r="AW1854" i="1" s="1"/>
  <c r="AW1855" i="1" s="1"/>
  <c r="AW1856" i="1" s="1"/>
  <c r="AW1857" i="1" s="1"/>
  <c r="AW1858" i="1" s="1"/>
  <c r="AW1859" i="1" s="1"/>
  <c r="AW1860" i="1" s="1"/>
  <c r="AW1861" i="1" s="1"/>
  <c r="AW1862" i="1" s="1"/>
  <c r="AW1863" i="1" s="1"/>
  <c r="AW1864" i="1" s="1"/>
  <c r="AW1865" i="1" s="1"/>
  <c r="AW1866" i="1" s="1"/>
  <c r="AW1867" i="1" s="1"/>
  <c r="AW1868" i="1" s="1"/>
  <c r="AW1869" i="1" s="1"/>
  <c r="AW1870" i="1" s="1"/>
  <c r="AW1871" i="1" s="1"/>
  <c r="AW1872" i="1" s="1"/>
  <c r="AW1873" i="1" s="1"/>
  <c r="AW1874" i="1" s="1"/>
  <c r="AW1875" i="1" s="1"/>
  <c r="AW1876" i="1" s="1"/>
  <c r="AW1877" i="1" s="1"/>
  <c r="AW1878" i="1" s="1"/>
  <c r="AW1879" i="1" s="1"/>
  <c r="AW1880" i="1" s="1"/>
  <c r="AW1881" i="1" s="1"/>
  <c r="AW1882" i="1" s="1"/>
  <c r="AW1883" i="1" s="1"/>
  <c r="AW1884" i="1" s="1"/>
  <c r="AW1885" i="1" s="1"/>
  <c r="AW1886" i="1" s="1"/>
  <c r="AW1887" i="1" s="1"/>
  <c r="AW1888" i="1" s="1"/>
  <c r="AW1889" i="1" s="1"/>
  <c r="AW1890" i="1" s="1"/>
  <c r="AW1891" i="1" s="1"/>
  <c r="AW1892" i="1" s="1"/>
  <c r="AW1893" i="1" s="1"/>
  <c r="AW1894" i="1" s="1"/>
  <c r="AW1895" i="1" s="1"/>
  <c r="AW1896" i="1" s="1"/>
  <c r="AW1897" i="1" s="1"/>
  <c r="AW1898" i="1" s="1"/>
  <c r="AW1899" i="1" s="1"/>
  <c r="AW1900" i="1" s="1"/>
  <c r="AW1901" i="1" s="1"/>
  <c r="AW1902" i="1" s="1"/>
  <c r="AW1903" i="1" s="1"/>
  <c r="AW1904" i="1" s="1"/>
  <c r="AW1905" i="1" s="1"/>
  <c r="AW1906" i="1" s="1"/>
  <c r="AW1907" i="1" s="1"/>
  <c r="AW1908" i="1" s="1"/>
  <c r="AW1909" i="1" s="1"/>
  <c r="AW1910" i="1" s="1"/>
  <c r="AW1911" i="1" s="1"/>
  <c r="AW1912" i="1" s="1"/>
  <c r="AW1913" i="1" s="1"/>
  <c r="AW1914" i="1" s="1"/>
  <c r="AW1915" i="1" s="1"/>
  <c r="AW1916" i="1" s="1"/>
  <c r="AW1917" i="1" s="1"/>
  <c r="AW1918" i="1" s="1"/>
  <c r="AW1919" i="1" s="1"/>
  <c r="AW1920" i="1" s="1"/>
  <c r="AW1921" i="1" s="1"/>
  <c r="AW1922" i="1" s="1"/>
  <c r="AW1923" i="1" s="1"/>
  <c r="AW1924" i="1" s="1"/>
  <c r="AW1925" i="1" s="1"/>
  <c r="AW1926" i="1" s="1"/>
  <c r="AW1927" i="1" s="1"/>
  <c r="AW1928" i="1" s="1"/>
  <c r="AW1929" i="1" s="1"/>
  <c r="AW1930" i="1" s="1"/>
  <c r="AW1931" i="1" s="1"/>
  <c r="AW1932" i="1" s="1"/>
  <c r="AW1933" i="1" s="1"/>
  <c r="AW1934" i="1" s="1"/>
  <c r="AW1935" i="1" s="1"/>
  <c r="AW1936" i="1" s="1"/>
  <c r="AW1937" i="1" s="1"/>
  <c r="AW1938" i="1" s="1"/>
  <c r="AW1939" i="1" s="1"/>
  <c r="AW1940" i="1" s="1"/>
  <c r="AW1941" i="1" s="1"/>
  <c r="AW1942" i="1" s="1"/>
  <c r="AW1943" i="1" s="1"/>
  <c r="AW1944" i="1" s="1"/>
  <c r="AW1945" i="1" s="1"/>
  <c r="AW1946" i="1" s="1"/>
  <c r="AW1947" i="1" s="1"/>
  <c r="AW1948" i="1" s="1"/>
  <c r="AW1949" i="1" s="1"/>
  <c r="AW1950" i="1" s="1"/>
  <c r="AW1951" i="1" s="1"/>
  <c r="AW1952" i="1" s="1"/>
  <c r="AW1953" i="1" s="1"/>
  <c r="AW1954" i="1" s="1"/>
  <c r="AW1955" i="1" s="1"/>
  <c r="AW1956" i="1" s="1"/>
  <c r="AW1957" i="1" s="1"/>
  <c r="AW1958" i="1" s="1"/>
  <c r="AW1959" i="1" s="1"/>
  <c r="AW1960" i="1" s="1"/>
  <c r="AW1961" i="1" s="1"/>
  <c r="AW1962" i="1" s="1"/>
  <c r="AW1963" i="1" s="1"/>
  <c r="AW1964" i="1" s="1"/>
  <c r="AW1965" i="1" s="1"/>
  <c r="AW1966" i="1" s="1"/>
  <c r="AW1967" i="1" s="1"/>
  <c r="AW1968" i="1" s="1"/>
  <c r="AW1969" i="1" s="1"/>
  <c r="AW1970" i="1" s="1"/>
  <c r="AW1971" i="1" s="1"/>
  <c r="AW1972" i="1" s="1"/>
  <c r="AW1973" i="1" s="1"/>
  <c r="AW1974" i="1" s="1"/>
  <c r="AW1975" i="1" s="1"/>
  <c r="AW1976" i="1" s="1"/>
  <c r="AW1977" i="1" s="1"/>
  <c r="AW1978" i="1" s="1"/>
  <c r="AW1979" i="1" s="1"/>
  <c r="AW1980" i="1" s="1"/>
  <c r="AW1981" i="1" s="1"/>
  <c r="AW1982" i="1" s="1"/>
  <c r="AW1983" i="1" s="1"/>
  <c r="AW1984" i="1" s="1"/>
  <c r="AW1985" i="1" s="1"/>
  <c r="AW1986" i="1" s="1"/>
  <c r="AW1987" i="1" s="1"/>
  <c r="AW1988" i="1" s="1"/>
  <c r="AW1989" i="1" s="1"/>
  <c r="AW1990" i="1" s="1"/>
  <c r="AW1991" i="1" s="1"/>
  <c r="AW1992" i="1" s="1"/>
  <c r="AW1993" i="1" s="1"/>
  <c r="AW1994" i="1" s="1"/>
  <c r="AW1995" i="1" s="1"/>
  <c r="AW1996" i="1" s="1"/>
  <c r="AW1997" i="1" s="1"/>
  <c r="AW1998" i="1" s="1"/>
  <c r="AW1999" i="1" s="1"/>
  <c r="AW2000" i="1" s="1"/>
  <c r="AW2001" i="1" s="1"/>
  <c r="AW2002" i="1" s="1"/>
  <c r="AW2003" i="1" s="1"/>
  <c r="AW2004" i="1" s="1"/>
  <c r="AW2005" i="1" s="1"/>
  <c r="AW2006" i="1" s="1"/>
  <c r="AW2007" i="1" s="1"/>
  <c r="AW2008" i="1" s="1"/>
  <c r="AW2009" i="1" s="1"/>
  <c r="AW2010" i="1" s="1"/>
  <c r="AW2011" i="1" s="1"/>
  <c r="AW2012" i="1" s="1"/>
  <c r="AW2013" i="1" s="1"/>
  <c r="AW2014" i="1" s="1"/>
  <c r="AW2015" i="1" s="1"/>
  <c r="AW2016" i="1" s="1"/>
  <c r="AW2017" i="1" s="1"/>
  <c r="AW2018" i="1" s="1"/>
  <c r="AW2019" i="1" s="1"/>
  <c r="AW2020" i="1" s="1"/>
  <c r="AW2021" i="1" s="1"/>
  <c r="AW2022" i="1" s="1"/>
  <c r="AW2023" i="1" s="1"/>
  <c r="AW2024" i="1" s="1"/>
  <c r="AW2025" i="1" s="1"/>
  <c r="AW2026" i="1" s="1"/>
  <c r="AW2027" i="1" s="1"/>
  <c r="AW2028" i="1" s="1"/>
  <c r="AW2029" i="1" s="1"/>
  <c r="AW2030" i="1" s="1"/>
  <c r="AW2031" i="1" s="1"/>
  <c r="AW2032" i="1" s="1"/>
  <c r="AW2033" i="1" s="1"/>
  <c r="AW2034" i="1" s="1"/>
  <c r="AW2035" i="1" s="1"/>
  <c r="AW2036" i="1" s="1"/>
  <c r="AW2037" i="1" s="1"/>
  <c r="AW2038" i="1" s="1"/>
  <c r="AW2039" i="1" s="1"/>
  <c r="AW2040" i="1" s="1"/>
  <c r="AW2041" i="1" s="1"/>
  <c r="AW2042" i="1" s="1"/>
  <c r="AW2043" i="1" s="1"/>
  <c r="AW2044" i="1" s="1"/>
  <c r="AW2045" i="1" s="1"/>
  <c r="AW2046" i="1" s="1"/>
  <c r="AW2047" i="1" s="1"/>
  <c r="AW2048" i="1" s="1"/>
  <c r="AW2049" i="1" s="1"/>
  <c r="AW2050" i="1" s="1"/>
  <c r="AW2051" i="1" s="1"/>
  <c r="AW2052" i="1" s="1"/>
  <c r="AW2053" i="1" s="1"/>
  <c r="AW2054" i="1" s="1"/>
  <c r="AW2055" i="1" s="1"/>
  <c r="AW2056" i="1" s="1"/>
  <c r="AW2057" i="1" s="1"/>
  <c r="AW2058" i="1" s="1"/>
  <c r="AW2059" i="1" s="1"/>
  <c r="AW2060" i="1" s="1"/>
  <c r="AW2061" i="1" s="1"/>
  <c r="AW2062" i="1" s="1"/>
  <c r="AW2063" i="1" s="1"/>
  <c r="AW2064" i="1" s="1"/>
  <c r="AW2065" i="1" s="1"/>
  <c r="AW2066" i="1" s="1"/>
  <c r="AW2067" i="1" s="1"/>
  <c r="AW2068" i="1" s="1"/>
  <c r="AW2069" i="1" s="1"/>
  <c r="AW2070" i="1" s="1"/>
  <c r="AW2071" i="1" s="1"/>
  <c r="AW2072" i="1" s="1"/>
  <c r="AW2073" i="1" s="1"/>
  <c r="AW2074" i="1" s="1"/>
  <c r="AW2075" i="1" s="1"/>
  <c r="AW2076" i="1" s="1"/>
  <c r="AW2077" i="1" s="1"/>
  <c r="AW2078" i="1" s="1"/>
  <c r="AW2079" i="1" s="1"/>
  <c r="AW2080" i="1" s="1"/>
  <c r="AW2081" i="1" s="1"/>
  <c r="AW2082" i="1" s="1"/>
  <c r="AW2083" i="1" s="1"/>
  <c r="AW2084" i="1" s="1"/>
  <c r="AW2085" i="1" s="1"/>
  <c r="AW2086" i="1" s="1"/>
  <c r="AW2087" i="1" s="1"/>
  <c r="AW2088" i="1" s="1"/>
  <c r="AW2089" i="1" s="1"/>
  <c r="AW2090" i="1" s="1"/>
  <c r="AW2091" i="1" s="1"/>
  <c r="AW2092" i="1" s="1"/>
  <c r="AW2093" i="1" s="1"/>
  <c r="AW2094" i="1" s="1"/>
  <c r="AW2095" i="1" s="1"/>
  <c r="AW2096" i="1" s="1"/>
  <c r="AW2097" i="1" s="1"/>
  <c r="AW2098" i="1" s="1"/>
  <c r="AW2099" i="1" s="1"/>
  <c r="AW2100" i="1" s="1"/>
  <c r="AW2101" i="1" s="1"/>
  <c r="AW2102" i="1" s="1"/>
  <c r="AW2103" i="1" s="1"/>
  <c r="AW2104" i="1" s="1"/>
  <c r="AW2105" i="1" s="1"/>
  <c r="AW2106" i="1" s="1"/>
  <c r="AW2107" i="1" s="1"/>
  <c r="AW2108" i="1" s="1"/>
  <c r="AW2109" i="1" s="1"/>
  <c r="AW2110" i="1" s="1"/>
  <c r="AW2111" i="1" s="1"/>
  <c r="AW2112" i="1" s="1"/>
  <c r="AW2113" i="1" s="1"/>
  <c r="AW2114" i="1" s="1"/>
  <c r="AW2115" i="1" s="1"/>
  <c r="AW2116" i="1" s="1"/>
  <c r="AW2117" i="1" s="1"/>
  <c r="AW2118" i="1" s="1"/>
  <c r="AW2119" i="1" s="1"/>
  <c r="AW2120" i="1" s="1"/>
  <c r="AW2121" i="1" s="1"/>
  <c r="AW2122" i="1" s="1"/>
  <c r="AW2123" i="1" s="1"/>
  <c r="AW2124" i="1" s="1"/>
  <c r="AW2125" i="1" s="1"/>
  <c r="AW2126" i="1" s="1"/>
  <c r="AW2127" i="1" s="1"/>
  <c r="AW2128" i="1" s="1"/>
  <c r="AW2129" i="1" s="1"/>
  <c r="AW2130" i="1" s="1"/>
  <c r="AW2131" i="1" s="1"/>
  <c r="AW2132" i="1" s="1"/>
  <c r="AW2133" i="1" s="1"/>
  <c r="AW2134" i="1" s="1"/>
  <c r="AW2135" i="1" s="1"/>
  <c r="AW2136" i="1" s="1"/>
  <c r="AW2137" i="1" s="1"/>
  <c r="AW2138" i="1" s="1"/>
  <c r="AW2139" i="1" s="1"/>
  <c r="AW2140" i="1" s="1"/>
  <c r="AW2141" i="1" s="1"/>
  <c r="AW2142" i="1" s="1"/>
  <c r="AW2143" i="1" s="1"/>
  <c r="AW2144" i="1" s="1"/>
  <c r="AW2145" i="1" s="1"/>
  <c r="AW2146" i="1" s="1"/>
  <c r="AW2147" i="1" s="1"/>
  <c r="AW2148" i="1" s="1"/>
  <c r="AW2149" i="1" s="1"/>
  <c r="AW2150" i="1" s="1"/>
  <c r="AW2151" i="1" s="1"/>
  <c r="AW2152" i="1" s="1"/>
  <c r="AW2153" i="1" s="1"/>
  <c r="AW2154" i="1" s="1"/>
  <c r="AW2155" i="1" s="1"/>
  <c r="AW2156" i="1" s="1"/>
  <c r="AW2157" i="1" s="1"/>
  <c r="AW2158" i="1" s="1"/>
  <c r="AW2159" i="1" s="1"/>
  <c r="AW2160" i="1" s="1"/>
  <c r="AW2161" i="1" s="1"/>
  <c r="AW2162" i="1" s="1"/>
  <c r="AW2163" i="1" s="1"/>
  <c r="AW2164" i="1" s="1"/>
  <c r="AW2165" i="1" s="1"/>
  <c r="AW2166" i="1" s="1"/>
  <c r="AW2167" i="1" s="1"/>
  <c r="AW2168" i="1" s="1"/>
  <c r="AW2169" i="1" s="1"/>
  <c r="AW2170" i="1" s="1"/>
  <c r="AW2171" i="1" s="1"/>
  <c r="AW2172" i="1" s="1"/>
  <c r="AW2173" i="1" s="1"/>
  <c r="AW2174" i="1" s="1"/>
  <c r="AW2175" i="1" s="1"/>
  <c r="AW2176" i="1" s="1"/>
  <c r="AW2177" i="1" s="1"/>
  <c r="AW2178" i="1" s="1"/>
  <c r="AW2179" i="1" s="1"/>
  <c r="AW2180" i="1" s="1"/>
  <c r="AW2181" i="1" s="1"/>
  <c r="AW2182" i="1" s="1"/>
  <c r="AW2183" i="1" s="1"/>
  <c r="AW2184" i="1" s="1"/>
  <c r="AW2185" i="1" s="1"/>
  <c r="AW2186" i="1" s="1"/>
  <c r="AW2187" i="1" s="1"/>
  <c r="AW2188" i="1" s="1"/>
  <c r="AW2189" i="1" s="1"/>
  <c r="AW2190" i="1" s="1"/>
  <c r="AW2191" i="1" s="1"/>
  <c r="AW2192" i="1" s="1"/>
  <c r="AW2193" i="1" s="1"/>
  <c r="AW2194" i="1" s="1"/>
  <c r="AW2195" i="1" s="1"/>
  <c r="AW2196" i="1" s="1"/>
  <c r="AW2197" i="1" s="1"/>
  <c r="AW2198" i="1" s="1"/>
  <c r="AW2199" i="1" s="1"/>
  <c r="AW2200" i="1" s="1"/>
  <c r="AW2201" i="1" s="1"/>
  <c r="AW2202" i="1" s="1"/>
  <c r="AW2203" i="1" s="1"/>
  <c r="AW2204" i="1" s="1"/>
  <c r="AW2205" i="1" s="1"/>
  <c r="AW2206" i="1" s="1"/>
  <c r="AW2207" i="1" s="1"/>
  <c r="AW2208" i="1" s="1"/>
  <c r="AW2209" i="1" s="1"/>
  <c r="AW2210" i="1" s="1"/>
  <c r="AW2211" i="1" s="1"/>
  <c r="AW2212" i="1" s="1"/>
  <c r="AW2213" i="1" s="1"/>
  <c r="AW2214" i="1" s="1"/>
  <c r="AW2215" i="1" s="1"/>
  <c r="AW2216" i="1" s="1"/>
  <c r="AW2217" i="1" s="1"/>
  <c r="AW2218" i="1" s="1"/>
  <c r="AW2219" i="1" s="1"/>
  <c r="AW2220" i="1" s="1"/>
  <c r="AW2221" i="1" s="1"/>
  <c r="AW2222" i="1" s="1"/>
  <c r="AW2223" i="1" s="1"/>
  <c r="AW2224" i="1" s="1"/>
  <c r="AW2225" i="1" s="1"/>
  <c r="AW2226" i="1" s="1"/>
  <c r="AW2227" i="1" s="1"/>
  <c r="AW2228" i="1" s="1"/>
  <c r="AW2229" i="1" s="1"/>
  <c r="AW2230" i="1" s="1"/>
  <c r="AW2231" i="1" s="1"/>
  <c r="AW2232" i="1" s="1"/>
  <c r="AW2233" i="1" s="1"/>
  <c r="AW2234" i="1" s="1"/>
  <c r="AW2235" i="1" s="1"/>
  <c r="AW2236" i="1" s="1"/>
  <c r="AW2237" i="1" s="1"/>
  <c r="AW2238" i="1" s="1"/>
  <c r="AW2239" i="1" s="1"/>
  <c r="AW2240" i="1" s="1"/>
  <c r="AW2241" i="1" s="1"/>
  <c r="AW2242" i="1" s="1"/>
  <c r="AW2243" i="1" s="1"/>
  <c r="AW2244" i="1" s="1"/>
  <c r="AW2245" i="1" s="1"/>
  <c r="AW2246" i="1" s="1"/>
  <c r="AW2247" i="1" s="1"/>
  <c r="AW2248" i="1" s="1"/>
  <c r="AW2249" i="1" s="1"/>
  <c r="AW2250" i="1" s="1"/>
  <c r="AW2251" i="1" s="1"/>
  <c r="AW2252" i="1" s="1"/>
  <c r="AW2253" i="1" s="1"/>
  <c r="AW2254" i="1" s="1"/>
  <c r="AW2255" i="1" s="1"/>
  <c r="AW2256" i="1" s="1"/>
  <c r="AW2257" i="1" s="1"/>
  <c r="AW2258" i="1" s="1"/>
  <c r="AW2259" i="1" s="1"/>
  <c r="AW2260" i="1" s="1"/>
  <c r="AW2261" i="1" s="1"/>
  <c r="AW2262" i="1" s="1"/>
  <c r="AW2263" i="1" s="1"/>
  <c r="AW2264" i="1" s="1"/>
  <c r="AW2265" i="1" s="1"/>
  <c r="AW2266" i="1" s="1"/>
  <c r="AW2267" i="1" s="1"/>
  <c r="AW2268" i="1" s="1"/>
  <c r="AW2269" i="1" s="1"/>
  <c r="AW2270" i="1" s="1"/>
  <c r="AW2271" i="1" s="1"/>
  <c r="AW2272" i="1" s="1"/>
  <c r="AW2273" i="1" s="1"/>
  <c r="AW2274" i="1" s="1"/>
  <c r="AW2275" i="1" s="1"/>
  <c r="AW2276" i="1" s="1"/>
  <c r="AW2277" i="1" s="1"/>
  <c r="AW2278" i="1" s="1"/>
  <c r="AW2279" i="1" s="1"/>
  <c r="AW2280" i="1" s="1"/>
  <c r="AW2281" i="1" s="1"/>
  <c r="AW2282" i="1" s="1"/>
  <c r="AW2283" i="1" s="1"/>
  <c r="AW2284" i="1" s="1"/>
  <c r="AW2285" i="1" s="1"/>
  <c r="AW2286" i="1" s="1"/>
  <c r="AW2287" i="1" s="1"/>
  <c r="AW2288" i="1" s="1"/>
  <c r="AW2289" i="1" s="1"/>
  <c r="AW2290" i="1" s="1"/>
  <c r="AW2291" i="1" s="1"/>
  <c r="AW2292" i="1" s="1"/>
  <c r="AW2293" i="1" s="1"/>
  <c r="AW2294" i="1" s="1"/>
  <c r="AW2295" i="1" s="1"/>
  <c r="AW2296" i="1" s="1"/>
  <c r="AW2297" i="1" s="1"/>
  <c r="AW2298" i="1" s="1"/>
  <c r="AW2299" i="1" s="1"/>
  <c r="AW2300" i="1" s="1"/>
  <c r="AW2301" i="1" s="1"/>
  <c r="AW2302" i="1" s="1"/>
  <c r="AW2303" i="1" s="1"/>
  <c r="AW2304" i="1" s="1"/>
  <c r="AW2305" i="1" s="1"/>
  <c r="AW2306" i="1" s="1"/>
  <c r="AW2307" i="1" s="1"/>
  <c r="AW2308" i="1" s="1"/>
  <c r="AW2309" i="1" s="1"/>
  <c r="AW2310" i="1" s="1"/>
  <c r="AW2311" i="1" s="1"/>
  <c r="AW2312" i="1" s="1"/>
  <c r="AW2313" i="1" s="1"/>
  <c r="AW2314" i="1" s="1"/>
  <c r="AW2315" i="1" s="1"/>
  <c r="AW2316" i="1" s="1"/>
  <c r="AW2317" i="1" s="1"/>
  <c r="AW2318" i="1" s="1"/>
  <c r="AW2319" i="1" s="1"/>
  <c r="AW2320" i="1" s="1"/>
  <c r="AW2321" i="1" s="1"/>
  <c r="AW2322" i="1" s="1"/>
  <c r="AW2323" i="1" s="1"/>
  <c r="AW2324" i="1" s="1"/>
  <c r="AW2325" i="1" s="1"/>
  <c r="AW2326" i="1" s="1"/>
  <c r="AW2327" i="1" s="1"/>
  <c r="AW2328" i="1" s="1"/>
  <c r="AW2329" i="1" s="1"/>
  <c r="AW2330" i="1" s="1"/>
  <c r="AW2331" i="1" s="1"/>
  <c r="AW2332" i="1" s="1"/>
  <c r="AW2333" i="1" s="1"/>
  <c r="AW2334" i="1" s="1"/>
  <c r="AW2335" i="1" s="1"/>
  <c r="AW2336" i="1" s="1"/>
  <c r="AW2337" i="1" s="1"/>
  <c r="AW2338" i="1" s="1"/>
  <c r="AW2339" i="1" s="1"/>
  <c r="AW2340" i="1" s="1"/>
  <c r="AW2341" i="1" s="1"/>
  <c r="AW2342" i="1" s="1"/>
  <c r="AW2343" i="1" s="1"/>
  <c r="AW2344" i="1" s="1"/>
  <c r="AW2345" i="1" s="1"/>
  <c r="AW2346" i="1" s="1"/>
  <c r="AW2347" i="1" s="1"/>
  <c r="AW2348" i="1" s="1"/>
  <c r="AW2349" i="1" s="1"/>
  <c r="AW2350" i="1" s="1"/>
  <c r="AW2351" i="1" s="1"/>
  <c r="AW2352" i="1" s="1"/>
  <c r="AW2353" i="1" s="1"/>
  <c r="AW2354" i="1" s="1"/>
  <c r="AW2355" i="1" s="1"/>
  <c r="AW2356" i="1" s="1"/>
  <c r="AW2357" i="1" s="1"/>
  <c r="AW2358" i="1" s="1"/>
  <c r="AW2359" i="1" s="1"/>
  <c r="AW2360" i="1" s="1"/>
  <c r="AW2361" i="1" s="1"/>
  <c r="AW2362" i="1" s="1"/>
  <c r="AW2363" i="1" s="1"/>
  <c r="AW2364" i="1" s="1"/>
  <c r="AW2365" i="1" s="1"/>
  <c r="AW2366" i="1" s="1"/>
  <c r="AW2367" i="1" s="1"/>
  <c r="AW2368" i="1" s="1"/>
  <c r="AW2369" i="1" s="1"/>
  <c r="AW2370" i="1" s="1"/>
  <c r="AW2371" i="1" s="1"/>
  <c r="AW2372" i="1" s="1"/>
  <c r="AW2373" i="1" s="1"/>
  <c r="AW2374" i="1" s="1"/>
  <c r="AW2375" i="1" s="1"/>
  <c r="AW2376" i="1" s="1"/>
  <c r="AW2377" i="1" s="1"/>
  <c r="AW2378" i="1" s="1"/>
  <c r="AW2379" i="1" s="1"/>
  <c r="AW2380" i="1" s="1"/>
  <c r="AW2381" i="1" s="1"/>
  <c r="AW2382" i="1" s="1"/>
  <c r="AW2383" i="1" s="1"/>
  <c r="AW2384" i="1" s="1"/>
  <c r="AW2385" i="1" s="1"/>
  <c r="AW2386" i="1" s="1"/>
  <c r="AW2387" i="1" s="1"/>
  <c r="AW2388" i="1" s="1"/>
  <c r="AW2389" i="1" s="1"/>
  <c r="AW2390" i="1" s="1"/>
  <c r="AW2391" i="1" s="1"/>
  <c r="AW2392" i="1" s="1"/>
  <c r="AW2393" i="1" s="1"/>
  <c r="AW2394" i="1" s="1"/>
  <c r="AW2395" i="1" s="1"/>
  <c r="AW2396" i="1" s="1"/>
  <c r="AW2397" i="1" s="1"/>
  <c r="AW2398" i="1" s="1"/>
  <c r="AW2399" i="1" s="1"/>
  <c r="AW2400" i="1" s="1"/>
  <c r="AW2401" i="1" s="1"/>
  <c r="AW2402" i="1" s="1"/>
  <c r="AW2403" i="1" s="1"/>
  <c r="AW2404" i="1" s="1"/>
  <c r="AW2405" i="1" s="1"/>
  <c r="AW2406" i="1" s="1"/>
  <c r="AW2407" i="1" s="1"/>
  <c r="AW2408" i="1" s="1"/>
  <c r="AW2409" i="1" s="1"/>
  <c r="AW2410" i="1" s="1"/>
  <c r="AW2411" i="1" s="1"/>
  <c r="AW2412" i="1" s="1"/>
  <c r="AW2413" i="1" s="1"/>
  <c r="AW2414" i="1" s="1"/>
  <c r="AW2415" i="1" s="1"/>
  <c r="AW2416" i="1" s="1"/>
  <c r="AW2417" i="1" s="1"/>
  <c r="AW2418" i="1" s="1"/>
  <c r="AW2419" i="1" s="1"/>
  <c r="AW2420" i="1" s="1"/>
  <c r="AW2421" i="1" s="1"/>
  <c r="AW2422" i="1" s="1"/>
  <c r="AW2423" i="1" s="1"/>
  <c r="AW2424" i="1" s="1"/>
  <c r="AW2425" i="1" s="1"/>
  <c r="AW2426" i="1" s="1"/>
  <c r="AW2427" i="1" s="1"/>
  <c r="AW2428" i="1" s="1"/>
  <c r="AW2429" i="1" s="1"/>
  <c r="AW2430" i="1" s="1"/>
  <c r="AW2431" i="1" s="1"/>
  <c r="AW2432" i="1" s="1"/>
  <c r="AW2433" i="1" s="1"/>
  <c r="AW2434" i="1" s="1"/>
  <c r="AW2435" i="1" s="1"/>
  <c r="AW2436" i="1" s="1"/>
  <c r="AW2437" i="1" s="1"/>
  <c r="AW2438" i="1" s="1"/>
  <c r="AW2439" i="1" s="1"/>
  <c r="AW2440" i="1" s="1"/>
  <c r="AW2441" i="1" s="1"/>
  <c r="AW2442" i="1" s="1"/>
  <c r="AW2443" i="1" s="1"/>
  <c r="AW2444" i="1" s="1"/>
  <c r="AW2445" i="1" s="1"/>
  <c r="AW2446" i="1" s="1"/>
  <c r="AW2447" i="1" s="1"/>
  <c r="AW2448" i="1" s="1"/>
  <c r="AW2449" i="1" s="1"/>
  <c r="AW2450" i="1" s="1"/>
  <c r="AW2451" i="1" s="1"/>
  <c r="AW2452" i="1" s="1"/>
  <c r="AW2453" i="1" s="1"/>
  <c r="AW2454" i="1" s="1"/>
  <c r="AW2455" i="1" s="1"/>
  <c r="AW2456" i="1" s="1"/>
  <c r="AW2457" i="1" s="1"/>
  <c r="AW2458" i="1" s="1"/>
  <c r="AW2459" i="1" s="1"/>
  <c r="AW2460" i="1" s="1"/>
  <c r="AW2461" i="1" s="1"/>
  <c r="AW2462" i="1" s="1"/>
  <c r="AW2463" i="1" s="1"/>
  <c r="AW2464" i="1" s="1"/>
  <c r="AW2465" i="1" s="1"/>
  <c r="AW2466" i="1" s="1"/>
  <c r="AW2467" i="1" s="1"/>
  <c r="AW2468" i="1" s="1"/>
  <c r="AW2469" i="1" s="1"/>
  <c r="AW2470" i="1" s="1"/>
  <c r="AW2471" i="1" s="1"/>
  <c r="AW2472" i="1" s="1"/>
  <c r="AW2473" i="1" s="1"/>
  <c r="AW2474" i="1" s="1"/>
  <c r="AW2475" i="1" s="1"/>
  <c r="AW2476" i="1" s="1"/>
  <c r="AW2477" i="1" s="1"/>
  <c r="AW2478" i="1" s="1"/>
  <c r="AW2479" i="1" s="1"/>
  <c r="AW2480" i="1" s="1"/>
  <c r="AW2481" i="1" s="1"/>
  <c r="AW2482" i="1" s="1"/>
  <c r="AW2483" i="1" s="1"/>
  <c r="AW2484" i="1" s="1"/>
  <c r="AW2485" i="1" s="1"/>
  <c r="AW2486" i="1" s="1"/>
  <c r="AW2487" i="1" s="1"/>
  <c r="AW2488" i="1" s="1"/>
  <c r="AW2489" i="1" s="1"/>
  <c r="AW2490" i="1" s="1"/>
  <c r="AW2491" i="1" s="1"/>
  <c r="AW2492" i="1" s="1"/>
  <c r="AW2493" i="1" s="1"/>
  <c r="AW2494" i="1" s="1"/>
  <c r="AW2495" i="1" s="1"/>
  <c r="AW2496" i="1" s="1"/>
  <c r="AW2497" i="1" s="1"/>
  <c r="AW2498" i="1" s="1"/>
  <c r="AW2499" i="1" s="1"/>
  <c r="AW2500" i="1" s="1"/>
  <c r="AW2501" i="1" s="1"/>
  <c r="AW2502" i="1" s="1"/>
  <c r="AW2503" i="1" s="1"/>
  <c r="AW2504" i="1" s="1"/>
  <c r="AW2505" i="1" s="1"/>
  <c r="AW2506" i="1" s="1"/>
  <c r="AW2507" i="1" s="1"/>
  <c r="AW2508" i="1" s="1"/>
  <c r="AW2509" i="1" s="1"/>
  <c r="AW2510" i="1" s="1"/>
  <c r="AW2511" i="1" s="1"/>
  <c r="AW2512" i="1" s="1"/>
  <c r="AW2513" i="1" s="1"/>
  <c r="AW2514" i="1" s="1"/>
  <c r="AW2515" i="1" s="1"/>
  <c r="AW2516" i="1" s="1"/>
  <c r="AW2517" i="1" s="1"/>
  <c r="AW2518" i="1" s="1"/>
  <c r="AW2519" i="1" s="1"/>
  <c r="AW2520" i="1" s="1"/>
  <c r="AW2521" i="1" s="1"/>
  <c r="AW2522" i="1" s="1"/>
  <c r="AW2523" i="1" s="1"/>
  <c r="AW2524" i="1" s="1"/>
  <c r="AW2525" i="1" s="1"/>
  <c r="AW2526" i="1" s="1"/>
  <c r="AW2527" i="1" s="1"/>
  <c r="AW2528" i="1" s="1"/>
  <c r="AW2529" i="1" s="1"/>
  <c r="AW2530" i="1" s="1"/>
  <c r="AW2531" i="1" s="1"/>
  <c r="AW2532" i="1" s="1"/>
  <c r="AW2533" i="1" s="1"/>
  <c r="AW2534" i="1" s="1"/>
  <c r="AW2535" i="1" s="1"/>
  <c r="AW2536" i="1" s="1"/>
  <c r="AW2537" i="1" s="1"/>
  <c r="AW2538" i="1" s="1"/>
  <c r="AW2539" i="1" s="1"/>
  <c r="AW2540" i="1" s="1"/>
  <c r="AW2541" i="1" s="1"/>
  <c r="AW2542" i="1" s="1"/>
  <c r="AW2543" i="1" s="1"/>
  <c r="AW2544" i="1" s="1"/>
  <c r="AW2545" i="1" s="1"/>
  <c r="AW2546" i="1" s="1"/>
  <c r="AW2547" i="1" s="1"/>
  <c r="AW2548" i="1" s="1"/>
  <c r="AW2549" i="1" s="1"/>
  <c r="AW2550" i="1" s="1"/>
  <c r="AW2551" i="1" s="1"/>
  <c r="AW2552" i="1" s="1"/>
  <c r="AW2553" i="1" s="1"/>
  <c r="AW2554" i="1" s="1"/>
  <c r="AW2555" i="1" s="1"/>
  <c r="AW2556" i="1" s="1"/>
  <c r="AW2557" i="1" s="1"/>
  <c r="AW2558" i="1" s="1"/>
  <c r="AW2559" i="1" s="1"/>
  <c r="AW2560" i="1" s="1"/>
  <c r="AW2561" i="1" s="1"/>
  <c r="AW2562" i="1" s="1"/>
  <c r="AN4" i="1"/>
  <c r="AK4" i="1"/>
  <c r="AV3" i="1"/>
  <c r="AW3" i="1" s="1"/>
  <c r="AN3" i="1"/>
  <c r="AK3" i="1"/>
  <c r="AD2" i="1"/>
  <c r="AC2" i="1"/>
  <c r="AB2" i="1"/>
  <c r="AA2" i="1"/>
  <c r="Z2" i="1"/>
  <c r="Y2" i="1"/>
  <c r="S2" i="1"/>
  <c r="P2" i="1"/>
  <c r="O2" i="1"/>
  <c r="T2" i="1" s="1"/>
  <c r="AO81" i="1" l="1"/>
  <c r="AO155" i="1"/>
  <c r="AO300" i="1"/>
  <c r="AO327" i="1"/>
  <c r="AO60" i="1"/>
  <c r="AO121" i="1"/>
  <c r="AO238" i="1"/>
  <c r="AO302" i="1"/>
  <c r="AO41" i="1"/>
  <c r="AO151" i="1"/>
  <c r="AO212" i="1"/>
  <c r="AO40" i="1"/>
  <c r="AO231" i="1"/>
  <c r="AO61" i="1"/>
  <c r="AL28" i="1"/>
  <c r="AN28" i="1" s="1"/>
  <c r="AL29" i="1"/>
  <c r="AN29" i="1" s="1"/>
  <c r="AO33" i="1" s="1"/>
  <c r="AO34" i="1"/>
  <c r="AL32" i="1"/>
  <c r="AN32" i="1" s="1"/>
  <c r="AL52" i="1"/>
  <c r="AN52" i="1" s="1"/>
  <c r="AL164" i="1"/>
  <c r="AN164" i="1" s="1"/>
  <c r="AL198" i="1"/>
  <c r="AN198" i="1" s="1"/>
  <c r="AL262" i="1"/>
  <c r="AN262" i="1" s="1"/>
  <c r="AL263" i="1"/>
  <c r="AN263" i="1" s="1"/>
  <c r="AL26" i="1"/>
  <c r="AN26" i="1" s="1"/>
  <c r="AL249" i="1"/>
  <c r="AN249" i="1" s="1"/>
  <c r="AL13" i="1"/>
  <c r="AN13" i="1" s="1"/>
  <c r="AL14" i="1"/>
  <c r="AN14" i="1" s="1"/>
  <c r="AO8" i="1"/>
  <c r="AL15" i="1"/>
  <c r="AN15" i="1" s="1"/>
  <c r="AL25" i="1"/>
  <c r="AN25" i="1" s="1"/>
  <c r="AL27" i="1"/>
  <c r="AN27" i="1" s="1"/>
  <c r="AO31" i="1" s="1"/>
  <c r="AL35" i="1"/>
  <c r="AN35" i="1" s="1"/>
  <c r="AO39" i="1" s="1"/>
  <c r="AL45" i="1"/>
  <c r="AN45" i="1" s="1"/>
  <c r="AL55" i="1"/>
  <c r="AN55" i="1" s="1"/>
  <c r="AL65" i="1"/>
  <c r="AN65" i="1" s="1"/>
  <c r="AL75" i="1"/>
  <c r="AN75" i="1" s="1"/>
  <c r="AL85" i="1"/>
  <c r="AN85" i="1" s="1"/>
  <c r="AL95" i="1"/>
  <c r="AN95" i="1" s="1"/>
  <c r="AL105" i="1"/>
  <c r="AN105" i="1" s="1"/>
  <c r="AL115" i="1"/>
  <c r="AN115" i="1" s="1"/>
  <c r="AO119" i="1" s="1"/>
  <c r="AL125" i="1"/>
  <c r="AN125" i="1" s="1"/>
  <c r="AL135" i="1"/>
  <c r="AN135" i="1" s="1"/>
  <c r="AL145" i="1"/>
  <c r="AN145" i="1" s="1"/>
  <c r="AL155" i="1"/>
  <c r="AN155" i="1" s="1"/>
  <c r="AL161" i="1"/>
  <c r="AN161" i="1" s="1"/>
  <c r="AO164" i="1" s="1"/>
  <c r="AL182" i="1"/>
  <c r="AN182" i="1" s="1"/>
  <c r="AL199" i="1"/>
  <c r="AN199" i="1" s="1"/>
  <c r="AL261" i="1"/>
  <c r="AN261" i="1" s="1"/>
  <c r="AL286" i="1"/>
  <c r="AN286" i="1" s="1"/>
  <c r="AO290" i="1" s="1"/>
  <c r="AO350" i="1"/>
  <c r="AL366" i="1"/>
  <c r="AN366" i="1" s="1"/>
  <c r="AL365" i="1"/>
  <c r="AN365" i="1" s="1"/>
  <c r="AO460" i="1"/>
  <c r="AO237" i="1"/>
  <c r="AL267" i="1"/>
  <c r="AN267" i="1" s="1"/>
  <c r="AL266" i="1"/>
  <c r="AN266" i="1" s="1"/>
  <c r="AO385" i="1"/>
  <c r="AO517" i="1"/>
  <c r="AL128" i="1"/>
  <c r="AN128" i="1" s="1"/>
  <c r="AL129" i="1"/>
  <c r="AN129" i="1" s="1"/>
  <c r="AO133" i="1" s="1"/>
  <c r="AL158" i="1"/>
  <c r="AN158" i="1" s="1"/>
  <c r="AO162" i="1" s="1"/>
  <c r="AL159" i="1"/>
  <c r="AN159" i="1" s="1"/>
  <c r="AO163" i="1" s="1"/>
  <c r="AL253" i="1"/>
  <c r="AN253" i="1" s="1"/>
  <c r="AO255" i="1" s="1"/>
  <c r="AO320" i="1"/>
  <c r="AL338" i="1"/>
  <c r="AN338" i="1" s="1"/>
  <c r="AO341" i="1" s="1"/>
  <c r="AO348" i="1"/>
  <c r="AL348" i="1"/>
  <c r="AN348" i="1" s="1"/>
  <c r="AP384" i="1"/>
  <c r="AO395" i="1"/>
  <c r="AL202" i="1"/>
  <c r="AN202" i="1" s="1"/>
  <c r="AL213" i="1"/>
  <c r="AN213" i="1" s="1"/>
  <c r="AO223" i="1"/>
  <c r="AL238" i="1"/>
  <c r="AN238" i="1" s="1"/>
  <c r="AL312" i="1"/>
  <c r="AN312" i="1" s="1"/>
  <c r="AL38" i="1"/>
  <c r="AN38" i="1" s="1"/>
  <c r="AL39" i="1"/>
  <c r="AN39" i="1" s="1"/>
  <c r="AO274" i="1"/>
  <c r="AL293" i="1"/>
  <c r="AN293" i="1" s="1"/>
  <c r="AO297" i="1" s="1"/>
  <c r="AL291" i="1"/>
  <c r="AN291" i="1" s="1"/>
  <c r="AO295" i="1" s="1"/>
  <c r="AL314" i="1"/>
  <c r="AN314" i="1" s="1"/>
  <c r="AO318" i="1" s="1"/>
  <c r="AO349" i="1"/>
  <c r="AL416" i="1"/>
  <c r="AN416" i="1" s="1"/>
  <c r="AL415" i="1"/>
  <c r="AN415" i="1" s="1"/>
  <c r="AO518" i="1"/>
  <c r="AO538" i="1"/>
  <c r="AL92" i="1"/>
  <c r="AN92" i="1" s="1"/>
  <c r="AO96" i="1" s="1"/>
  <c r="AO510" i="1"/>
  <c r="AO542" i="1"/>
  <c r="AL289" i="1"/>
  <c r="AN289" i="1" s="1"/>
  <c r="AL304" i="1"/>
  <c r="AN304" i="1" s="1"/>
  <c r="AL303" i="1"/>
  <c r="AN303" i="1" s="1"/>
  <c r="AO434" i="1"/>
  <c r="AL48" i="1"/>
  <c r="AN48" i="1" s="1"/>
  <c r="AO52" i="1" s="1"/>
  <c r="AL49" i="1"/>
  <c r="AN49" i="1" s="1"/>
  <c r="AL58" i="1"/>
  <c r="AN58" i="1" s="1"/>
  <c r="AL59" i="1"/>
  <c r="AN59" i="1" s="1"/>
  <c r="AL88" i="1"/>
  <c r="AN88" i="1" s="1"/>
  <c r="AO90" i="1" s="1"/>
  <c r="AL89" i="1"/>
  <c r="AN89" i="1" s="1"/>
  <c r="AL138" i="1"/>
  <c r="AN138" i="1" s="1"/>
  <c r="AL139" i="1"/>
  <c r="AN139" i="1" s="1"/>
  <c r="AG2" i="1"/>
  <c r="AF2" i="1"/>
  <c r="AL62" i="1"/>
  <c r="AN62" i="1" s="1"/>
  <c r="AL82" i="1"/>
  <c r="AN82" i="1" s="1"/>
  <c r="AO86" i="1" s="1"/>
  <c r="AL112" i="1"/>
  <c r="AN112" i="1" s="1"/>
  <c r="AO134" i="1"/>
  <c r="AL142" i="1"/>
  <c r="AN142" i="1" s="1"/>
  <c r="AO146" i="1" s="1"/>
  <c r="AL341" i="1"/>
  <c r="AN341" i="1" s="1"/>
  <c r="AL349" i="1"/>
  <c r="AN349" i="1" s="1"/>
  <c r="AL76" i="1"/>
  <c r="AN76" i="1" s="1"/>
  <c r="AO80" i="1" s="1"/>
  <c r="AL136" i="1"/>
  <c r="AN136" i="1" s="1"/>
  <c r="AL156" i="1"/>
  <c r="AN156" i="1" s="1"/>
  <c r="AO160" i="1" s="1"/>
  <c r="AL216" i="1"/>
  <c r="AN216" i="1" s="1"/>
  <c r="AO220" i="1" s="1"/>
  <c r="AL241" i="1"/>
  <c r="AN241" i="1" s="1"/>
  <c r="AL23" i="1"/>
  <c r="AN23" i="1" s="1"/>
  <c r="AO27" i="1" s="1"/>
  <c r="AL24" i="1"/>
  <c r="AN24" i="1" s="1"/>
  <c r="AL33" i="1"/>
  <c r="AN33" i="1" s="1"/>
  <c r="AL34" i="1"/>
  <c r="AN34" i="1" s="1"/>
  <c r="AL43" i="1"/>
  <c r="AN43" i="1" s="1"/>
  <c r="AL44" i="1"/>
  <c r="AN44" i="1" s="1"/>
  <c r="AO48" i="1" s="1"/>
  <c r="AL53" i="1"/>
  <c r="AN53" i="1" s="1"/>
  <c r="AL54" i="1"/>
  <c r="AN54" i="1" s="1"/>
  <c r="AO58" i="1" s="1"/>
  <c r="AL63" i="1"/>
  <c r="AN63" i="1" s="1"/>
  <c r="AL64" i="1"/>
  <c r="AN64" i="1" s="1"/>
  <c r="AL73" i="1"/>
  <c r="AN73" i="1" s="1"/>
  <c r="AO77" i="1" s="1"/>
  <c r="AL74" i="1"/>
  <c r="AN74" i="1" s="1"/>
  <c r="AL83" i="1"/>
  <c r="AN83" i="1" s="1"/>
  <c r="AL84" i="1"/>
  <c r="AN84" i="1" s="1"/>
  <c r="AL93" i="1"/>
  <c r="AN93" i="1" s="1"/>
  <c r="AL94" i="1"/>
  <c r="AN94" i="1" s="1"/>
  <c r="AL103" i="1"/>
  <c r="AN103" i="1" s="1"/>
  <c r="AL104" i="1"/>
  <c r="AN104" i="1" s="1"/>
  <c r="AL113" i="1"/>
  <c r="AN113" i="1" s="1"/>
  <c r="AL114" i="1"/>
  <c r="AN114" i="1" s="1"/>
  <c r="AO118" i="1" s="1"/>
  <c r="AL123" i="1"/>
  <c r="AN123" i="1" s="1"/>
  <c r="AO127" i="1" s="1"/>
  <c r="AL124" i="1"/>
  <c r="AN124" i="1" s="1"/>
  <c r="AL133" i="1"/>
  <c r="AN133" i="1" s="1"/>
  <c r="AL134" i="1"/>
  <c r="AN134" i="1" s="1"/>
  <c r="AL153" i="1"/>
  <c r="AN153" i="1" s="1"/>
  <c r="AL154" i="1"/>
  <c r="AN154" i="1" s="1"/>
  <c r="AO154" i="1" s="1"/>
  <c r="AL179" i="1"/>
  <c r="AN179" i="1" s="1"/>
  <c r="AL177" i="1"/>
  <c r="AN177" i="1" s="1"/>
  <c r="AO180" i="1" s="1"/>
  <c r="AL178" i="1"/>
  <c r="AN178" i="1" s="1"/>
  <c r="AL237" i="1"/>
  <c r="AN237" i="1" s="1"/>
  <c r="AL236" i="1"/>
  <c r="AN236" i="1" s="1"/>
  <c r="AL239" i="1"/>
  <c r="AN239" i="1" s="1"/>
  <c r="AO292" i="1"/>
  <c r="AL330" i="1"/>
  <c r="AN330" i="1" s="1"/>
  <c r="AL328" i="1"/>
  <c r="AN328" i="1" s="1"/>
  <c r="AO328" i="1" s="1"/>
  <c r="AO351" i="1"/>
  <c r="AO539" i="1"/>
  <c r="AL18" i="1"/>
  <c r="AN18" i="1" s="1"/>
  <c r="AL19" i="1"/>
  <c r="AN19" i="1" s="1"/>
  <c r="AO23" i="1" s="1"/>
  <c r="AL68" i="1"/>
  <c r="AN68" i="1" s="1"/>
  <c r="AO72" i="1" s="1"/>
  <c r="AL69" i="1"/>
  <c r="AN69" i="1" s="1"/>
  <c r="AO73" i="1" s="1"/>
  <c r="AL78" i="1"/>
  <c r="AN78" i="1" s="1"/>
  <c r="AL79" i="1"/>
  <c r="AN79" i="1" s="1"/>
  <c r="AL148" i="1"/>
  <c r="AN148" i="1" s="1"/>
  <c r="AO150" i="1" s="1"/>
  <c r="AL149" i="1"/>
  <c r="AN149" i="1" s="1"/>
  <c r="AO153" i="1" s="1"/>
  <c r="AO54" i="1"/>
  <c r="AO94" i="1"/>
  <c r="AL102" i="1"/>
  <c r="AN102" i="1" s="1"/>
  <c r="AO106" i="1" s="1"/>
  <c r="AL205" i="1"/>
  <c r="AN205" i="1" s="1"/>
  <c r="AL203" i="1"/>
  <c r="AN203" i="1" s="1"/>
  <c r="AL224" i="1"/>
  <c r="AN224" i="1" s="1"/>
  <c r="AO226" i="1" s="1"/>
  <c r="AL254" i="1"/>
  <c r="AN254" i="1" s="1"/>
  <c r="AL256" i="1"/>
  <c r="AN256" i="1" s="1"/>
  <c r="AO260" i="1" s="1"/>
  <c r="AL305" i="1"/>
  <c r="AN305" i="1" s="1"/>
  <c r="AL315" i="1"/>
  <c r="AN315" i="1" s="1"/>
  <c r="AL326" i="1"/>
  <c r="AN326" i="1" s="1"/>
  <c r="AL339" i="1"/>
  <c r="AN339" i="1" s="1"/>
  <c r="AL352" i="1"/>
  <c r="AN352" i="1" s="1"/>
  <c r="AO615" i="1"/>
  <c r="AL98" i="1"/>
  <c r="AN98" i="1" s="1"/>
  <c r="AO100" i="1" s="1"/>
  <c r="AL99" i="1"/>
  <c r="AN99" i="1" s="1"/>
  <c r="AO103" i="1" s="1"/>
  <c r="AL108" i="1"/>
  <c r="AN108" i="1" s="1"/>
  <c r="AL109" i="1"/>
  <c r="AN109" i="1" s="1"/>
  <c r="AO113" i="1" s="1"/>
  <c r="AL118" i="1"/>
  <c r="AN118" i="1" s="1"/>
  <c r="AL119" i="1"/>
  <c r="AN119" i="1" s="1"/>
  <c r="AE2" i="1"/>
  <c r="AL12" i="1"/>
  <c r="AN12" i="1" s="1"/>
  <c r="AO15" i="1" s="1"/>
  <c r="AL42" i="1"/>
  <c r="AN42" i="1" s="1"/>
  <c r="AO46" i="1" s="1"/>
  <c r="AL122" i="1"/>
  <c r="AN122" i="1" s="1"/>
  <c r="AO126" i="1" s="1"/>
  <c r="AL189" i="1"/>
  <c r="AN189" i="1" s="1"/>
  <c r="AL264" i="1"/>
  <c r="AN264" i="1" s="1"/>
  <c r="AO268" i="1" s="1"/>
  <c r="AL143" i="1"/>
  <c r="AN143" i="1" s="1"/>
  <c r="AL144" i="1"/>
  <c r="AN144" i="1" s="1"/>
  <c r="AO148" i="1" s="1"/>
  <c r="AL10" i="1"/>
  <c r="AN10" i="1" s="1"/>
  <c r="AO14" i="1" s="1"/>
  <c r="AL165" i="1"/>
  <c r="AN165" i="1" s="1"/>
  <c r="AO166" i="1" s="1"/>
  <c r="AL180" i="1"/>
  <c r="AN180" i="1" s="1"/>
  <c r="AO184" i="1" s="1"/>
  <c r="AL190" i="1"/>
  <c r="AN190" i="1" s="1"/>
  <c r="AO215" i="1"/>
  <c r="AL290" i="1"/>
  <c r="AN290" i="1" s="1"/>
  <c r="AL301" i="1"/>
  <c r="AN301" i="1" s="1"/>
  <c r="AL307" i="1"/>
  <c r="AN307" i="1" s="1"/>
  <c r="AL311" i="1"/>
  <c r="AN311" i="1" s="1"/>
  <c r="AL363" i="1"/>
  <c r="AN363" i="1" s="1"/>
  <c r="AO367" i="1" s="1"/>
  <c r="AL361" i="1"/>
  <c r="AN361" i="1" s="1"/>
  <c r="AO365" i="1" s="1"/>
  <c r="AL360" i="1"/>
  <c r="AN360" i="1" s="1"/>
  <c r="AO364" i="1" s="1"/>
  <c r="AL359" i="1"/>
  <c r="AN359" i="1" s="1"/>
  <c r="AO361" i="1" s="1"/>
  <c r="AL214" i="1"/>
  <c r="AN214" i="1" s="1"/>
  <c r="AL229" i="1"/>
  <c r="AN229" i="1" s="1"/>
  <c r="AO230" i="1" s="1"/>
  <c r="AL8" i="1"/>
  <c r="AN8" i="1" s="1"/>
  <c r="AL188" i="1"/>
  <c r="AN188" i="1" s="1"/>
  <c r="AO190" i="1" s="1"/>
  <c r="AL206" i="1"/>
  <c r="AN206" i="1" s="1"/>
  <c r="AL243" i="1"/>
  <c r="AN243" i="1" s="1"/>
  <c r="AO246" i="1" s="1"/>
  <c r="AL265" i="1"/>
  <c r="AN265" i="1" s="1"/>
  <c r="AL276" i="1"/>
  <c r="AN276" i="1" s="1"/>
  <c r="AL313" i="1"/>
  <c r="AN313" i="1" s="1"/>
  <c r="AO317" i="1" s="1"/>
  <c r="AL331" i="1"/>
  <c r="AN331" i="1" s="1"/>
  <c r="AL397" i="1"/>
  <c r="AN397" i="1" s="1"/>
  <c r="AL398" i="1"/>
  <c r="AN398" i="1" s="1"/>
  <c r="AL447" i="1"/>
  <c r="AN447" i="1" s="1"/>
  <c r="AL448" i="1"/>
  <c r="AN448" i="1" s="1"/>
  <c r="AO452" i="1" s="1"/>
  <c r="AL454" i="1"/>
  <c r="AN454" i="1" s="1"/>
  <c r="AO458" i="1" s="1"/>
  <c r="AL490" i="1"/>
  <c r="AN490" i="1" s="1"/>
  <c r="AO494" i="1" s="1"/>
  <c r="AL497" i="1"/>
  <c r="AN497" i="1" s="1"/>
  <c r="AL498" i="1"/>
  <c r="AN498" i="1" s="1"/>
  <c r="AL517" i="1"/>
  <c r="AN517" i="1" s="1"/>
  <c r="AL542" i="1"/>
  <c r="AN542" i="1" s="1"/>
  <c r="AL609" i="1"/>
  <c r="AN609" i="1" s="1"/>
  <c r="AL695" i="1"/>
  <c r="AN695" i="1" s="1"/>
  <c r="AO708" i="1"/>
  <c r="AO717" i="1"/>
  <c r="AO799" i="1"/>
  <c r="AQ529" i="1"/>
  <c r="AP529" i="1"/>
  <c r="AP533" i="1"/>
  <c r="AQ533" i="1"/>
  <c r="AO531" i="1"/>
  <c r="AL562" i="1"/>
  <c r="AN562" i="1" s="1"/>
  <c r="AL563" i="1"/>
  <c r="AN563" i="1" s="1"/>
  <c r="AL560" i="1"/>
  <c r="AN560" i="1" s="1"/>
  <c r="AL452" i="1"/>
  <c r="AN452" i="1" s="1"/>
  <c r="AO453" i="1" s="1"/>
  <c r="AL472" i="1"/>
  <c r="AN472" i="1" s="1"/>
  <c r="AL473" i="1"/>
  <c r="AN473" i="1" s="1"/>
  <c r="AO486" i="1"/>
  <c r="AO512" i="1"/>
  <c r="AL523" i="1"/>
  <c r="AN523" i="1" s="1"/>
  <c r="AL522" i="1"/>
  <c r="AN522" i="1" s="1"/>
  <c r="AL521" i="1"/>
  <c r="AN521" i="1" s="1"/>
  <c r="AL607" i="1"/>
  <c r="AN607" i="1" s="1"/>
  <c r="AL608" i="1"/>
  <c r="AN608" i="1" s="1"/>
  <c r="AL606" i="1"/>
  <c r="AN606" i="1" s="1"/>
  <c r="AL605" i="1"/>
  <c r="AN605" i="1" s="1"/>
  <c r="AO609" i="1" s="1"/>
  <c r="AL635" i="1"/>
  <c r="AN635" i="1" s="1"/>
  <c r="AL632" i="1"/>
  <c r="AN632" i="1" s="1"/>
  <c r="AO703" i="1"/>
  <c r="AL413" i="1"/>
  <c r="AN413" i="1" s="1"/>
  <c r="AL411" i="1"/>
  <c r="AN411" i="1" s="1"/>
  <c r="AL410" i="1"/>
  <c r="AN410" i="1" s="1"/>
  <c r="AL412" i="1"/>
  <c r="AN412" i="1" s="1"/>
  <c r="AL469" i="1"/>
  <c r="AN469" i="1" s="1"/>
  <c r="AO473" i="1" s="1"/>
  <c r="AL476" i="1"/>
  <c r="AN476" i="1" s="1"/>
  <c r="AL475" i="1"/>
  <c r="AN475" i="1" s="1"/>
  <c r="AL478" i="1"/>
  <c r="AN478" i="1" s="1"/>
  <c r="AL574" i="1"/>
  <c r="AN574" i="1" s="1"/>
  <c r="AL571" i="1"/>
  <c r="AN571" i="1" s="1"/>
  <c r="AL604" i="1"/>
  <c r="AN604" i="1" s="1"/>
  <c r="AL619" i="1"/>
  <c r="AN619" i="1" s="1"/>
  <c r="AL615" i="1"/>
  <c r="AN615" i="1" s="1"/>
  <c r="AL631" i="1"/>
  <c r="AN631" i="1" s="1"/>
  <c r="AL645" i="1"/>
  <c r="AN645" i="1" s="1"/>
  <c r="AL646" i="1"/>
  <c r="AN646" i="1" s="1"/>
  <c r="AO650" i="1" s="1"/>
  <c r="AO764" i="1"/>
  <c r="AL378" i="1"/>
  <c r="AN378" i="1" s="1"/>
  <c r="AL376" i="1"/>
  <c r="AN376" i="1" s="1"/>
  <c r="AL404" i="1"/>
  <c r="AN404" i="1" s="1"/>
  <c r="AL402" i="1"/>
  <c r="AN402" i="1" s="1"/>
  <c r="AL409" i="1"/>
  <c r="AN409" i="1" s="1"/>
  <c r="AO413" i="1" s="1"/>
  <c r="AL428" i="1"/>
  <c r="AN428" i="1" s="1"/>
  <c r="AO432" i="1" s="1"/>
  <c r="AL426" i="1"/>
  <c r="AN426" i="1" s="1"/>
  <c r="AO532" i="1"/>
  <c r="AO537" i="1"/>
  <c r="AO535" i="1"/>
  <c r="AL557" i="1"/>
  <c r="AN557" i="1" s="1"/>
  <c r="AL558" i="1"/>
  <c r="AN558" i="1" s="1"/>
  <c r="AL556" i="1"/>
  <c r="AN556" i="1" s="1"/>
  <c r="AL555" i="1"/>
  <c r="AN555" i="1" s="1"/>
  <c r="AO559" i="1" s="1"/>
  <c r="AL570" i="1"/>
  <c r="AN570" i="1" s="1"/>
  <c r="AL633" i="1"/>
  <c r="AN633" i="1" s="1"/>
  <c r="AO637" i="1" s="1"/>
  <c r="AL372" i="1"/>
  <c r="AN372" i="1" s="1"/>
  <c r="AO376" i="1" s="1"/>
  <c r="AL373" i="1"/>
  <c r="AN373" i="1" s="1"/>
  <c r="AO394" i="1"/>
  <c r="AL422" i="1"/>
  <c r="AN422" i="1" s="1"/>
  <c r="AO426" i="1" s="1"/>
  <c r="AL423" i="1"/>
  <c r="AN423" i="1" s="1"/>
  <c r="AO455" i="1"/>
  <c r="AL470" i="1"/>
  <c r="AN470" i="1" s="1"/>
  <c r="AL468" i="1"/>
  <c r="AN468" i="1" s="1"/>
  <c r="AL467" i="1"/>
  <c r="AN467" i="1" s="1"/>
  <c r="AO534" i="1"/>
  <c r="AO558" i="1"/>
  <c r="AL569" i="1"/>
  <c r="AN569" i="1" s="1"/>
  <c r="AL565" i="1"/>
  <c r="AN565" i="1" s="1"/>
  <c r="AO568" i="1" s="1"/>
  <c r="AL587" i="1"/>
  <c r="AN587" i="1" s="1"/>
  <c r="AO591" i="1" s="1"/>
  <c r="AL588" i="1"/>
  <c r="AN588" i="1" s="1"/>
  <c r="AL585" i="1"/>
  <c r="AN585" i="1" s="1"/>
  <c r="AL340" i="1"/>
  <c r="AN340" i="1" s="1"/>
  <c r="AL369" i="1"/>
  <c r="AN369" i="1" s="1"/>
  <c r="AO372" i="1" s="1"/>
  <c r="AL419" i="1"/>
  <c r="AN419" i="1" s="1"/>
  <c r="AL453" i="1"/>
  <c r="AN453" i="1" s="1"/>
  <c r="AL464" i="1"/>
  <c r="AN464" i="1" s="1"/>
  <c r="AO468" i="1" s="1"/>
  <c r="AL460" i="1"/>
  <c r="AN460" i="1" s="1"/>
  <c r="AO462" i="1" s="1"/>
  <c r="AL466" i="1"/>
  <c r="AN466" i="1" s="1"/>
  <c r="AL501" i="1"/>
  <c r="AN501" i="1" s="1"/>
  <c r="AO530" i="1"/>
  <c r="AL584" i="1"/>
  <c r="AN584" i="1" s="1"/>
  <c r="AL616" i="1"/>
  <c r="AN616" i="1" s="1"/>
  <c r="AO618" i="1" s="1"/>
  <c r="AL651" i="1"/>
  <c r="AN651" i="1" s="1"/>
  <c r="AL648" i="1"/>
  <c r="AN648" i="1" s="1"/>
  <c r="AL215" i="1"/>
  <c r="AN215" i="1" s="1"/>
  <c r="AO7" i="1"/>
  <c r="AL167" i="1"/>
  <c r="AN167" i="1" s="1"/>
  <c r="AO171" i="1" s="1"/>
  <c r="AL170" i="1"/>
  <c r="AN170" i="1" s="1"/>
  <c r="AL204" i="1"/>
  <c r="AN204" i="1" s="1"/>
  <c r="AO208" i="1" s="1"/>
  <c r="AL207" i="1"/>
  <c r="AN207" i="1" s="1"/>
  <c r="AO211" i="1" s="1"/>
  <c r="AL244" i="1"/>
  <c r="AN244" i="1" s="1"/>
  <c r="AO248" i="1" s="1"/>
  <c r="AL248" i="1"/>
  <c r="AN248" i="1" s="1"/>
  <c r="AL255" i="1"/>
  <c r="AN255" i="1" s="1"/>
  <c r="AL274" i="1"/>
  <c r="AN274" i="1" s="1"/>
  <c r="AL292" i="1"/>
  <c r="AN292" i="1" s="1"/>
  <c r="AL295" i="1"/>
  <c r="AN295" i="1" s="1"/>
  <c r="AO299" i="1" s="1"/>
  <c r="AL329" i="1"/>
  <c r="AN329" i="1" s="1"/>
  <c r="AO333" i="1" s="1"/>
  <c r="AL332" i="1"/>
  <c r="AN332" i="1" s="1"/>
  <c r="AL336" i="1"/>
  <c r="AN336" i="1" s="1"/>
  <c r="AO340" i="1" s="1"/>
  <c r="AO495" i="1"/>
  <c r="AL512" i="1"/>
  <c r="AN512" i="1" s="1"/>
  <c r="AL509" i="1"/>
  <c r="AN509" i="1" s="1"/>
  <c r="AO513" i="1" s="1"/>
  <c r="AL511" i="1"/>
  <c r="AN511" i="1" s="1"/>
  <c r="AO540" i="1"/>
  <c r="AL543" i="1"/>
  <c r="AN543" i="1" s="1"/>
  <c r="AL599" i="1"/>
  <c r="AN599" i="1" s="1"/>
  <c r="AL596" i="1"/>
  <c r="AN596" i="1" s="1"/>
  <c r="AL627" i="1"/>
  <c r="AN627" i="1" s="1"/>
  <c r="AL628" i="1"/>
  <c r="AN628" i="1" s="1"/>
  <c r="AL644" i="1"/>
  <c r="AN644" i="1" s="1"/>
  <c r="AL647" i="1"/>
  <c r="AN647" i="1" s="1"/>
  <c r="AL675" i="1"/>
  <c r="AN675" i="1" s="1"/>
  <c r="AL674" i="1"/>
  <c r="AN674" i="1" s="1"/>
  <c r="AL673" i="1"/>
  <c r="AN673" i="1" s="1"/>
  <c r="AL672" i="1"/>
  <c r="AN672" i="1" s="1"/>
  <c r="AL686" i="1"/>
  <c r="AN686" i="1" s="1"/>
  <c r="AL683" i="1"/>
  <c r="AN683" i="1" s="1"/>
  <c r="AO968" i="1"/>
  <c r="AL281" i="1"/>
  <c r="AN281" i="1" s="1"/>
  <c r="AL166" i="1"/>
  <c r="AN166" i="1" s="1"/>
  <c r="AL181" i="1"/>
  <c r="AN181" i="1" s="1"/>
  <c r="AL218" i="1"/>
  <c r="AN218" i="1" s="1"/>
  <c r="AO222" i="1" s="1"/>
  <c r="AL240" i="1"/>
  <c r="AN240" i="1" s="1"/>
  <c r="AL306" i="1"/>
  <c r="AN306" i="1" s="1"/>
  <c r="AO310" i="1" s="1"/>
  <c r="AL343" i="1"/>
  <c r="AN343" i="1" s="1"/>
  <c r="AO347" i="1" s="1"/>
  <c r="AL354" i="1"/>
  <c r="AN354" i="1" s="1"/>
  <c r="AO358" i="1" s="1"/>
  <c r="AO386" i="1"/>
  <c r="AL388" i="1"/>
  <c r="AN388" i="1" s="1"/>
  <c r="AL386" i="1"/>
  <c r="AN386" i="1" s="1"/>
  <c r="AL385" i="1"/>
  <c r="AN385" i="1" s="1"/>
  <c r="AO388" i="1" s="1"/>
  <c r="AL387" i="1"/>
  <c r="AN387" i="1" s="1"/>
  <c r="AL405" i="1"/>
  <c r="AN405" i="1" s="1"/>
  <c r="AL438" i="1"/>
  <c r="AN438" i="1" s="1"/>
  <c r="AL436" i="1"/>
  <c r="AN436" i="1" s="1"/>
  <c r="AL435" i="1"/>
  <c r="AN435" i="1" s="1"/>
  <c r="AL437" i="1"/>
  <c r="AN437" i="1" s="1"/>
  <c r="AO461" i="1"/>
  <c r="AL489" i="1"/>
  <c r="AN489" i="1" s="1"/>
  <c r="AO536" i="1"/>
  <c r="AL541" i="1"/>
  <c r="AN541" i="1" s="1"/>
  <c r="AO541" i="1" s="1"/>
  <c r="AL566" i="1"/>
  <c r="AN566" i="1" s="1"/>
  <c r="AL582" i="1"/>
  <c r="AN582" i="1" s="1"/>
  <c r="AO586" i="1" s="1"/>
  <c r="AL583" i="1"/>
  <c r="AN583" i="1" s="1"/>
  <c r="AL581" i="1"/>
  <c r="AN581" i="1" s="1"/>
  <c r="AO585" i="1" s="1"/>
  <c r="AL580" i="1"/>
  <c r="AN580" i="1" s="1"/>
  <c r="AO583" i="1" s="1"/>
  <c r="AL193" i="1"/>
  <c r="AN193" i="1" s="1"/>
  <c r="AL318" i="1"/>
  <c r="AN318" i="1" s="1"/>
  <c r="AO322" i="1" s="1"/>
  <c r="AL192" i="1"/>
  <c r="AN192" i="1" s="1"/>
  <c r="AO196" i="1" s="1"/>
  <c r="AL195" i="1"/>
  <c r="AN195" i="1" s="1"/>
  <c r="AO199" i="1" s="1"/>
  <c r="AL232" i="1"/>
  <c r="AN232" i="1" s="1"/>
  <c r="AO236" i="1" s="1"/>
  <c r="AL269" i="1"/>
  <c r="AN269" i="1" s="1"/>
  <c r="AO273" i="1" s="1"/>
  <c r="AL280" i="1"/>
  <c r="AN280" i="1" s="1"/>
  <c r="AL299" i="1"/>
  <c r="AN299" i="1" s="1"/>
  <c r="AL317" i="1"/>
  <c r="AN317" i="1" s="1"/>
  <c r="AL320" i="1"/>
  <c r="AN320" i="1" s="1"/>
  <c r="AO324" i="1" s="1"/>
  <c r="AL374" i="1"/>
  <c r="AN374" i="1" s="1"/>
  <c r="AL379" i="1"/>
  <c r="AN379" i="1" s="1"/>
  <c r="AO383" i="1" s="1"/>
  <c r="AL377" i="1"/>
  <c r="AN377" i="1" s="1"/>
  <c r="AO379" i="1" s="1"/>
  <c r="AL403" i="1"/>
  <c r="AN403" i="1" s="1"/>
  <c r="AO407" i="1" s="1"/>
  <c r="AL401" i="1"/>
  <c r="AN401" i="1" s="1"/>
  <c r="AO412" i="1"/>
  <c r="AL424" i="1"/>
  <c r="AN424" i="1" s="1"/>
  <c r="AL429" i="1"/>
  <c r="AN429" i="1" s="1"/>
  <c r="AO433" i="1" s="1"/>
  <c r="AL427" i="1"/>
  <c r="AN427" i="1" s="1"/>
  <c r="AL434" i="1"/>
  <c r="AN434" i="1" s="1"/>
  <c r="AO435" i="1" s="1"/>
  <c r="AL477" i="1"/>
  <c r="AN477" i="1" s="1"/>
  <c r="AL502" i="1"/>
  <c r="AN502" i="1" s="1"/>
  <c r="AL520" i="1"/>
  <c r="AN520" i="1" s="1"/>
  <c r="AL561" i="1"/>
  <c r="AN561" i="1" s="1"/>
  <c r="AO565" i="1" s="1"/>
  <c r="AL594" i="1"/>
  <c r="AN594" i="1" s="1"/>
  <c r="AL590" i="1"/>
  <c r="AN590" i="1" s="1"/>
  <c r="AL612" i="1"/>
  <c r="AN612" i="1" s="1"/>
  <c r="AL613" i="1"/>
  <c r="AN613" i="1" s="1"/>
  <c r="AL610" i="1"/>
  <c r="AN610" i="1" s="1"/>
  <c r="AO614" i="1" s="1"/>
  <c r="AO738" i="1"/>
  <c r="AL545" i="1"/>
  <c r="AN545" i="1" s="1"/>
  <c r="AO549" i="1" s="1"/>
  <c r="AL548" i="1"/>
  <c r="AN548" i="1" s="1"/>
  <c r="AL547" i="1"/>
  <c r="AN547" i="1" s="1"/>
  <c r="AL546" i="1"/>
  <c r="AN546" i="1" s="1"/>
  <c r="AL567" i="1"/>
  <c r="AN567" i="1" s="1"/>
  <c r="AL568" i="1"/>
  <c r="AN568" i="1" s="1"/>
  <c r="AL592" i="1"/>
  <c r="AN592" i="1" s="1"/>
  <c r="AO596" i="1" s="1"/>
  <c r="AL593" i="1"/>
  <c r="AN593" i="1" s="1"/>
  <c r="AL618" i="1"/>
  <c r="AN618" i="1" s="1"/>
  <c r="AL617" i="1"/>
  <c r="AN617" i="1" s="1"/>
  <c r="AL657" i="1"/>
  <c r="AN657" i="1" s="1"/>
  <c r="AO661" i="1" s="1"/>
  <c r="AL658" i="1"/>
  <c r="AN658" i="1" s="1"/>
  <c r="AO662" i="1" s="1"/>
  <c r="AL705" i="1"/>
  <c r="AN705" i="1" s="1"/>
  <c r="AO765" i="1"/>
  <c r="AO763" i="1"/>
  <c r="AL700" i="1"/>
  <c r="AN700" i="1" s="1"/>
  <c r="AO704" i="1" s="1"/>
  <c r="AL698" i="1"/>
  <c r="AN698" i="1" s="1"/>
  <c r="AO702" i="1" s="1"/>
  <c r="AQ892" i="1"/>
  <c r="AP892" i="1"/>
  <c r="AO1022" i="1"/>
  <c r="AO715" i="1"/>
  <c r="AO759" i="1"/>
  <c r="AL807" i="1"/>
  <c r="AN807" i="1" s="1"/>
  <c r="AL808" i="1"/>
  <c r="AN808" i="1" s="1"/>
  <c r="AL824" i="1"/>
  <c r="AN824" i="1" s="1"/>
  <c r="AL830" i="1"/>
  <c r="AN830" i="1" s="1"/>
  <c r="AL903" i="1"/>
  <c r="AN903" i="1" s="1"/>
  <c r="AL901" i="1"/>
  <c r="AN901" i="1" s="1"/>
  <c r="AL900" i="1"/>
  <c r="AN900" i="1" s="1"/>
  <c r="AO967" i="1"/>
  <c r="AO1010" i="1"/>
  <c r="AO1231" i="1"/>
  <c r="AL668" i="1"/>
  <c r="AN668" i="1" s="1"/>
  <c r="AO672" i="1" s="1"/>
  <c r="AL667" i="1"/>
  <c r="AN667" i="1" s="1"/>
  <c r="AL666" i="1"/>
  <c r="AN666" i="1" s="1"/>
  <c r="AL665" i="1"/>
  <c r="AN665" i="1" s="1"/>
  <c r="AL804" i="1"/>
  <c r="AN804" i="1" s="1"/>
  <c r="AL820" i="1"/>
  <c r="AN820" i="1" s="1"/>
  <c r="AL855" i="1"/>
  <c r="AN855" i="1" s="1"/>
  <c r="AO880" i="1"/>
  <c r="AL896" i="1"/>
  <c r="AN896" i="1" s="1"/>
  <c r="AL895" i="1"/>
  <c r="AN895" i="1" s="1"/>
  <c r="AL893" i="1"/>
  <c r="AN893" i="1" s="1"/>
  <c r="AL899" i="1"/>
  <c r="AN899" i="1" s="1"/>
  <c r="AO919" i="1"/>
  <c r="AO1165" i="1"/>
  <c r="AQ663" i="1"/>
  <c r="AP663" i="1"/>
  <c r="AL664" i="1"/>
  <c r="AN664" i="1" s="1"/>
  <c r="AL682" i="1"/>
  <c r="AN682" i="1" s="1"/>
  <c r="AL681" i="1"/>
  <c r="AN681" i="1" s="1"/>
  <c r="AO683" i="1" s="1"/>
  <c r="AO843" i="1"/>
  <c r="AL849" i="1"/>
  <c r="AN849" i="1" s="1"/>
  <c r="AO853" i="1" s="1"/>
  <c r="AL845" i="1"/>
  <c r="AN845" i="1" s="1"/>
  <c r="AL912" i="1"/>
  <c r="AN912" i="1" s="1"/>
  <c r="AL909" i="1"/>
  <c r="AN909" i="1" s="1"/>
  <c r="AL953" i="1"/>
  <c r="AN953" i="1" s="1"/>
  <c r="AL951" i="1"/>
  <c r="AN951" i="1" s="1"/>
  <c r="AO955" i="1" s="1"/>
  <c r="AO992" i="1"/>
  <c r="AL708" i="1"/>
  <c r="AN708" i="1" s="1"/>
  <c r="AL806" i="1"/>
  <c r="AN806" i="1" s="1"/>
  <c r="AL908" i="1"/>
  <c r="AN908" i="1" s="1"/>
  <c r="AO912" i="1" s="1"/>
  <c r="AL949" i="1"/>
  <c r="AN949" i="1" s="1"/>
  <c r="AL996" i="1"/>
  <c r="AN996" i="1" s="1"/>
  <c r="AL995" i="1"/>
  <c r="AN995" i="1" s="1"/>
  <c r="AL993" i="1"/>
  <c r="AN993" i="1" s="1"/>
  <c r="AL992" i="1"/>
  <c r="AN992" i="1" s="1"/>
  <c r="AO1117" i="1"/>
  <c r="AL480" i="1"/>
  <c r="AN480" i="1" s="1"/>
  <c r="AO484" i="1" s="1"/>
  <c r="AL519" i="1"/>
  <c r="AN519" i="1" s="1"/>
  <c r="AO523" i="1" s="1"/>
  <c r="AL518" i="1"/>
  <c r="AN518" i="1" s="1"/>
  <c r="AL549" i="1"/>
  <c r="AN549" i="1" s="1"/>
  <c r="AL577" i="1"/>
  <c r="AN577" i="1" s="1"/>
  <c r="AL578" i="1"/>
  <c r="AN578" i="1" s="1"/>
  <c r="AL602" i="1"/>
  <c r="AN602" i="1" s="1"/>
  <c r="AL603" i="1"/>
  <c r="AN603" i="1" s="1"/>
  <c r="AO607" i="1" s="1"/>
  <c r="AL626" i="1"/>
  <c r="AN626" i="1" s="1"/>
  <c r="AL622" i="1"/>
  <c r="AN622" i="1" s="1"/>
  <c r="AL676" i="1"/>
  <c r="AN676" i="1" s="1"/>
  <c r="AO680" i="1" s="1"/>
  <c r="AO716" i="1"/>
  <c r="AL789" i="1"/>
  <c r="AN789" i="1" s="1"/>
  <c r="AL805" i="1"/>
  <c r="AN805" i="1" s="1"/>
  <c r="AL831" i="1"/>
  <c r="AN831" i="1" s="1"/>
  <c r="AO835" i="1" s="1"/>
  <c r="AO844" i="1"/>
  <c r="AL850" i="1"/>
  <c r="AN850" i="1" s="1"/>
  <c r="AL851" i="1"/>
  <c r="AN851" i="1" s="1"/>
  <c r="AO855" i="1" s="1"/>
  <c r="AL944" i="1"/>
  <c r="AN944" i="1" s="1"/>
  <c r="AL943" i="1"/>
  <c r="AN943" i="1" s="1"/>
  <c r="AL942" i="1"/>
  <c r="AN942" i="1" s="1"/>
  <c r="AL941" i="1"/>
  <c r="AN941" i="1" s="1"/>
  <c r="AO993" i="1"/>
  <c r="AL1004" i="1"/>
  <c r="AN1004" i="1" s="1"/>
  <c r="AO1008" i="1" s="1"/>
  <c r="AL1001" i="1"/>
  <c r="AN1001" i="1" s="1"/>
  <c r="AL1000" i="1"/>
  <c r="AN1000" i="1" s="1"/>
  <c r="AO1003" i="1" s="1"/>
  <c r="AL185" i="1"/>
  <c r="AN185" i="1" s="1"/>
  <c r="AL210" i="1"/>
  <c r="AN210" i="1" s="1"/>
  <c r="AL235" i="1"/>
  <c r="AN235" i="1" s="1"/>
  <c r="AO239" i="1" s="1"/>
  <c r="AL260" i="1"/>
  <c r="AN260" i="1" s="1"/>
  <c r="AL285" i="1"/>
  <c r="AN285" i="1" s="1"/>
  <c r="AL310" i="1"/>
  <c r="AN310" i="1" s="1"/>
  <c r="AO313" i="1" s="1"/>
  <c r="AL335" i="1"/>
  <c r="AN335" i="1" s="1"/>
  <c r="AO339" i="1" s="1"/>
  <c r="AL488" i="1"/>
  <c r="AN488" i="1" s="1"/>
  <c r="AO492" i="1" s="1"/>
  <c r="AL487" i="1"/>
  <c r="AN487" i="1" s="1"/>
  <c r="AO491" i="1" s="1"/>
  <c r="AL496" i="1"/>
  <c r="AN496" i="1" s="1"/>
  <c r="AO500" i="1" s="1"/>
  <c r="AL504" i="1"/>
  <c r="AN504" i="1" s="1"/>
  <c r="AO508" i="1" s="1"/>
  <c r="AL515" i="1"/>
  <c r="AN515" i="1" s="1"/>
  <c r="AL650" i="1"/>
  <c r="AN650" i="1" s="1"/>
  <c r="AL649" i="1"/>
  <c r="AN649" i="1" s="1"/>
  <c r="AL836" i="1"/>
  <c r="AN836" i="1" s="1"/>
  <c r="AO840" i="1" s="1"/>
  <c r="AL846" i="1"/>
  <c r="AN846" i="1" s="1"/>
  <c r="AL921" i="1"/>
  <c r="AN921" i="1" s="1"/>
  <c r="AO925" i="1" s="1"/>
  <c r="AL920" i="1"/>
  <c r="AN920" i="1" s="1"/>
  <c r="AO924" i="1" s="1"/>
  <c r="AL940" i="1"/>
  <c r="AN940" i="1" s="1"/>
  <c r="AO944" i="1" s="1"/>
  <c r="AL947" i="1"/>
  <c r="AN947" i="1" s="1"/>
  <c r="AL371" i="1"/>
  <c r="AN371" i="1" s="1"/>
  <c r="AO375" i="1" s="1"/>
  <c r="AL396" i="1"/>
  <c r="AN396" i="1" s="1"/>
  <c r="AO400" i="1" s="1"/>
  <c r="AL421" i="1"/>
  <c r="AN421" i="1" s="1"/>
  <c r="AO425" i="1" s="1"/>
  <c r="AL446" i="1"/>
  <c r="AN446" i="1" s="1"/>
  <c r="AL455" i="1"/>
  <c r="AN455" i="1" s="1"/>
  <c r="AO459" i="1" s="1"/>
  <c r="AL484" i="1"/>
  <c r="AN484" i="1" s="1"/>
  <c r="AL492" i="1"/>
  <c r="AN492" i="1" s="1"/>
  <c r="AL500" i="1"/>
  <c r="AN500" i="1" s="1"/>
  <c r="AL524" i="1"/>
  <c r="AN524" i="1" s="1"/>
  <c r="AO528" i="1" s="1"/>
  <c r="AL572" i="1"/>
  <c r="AN572" i="1" s="1"/>
  <c r="AL573" i="1"/>
  <c r="AN573" i="1" s="1"/>
  <c r="AL576" i="1"/>
  <c r="AN576" i="1" s="1"/>
  <c r="AO580" i="1" s="1"/>
  <c r="AL597" i="1"/>
  <c r="AN597" i="1" s="1"/>
  <c r="AO601" i="1" s="1"/>
  <c r="AL598" i="1"/>
  <c r="AN598" i="1" s="1"/>
  <c r="AL601" i="1"/>
  <c r="AN601" i="1" s="1"/>
  <c r="AL643" i="1"/>
  <c r="AN643" i="1" s="1"/>
  <c r="AL642" i="1"/>
  <c r="AN642" i="1" s="1"/>
  <c r="AL641" i="1"/>
  <c r="AN641" i="1" s="1"/>
  <c r="AO645" i="1" s="1"/>
  <c r="AL654" i="1"/>
  <c r="AN654" i="1" s="1"/>
  <c r="AL697" i="1"/>
  <c r="AN697" i="1" s="1"/>
  <c r="AO701" i="1" s="1"/>
  <c r="AL797" i="1"/>
  <c r="AN797" i="1" s="1"/>
  <c r="AL798" i="1"/>
  <c r="AN798" i="1" s="1"/>
  <c r="AL796" i="1"/>
  <c r="AN796" i="1" s="1"/>
  <c r="AL794" i="1"/>
  <c r="AN794" i="1" s="1"/>
  <c r="AO798" i="1" s="1"/>
  <c r="AL821" i="1"/>
  <c r="AN821" i="1" s="1"/>
  <c r="AO878" i="1"/>
  <c r="AO910" i="1"/>
  <c r="AO908" i="1"/>
  <c r="AL927" i="1"/>
  <c r="AN927" i="1" s="1"/>
  <c r="AL926" i="1"/>
  <c r="AN926" i="1" s="1"/>
  <c r="AL924" i="1"/>
  <c r="AN924" i="1" s="1"/>
  <c r="AO927" i="1" s="1"/>
  <c r="AL175" i="1"/>
  <c r="AN175" i="1" s="1"/>
  <c r="AO179" i="1" s="1"/>
  <c r="AL200" i="1"/>
  <c r="AN200" i="1" s="1"/>
  <c r="AO204" i="1" s="1"/>
  <c r="AL225" i="1"/>
  <c r="AN225" i="1" s="1"/>
  <c r="AO229" i="1" s="1"/>
  <c r="AL250" i="1"/>
  <c r="AN250" i="1" s="1"/>
  <c r="AO254" i="1" s="1"/>
  <c r="AL275" i="1"/>
  <c r="AN275" i="1" s="1"/>
  <c r="AO279" i="1" s="1"/>
  <c r="AL300" i="1"/>
  <c r="AN300" i="1" s="1"/>
  <c r="AO304" i="1" s="1"/>
  <c r="AL325" i="1"/>
  <c r="AN325" i="1" s="1"/>
  <c r="AO326" i="1" s="1"/>
  <c r="AL350" i="1"/>
  <c r="AN350" i="1" s="1"/>
  <c r="AL364" i="1"/>
  <c r="AN364" i="1" s="1"/>
  <c r="AO368" i="1" s="1"/>
  <c r="AL389" i="1"/>
  <c r="AN389" i="1" s="1"/>
  <c r="AO393" i="1" s="1"/>
  <c r="AL414" i="1"/>
  <c r="AN414" i="1" s="1"/>
  <c r="AO418" i="1" s="1"/>
  <c r="AL439" i="1"/>
  <c r="AN439" i="1" s="1"/>
  <c r="AL445" i="1"/>
  <c r="AN445" i="1" s="1"/>
  <c r="AO449" i="1" s="1"/>
  <c r="AL442" i="1"/>
  <c r="AN442" i="1" s="1"/>
  <c r="AO445" i="1" s="1"/>
  <c r="AL463" i="1"/>
  <c r="AN463" i="1" s="1"/>
  <c r="AO467" i="1" s="1"/>
  <c r="AL462" i="1"/>
  <c r="AN462" i="1" s="1"/>
  <c r="AL471" i="1"/>
  <c r="AN471" i="1" s="1"/>
  <c r="AL479" i="1"/>
  <c r="AN479" i="1" s="1"/>
  <c r="AL495" i="1"/>
  <c r="AN495" i="1" s="1"/>
  <c r="AL634" i="1"/>
  <c r="AN634" i="1" s="1"/>
  <c r="AL630" i="1"/>
  <c r="AN630" i="1" s="1"/>
  <c r="AO634" i="1" s="1"/>
  <c r="AL639" i="1"/>
  <c r="AN639" i="1" s="1"/>
  <c r="AO642" i="1" s="1"/>
  <c r="AL656" i="1"/>
  <c r="AN656" i="1" s="1"/>
  <c r="AO660" i="1" s="1"/>
  <c r="AL684" i="1"/>
  <c r="AN684" i="1" s="1"/>
  <c r="AO688" i="1" s="1"/>
  <c r="AL702" i="1"/>
  <c r="AN702" i="1" s="1"/>
  <c r="AO706" i="1" s="1"/>
  <c r="AL703" i="1"/>
  <c r="AN703" i="1" s="1"/>
  <c r="AO707" i="1" s="1"/>
  <c r="AL716" i="1"/>
  <c r="AN716" i="1" s="1"/>
  <c r="AO760" i="1"/>
  <c r="AL801" i="1"/>
  <c r="AN801" i="1" s="1"/>
  <c r="AO803" i="1" s="1"/>
  <c r="AL837" i="1"/>
  <c r="AN837" i="1" s="1"/>
  <c r="AL838" i="1"/>
  <c r="AN838" i="1" s="1"/>
  <c r="AO842" i="1" s="1"/>
  <c r="AL835" i="1"/>
  <c r="AN835" i="1" s="1"/>
  <c r="AL852" i="1"/>
  <c r="AN852" i="1" s="1"/>
  <c r="AL853" i="1"/>
  <c r="AN853" i="1" s="1"/>
  <c r="AL870" i="1"/>
  <c r="AN870" i="1" s="1"/>
  <c r="AL887" i="1"/>
  <c r="AN887" i="1" s="1"/>
  <c r="AO891" i="1" s="1"/>
  <c r="AL883" i="1"/>
  <c r="AN883" i="1" s="1"/>
  <c r="AL884" i="1"/>
  <c r="AN884" i="1" s="1"/>
  <c r="AL693" i="1"/>
  <c r="AN693" i="1" s="1"/>
  <c r="AL692" i="1"/>
  <c r="AN692" i="1" s="1"/>
  <c r="AL701" i="1"/>
  <c r="AN701" i="1" s="1"/>
  <c r="AO705" i="1" s="1"/>
  <c r="AL709" i="1"/>
  <c r="AN709" i="1" s="1"/>
  <c r="AL847" i="1"/>
  <c r="AN847" i="1" s="1"/>
  <c r="AO851" i="1" s="1"/>
  <c r="AL848" i="1"/>
  <c r="AN848" i="1" s="1"/>
  <c r="AO852" i="1" s="1"/>
  <c r="AL857" i="1"/>
  <c r="AN857" i="1" s="1"/>
  <c r="AO861" i="1" s="1"/>
  <c r="AL858" i="1"/>
  <c r="AN858" i="1" s="1"/>
  <c r="AO862" i="1" s="1"/>
  <c r="AL856" i="1"/>
  <c r="AN856" i="1" s="1"/>
  <c r="AO860" i="1" s="1"/>
  <c r="AL885" i="1"/>
  <c r="AN885" i="1" s="1"/>
  <c r="AL911" i="1"/>
  <c r="AN911" i="1" s="1"/>
  <c r="AO915" i="1" s="1"/>
  <c r="AL910" i="1"/>
  <c r="AN910" i="1" s="1"/>
  <c r="AO914" i="1" s="1"/>
  <c r="AL907" i="1"/>
  <c r="AN907" i="1" s="1"/>
  <c r="AL1046" i="1"/>
  <c r="AN1046" i="1" s="1"/>
  <c r="AL1045" i="1"/>
  <c r="AN1045" i="1" s="1"/>
  <c r="AO1046" i="1" s="1"/>
  <c r="AL1069" i="1"/>
  <c r="AN1069" i="1" s="1"/>
  <c r="AO1073" i="1" s="1"/>
  <c r="AL1068" i="1"/>
  <c r="AN1068" i="1" s="1"/>
  <c r="AL1067" i="1"/>
  <c r="AN1067" i="1" s="1"/>
  <c r="AO1071" i="1" s="1"/>
  <c r="AL1086" i="1"/>
  <c r="AN1086" i="1" s="1"/>
  <c r="AL1084" i="1"/>
  <c r="AN1084" i="1" s="1"/>
  <c r="AO1086" i="1" s="1"/>
  <c r="AL1083" i="1"/>
  <c r="AN1083" i="1" s="1"/>
  <c r="AL1164" i="1"/>
  <c r="AN1164" i="1" s="1"/>
  <c r="AO1166" i="1" s="1"/>
  <c r="AL1167" i="1"/>
  <c r="AN1167" i="1" s="1"/>
  <c r="AO1171" i="1" s="1"/>
  <c r="AL1166" i="1"/>
  <c r="AN1166" i="1" s="1"/>
  <c r="AO1170" i="1" s="1"/>
  <c r="AO1176" i="1"/>
  <c r="AO1200" i="1"/>
  <c r="AO1225" i="1"/>
  <c r="AL1052" i="1"/>
  <c r="AN1052" i="1" s="1"/>
  <c r="AL1051" i="1"/>
  <c r="AN1051" i="1" s="1"/>
  <c r="AO1069" i="1"/>
  <c r="AL1126" i="1"/>
  <c r="AN1126" i="1" s="1"/>
  <c r="AL1124" i="1"/>
  <c r="AN1124" i="1" s="1"/>
  <c r="AL1155" i="1"/>
  <c r="AN1155" i="1" s="1"/>
  <c r="AL1156" i="1"/>
  <c r="AN1156" i="1" s="1"/>
  <c r="AQ1334" i="1"/>
  <c r="AP1334" i="1"/>
  <c r="AL1012" i="1"/>
  <c r="AN1012" i="1" s="1"/>
  <c r="AO1016" i="1" s="1"/>
  <c r="AL1008" i="1"/>
  <c r="AN1008" i="1" s="1"/>
  <c r="AL1114" i="1"/>
  <c r="AN1114" i="1" s="1"/>
  <c r="AL1153" i="1"/>
  <c r="AN1153" i="1" s="1"/>
  <c r="AO1157" i="1" s="1"/>
  <c r="AL1151" i="1"/>
  <c r="AN1151" i="1" s="1"/>
  <c r="AL1149" i="1"/>
  <c r="AN1149" i="1" s="1"/>
  <c r="AL1152" i="1"/>
  <c r="AN1152" i="1" s="1"/>
  <c r="AL1202" i="1"/>
  <c r="AN1202" i="1" s="1"/>
  <c r="AO1206" i="1" s="1"/>
  <c r="AL919" i="1"/>
  <c r="AN919" i="1" s="1"/>
  <c r="AL918" i="1"/>
  <c r="AN918" i="1" s="1"/>
  <c r="AL917" i="1"/>
  <c r="AN917" i="1" s="1"/>
  <c r="AL936" i="1"/>
  <c r="AN936" i="1" s="1"/>
  <c r="AL934" i="1"/>
  <c r="AN934" i="1" s="1"/>
  <c r="AO936" i="1" s="1"/>
  <c r="AL961" i="1"/>
  <c r="AN961" i="1" s="1"/>
  <c r="AL959" i="1"/>
  <c r="AN959" i="1" s="1"/>
  <c r="AL958" i="1"/>
  <c r="AN958" i="1" s="1"/>
  <c r="AL1028" i="1"/>
  <c r="AN1028" i="1" s="1"/>
  <c r="AL1024" i="1"/>
  <c r="AN1024" i="1" s="1"/>
  <c r="AL1026" i="1"/>
  <c r="AN1026" i="1" s="1"/>
  <c r="AL1044" i="1"/>
  <c r="AN1044" i="1" s="1"/>
  <c r="AL1043" i="1"/>
  <c r="AN1043" i="1" s="1"/>
  <c r="AL1040" i="1"/>
  <c r="AN1040" i="1" s="1"/>
  <c r="AL1061" i="1"/>
  <c r="AN1061" i="1" s="1"/>
  <c r="AL1059" i="1"/>
  <c r="AN1059" i="1" s="1"/>
  <c r="AL1060" i="1"/>
  <c r="AN1060" i="1" s="1"/>
  <c r="AL1074" i="1"/>
  <c r="AN1074" i="1" s="1"/>
  <c r="AO1078" i="1" s="1"/>
  <c r="AL1105" i="1"/>
  <c r="AN1105" i="1" s="1"/>
  <c r="AL1104" i="1"/>
  <c r="AN1104" i="1" s="1"/>
  <c r="AL969" i="1"/>
  <c r="AN969" i="1" s="1"/>
  <c r="AL967" i="1"/>
  <c r="AN967" i="1" s="1"/>
  <c r="AL966" i="1"/>
  <c r="AN966" i="1" s="1"/>
  <c r="AO970" i="1" s="1"/>
  <c r="AL1089" i="1"/>
  <c r="AN1089" i="1" s="1"/>
  <c r="AO1093" i="1" s="1"/>
  <c r="AL1100" i="1"/>
  <c r="AN1100" i="1" s="1"/>
  <c r="AL1099" i="1"/>
  <c r="AN1099" i="1" s="1"/>
  <c r="AL1102" i="1"/>
  <c r="AN1102" i="1" s="1"/>
  <c r="AL1115" i="1"/>
  <c r="AN1115" i="1" s="1"/>
  <c r="AL1117" i="1"/>
  <c r="AN1117" i="1" s="1"/>
  <c r="AL1142" i="1"/>
  <c r="AN1142" i="1" s="1"/>
  <c r="AL1139" i="1"/>
  <c r="AN1139" i="1" s="1"/>
  <c r="AO1140" i="1" s="1"/>
  <c r="AO1201" i="1"/>
  <c r="AL1213" i="1"/>
  <c r="AN1213" i="1" s="1"/>
  <c r="AL1212" i="1"/>
  <c r="AN1212" i="1" s="1"/>
  <c r="AL1211" i="1"/>
  <c r="AN1211" i="1" s="1"/>
  <c r="AO1250" i="1"/>
  <c r="AO1337" i="1"/>
  <c r="AO1335" i="1"/>
  <c r="AO1338" i="1"/>
  <c r="AL965" i="1"/>
  <c r="AN965" i="1" s="1"/>
  <c r="AL1049" i="1"/>
  <c r="AN1049" i="1" s="1"/>
  <c r="AL1098" i="1"/>
  <c r="AN1098" i="1" s="1"/>
  <c r="AO1102" i="1" s="1"/>
  <c r="AL1110" i="1"/>
  <c r="AN1110" i="1" s="1"/>
  <c r="AO1114" i="1" s="1"/>
  <c r="AL1109" i="1"/>
  <c r="AN1109" i="1" s="1"/>
  <c r="AL1111" i="1"/>
  <c r="AN1111" i="1" s="1"/>
  <c r="AO1115" i="1" s="1"/>
  <c r="AL1112" i="1"/>
  <c r="AN1112" i="1" s="1"/>
  <c r="AO1116" i="1" s="1"/>
  <c r="AL1138" i="1"/>
  <c r="AN1138" i="1" s="1"/>
  <c r="AL1141" i="1"/>
  <c r="AN1141" i="1" s="1"/>
  <c r="AL1179" i="1"/>
  <c r="AN1179" i="1" s="1"/>
  <c r="AQ1332" i="1"/>
  <c r="AP1332" i="1"/>
  <c r="AL878" i="1"/>
  <c r="AN878" i="1" s="1"/>
  <c r="AL877" i="1"/>
  <c r="AN877" i="1" s="1"/>
  <c r="AO881" i="1" s="1"/>
  <c r="AL952" i="1"/>
  <c r="AN952" i="1" s="1"/>
  <c r="AL950" i="1"/>
  <c r="AN950" i="1" s="1"/>
  <c r="AL977" i="1"/>
  <c r="AN977" i="1" s="1"/>
  <c r="AO980" i="1" s="1"/>
  <c r="AL975" i="1"/>
  <c r="AN975" i="1" s="1"/>
  <c r="AL974" i="1"/>
  <c r="AN974" i="1" s="1"/>
  <c r="AL1009" i="1"/>
  <c r="AN1009" i="1" s="1"/>
  <c r="AL1047" i="1"/>
  <c r="AN1047" i="1" s="1"/>
  <c r="AL1081" i="1"/>
  <c r="AN1081" i="1" s="1"/>
  <c r="AO1085" i="1" s="1"/>
  <c r="AL1130" i="1"/>
  <c r="AN1130" i="1" s="1"/>
  <c r="AL1131" i="1"/>
  <c r="AN1131" i="1" s="1"/>
  <c r="AL1129" i="1"/>
  <c r="AN1129" i="1" s="1"/>
  <c r="AL1128" i="1"/>
  <c r="AN1128" i="1" s="1"/>
  <c r="AL1178" i="1"/>
  <c r="AN1178" i="1" s="1"/>
  <c r="AO1181" i="1" s="1"/>
  <c r="AL1238" i="1"/>
  <c r="AN1238" i="1" s="1"/>
  <c r="AL1237" i="1"/>
  <c r="AN1237" i="1" s="1"/>
  <c r="AL1236" i="1"/>
  <c r="AN1236" i="1" s="1"/>
  <c r="AO666" i="1"/>
  <c r="AL677" i="1"/>
  <c r="AN677" i="1" s="1"/>
  <c r="AL678" i="1"/>
  <c r="AN678" i="1" s="1"/>
  <c r="AL694" i="1"/>
  <c r="AN694" i="1" s="1"/>
  <c r="AO698" i="1" s="1"/>
  <c r="AL710" i="1"/>
  <c r="AN710" i="1" s="1"/>
  <c r="AO714" i="1" s="1"/>
  <c r="AO785" i="1"/>
  <c r="AL787" i="1"/>
  <c r="AN787" i="1" s="1"/>
  <c r="AL788" i="1"/>
  <c r="AN788" i="1" s="1"/>
  <c r="AL784" i="1"/>
  <c r="AN784" i="1" s="1"/>
  <c r="AL790" i="1"/>
  <c r="AN790" i="1" s="1"/>
  <c r="AL800" i="1"/>
  <c r="AN800" i="1" s="1"/>
  <c r="AL832" i="1"/>
  <c r="AN832" i="1" s="1"/>
  <c r="AL833" i="1"/>
  <c r="AN833" i="1" s="1"/>
  <c r="AL872" i="1"/>
  <c r="AN872" i="1" s="1"/>
  <c r="AO876" i="1" s="1"/>
  <c r="AL873" i="1"/>
  <c r="AN873" i="1" s="1"/>
  <c r="AO877" i="1" s="1"/>
  <c r="AL871" i="1"/>
  <c r="AN871" i="1" s="1"/>
  <c r="AL984" i="1"/>
  <c r="AN984" i="1" s="1"/>
  <c r="AO988" i="1" s="1"/>
  <c r="AL1010" i="1"/>
  <c r="AN1010" i="1" s="1"/>
  <c r="AL1021" i="1"/>
  <c r="AN1021" i="1" s="1"/>
  <c r="AL1020" i="1"/>
  <c r="AN1020" i="1" s="1"/>
  <c r="AO1024" i="1" s="1"/>
  <c r="AL1025" i="1"/>
  <c r="AN1025" i="1" s="1"/>
  <c r="AO1041" i="1"/>
  <c r="AL1041" i="1"/>
  <c r="AN1041" i="1" s="1"/>
  <c r="AO1045" i="1" s="1"/>
  <c r="AL1058" i="1"/>
  <c r="AN1058" i="1" s="1"/>
  <c r="AO1062" i="1" s="1"/>
  <c r="AO1068" i="1"/>
  <c r="AL1094" i="1"/>
  <c r="AN1094" i="1" s="1"/>
  <c r="AL1092" i="1"/>
  <c r="AN1092" i="1" s="1"/>
  <c r="AL1091" i="1"/>
  <c r="AN1091" i="1" s="1"/>
  <c r="AL1127" i="1"/>
  <c r="AN1127" i="1" s="1"/>
  <c r="AL1174" i="1"/>
  <c r="AN1174" i="1" s="1"/>
  <c r="AL1192" i="1"/>
  <c r="AN1192" i="1" s="1"/>
  <c r="AO1255" i="1"/>
  <c r="AL552" i="1"/>
  <c r="AN552" i="1" s="1"/>
  <c r="AO554" i="1" s="1"/>
  <c r="AL553" i="1"/>
  <c r="AN553" i="1" s="1"/>
  <c r="AO557" i="1" s="1"/>
  <c r="AL625" i="1"/>
  <c r="AN625" i="1" s="1"/>
  <c r="AO629" i="1" s="1"/>
  <c r="AL690" i="1"/>
  <c r="AN690" i="1" s="1"/>
  <c r="AO694" i="1" s="1"/>
  <c r="AL718" i="1"/>
  <c r="AN718" i="1" s="1"/>
  <c r="AO722" i="1" s="1"/>
  <c r="AL717" i="1"/>
  <c r="AN717" i="1" s="1"/>
  <c r="AO721" i="1" s="1"/>
  <c r="AL786" i="1"/>
  <c r="AN786" i="1" s="1"/>
  <c r="AL822" i="1"/>
  <c r="AN822" i="1" s="1"/>
  <c r="AL823" i="1"/>
  <c r="AN823" i="1" s="1"/>
  <c r="AL867" i="1"/>
  <c r="AN867" i="1" s="1"/>
  <c r="AL868" i="1"/>
  <c r="AN868" i="1" s="1"/>
  <c r="AO872" i="1" s="1"/>
  <c r="AL866" i="1"/>
  <c r="AN866" i="1" s="1"/>
  <c r="AO893" i="1"/>
  <c r="AO917" i="1"/>
  <c r="AO918" i="1"/>
  <c r="AL916" i="1"/>
  <c r="AN916" i="1" s="1"/>
  <c r="AL922" i="1"/>
  <c r="AN922" i="1" s="1"/>
  <c r="AO926" i="1" s="1"/>
  <c r="AL933" i="1"/>
  <c r="AN933" i="1" s="1"/>
  <c r="AL956" i="1"/>
  <c r="AN956" i="1" s="1"/>
  <c r="AO959" i="1" s="1"/>
  <c r="AL981" i="1"/>
  <c r="AN981" i="1" s="1"/>
  <c r="AO984" i="1" s="1"/>
  <c r="AL1017" i="1"/>
  <c r="AN1017" i="1" s="1"/>
  <c r="AO1021" i="1" s="1"/>
  <c r="AO1027" i="1"/>
  <c r="AO1035" i="1"/>
  <c r="AL1033" i="1"/>
  <c r="AN1033" i="1" s="1"/>
  <c r="AL1077" i="1"/>
  <c r="AN1077" i="1" s="1"/>
  <c r="AL1075" i="1"/>
  <c r="AN1075" i="1" s="1"/>
  <c r="AL1076" i="1"/>
  <c r="AN1076" i="1" s="1"/>
  <c r="AL1190" i="1"/>
  <c r="AN1190" i="1" s="1"/>
  <c r="AL1191" i="1"/>
  <c r="AN1191" i="1" s="1"/>
  <c r="AL1189" i="1"/>
  <c r="AN1189" i="1" s="1"/>
  <c r="AO1192" i="1" s="1"/>
  <c r="AL1187" i="1"/>
  <c r="AN1187" i="1" s="1"/>
  <c r="AL1201" i="1"/>
  <c r="AN1201" i="1" s="1"/>
  <c r="AQ1333" i="1"/>
  <c r="AS1333" i="1" s="1"/>
  <c r="AU1333" i="1" s="1"/>
  <c r="AP1333" i="1"/>
  <c r="AR1333" i="1" s="1"/>
  <c r="AT1333" i="1" s="1"/>
  <c r="AO641" i="1"/>
  <c r="AL652" i="1"/>
  <c r="AN652" i="1" s="1"/>
  <c r="AL653" i="1"/>
  <c r="AN653" i="1" s="1"/>
  <c r="AO665" i="1"/>
  <c r="AL669" i="1"/>
  <c r="AN669" i="1" s="1"/>
  <c r="AL685" i="1"/>
  <c r="AN685" i="1" s="1"/>
  <c r="AO689" i="1" s="1"/>
  <c r="AO783" i="1"/>
  <c r="AL812" i="1"/>
  <c r="AN812" i="1" s="1"/>
  <c r="AO815" i="1" s="1"/>
  <c r="AL813" i="1"/>
  <c r="AN813" i="1" s="1"/>
  <c r="AO817" i="1" s="1"/>
  <c r="AL815" i="1"/>
  <c r="AN815" i="1" s="1"/>
  <c r="AL825" i="1"/>
  <c r="AN825" i="1" s="1"/>
  <c r="AO829" i="1" s="1"/>
  <c r="AL862" i="1"/>
  <c r="AN862" i="1" s="1"/>
  <c r="AL863" i="1"/>
  <c r="AN863" i="1" s="1"/>
  <c r="AL861" i="1"/>
  <c r="AN861" i="1" s="1"/>
  <c r="AO863" i="1" s="1"/>
  <c r="AL928" i="1"/>
  <c r="AN928" i="1" s="1"/>
  <c r="AL931" i="1"/>
  <c r="AN931" i="1" s="1"/>
  <c r="AL935" i="1"/>
  <c r="AN935" i="1" s="1"/>
  <c r="AO939" i="1" s="1"/>
  <c r="AL960" i="1"/>
  <c r="AN960" i="1" s="1"/>
  <c r="AO964" i="1" s="1"/>
  <c r="AL979" i="1"/>
  <c r="AN979" i="1" s="1"/>
  <c r="AO983" i="1" s="1"/>
  <c r="AL1050" i="1"/>
  <c r="AN1050" i="1" s="1"/>
  <c r="AL1055" i="1"/>
  <c r="AN1055" i="1" s="1"/>
  <c r="AL1056" i="1"/>
  <c r="AN1056" i="1" s="1"/>
  <c r="AL792" i="1"/>
  <c r="AN792" i="1" s="1"/>
  <c r="AL793" i="1"/>
  <c r="AN793" i="1" s="1"/>
  <c r="AO797" i="1" s="1"/>
  <c r="AL817" i="1"/>
  <c r="AN817" i="1" s="1"/>
  <c r="AL818" i="1"/>
  <c r="AN818" i="1" s="1"/>
  <c r="AO822" i="1" s="1"/>
  <c r="AL842" i="1"/>
  <c r="AN842" i="1" s="1"/>
  <c r="AL843" i="1"/>
  <c r="AN843" i="1" s="1"/>
  <c r="AL929" i="1"/>
  <c r="AN929" i="1" s="1"/>
  <c r="AL986" i="1"/>
  <c r="AN986" i="1" s="1"/>
  <c r="AL1054" i="1"/>
  <c r="AN1054" i="1" s="1"/>
  <c r="AO1058" i="1" s="1"/>
  <c r="AL1120" i="1"/>
  <c r="AN1120" i="1" s="1"/>
  <c r="AL1121" i="1"/>
  <c r="AN1121" i="1" s="1"/>
  <c r="AL1119" i="1"/>
  <c r="AN1119" i="1" s="1"/>
  <c r="AO1122" i="1" s="1"/>
  <c r="AL1261" i="1"/>
  <c r="AN1261" i="1" s="1"/>
  <c r="AO1265" i="1" s="1"/>
  <c r="AL1272" i="1"/>
  <c r="AN1272" i="1" s="1"/>
  <c r="AL1298" i="1"/>
  <c r="AN1298" i="1" s="1"/>
  <c r="AL1319" i="1"/>
  <c r="AN1319" i="1" s="1"/>
  <c r="AL1320" i="1"/>
  <c r="AN1320" i="1" s="1"/>
  <c r="AL1321" i="1"/>
  <c r="AN1321" i="1" s="1"/>
  <c r="AO1322" i="1" s="1"/>
  <c r="AL1351" i="1"/>
  <c r="AN1351" i="1" s="1"/>
  <c r="AL1350" i="1"/>
  <c r="AN1350" i="1" s="1"/>
  <c r="AO1480" i="1"/>
  <c r="AL1293" i="1"/>
  <c r="AN1293" i="1" s="1"/>
  <c r="AL1294" i="1"/>
  <c r="AN1294" i="1" s="1"/>
  <c r="AL1296" i="1"/>
  <c r="AN1296" i="1" s="1"/>
  <c r="AO1417" i="1"/>
  <c r="AO1429" i="1"/>
  <c r="AO1450" i="1"/>
  <c r="AL1481" i="1"/>
  <c r="AN1481" i="1" s="1"/>
  <c r="AL1477" i="1"/>
  <c r="AN1477" i="1" s="1"/>
  <c r="AL1478" i="1"/>
  <c r="AN1478" i="1" s="1"/>
  <c r="AO1482" i="1" s="1"/>
  <c r="AL1273" i="1"/>
  <c r="AN1273" i="1" s="1"/>
  <c r="AL1280" i="1"/>
  <c r="AN1280" i="1" s="1"/>
  <c r="AL1284" i="1"/>
  <c r="AN1284" i="1" s="1"/>
  <c r="AO1287" i="1" s="1"/>
  <c r="AL1393" i="1"/>
  <c r="AN1393" i="1" s="1"/>
  <c r="AL1391" i="1"/>
  <c r="AN1391" i="1" s="1"/>
  <c r="AO1395" i="1" s="1"/>
  <c r="AL1390" i="1"/>
  <c r="AN1390" i="1" s="1"/>
  <c r="AO1394" i="1" s="1"/>
  <c r="AL1412" i="1"/>
  <c r="AN1412" i="1" s="1"/>
  <c r="AO1416" i="1" s="1"/>
  <c r="AL1409" i="1"/>
  <c r="AN1409" i="1" s="1"/>
  <c r="AO1420" i="1"/>
  <c r="AO1440" i="1"/>
  <c r="AL1385" i="1"/>
  <c r="AN1385" i="1" s="1"/>
  <c r="AL1383" i="1"/>
  <c r="AN1383" i="1" s="1"/>
  <c r="AL1382" i="1"/>
  <c r="AN1382" i="1" s="1"/>
  <c r="AO1385" i="1" s="1"/>
  <c r="AL1384" i="1"/>
  <c r="AN1384" i="1" s="1"/>
  <c r="AO1393" i="1"/>
  <c r="AL1401" i="1"/>
  <c r="AN1401" i="1" s="1"/>
  <c r="AL1399" i="1"/>
  <c r="AN1399" i="1" s="1"/>
  <c r="AL1398" i="1"/>
  <c r="AN1398" i="1" s="1"/>
  <c r="AO1339" i="1"/>
  <c r="AL1400" i="1"/>
  <c r="AN1400" i="1" s="1"/>
  <c r="AQ1668" i="1"/>
  <c r="AP1668" i="1"/>
  <c r="AL1036" i="1"/>
  <c r="AN1036" i="1" s="1"/>
  <c r="AO1040" i="1" s="1"/>
  <c r="AL1088" i="1"/>
  <c r="AN1088" i="1" s="1"/>
  <c r="AO1092" i="1" s="1"/>
  <c r="AL1107" i="1"/>
  <c r="AN1107" i="1" s="1"/>
  <c r="AO1111" i="1" s="1"/>
  <c r="AL1106" i="1"/>
  <c r="AN1106" i="1" s="1"/>
  <c r="AL1170" i="1"/>
  <c r="AN1170" i="1" s="1"/>
  <c r="AO1174" i="1" s="1"/>
  <c r="AL1171" i="1"/>
  <c r="AN1171" i="1" s="1"/>
  <c r="AL1169" i="1"/>
  <c r="AN1169" i="1" s="1"/>
  <c r="AO1173" i="1" s="1"/>
  <c r="AL1308" i="1"/>
  <c r="AN1308" i="1" s="1"/>
  <c r="AL1324" i="1"/>
  <c r="AN1324" i="1" s="1"/>
  <c r="AL1323" i="1"/>
  <c r="AN1323" i="1" s="1"/>
  <c r="AL1367" i="1"/>
  <c r="AN1367" i="1" s="1"/>
  <c r="AL1366" i="1"/>
  <c r="AN1366" i="1" s="1"/>
  <c r="AL1364" i="1"/>
  <c r="AN1364" i="1" s="1"/>
  <c r="AL1417" i="1"/>
  <c r="AN1417" i="1" s="1"/>
  <c r="AQ1560" i="1"/>
  <c r="AP1560" i="1"/>
  <c r="AL894" i="1"/>
  <c r="AN894" i="1" s="1"/>
  <c r="AO898" i="1" s="1"/>
  <c r="AL902" i="1"/>
  <c r="AN902" i="1" s="1"/>
  <c r="AO906" i="1" s="1"/>
  <c r="AO909" i="1"/>
  <c r="AL971" i="1"/>
  <c r="AN971" i="1" s="1"/>
  <c r="AO975" i="1" s="1"/>
  <c r="AL970" i="1"/>
  <c r="AN970" i="1" s="1"/>
  <c r="AL987" i="1"/>
  <c r="AN987" i="1" s="1"/>
  <c r="AO991" i="1" s="1"/>
  <c r="AL1003" i="1"/>
  <c r="AN1003" i="1" s="1"/>
  <c r="AL1019" i="1"/>
  <c r="AN1019" i="1" s="1"/>
  <c r="AO1023" i="1" s="1"/>
  <c r="AL1027" i="1"/>
  <c r="AN1027" i="1" s="1"/>
  <c r="AL1032" i="1"/>
  <c r="AN1032" i="1" s="1"/>
  <c r="AL1096" i="1"/>
  <c r="AN1096" i="1" s="1"/>
  <c r="AO1100" i="1" s="1"/>
  <c r="AL1095" i="1"/>
  <c r="AN1095" i="1" s="1"/>
  <c r="AO1099" i="1" s="1"/>
  <c r="AL1103" i="1"/>
  <c r="AN1103" i="1" s="1"/>
  <c r="AL1157" i="1"/>
  <c r="AN1157" i="1" s="1"/>
  <c r="AL1165" i="1"/>
  <c r="AN1165" i="1" s="1"/>
  <c r="AL1262" i="1"/>
  <c r="AN1262" i="1" s="1"/>
  <c r="AL1285" i="1"/>
  <c r="AN1285" i="1" s="1"/>
  <c r="AL1295" i="1"/>
  <c r="AN1295" i="1" s="1"/>
  <c r="AL1358" i="1"/>
  <c r="AN1358" i="1" s="1"/>
  <c r="AL1363" i="1"/>
  <c r="AN1363" i="1" s="1"/>
  <c r="AL1379" i="1"/>
  <c r="AN1379" i="1" s="1"/>
  <c r="AO1383" i="1" s="1"/>
  <c r="AL1380" i="1"/>
  <c r="AN1380" i="1" s="1"/>
  <c r="AL1392" i="1"/>
  <c r="AN1392" i="1" s="1"/>
  <c r="AQ1649" i="1"/>
  <c r="AP1649" i="1"/>
  <c r="AL802" i="1"/>
  <c r="AN802" i="1" s="1"/>
  <c r="AL803" i="1"/>
  <c r="AN803" i="1" s="1"/>
  <c r="AO807" i="1" s="1"/>
  <c r="AL827" i="1"/>
  <c r="AN827" i="1" s="1"/>
  <c r="AL828" i="1"/>
  <c r="AN828" i="1" s="1"/>
  <c r="AO832" i="1" s="1"/>
  <c r="AL886" i="1"/>
  <c r="AN886" i="1" s="1"/>
  <c r="AL938" i="1"/>
  <c r="AN938" i="1" s="1"/>
  <c r="AL954" i="1"/>
  <c r="AN954" i="1" s="1"/>
  <c r="AL1011" i="1"/>
  <c r="AN1011" i="1" s="1"/>
  <c r="AO1015" i="1" s="1"/>
  <c r="AL1035" i="1"/>
  <c r="AN1035" i="1" s="1"/>
  <c r="AO1038" i="1" s="1"/>
  <c r="AL1063" i="1"/>
  <c r="AN1063" i="1" s="1"/>
  <c r="AO1067" i="1" s="1"/>
  <c r="AL1079" i="1"/>
  <c r="AN1079" i="1" s="1"/>
  <c r="AO1083" i="1" s="1"/>
  <c r="AL1145" i="1"/>
  <c r="AN1145" i="1" s="1"/>
  <c r="AO1149" i="1" s="1"/>
  <c r="AL1146" i="1"/>
  <c r="AN1146" i="1" s="1"/>
  <c r="AL1144" i="1"/>
  <c r="AN1144" i="1" s="1"/>
  <c r="AL1274" i="1"/>
  <c r="AN1274" i="1" s="1"/>
  <c r="AL1281" i="1"/>
  <c r="AN1281" i="1" s="1"/>
  <c r="AO1285" i="1" s="1"/>
  <c r="AL1287" i="1"/>
  <c r="AN1287" i="1" s="1"/>
  <c r="AO1291" i="1" s="1"/>
  <c r="AL1374" i="1"/>
  <c r="AN1374" i="1" s="1"/>
  <c r="AL1373" i="1"/>
  <c r="AN1373" i="1" s="1"/>
  <c r="AO1376" i="1" s="1"/>
  <c r="AL1371" i="1"/>
  <c r="AN1371" i="1" s="1"/>
  <c r="AO1375" i="1" s="1"/>
  <c r="AO1419" i="1"/>
  <c r="AQ1472" i="1"/>
  <c r="AS1472" i="1" s="1"/>
  <c r="AU1472" i="1" s="1"/>
  <c r="AP1472" i="1"/>
  <c r="AS1719" i="1"/>
  <c r="AU1719" i="1" s="1"/>
  <c r="AS1720" i="1"/>
  <c r="AU1720" i="1" s="1"/>
  <c r="AL723" i="1"/>
  <c r="AN723" i="1" s="1"/>
  <c r="AO727" i="1" s="1"/>
  <c r="AL728" i="1"/>
  <c r="AN728" i="1" s="1"/>
  <c r="AL733" i="1"/>
  <c r="AN733" i="1" s="1"/>
  <c r="AO736" i="1" s="1"/>
  <c r="AL738" i="1"/>
  <c r="AN738" i="1" s="1"/>
  <c r="AL743" i="1"/>
  <c r="AN743" i="1" s="1"/>
  <c r="AO747" i="1" s="1"/>
  <c r="AL748" i="1"/>
  <c r="AN748" i="1" s="1"/>
  <c r="AO751" i="1" s="1"/>
  <c r="AL753" i="1"/>
  <c r="AN753" i="1" s="1"/>
  <c r="AL758" i="1"/>
  <c r="AN758" i="1" s="1"/>
  <c r="AO762" i="1" s="1"/>
  <c r="AL763" i="1"/>
  <c r="AN763" i="1" s="1"/>
  <c r="AO767" i="1" s="1"/>
  <c r="AL768" i="1"/>
  <c r="AN768" i="1" s="1"/>
  <c r="AL773" i="1"/>
  <c r="AN773" i="1" s="1"/>
  <c r="AO776" i="1" s="1"/>
  <c r="AL778" i="1"/>
  <c r="AN778" i="1" s="1"/>
  <c r="AL782" i="1"/>
  <c r="AN782" i="1" s="1"/>
  <c r="AL783" i="1"/>
  <c r="AN783" i="1" s="1"/>
  <c r="AL882" i="1"/>
  <c r="AN882" i="1" s="1"/>
  <c r="AO883" i="1" s="1"/>
  <c r="AL946" i="1"/>
  <c r="AN946" i="1" s="1"/>
  <c r="AO950" i="1" s="1"/>
  <c r="AL945" i="1"/>
  <c r="AN945" i="1" s="1"/>
  <c r="AO949" i="1" s="1"/>
  <c r="AL962" i="1"/>
  <c r="AN962" i="1" s="1"/>
  <c r="AO966" i="1" s="1"/>
  <c r="AL978" i="1"/>
  <c r="AN978" i="1" s="1"/>
  <c r="AO982" i="1" s="1"/>
  <c r="AL994" i="1"/>
  <c r="AN994" i="1" s="1"/>
  <c r="AO998" i="1" s="1"/>
  <c r="AL1002" i="1"/>
  <c r="AN1002" i="1" s="1"/>
  <c r="AO1006" i="1" s="1"/>
  <c r="AL1007" i="1"/>
  <c r="AN1007" i="1" s="1"/>
  <c r="AO1009" i="1" s="1"/>
  <c r="AL1071" i="1"/>
  <c r="AN1071" i="1" s="1"/>
  <c r="AL1070" i="1"/>
  <c r="AN1070" i="1" s="1"/>
  <c r="AL1087" i="1"/>
  <c r="AN1087" i="1" s="1"/>
  <c r="AL1132" i="1"/>
  <c r="AN1132" i="1" s="1"/>
  <c r="AL1140" i="1"/>
  <c r="AN1140" i="1" s="1"/>
  <c r="AO1144" i="1" s="1"/>
  <c r="AL1180" i="1"/>
  <c r="AN1180" i="1" s="1"/>
  <c r="AL1181" i="1"/>
  <c r="AN1181" i="1" s="1"/>
  <c r="AL1207" i="1"/>
  <c r="AN1207" i="1" s="1"/>
  <c r="AL1232" i="1"/>
  <c r="AN1232" i="1" s="1"/>
  <c r="AL1257" i="1"/>
  <c r="AN1257" i="1" s="1"/>
  <c r="AL1268" i="1"/>
  <c r="AN1268" i="1" s="1"/>
  <c r="AL1270" i="1"/>
  <c r="AN1270" i="1" s="1"/>
  <c r="AL1276" i="1"/>
  <c r="AN1276" i="1" s="1"/>
  <c r="AO1280" i="1" s="1"/>
  <c r="AO1306" i="1"/>
  <c r="AL1325" i="1"/>
  <c r="AN1325" i="1" s="1"/>
  <c r="AL1327" i="1"/>
  <c r="AN1327" i="1" s="1"/>
  <c r="AO1331" i="1" s="1"/>
  <c r="AO1344" i="1"/>
  <c r="AO1342" i="1"/>
  <c r="AO1341" i="1"/>
  <c r="AO1340" i="1"/>
  <c r="AL1348" i="1"/>
  <c r="AN1348" i="1" s="1"/>
  <c r="AL1404" i="1"/>
  <c r="AN1404" i="1" s="1"/>
  <c r="AL1405" i="1"/>
  <c r="AN1405" i="1" s="1"/>
  <c r="AO1426" i="1"/>
  <c r="AL1195" i="1"/>
  <c r="AN1195" i="1" s="1"/>
  <c r="AL1194" i="1"/>
  <c r="AN1194" i="1" s="1"/>
  <c r="AL1200" i="1"/>
  <c r="AN1200" i="1" s="1"/>
  <c r="AL1199" i="1"/>
  <c r="AN1199" i="1" s="1"/>
  <c r="AL1205" i="1"/>
  <c r="AN1205" i="1" s="1"/>
  <c r="AL1204" i="1"/>
  <c r="AN1204" i="1" s="1"/>
  <c r="AO1207" i="1" s="1"/>
  <c r="AL1210" i="1"/>
  <c r="AN1210" i="1" s="1"/>
  <c r="AL1209" i="1"/>
  <c r="AN1209" i="1" s="1"/>
  <c r="AO1213" i="1" s="1"/>
  <c r="AL1215" i="1"/>
  <c r="AN1215" i="1" s="1"/>
  <c r="AO1219" i="1" s="1"/>
  <c r="AL1214" i="1"/>
  <c r="AN1214" i="1" s="1"/>
  <c r="AO1218" i="1" s="1"/>
  <c r="AL1220" i="1"/>
  <c r="AN1220" i="1" s="1"/>
  <c r="AO1224" i="1" s="1"/>
  <c r="AL1219" i="1"/>
  <c r="AN1219" i="1" s="1"/>
  <c r="AL1225" i="1"/>
  <c r="AN1225" i="1" s="1"/>
  <c r="AL1224" i="1"/>
  <c r="AN1224" i="1" s="1"/>
  <c r="AO1226" i="1" s="1"/>
  <c r="AL1230" i="1"/>
  <c r="AN1230" i="1" s="1"/>
  <c r="AL1229" i="1"/>
  <c r="AN1229" i="1" s="1"/>
  <c r="AO1230" i="1" s="1"/>
  <c r="AL1235" i="1"/>
  <c r="AN1235" i="1" s="1"/>
  <c r="AL1234" i="1"/>
  <c r="AN1234" i="1" s="1"/>
  <c r="AO1238" i="1" s="1"/>
  <c r="AL1240" i="1"/>
  <c r="AN1240" i="1" s="1"/>
  <c r="AO1244" i="1" s="1"/>
  <c r="AL1239" i="1"/>
  <c r="AN1239" i="1" s="1"/>
  <c r="AO1243" i="1" s="1"/>
  <c r="AL1245" i="1"/>
  <c r="AN1245" i="1" s="1"/>
  <c r="AL1244" i="1"/>
  <c r="AN1244" i="1" s="1"/>
  <c r="AL1250" i="1"/>
  <c r="AN1250" i="1" s="1"/>
  <c r="AL1249" i="1"/>
  <c r="AN1249" i="1" s="1"/>
  <c r="AL1255" i="1"/>
  <c r="AN1255" i="1" s="1"/>
  <c r="AL1254" i="1"/>
  <c r="AN1254" i="1" s="1"/>
  <c r="AO1256" i="1" s="1"/>
  <c r="AL1260" i="1"/>
  <c r="AN1260" i="1" s="1"/>
  <c r="AL1259" i="1"/>
  <c r="AN1259" i="1" s="1"/>
  <c r="AL1265" i="1"/>
  <c r="AN1265" i="1" s="1"/>
  <c r="AO1269" i="1" s="1"/>
  <c r="AL1264" i="1"/>
  <c r="AN1264" i="1" s="1"/>
  <c r="AO1268" i="1" s="1"/>
  <c r="AL1300" i="1"/>
  <c r="AN1300" i="1" s="1"/>
  <c r="AL1322" i="1"/>
  <c r="AN1322" i="1" s="1"/>
  <c r="AL1445" i="1"/>
  <c r="AN1445" i="1" s="1"/>
  <c r="AL1444" i="1"/>
  <c r="AN1444" i="1" s="1"/>
  <c r="AO1542" i="1"/>
  <c r="AO1569" i="1"/>
  <c r="AO1567" i="1"/>
  <c r="AO1568" i="1"/>
  <c r="AO1570" i="1"/>
  <c r="AQ1593" i="1"/>
  <c r="AP1593" i="1"/>
  <c r="AO1621" i="1"/>
  <c r="AQ1624" i="1"/>
  <c r="AQ1656" i="1"/>
  <c r="AS1656" i="1" s="1"/>
  <c r="AU1656" i="1" s="1"/>
  <c r="AP1656" i="1"/>
  <c r="AR1656" i="1" s="1"/>
  <c r="AT1656" i="1" s="1"/>
  <c r="AS1746" i="1"/>
  <c r="AU1746" i="1" s="1"/>
  <c r="AS1745" i="1"/>
  <c r="AU1745" i="1" s="1"/>
  <c r="AS1860" i="1"/>
  <c r="AU1860" i="1" s="1"/>
  <c r="AS1861" i="1"/>
  <c r="AU1861" i="1" s="1"/>
  <c r="AO1979" i="1"/>
  <c r="AO1975" i="1"/>
  <c r="AO1516" i="1"/>
  <c r="AO1519" i="1"/>
  <c r="AO1518" i="1"/>
  <c r="AP1534" i="1"/>
  <c r="AQ1534" i="1"/>
  <c r="AQ1546" i="1"/>
  <c r="AS1546" i="1" s="1"/>
  <c r="AU1546" i="1" s="1"/>
  <c r="AP1546" i="1"/>
  <c r="AR1546" i="1" s="1"/>
  <c r="AT1546" i="1" s="1"/>
  <c r="AO1561" i="1"/>
  <c r="AO1559" i="1"/>
  <c r="AQ1618" i="1"/>
  <c r="AP1618" i="1"/>
  <c r="AP1663" i="1"/>
  <c r="AQ1663" i="1"/>
  <c r="AO1662" i="1"/>
  <c r="AQ1666" i="1"/>
  <c r="AS1666" i="1" s="1"/>
  <c r="AU1666" i="1" s="1"/>
  <c r="AP1666" i="1"/>
  <c r="AR1666" i="1" s="1"/>
  <c r="AT1666" i="1" s="1"/>
  <c r="AS1694" i="1"/>
  <c r="AU1694" i="1" s="1"/>
  <c r="AS1751" i="1"/>
  <c r="AU1751" i="1" s="1"/>
  <c r="AS1750" i="1"/>
  <c r="AU1750" i="1" s="1"/>
  <c r="AQ1844" i="1"/>
  <c r="AP1844" i="1"/>
  <c r="AQ2008" i="1"/>
  <c r="AP2008" i="1"/>
  <c r="AO1527" i="1"/>
  <c r="AO1530" i="1"/>
  <c r="AP1551" i="1"/>
  <c r="AO1557" i="1"/>
  <c r="AP1574" i="1"/>
  <c r="AQ1574" i="1"/>
  <c r="AP1589" i="1"/>
  <c r="AO1659" i="1"/>
  <c r="AQ1699" i="1"/>
  <c r="AS1700" i="1" s="1"/>
  <c r="AU1700" i="1" s="1"/>
  <c r="AP1699" i="1"/>
  <c r="AQ1834" i="1"/>
  <c r="AS1835" i="1" s="1"/>
  <c r="AU1835" i="1" s="1"/>
  <c r="AP1834" i="1"/>
  <c r="AP1855" i="1"/>
  <c r="AO1613" i="1"/>
  <c r="AO1612" i="1"/>
  <c r="AO1609" i="1"/>
  <c r="AQ1641" i="1"/>
  <c r="AP1641" i="1"/>
  <c r="AO1669" i="1"/>
  <c r="AO1667" i="1"/>
  <c r="AO1670" i="1"/>
  <c r="AP1719" i="1"/>
  <c r="AS1731" i="1"/>
  <c r="AU1731" i="1" s="1"/>
  <c r="AS1730" i="1"/>
  <c r="AU1730" i="1" s="1"/>
  <c r="AQ1824" i="1"/>
  <c r="AS1824" i="1" s="1"/>
  <c r="AU1824" i="1" s="1"/>
  <c r="AP1824" i="1"/>
  <c r="AQ2081" i="1"/>
  <c r="AP2081" i="1"/>
  <c r="AL1432" i="1"/>
  <c r="AN1432" i="1" s="1"/>
  <c r="AL1450" i="1"/>
  <c r="AN1450" i="1" s="1"/>
  <c r="AL1449" i="1"/>
  <c r="AN1449" i="1" s="1"/>
  <c r="AL1460" i="1"/>
  <c r="AN1460" i="1" s="1"/>
  <c r="AO1464" i="1" s="1"/>
  <c r="AL1459" i="1"/>
  <c r="AN1459" i="1" s="1"/>
  <c r="AO1463" i="1" s="1"/>
  <c r="AL1456" i="1"/>
  <c r="AN1456" i="1" s="1"/>
  <c r="AO1526" i="1"/>
  <c r="AO1528" i="1"/>
  <c r="AQ1537" i="1"/>
  <c r="AP1537" i="1"/>
  <c r="AO1549" i="1"/>
  <c r="AO1580" i="1"/>
  <c r="AO1590" i="1"/>
  <c r="AO1588" i="1"/>
  <c r="AO1587" i="1"/>
  <c r="AQ1616" i="1"/>
  <c r="AS1616" i="1" s="1"/>
  <c r="AU1616" i="1" s="1"/>
  <c r="AP1616" i="1"/>
  <c r="AO1622" i="1"/>
  <c r="AP1631" i="1"/>
  <c r="AO1637" i="1"/>
  <c r="AO1650" i="1"/>
  <c r="AO1648" i="1"/>
  <c r="AO1647" i="1"/>
  <c r="AP1684" i="1"/>
  <c r="AR1739" i="1"/>
  <c r="AT1739" i="1" s="1"/>
  <c r="AR1740" i="1"/>
  <c r="AT1740" i="1" s="1"/>
  <c r="AQ1814" i="1"/>
  <c r="AP1814" i="1"/>
  <c r="AR1845" i="1"/>
  <c r="AT1845" i="1" s="1"/>
  <c r="AL1493" i="1"/>
  <c r="AN1493" i="1" s="1"/>
  <c r="AQ1523" i="1"/>
  <c r="AP1523" i="1"/>
  <c r="AQ1531" i="1"/>
  <c r="AO1552" i="1"/>
  <c r="AQ1556" i="1"/>
  <c r="AP1556" i="1"/>
  <c r="AO1558" i="1"/>
  <c r="AP1645" i="1"/>
  <c r="AR1645" i="1" s="1"/>
  <c r="AT1645" i="1" s="1"/>
  <c r="AQ1645" i="1"/>
  <c r="AS1645" i="1" s="1"/>
  <c r="AU1645" i="1" s="1"/>
  <c r="AP1655" i="1"/>
  <c r="AQ1655" i="1"/>
  <c r="AO1660" i="1"/>
  <c r="AS1739" i="1"/>
  <c r="AU1739" i="1" s="1"/>
  <c r="AQ1804" i="1"/>
  <c r="AP1804" i="1"/>
  <c r="AO2051" i="1"/>
  <c r="AO2047" i="1"/>
  <c r="AO2049" i="1"/>
  <c r="AL1355" i="1"/>
  <c r="AN1355" i="1" s="1"/>
  <c r="AL1354" i="1"/>
  <c r="AN1354" i="1" s="1"/>
  <c r="AO1358" i="1" s="1"/>
  <c r="AL1487" i="1"/>
  <c r="AN1487" i="1" s="1"/>
  <c r="AO1491" i="1" s="1"/>
  <c r="AL1486" i="1"/>
  <c r="AN1486" i="1" s="1"/>
  <c r="AO1490" i="1" s="1"/>
  <c r="AL1496" i="1"/>
  <c r="AN1496" i="1" s="1"/>
  <c r="AP1545" i="1"/>
  <c r="AR1545" i="1" s="1"/>
  <c r="AT1545" i="1" s="1"/>
  <c r="AQ1545" i="1"/>
  <c r="AO1620" i="1"/>
  <c r="AO1651" i="1"/>
  <c r="AO1661" i="1"/>
  <c r="AO1658" i="1"/>
  <c r="AR1673" i="1"/>
  <c r="AT1673" i="1" s="1"/>
  <c r="AS1696" i="1"/>
  <c r="AU1696" i="1" s="1"/>
  <c r="AS1695" i="1"/>
  <c r="AU1695" i="1" s="1"/>
  <c r="AR1725" i="1"/>
  <c r="AT1725" i="1" s="1"/>
  <c r="AQ1749" i="1"/>
  <c r="AP1749" i="1"/>
  <c r="AQ1794" i="1"/>
  <c r="AS1794" i="1" s="1"/>
  <c r="AU1794" i="1" s="1"/>
  <c r="AP1794" i="1"/>
  <c r="AL1125" i="1"/>
  <c r="AN1125" i="1" s="1"/>
  <c r="AO1129" i="1" s="1"/>
  <c r="AL1123" i="1"/>
  <c r="AN1123" i="1" s="1"/>
  <c r="AL1150" i="1"/>
  <c r="AN1150" i="1" s="1"/>
  <c r="AO1154" i="1" s="1"/>
  <c r="AL1148" i="1"/>
  <c r="AN1148" i="1" s="1"/>
  <c r="AL1175" i="1"/>
  <c r="AN1175" i="1" s="1"/>
  <c r="AO1179" i="1" s="1"/>
  <c r="AL1173" i="1"/>
  <c r="AN1173" i="1" s="1"/>
  <c r="AL1301" i="1"/>
  <c r="AN1301" i="1" s="1"/>
  <c r="AL1305" i="1"/>
  <c r="AN1305" i="1" s="1"/>
  <c r="AO1309" i="1" s="1"/>
  <c r="AL1312" i="1"/>
  <c r="AN1312" i="1" s="1"/>
  <c r="AO1316" i="1" s="1"/>
  <c r="AL1361" i="1"/>
  <c r="AN1361" i="1" s="1"/>
  <c r="AL1359" i="1"/>
  <c r="AN1359" i="1" s="1"/>
  <c r="AL1370" i="1"/>
  <c r="AN1370" i="1" s="1"/>
  <c r="AL1369" i="1"/>
  <c r="AN1369" i="1" s="1"/>
  <c r="AL1403" i="1"/>
  <c r="AN1403" i="1" s="1"/>
  <c r="AL1420" i="1"/>
  <c r="AN1420" i="1" s="1"/>
  <c r="AL1419" i="1"/>
  <c r="AN1419" i="1" s="1"/>
  <c r="AO1465" i="1"/>
  <c r="AL1494" i="1"/>
  <c r="AN1494" i="1" s="1"/>
  <c r="AL1495" i="1"/>
  <c r="AN1495" i="1" s="1"/>
  <c r="AL1492" i="1"/>
  <c r="AN1492" i="1" s="1"/>
  <c r="AL1504" i="1"/>
  <c r="AN1504" i="1" s="1"/>
  <c r="AL1505" i="1"/>
  <c r="AN1505" i="1" s="1"/>
  <c r="AL1502" i="1"/>
  <c r="AN1502" i="1" s="1"/>
  <c r="AP1524" i="1"/>
  <c r="AQ1524" i="1"/>
  <c r="AO1541" i="1"/>
  <c r="AO1550" i="1"/>
  <c r="AO1548" i="1"/>
  <c r="AO1572" i="1"/>
  <c r="AQ1584" i="1"/>
  <c r="AP1602" i="1"/>
  <c r="AO1629" i="1"/>
  <c r="AO1627" i="1"/>
  <c r="AO1630" i="1"/>
  <c r="AQ1644" i="1"/>
  <c r="AO1657" i="1"/>
  <c r="AS1681" i="1"/>
  <c r="AU1681" i="1" s="1"/>
  <c r="AS1680" i="1"/>
  <c r="AU1680" i="1" s="1"/>
  <c r="AP1704" i="1"/>
  <c r="AS1715" i="1"/>
  <c r="AU1715" i="1" s="1"/>
  <c r="AQ1784" i="1"/>
  <c r="AP1784" i="1"/>
  <c r="AS1856" i="1"/>
  <c r="AU1856" i="1" s="1"/>
  <c r="AL1267" i="1"/>
  <c r="AN1267" i="1" s="1"/>
  <c r="AO1271" i="1" s="1"/>
  <c r="AL1275" i="1"/>
  <c r="AN1275" i="1" s="1"/>
  <c r="AO1279" i="1" s="1"/>
  <c r="AL1297" i="1"/>
  <c r="AN1297" i="1" s="1"/>
  <c r="AO1301" i="1" s="1"/>
  <c r="AL1346" i="1"/>
  <c r="AN1346" i="1" s="1"/>
  <c r="AO1350" i="1" s="1"/>
  <c r="AL1352" i="1"/>
  <c r="AN1352" i="1" s="1"/>
  <c r="AL1434" i="1"/>
  <c r="AN1434" i="1" s="1"/>
  <c r="AL1433" i="1"/>
  <c r="AN1433" i="1" s="1"/>
  <c r="AL1457" i="1"/>
  <c r="AN1457" i="1" s="1"/>
  <c r="AL1501" i="1"/>
  <c r="AN1501" i="1" s="1"/>
  <c r="AO1505" i="1" s="1"/>
  <c r="AO1521" i="1"/>
  <c r="AO1520" i="1"/>
  <c r="AO1533" i="1"/>
  <c r="AO1547" i="1"/>
  <c r="AQ1553" i="1"/>
  <c r="AP1562" i="1"/>
  <c r="AO1582" i="1"/>
  <c r="AO1581" i="1"/>
  <c r="AP1591" i="1"/>
  <c r="AS1729" i="1"/>
  <c r="AU1729" i="1" s="1"/>
  <c r="AP1754" i="1"/>
  <c r="AQ1774" i="1"/>
  <c r="AP1774" i="1"/>
  <c r="AQ1952" i="1"/>
  <c r="AP1952" i="1"/>
  <c r="AP2070" i="1"/>
  <c r="AQ2070" i="1"/>
  <c r="AL1135" i="1"/>
  <c r="AN1135" i="1" s="1"/>
  <c r="AO1139" i="1" s="1"/>
  <c r="AL1160" i="1"/>
  <c r="AN1160" i="1" s="1"/>
  <c r="AL1185" i="1"/>
  <c r="AN1185" i="1" s="1"/>
  <c r="AL1286" i="1"/>
  <c r="AN1286" i="1" s="1"/>
  <c r="AL1289" i="1"/>
  <c r="AN1289" i="1" s="1"/>
  <c r="AO1292" i="1" s="1"/>
  <c r="AL1326" i="1"/>
  <c r="AN1326" i="1" s="1"/>
  <c r="AL1452" i="1"/>
  <c r="AN1452" i="1" s="1"/>
  <c r="AO1517" i="1"/>
  <c r="AO1529" i="1"/>
  <c r="AQ1544" i="1"/>
  <c r="AQ1578" i="1"/>
  <c r="AP1578" i="1"/>
  <c r="AQ1597" i="1"/>
  <c r="AP1597" i="1"/>
  <c r="AP1615" i="1"/>
  <c r="AQ1615" i="1"/>
  <c r="AO1653" i="1"/>
  <c r="AO1652" i="1"/>
  <c r="AR1689" i="1"/>
  <c r="AT1689" i="1" s="1"/>
  <c r="AR1690" i="1"/>
  <c r="AT1690" i="1" s="1"/>
  <c r="AR1710" i="1"/>
  <c r="AT1710" i="1" s="1"/>
  <c r="AQ1764" i="1"/>
  <c r="AS1764" i="1" s="1"/>
  <c r="AU1764" i="1" s="1"/>
  <c r="AP1764" i="1"/>
  <c r="AQ1933" i="1"/>
  <c r="AP1933" i="1"/>
  <c r="AL1410" i="1"/>
  <c r="AN1410" i="1" s="1"/>
  <c r="AO1414" i="1" s="1"/>
  <c r="AL1430" i="1"/>
  <c r="AN1430" i="1" s="1"/>
  <c r="AL1462" i="1"/>
  <c r="AN1462" i="1" s="1"/>
  <c r="AO1466" i="1" s="1"/>
  <c r="AP1468" i="1"/>
  <c r="AR1468" i="1" s="1"/>
  <c r="AT1468" i="1" s="1"/>
  <c r="AQ1468" i="1"/>
  <c r="AS1468" i="1" s="1"/>
  <c r="AU1468" i="1" s="1"/>
  <c r="AL1479" i="1"/>
  <c r="AN1479" i="1" s="1"/>
  <c r="AL1480" i="1"/>
  <c r="AN1480" i="1" s="1"/>
  <c r="AO1515" i="1"/>
  <c r="AP1555" i="1"/>
  <c r="AQ1555" i="1"/>
  <c r="AO1592" i="1"/>
  <c r="AQ1596" i="1"/>
  <c r="AP1596" i="1"/>
  <c r="AQ1599" i="1"/>
  <c r="AO1632" i="1"/>
  <c r="AP1665" i="1"/>
  <c r="AQ1665" i="1"/>
  <c r="AS1705" i="1"/>
  <c r="AU1705" i="1" s="1"/>
  <c r="AQ1709" i="1"/>
  <c r="AS1755" i="1"/>
  <c r="AU1755" i="1" s="1"/>
  <c r="AS1765" i="1"/>
  <c r="AU1765" i="1" s="1"/>
  <c r="AS1775" i="1"/>
  <c r="AU1775" i="1" s="1"/>
  <c r="AS1785" i="1"/>
  <c r="AU1785" i="1" s="1"/>
  <c r="AS1805" i="1"/>
  <c r="AU1805" i="1" s="1"/>
  <c r="AS1815" i="1"/>
  <c r="AU1815" i="1" s="1"/>
  <c r="AP1867" i="1"/>
  <c r="AR1867" i="1" s="1"/>
  <c r="AT1867" i="1" s="1"/>
  <c r="AQ1867" i="1"/>
  <c r="AS1867" i="1" s="1"/>
  <c r="AU1867" i="1" s="1"/>
  <c r="AO1892" i="1"/>
  <c r="AO1890" i="1"/>
  <c r="AO2046" i="1"/>
  <c r="AO2044" i="1"/>
  <c r="AO2042" i="1"/>
  <c r="AP2076" i="1"/>
  <c r="AQ2076" i="1"/>
  <c r="AO2120" i="1"/>
  <c r="AO2116" i="1"/>
  <c r="AO2119" i="1"/>
  <c r="AQ2185" i="1"/>
  <c r="AP2185" i="1"/>
  <c r="AQ2078" i="1"/>
  <c r="AP2078" i="1"/>
  <c r="AP2358" i="1"/>
  <c r="AR2358" i="1" s="1"/>
  <c r="AT2358" i="1" s="1"/>
  <c r="AQ2358" i="1"/>
  <c r="AS2358" i="1" s="1"/>
  <c r="AU2358" i="1" s="1"/>
  <c r="AQ2450" i="1"/>
  <c r="AP2450" i="1"/>
  <c r="AP2507" i="1"/>
  <c r="AQ2507" i="1"/>
  <c r="AP1950" i="1"/>
  <c r="AQ1950" i="1"/>
  <c r="AO1996" i="1"/>
  <c r="AO1994" i="1"/>
  <c r="AP2074" i="1"/>
  <c r="AR2074" i="1" s="1"/>
  <c r="AT2074" i="1" s="1"/>
  <c r="AP2099" i="1"/>
  <c r="AQ2112" i="1"/>
  <c r="AP2112" i="1"/>
  <c r="AO1920" i="1"/>
  <c r="AO1919" i="1"/>
  <c r="AO1918" i="1"/>
  <c r="AO1946" i="1"/>
  <c r="AO1992" i="1"/>
  <c r="AQ2017" i="1"/>
  <c r="AP2017" i="1"/>
  <c r="AO2040" i="1"/>
  <c r="AO2039" i="1"/>
  <c r="AO2038" i="1"/>
  <c r="AQ2155" i="1"/>
  <c r="AS2155" i="1" s="1"/>
  <c r="AU2155" i="1" s="1"/>
  <c r="AP2155" i="1"/>
  <c r="AR2155" i="1" s="1"/>
  <c r="AT2155" i="1" s="1"/>
  <c r="AO2292" i="1"/>
  <c r="AQ1868" i="1"/>
  <c r="AP1868" i="1"/>
  <c r="AR1868" i="1" s="1"/>
  <c r="AT1868" i="1" s="1"/>
  <c r="AP1902" i="1"/>
  <c r="AQ1902" i="1"/>
  <c r="AQ1917" i="1"/>
  <c r="AP1917" i="1"/>
  <c r="AO1976" i="1"/>
  <c r="AQ2013" i="1"/>
  <c r="AS2013" i="1" s="1"/>
  <c r="AU2013" i="1" s="1"/>
  <c r="AP2013" i="1"/>
  <c r="AR2013" i="1" s="1"/>
  <c r="AT2013" i="1" s="1"/>
  <c r="AS2134" i="1"/>
  <c r="AU2134" i="1" s="1"/>
  <c r="AQ2293" i="1"/>
  <c r="AP2293" i="1"/>
  <c r="AP2422" i="1"/>
  <c r="AR2422" i="1" s="1"/>
  <c r="AT2422" i="1" s="1"/>
  <c r="AQ2422" i="1"/>
  <c r="AS2422" i="1" s="1"/>
  <c r="AU2422" i="1" s="1"/>
  <c r="AP2425" i="1"/>
  <c r="AR2425" i="1" s="1"/>
  <c r="AT2425" i="1" s="1"/>
  <c r="AQ2425" i="1"/>
  <c r="AS2425" i="1" s="1"/>
  <c r="AU2425" i="1" s="1"/>
  <c r="AS1760" i="1"/>
  <c r="AU1760" i="1" s="1"/>
  <c r="AS1770" i="1"/>
  <c r="AU1770" i="1" s="1"/>
  <c r="AS1780" i="1"/>
  <c r="AU1780" i="1" s="1"/>
  <c r="AS1790" i="1"/>
  <c r="AU1790" i="1" s="1"/>
  <c r="AS1800" i="1"/>
  <c r="AU1800" i="1" s="1"/>
  <c r="AS1810" i="1"/>
  <c r="AU1810" i="1" s="1"/>
  <c r="AS1820" i="1"/>
  <c r="AU1820" i="1" s="1"/>
  <c r="AS1830" i="1"/>
  <c r="AU1830" i="1" s="1"/>
  <c r="AS1840" i="1"/>
  <c r="AU1840" i="1" s="1"/>
  <c r="AP1860" i="1"/>
  <c r="AP1883" i="1"/>
  <c r="AO1910" i="1"/>
  <c r="AO1908" i="1"/>
  <c r="AP1924" i="1"/>
  <c r="AP1969" i="1"/>
  <c r="AQ1969" i="1"/>
  <c r="AO1985" i="1"/>
  <c r="AO1982" i="1"/>
  <c r="AO1984" i="1"/>
  <c r="AO1983" i="1"/>
  <c r="AP2052" i="1"/>
  <c r="AP2063" i="1"/>
  <c r="AP2134" i="1"/>
  <c r="AO2289" i="1"/>
  <c r="AO2328" i="1"/>
  <c r="AO2329" i="1"/>
  <c r="AO2327" i="1"/>
  <c r="AQ2393" i="1"/>
  <c r="AP2393" i="1"/>
  <c r="AS2418" i="1"/>
  <c r="AU2418" i="1" s="1"/>
  <c r="AO1532" i="1"/>
  <c r="AO1543" i="1"/>
  <c r="AO1579" i="1"/>
  <c r="AO1577" i="1"/>
  <c r="AP1605" i="1"/>
  <c r="AQ1605" i="1"/>
  <c r="AO1642" i="1"/>
  <c r="AQ1646" i="1"/>
  <c r="AS1646" i="1" s="1"/>
  <c r="AU1646" i="1" s="1"/>
  <c r="AP1646" i="1"/>
  <c r="AR1646" i="1" s="1"/>
  <c r="AT1646" i="1" s="1"/>
  <c r="AQ1677" i="1"/>
  <c r="AS1677" i="1" s="1"/>
  <c r="AU1677" i="1" s="1"/>
  <c r="AP1677" i="1"/>
  <c r="AP1714" i="1"/>
  <c r="AP1849" i="1"/>
  <c r="AP1880" i="1"/>
  <c r="AO1897" i="1"/>
  <c r="AO1896" i="1"/>
  <c r="AO1894" i="1"/>
  <c r="AO1895" i="1"/>
  <c r="AO1906" i="1"/>
  <c r="AO1965" i="1"/>
  <c r="AO2088" i="1"/>
  <c r="AO2086" i="1"/>
  <c r="AQ2285" i="1"/>
  <c r="AP2285" i="1"/>
  <c r="AL1292" i="1"/>
  <c r="AN1292" i="1" s="1"/>
  <c r="AO1296" i="1" s="1"/>
  <c r="AL1317" i="1"/>
  <c r="AN1317" i="1" s="1"/>
  <c r="AL1360" i="1"/>
  <c r="AN1360" i="1" s="1"/>
  <c r="AO1364" i="1" s="1"/>
  <c r="AL1378" i="1"/>
  <c r="AN1378" i="1" s="1"/>
  <c r="AL1395" i="1"/>
  <c r="AN1395" i="1" s="1"/>
  <c r="AO1399" i="1" s="1"/>
  <c r="AL1394" i="1"/>
  <c r="AN1394" i="1" s="1"/>
  <c r="AL1411" i="1"/>
  <c r="AN1411" i="1" s="1"/>
  <c r="AL1427" i="1"/>
  <c r="AN1427" i="1" s="1"/>
  <c r="AL1443" i="1"/>
  <c r="AN1443" i="1" s="1"/>
  <c r="AO1447" i="1" s="1"/>
  <c r="AL1451" i="1"/>
  <c r="AN1451" i="1" s="1"/>
  <c r="AP1471" i="1"/>
  <c r="AR1471" i="1" s="1"/>
  <c r="AT1471" i="1" s="1"/>
  <c r="AL1483" i="1"/>
  <c r="AN1483" i="1" s="1"/>
  <c r="AL1506" i="1"/>
  <c r="AN1506" i="1" s="1"/>
  <c r="AO1522" i="1"/>
  <c r="AO1540" i="1"/>
  <c r="AO1539" i="1"/>
  <c r="AR1594" i="1"/>
  <c r="AT1594" i="1" s="1"/>
  <c r="AO1603" i="1"/>
  <c r="AO1601" i="1"/>
  <c r="AO1611" i="1"/>
  <c r="AO1619" i="1"/>
  <c r="AO1617" i="1"/>
  <c r="AP1679" i="1"/>
  <c r="AP1729" i="1"/>
  <c r="AS1769" i="1"/>
  <c r="AU1769" i="1" s="1"/>
  <c r="AS1789" i="1"/>
  <c r="AU1789" i="1" s="1"/>
  <c r="AS1799" i="1"/>
  <c r="AU1799" i="1" s="1"/>
  <c r="AS1809" i="1"/>
  <c r="AU1809" i="1" s="1"/>
  <c r="AS1819" i="1"/>
  <c r="AU1819" i="1" s="1"/>
  <c r="AO1871" i="1"/>
  <c r="AO1869" i="1"/>
  <c r="AO1872" i="1"/>
  <c r="AO1870" i="1"/>
  <c r="AO1948" i="1"/>
  <c r="AO1947" i="1"/>
  <c r="AP2002" i="1"/>
  <c r="AP2029" i="1"/>
  <c r="AO2139" i="1"/>
  <c r="AO2137" i="1"/>
  <c r="AO2135" i="1"/>
  <c r="AL1407" i="1"/>
  <c r="AN1407" i="1" s="1"/>
  <c r="AL1423" i="1"/>
  <c r="AN1423" i="1" s="1"/>
  <c r="AO1427" i="1" s="1"/>
  <c r="AL1435" i="1"/>
  <c r="AN1435" i="1" s="1"/>
  <c r="AL1439" i="1"/>
  <c r="AN1439" i="1" s="1"/>
  <c r="AL1455" i="1"/>
  <c r="AN1455" i="1" s="1"/>
  <c r="AP1565" i="1"/>
  <c r="AQ1565" i="1"/>
  <c r="AO1571" i="1"/>
  <c r="AQ1594" i="1"/>
  <c r="AS1594" i="1" s="1"/>
  <c r="AU1594" i="1" s="1"/>
  <c r="AQ1606" i="1"/>
  <c r="AP1606" i="1"/>
  <c r="AR1606" i="1" s="1"/>
  <c r="AT1606" i="1" s="1"/>
  <c r="AO1607" i="1"/>
  <c r="AO1643" i="1"/>
  <c r="AP1694" i="1"/>
  <c r="AS1725" i="1"/>
  <c r="AU1725" i="1" s="1"/>
  <c r="AP1744" i="1"/>
  <c r="AP1759" i="1"/>
  <c r="AP1769" i="1"/>
  <c r="AP1779" i="1"/>
  <c r="AP1789" i="1"/>
  <c r="AP1799" i="1"/>
  <c r="AP1809" i="1"/>
  <c r="AP1819" i="1"/>
  <c r="AP1829" i="1"/>
  <c r="AP1839" i="1"/>
  <c r="AO1881" i="1"/>
  <c r="AO1879" i="1"/>
  <c r="AO1882" i="1"/>
  <c r="AP1914" i="1"/>
  <c r="AO1944" i="1"/>
  <c r="AR1958" i="1"/>
  <c r="AT1958" i="1" s="1"/>
  <c r="AQ2171" i="1"/>
  <c r="AP2171" i="1"/>
  <c r="AO2179" i="1"/>
  <c r="AO2177" i="1"/>
  <c r="AO2175" i="1"/>
  <c r="AL1282" i="1"/>
  <c r="AN1282" i="1" s="1"/>
  <c r="AL1307" i="1"/>
  <c r="AN1307" i="1" s="1"/>
  <c r="AO1336" i="1"/>
  <c r="AL1345" i="1"/>
  <c r="AN1345" i="1" s="1"/>
  <c r="AL1344" i="1"/>
  <c r="AN1344" i="1" s="1"/>
  <c r="AL1342" i="1"/>
  <c r="AN1342" i="1" s="1"/>
  <c r="AL1377" i="1"/>
  <c r="AN1377" i="1" s="1"/>
  <c r="AL1386" i="1"/>
  <c r="AN1386" i="1" s="1"/>
  <c r="AO1390" i="1" s="1"/>
  <c r="AL1402" i="1"/>
  <c r="AN1402" i="1" s="1"/>
  <c r="AL1418" i="1"/>
  <c r="AN1418" i="1" s="1"/>
  <c r="AO1422" i="1" s="1"/>
  <c r="AL1426" i="1"/>
  <c r="AN1426" i="1" s="1"/>
  <c r="AL1431" i="1"/>
  <c r="AN1431" i="1" s="1"/>
  <c r="AL1489" i="1"/>
  <c r="AN1489" i="1" s="1"/>
  <c r="AL1490" i="1"/>
  <c r="AN1490" i="1" s="1"/>
  <c r="AL1508" i="1"/>
  <c r="AN1508" i="1" s="1"/>
  <c r="AO1563" i="1"/>
  <c r="AO1566" i="1"/>
  <c r="AP1595" i="1"/>
  <c r="AR1595" i="1" s="1"/>
  <c r="AT1595" i="1" s="1"/>
  <c r="AQ1595" i="1"/>
  <c r="AS1595" i="1" s="1"/>
  <c r="AU1595" i="1" s="1"/>
  <c r="AO1600" i="1"/>
  <c r="AO1598" i="1"/>
  <c r="AO1610" i="1"/>
  <c r="AQ1634" i="1"/>
  <c r="AO1640" i="1"/>
  <c r="AO1638" i="1"/>
  <c r="AO1639" i="1"/>
  <c r="AQ1672" i="1"/>
  <c r="AP1672" i="1"/>
  <c r="AR1672" i="1" s="1"/>
  <c r="AT1672" i="1" s="1"/>
  <c r="AS1690" i="1"/>
  <c r="AU1690" i="1" s="1"/>
  <c r="AS1740" i="1"/>
  <c r="AU1740" i="1" s="1"/>
  <c r="AS1850" i="1"/>
  <c r="AU1850" i="1" s="1"/>
  <c r="AO1937" i="1"/>
  <c r="AO1936" i="1"/>
  <c r="AO1935" i="1"/>
  <c r="AO1953" i="1"/>
  <c r="AO1956" i="1"/>
  <c r="AO1955" i="1"/>
  <c r="AO1954" i="1"/>
  <c r="AO2085" i="1"/>
  <c r="AO2084" i="1"/>
  <c r="AO2083" i="1"/>
  <c r="AO2111" i="1"/>
  <c r="AL1499" i="1"/>
  <c r="AN1499" i="1" s="1"/>
  <c r="AL1500" i="1"/>
  <c r="AN1500" i="1" s="1"/>
  <c r="AO1502" i="1" s="1"/>
  <c r="AO1536" i="1"/>
  <c r="AO1564" i="1"/>
  <c r="AP1585" i="1"/>
  <c r="AR1585" i="1" s="1"/>
  <c r="AT1585" i="1" s="1"/>
  <c r="AQ1585" i="1"/>
  <c r="AO1586" i="1"/>
  <c r="AO1614" i="1"/>
  <c r="AP1635" i="1"/>
  <c r="AR1635" i="1" s="1"/>
  <c r="AT1635" i="1" s="1"/>
  <c r="AQ1635" i="1"/>
  <c r="AS1635" i="1" s="1"/>
  <c r="AU1635" i="1" s="1"/>
  <c r="AO1636" i="1"/>
  <c r="AO1664" i="1"/>
  <c r="AR1678" i="1"/>
  <c r="AT1678" i="1" s="1"/>
  <c r="AQ1683" i="1"/>
  <c r="AP1683" i="1"/>
  <c r="AR1683" i="1" s="1"/>
  <c r="AT1683" i="1" s="1"/>
  <c r="AQ1688" i="1"/>
  <c r="AP1688" i="1"/>
  <c r="AR1688" i="1" s="1"/>
  <c r="AT1688" i="1" s="1"/>
  <c r="AQ1693" i="1"/>
  <c r="AP1693" i="1"/>
  <c r="AR1693" i="1" s="1"/>
  <c r="AT1693" i="1" s="1"/>
  <c r="AQ1698" i="1"/>
  <c r="AS1698" i="1" s="1"/>
  <c r="AU1698" i="1" s="1"/>
  <c r="AP1698" i="1"/>
  <c r="AR1698" i="1" s="1"/>
  <c r="AT1698" i="1" s="1"/>
  <c r="AQ1703" i="1"/>
  <c r="AS1703" i="1" s="1"/>
  <c r="AU1703" i="1" s="1"/>
  <c r="AP1703" i="1"/>
  <c r="AR1703" i="1" s="1"/>
  <c r="AT1703" i="1" s="1"/>
  <c r="AQ1708" i="1"/>
  <c r="AS1708" i="1" s="1"/>
  <c r="AU1708" i="1" s="1"/>
  <c r="AP1708" i="1"/>
  <c r="AR1708" i="1" s="1"/>
  <c r="AT1708" i="1" s="1"/>
  <c r="AQ1713" i="1"/>
  <c r="AS1714" i="1" s="1"/>
  <c r="AU1714" i="1" s="1"/>
  <c r="AP1713" i="1"/>
  <c r="AR1713" i="1" s="1"/>
  <c r="AT1713" i="1" s="1"/>
  <c r="AQ1718" i="1"/>
  <c r="AP1718" i="1"/>
  <c r="AR1718" i="1" s="1"/>
  <c r="AT1718" i="1" s="1"/>
  <c r="AQ1723" i="1"/>
  <c r="AS1724" i="1" s="1"/>
  <c r="AU1724" i="1" s="1"/>
  <c r="AP1723" i="1"/>
  <c r="AR1723" i="1" s="1"/>
  <c r="AT1723" i="1" s="1"/>
  <c r="AQ1728" i="1"/>
  <c r="AP1728" i="1"/>
  <c r="AR1728" i="1" s="1"/>
  <c r="AT1728" i="1" s="1"/>
  <c r="AQ1733" i="1"/>
  <c r="AP1733" i="1"/>
  <c r="AR1733" i="1" s="1"/>
  <c r="AT1733" i="1" s="1"/>
  <c r="AQ1738" i="1"/>
  <c r="AP1738" i="1"/>
  <c r="AR1738" i="1" s="1"/>
  <c r="AT1738" i="1" s="1"/>
  <c r="AQ1743" i="1"/>
  <c r="AS1744" i="1" s="1"/>
  <c r="AU1744" i="1" s="1"/>
  <c r="AP1743" i="1"/>
  <c r="AR1743" i="1" s="1"/>
  <c r="AT1743" i="1" s="1"/>
  <c r="AQ1748" i="1"/>
  <c r="AS1748" i="1" s="1"/>
  <c r="AU1748" i="1" s="1"/>
  <c r="AP1748" i="1"/>
  <c r="AR1748" i="1" s="1"/>
  <c r="AT1748" i="1" s="1"/>
  <c r="AQ1753" i="1"/>
  <c r="AS1753" i="1" s="1"/>
  <c r="AU1753" i="1" s="1"/>
  <c r="AP1753" i="1"/>
  <c r="AR1753" i="1" s="1"/>
  <c r="AT1753" i="1" s="1"/>
  <c r="AQ1758" i="1"/>
  <c r="AP1758" i="1"/>
  <c r="AR1758" i="1" s="1"/>
  <c r="AT1758" i="1" s="1"/>
  <c r="AQ1763" i="1"/>
  <c r="AP1763" i="1"/>
  <c r="AR1763" i="1" s="1"/>
  <c r="AT1763" i="1" s="1"/>
  <c r="AQ1768" i="1"/>
  <c r="AP1768" i="1"/>
  <c r="AR1768" i="1" s="1"/>
  <c r="AT1768" i="1" s="1"/>
  <c r="AQ1773" i="1"/>
  <c r="AP1773" i="1"/>
  <c r="AR1773" i="1" s="1"/>
  <c r="AT1773" i="1" s="1"/>
  <c r="AQ1778" i="1"/>
  <c r="AS1779" i="1" s="1"/>
  <c r="AU1779" i="1" s="1"/>
  <c r="AP1778" i="1"/>
  <c r="AR1778" i="1" s="1"/>
  <c r="AT1778" i="1" s="1"/>
  <c r="AQ1783" i="1"/>
  <c r="AP1783" i="1"/>
  <c r="AR1783" i="1" s="1"/>
  <c r="AT1783" i="1" s="1"/>
  <c r="AQ1788" i="1"/>
  <c r="AP1788" i="1"/>
  <c r="AR1788" i="1" s="1"/>
  <c r="AT1788" i="1" s="1"/>
  <c r="AQ1793" i="1"/>
  <c r="AP1793" i="1"/>
  <c r="AR1793" i="1" s="1"/>
  <c r="AT1793" i="1" s="1"/>
  <c r="AQ1798" i="1"/>
  <c r="AS1798" i="1" s="1"/>
  <c r="AU1798" i="1" s="1"/>
  <c r="AP1798" i="1"/>
  <c r="AR1798" i="1" s="1"/>
  <c r="AT1798" i="1" s="1"/>
  <c r="AQ1803" i="1"/>
  <c r="AS1803" i="1" s="1"/>
  <c r="AU1803" i="1" s="1"/>
  <c r="AP1803" i="1"/>
  <c r="AR1803" i="1" s="1"/>
  <c r="AT1803" i="1" s="1"/>
  <c r="AQ1808" i="1"/>
  <c r="AS1808" i="1" s="1"/>
  <c r="AU1808" i="1" s="1"/>
  <c r="AP1808" i="1"/>
  <c r="AR1808" i="1" s="1"/>
  <c r="AT1808" i="1" s="1"/>
  <c r="AQ1813" i="1"/>
  <c r="AP1813" i="1"/>
  <c r="AR1813" i="1" s="1"/>
  <c r="AT1813" i="1" s="1"/>
  <c r="AQ1818" i="1"/>
  <c r="AP1818" i="1"/>
  <c r="AR1818" i="1" s="1"/>
  <c r="AT1818" i="1" s="1"/>
  <c r="AQ1823" i="1"/>
  <c r="AP1823" i="1"/>
  <c r="AR1823" i="1" s="1"/>
  <c r="AT1823" i="1" s="1"/>
  <c r="AQ1828" i="1"/>
  <c r="AS1829" i="1" s="1"/>
  <c r="AU1829" i="1" s="1"/>
  <c r="AP1828" i="1"/>
  <c r="AR1828" i="1" s="1"/>
  <c r="AT1828" i="1" s="1"/>
  <c r="AQ1833" i="1"/>
  <c r="AP1833" i="1"/>
  <c r="AR1833" i="1" s="1"/>
  <c r="AT1833" i="1" s="1"/>
  <c r="AQ1838" i="1"/>
  <c r="AP1838" i="1"/>
  <c r="AR1838" i="1" s="1"/>
  <c r="AT1838" i="1" s="1"/>
  <c r="AQ1843" i="1"/>
  <c r="AP1843" i="1"/>
  <c r="AR1843" i="1" s="1"/>
  <c r="AT1843" i="1" s="1"/>
  <c r="AS1845" i="1"/>
  <c r="AU1845" i="1" s="1"/>
  <c r="AS1854" i="1"/>
  <c r="AU1854" i="1" s="1"/>
  <c r="AP1884" i="1"/>
  <c r="AR1884" i="1" s="1"/>
  <c r="AT1884" i="1" s="1"/>
  <c r="AQ1884" i="1"/>
  <c r="AS1884" i="1" s="1"/>
  <c r="AU1884" i="1" s="1"/>
  <c r="AS1900" i="1"/>
  <c r="AU1900" i="1" s="1"/>
  <c r="AO1905" i="1"/>
  <c r="AO1968" i="1"/>
  <c r="AO1967" i="1"/>
  <c r="AQ2012" i="1"/>
  <c r="AP2012" i="1"/>
  <c r="AQ2032" i="1"/>
  <c r="AP2032" i="1"/>
  <c r="AO2066" i="1"/>
  <c r="AO2101" i="1"/>
  <c r="AO2103" i="1"/>
  <c r="AO2115" i="1"/>
  <c r="AO2114" i="1"/>
  <c r="AQ2142" i="1"/>
  <c r="AP2142" i="1"/>
  <c r="AS1853" i="1"/>
  <c r="AU1853" i="1" s="1"/>
  <c r="AS1864" i="1"/>
  <c r="AU1864" i="1" s="1"/>
  <c r="AO1916" i="1"/>
  <c r="AO1966" i="1"/>
  <c r="AO1964" i="1"/>
  <c r="AO1962" i="1"/>
  <c r="AO1963" i="1"/>
  <c r="AQ2113" i="1"/>
  <c r="AS2113" i="1" s="1"/>
  <c r="AU2113" i="1" s="1"/>
  <c r="AP2113" i="1"/>
  <c r="AR2113" i="1" s="1"/>
  <c r="AT2113" i="1" s="1"/>
  <c r="AR2124" i="1"/>
  <c r="AT2124" i="1" s="1"/>
  <c r="AO2163" i="1"/>
  <c r="AO2164" i="1"/>
  <c r="AQ2180" i="1"/>
  <c r="AP2180" i="1"/>
  <c r="AO2181" i="1"/>
  <c r="AO1538" i="1"/>
  <c r="AO1573" i="1"/>
  <c r="AO1623" i="1"/>
  <c r="AP1850" i="1"/>
  <c r="AR1850" i="1" s="1"/>
  <c r="AT1850" i="1" s="1"/>
  <c r="AP1864" i="1"/>
  <c r="AO1878" i="1"/>
  <c r="AO1912" i="1"/>
  <c r="AP1929" i="1"/>
  <c r="AQ1929" i="1"/>
  <c r="AO2001" i="1"/>
  <c r="AO1999" i="1"/>
  <c r="AO2007" i="1"/>
  <c r="AO2004" i="1"/>
  <c r="AQ2098" i="1"/>
  <c r="AS2098" i="1" s="1"/>
  <c r="AU2098" i="1" s="1"/>
  <c r="AP2098" i="1"/>
  <c r="AR2098" i="1" s="1"/>
  <c r="AT2098" i="1" s="1"/>
  <c r="AP2121" i="1"/>
  <c r="AS2124" i="1"/>
  <c r="AU2124" i="1" s="1"/>
  <c r="AQ2145" i="1"/>
  <c r="AP2145" i="1"/>
  <c r="AQ2224" i="1"/>
  <c r="AP2224" i="1"/>
  <c r="AL1474" i="1"/>
  <c r="AN1474" i="1" s="1"/>
  <c r="AL1475" i="1"/>
  <c r="AN1475" i="1" s="1"/>
  <c r="AL1484" i="1"/>
  <c r="AN1484" i="1" s="1"/>
  <c r="AL1485" i="1"/>
  <c r="AN1485" i="1" s="1"/>
  <c r="AL1509" i="1"/>
  <c r="AN1509" i="1" s="1"/>
  <c r="AO1513" i="1" s="1"/>
  <c r="AO1535" i="1"/>
  <c r="AO1554" i="1"/>
  <c r="AP1575" i="1"/>
  <c r="AR1575" i="1" s="1"/>
  <c r="AT1575" i="1" s="1"/>
  <c r="AQ1575" i="1"/>
  <c r="AS1575" i="1" s="1"/>
  <c r="AU1575" i="1" s="1"/>
  <c r="AO1576" i="1"/>
  <c r="AO1604" i="1"/>
  <c r="AP1625" i="1"/>
  <c r="AR1625" i="1" s="1"/>
  <c r="AT1625" i="1" s="1"/>
  <c r="AQ1625" i="1"/>
  <c r="AS1625" i="1" s="1"/>
  <c r="AU1625" i="1" s="1"/>
  <c r="AO1626" i="1"/>
  <c r="AO1654" i="1"/>
  <c r="AS1848" i="1"/>
  <c r="AU1848" i="1" s="1"/>
  <c r="AS1859" i="1"/>
  <c r="AU1859" i="1" s="1"/>
  <c r="AP1886" i="1"/>
  <c r="AQ1886" i="1"/>
  <c r="AO1945" i="1"/>
  <c r="AO1943" i="1"/>
  <c r="AO1942" i="1"/>
  <c r="AO1997" i="1"/>
  <c r="AQ2024" i="1"/>
  <c r="AP2024" i="1"/>
  <c r="AO2068" i="1"/>
  <c r="AO2069" i="1"/>
  <c r="AQ2140" i="1"/>
  <c r="AP2140" i="1"/>
  <c r="AO2141" i="1"/>
  <c r="AQ2226" i="1"/>
  <c r="AP2226" i="1"/>
  <c r="AO2269" i="1"/>
  <c r="AO2265" i="1"/>
  <c r="AO2266" i="1"/>
  <c r="AO2267" i="1"/>
  <c r="AO1469" i="1"/>
  <c r="AO1473" i="1"/>
  <c r="AO1474" i="1"/>
  <c r="AO1525" i="1"/>
  <c r="AO1583" i="1"/>
  <c r="AO1633" i="1"/>
  <c r="AS1678" i="1"/>
  <c r="AU1678" i="1" s="1"/>
  <c r="AP1859" i="1"/>
  <c r="AO1874" i="1"/>
  <c r="AQ1899" i="1"/>
  <c r="AP1899" i="1"/>
  <c r="AP1922" i="1"/>
  <c r="AQ1922" i="1"/>
  <c r="AQ1971" i="1"/>
  <c r="AP1971" i="1"/>
  <c r="AR1971" i="1" s="1"/>
  <c r="AT1971" i="1" s="1"/>
  <c r="AO2035" i="1"/>
  <c r="AO2034" i="1"/>
  <c r="AO2033" i="1"/>
  <c r="AO2062" i="1"/>
  <c r="AO2058" i="1"/>
  <c r="AO2065" i="1"/>
  <c r="AQ2073" i="1"/>
  <c r="AS2073" i="1" s="1"/>
  <c r="AU2073" i="1" s="1"/>
  <c r="AP2073" i="1"/>
  <c r="AR2073" i="1" s="1"/>
  <c r="AT2073" i="1" s="1"/>
  <c r="AO2087" i="1"/>
  <c r="AO2110" i="1"/>
  <c r="AO2109" i="1"/>
  <c r="AO2106" i="1"/>
  <c r="AQ2123" i="1"/>
  <c r="AP2123" i="1"/>
  <c r="AS2129" i="1"/>
  <c r="AU2129" i="1" s="1"/>
  <c r="AP2222" i="1"/>
  <c r="AQ1675" i="1"/>
  <c r="AQ1682" i="1"/>
  <c r="AS1682" i="1" s="1"/>
  <c r="AU1682" i="1" s="1"/>
  <c r="AQ1687" i="1"/>
  <c r="AS1687" i="1" s="1"/>
  <c r="AU1687" i="1" s="1"/>
  <c r="AQ1692" i="1"/>
  <c r="AS1692" i="1" s="1"/>
  <c r="AU1692" i="1" s="1"/>
  <c r="AQ1697" i="1"/>
  <c r="AS1697" i="1" s="1"/>
  <c r="AU1697" i="1" s="1"/>
  <c r="AQ1702" i="1"/>
  <c r="AS1702" i="1" s="1"/>
  <c r="AU1702" i="1" s="1"/>
  <c r="AQ1707" i="1"/>
  <c r="AS1707" i="1" s="1"/>
  <c r="AU1707" i="1" s="1"/>
  <c r="AQ1712" i="1"/>
  <c r="AS1712" i="1" s="1"/>
  <c r="AU1712" i="1" s="1"/>
  <c r="AQ1717" i="1"/>
  <c r="AS1717" i="1" s="1"/>
  <c r="AU1717" i="1" s="1"/>
  <c r="AQ1722" i="1"/>
  <c r="AS1722" i="1" s="1"/>
  <c r="AU1722" i="1" s="1"/>
  <c r="AQ1727" i="1"/>
  <c r="AS1727" i="1" s="1"/>
  <c r="AU1727" i="1" s="1"/>
  <c r="AQ1732" i="1"/>
  <c r="AS1732" i="1" s="1"/>
  <c r="AU1732" i="1" s="1"/>
  <c r="AQ1737" i="1"/>
  <c r="AS1737" i="1" s="1"/>
  <c r="AU1737" i="1" s="1"/>
  <c r="AQ1742" i="1"/>
  <c r="AS1742" i="1" s="1"/>
  <c r="AU1742" i="1" s="1"/>
  <c r="AQ1747" i="1"/>
  <c r="AS1747" i="1" s="1"/>
  <c r="AU1747" i="1" s="1"/>
  <c r="AQ1752" i="1"/>
  <c r="AS1752" i="1" s="1"/>
  <c r="AU1752" i="1" s="1"/>
  <c r="AQ1757" i="1"/>
  <c r="AS1757" i="1" s="1"/>
  <c r="AU1757" i="1" s="1"/>
  <c r="AQ1762" i="1"/>
  <c r="AS1762" i="1" s="1"/>
  <c r="AU1762" i="1" s="1"/>
  <c r="AQ1767" i="1"/>
  <c r="AS1767" i="1" s="1"/>
  <c r="AU1767" i="1" s="1"/>
  <c r="AQ1772" i="1"/>
  <c r="AS1772" i="1" s="1"/>
  <c r="AU1772" i="1" s="1"/>
  <c r="AQ1777" i="1"/>
  <c r="AS1777" i="1" s="1"/>
  <c r="AU1777" i="1" s="1"/>
  <c r="AQ1782" i="1"/>
  <c r="AS1782" i="1" s="1"/>
  <c r="AU1782" i="1" s="1"/>
  <c r="AQ1787" i="1"/>
  <c r="AS1787" i="1" s="1"/>
  <c r="AU1787" i="1" s="1"/>
  <c r="AQ1792" i="1"/>
  <c r="AS1792" i="1" s="1"/>
  <c r="AU1792" i="1" s="1"/>
  <c r="AQ1797" i="1"/>
  <c r="AS1797" i="1" s="1"/>
  <c r="AU1797" i="1" s="1"/>
  <c r="AQ1802" i="1"/>
  <c r="AS1802" i="1" s="1"/>
  <c r="AU1802" i="1" s="1"/>
  <c r="AQ1807" i="1"/>
  <c r="AS1807" i="1" s="1"/>
  <c r="AU1807" i="1" s="1"/>
  <c r="AQ1812" i="1"/>
  <c r="AS1812" i="1" s="1"/>
  <c r="AU1812" i="1" s="1"/>
  <c r="AQ1817" i="1"/>
  <c r="AS1817" i="1" s="1"/>
  <c r="AU1817" i="1" s="1"/>
  <c r="AQ1822" i="1"/>
  <c r="AS1822" i="1" s="1"/>
  <c r="AU1822" i="1" s="1"/>
  <c r="AQ1827" i="1"/>
  <c r="AS1827" i="1" s="1"/>
  <c r="AU1827" i="1" s="1"/>
  <c r="AQ1832" i="1"/>
  <c r="AS1832" i="1" s="1"/>
  <c r="AU1832" i="1" s="1"/>
  <c r="AQ1837" i="1"/>
  <c r="AS1837" i="1" s="1"/>
  <c r="AU1837" i="1" s="1"/>
  <c r="AQ1842" i="1"/>
  <c r="AS1842" i="1" s="1"/>
  <c r="AU1842" i="1" s="1"/>
  <c r="AQ1847" i="1"/>
  <c r="AS1847" i="1" s="1"/>
  <c r="AU1847" i="1" s="1"/>
  <c r="AQ1852" i="1"/>
  <c r="AS1852" i="1" s="1"/>
  <c r="AU1852" i="1" s="1"/>
  <c r="AQ1857" i="1"/>
  <c r="AS1857" i="1" s="1"/>
  <c r="AU1857" i="1" s="1"/>
  <c r="AQ1862" i="1"/>
  <c r="AS1862" i="1" s="1"/>
  <c r="AU1862" i="1" s="1"/>
  <c r="AO1909" i="1"/>
  <c r="AO1907" i="1"/>
  <c r="AO1928" i="1"/>
  <c r="AQ1961" i="1"/>
  <c r="AS1961" i="1" s="1"/>
  <c r="AU1961" i="1" s="1"/>
  <c r="AP1961" i="1"/>
  <c r="AO1974" i="1"/>
  <c r="AO1972" i="1"/>
  <c r="AO1990" i="1"/>
  <c r="AO1989" i="1"/>
  <c r="AO2090" i="1"/>
  <c r="AO2089" i="1"/>
  <c r="AQ2093" i="1"/>
  <c r="AP2093" i="1"/>
  <c r="AO2159" i="1"/>
  <c r="AO2157" i="1"/>
  <c r="AQ2276" i="1"/>
  <c r="AP2276" i="1"/>
  <c r="AS2540" i="1"/>
  <c r="AU2540" i="1" s="1"/>
  <c r="AS2541" i="1"/>
  <c r="AU2541" i="1" s="1"/>
  <c r="AO1875" i="1"/>
  <c r="AO1893" i="1"/>
  <c r="AO1898" i="1"/>
  <c r="AO1903" i="1"/>
  <c r="AO1904" i="1"/>
  <c r="AO1927" i="1"/>
  <c r="AO1925" i="1"/>
  <c r="AO1934" i="1"/>
  <c r="AO1932" i="1"/>
  <c r="AP1940" i="1"/>
  <c r="AR1940" i="1" s="1"/>
  <c r="AT1940" i="1" s="1"/>
  <c r="AQ1940" i="1"/>
  <c r="AS1940" i="1" s="1"/>
  <c r="AU1940" i="1" s="1"/>
  <c r="AO2015" i="1"/>
  <c r="AO2014" i="1"/>
  <c r="AO2160" i="1"/>
  <c r="AQ2165" i="1"/>
  <c r="AP2165" i="1"/>
  <c r="AR2390" i="1"/>
  <c r="AT2390" i="1" s="1"/>
  <c r="AR2389" i="1"/>
  <c r="AT2389" i="1" s="1"/>
  <c r="AP2415" i="1"/>
  <c r="AQ2415" i="1"/>
  <c r="AP1848" i="1"/>
  <c r="AR1848" i="1" s="1"/>
  <c r="AT1848" i="1" s="1"/>
  <c r="AP1853" i="1"/>
  <c r="AR1853" i="1" s="1"/>
  <c r="AT1853" i="1" s="1"/>
  <c r="AP1858" i="1"/>
  <c r="AR1858" i="1" s="1"/>
  <c r="AT1858" i="1" s="1"/>
  <c r="AP1863" i="1"/>
  <c r="AR1863" i="1" s="1"/>
  <c r="AT1863" i="1" s="1"/>
  <c r="AO1891" i="1"/>
  <c r="AO1889" i="1"/>
  <c r="AO1915" i="1"/>
  <c r="AO1913" i="1"/>
  <c r="AO1923" i="1"/>
  <c r="AO1977" i="1"/>
  <c r="AQ1987" i="1"/>
  <c r="AP1987" i="1"/>
  <c r="AO1988" i="1"/>
  <c r="AO2010" i="1"/>
  <c r="AO2009" i="1"/>
  <c r="AQ2026" i="1"/>
  <c r="AP2026" i="1"/>
  <c r="AS2027" i="1"/>
  <c r="AU2027" i="1" s="1"/>
  <c r="AQ2057" i="1"/>
  <c r="AP2057" i="1"/>
  <c r="AO2092" i="1"/>
  <c r="AO2091" i="1"/>
  <c r="AO2117" i="1"/>
  <c r="AP2126" i="1"/>
  <c r="AP2129" i="1"/>
  <c r="AR2129" i="1" s="1"/>
  <c r="AT2129" i="1" s="1"/>
  <c r="AQ2151" i="1"/>
  <c r="AP2151" i="1"/>
  <c r="AS2154" i="1"/>
  <c r="AU2154" i="1" s="1"/>
  <c r="AO2161" i="1"/>
  <c r="AS2294" i="1"/>
  <c r="AU2294" i="1" s="1"/>
  <c r="AP1676" i="1"/>
  <c r="AR1676" i="1" s="1"/>
  <c r="AT1676" i="1" s="1"/>
  <c r="AP1877" i="1"/>
  <c r="AR1877" i="1" s="1"/>
  <c r="AT1877" i="1" s="1"/>
  <c r="AQ1877" i="1"/>
  <c r="AS1877" i="1" s="1"/>
  <c r="AU1877" i="1" s="1"/>
  <c r="AO1885" i="1"/>
  <c r="AO1887" i="1"/>
  <c r="AO1931" i="1"/>
  <c r="AP1960" i="1"/>
  <c r="AQ1960" i="1"/>
  <c r="AO1973" i="1"/>
  <c r="AS2079" i="1"/>
  <c r="AU2079" i="1" s="1"/>
  <c r="AO2108" i="1"/>
  <c r="AO2143" i="1"/>
  <c r="AO2144" i="1"/>
  <c r="AR2154" i="1"/>
  <c r="AT2154" i="1" s="1"/>
  <c r="AO2162" i="1"/>
  <c r="AO2183" i="1"/>
  <c r="AO2182" i="1"/>
  <c r="AO2184" i="1"/>
  <c r="AQ2259" i="1"/>
  <c r="AP2259" i="1"/>
  <c r="AO2283" i="1"/>
  <c r="AO2281" i="1"/>
  <c r="AO2310" i="1"/>
  <c r="AO2308" i="1"/>
  <c r="AO2309" i="1"/>
  <c r="AP2313" i="1"/>
  <c r="AQ1866" i="1"/>
  <c r="AS1866" i="1" s="1"/>
  <c r="AU1866" i="1" s="1"/>
  <c r="AO1911" i="1"/>
  <c r="AO1921" i="1"/>
  <c r="AO2021" i="1"/>
  <c r="AO2019" i="1"/>
  <c r="AP2022" i="1"/>
  <c r="AO2037" i="1"/>
  <c r="AO2060" i="1"/>
  <c r="AO2059" i="1"/>
  <c r="AP2079" i="1"/>
  <c r="AO2104" i="1"/>
  <c r="AO2118" i="1"/>
  <c r="AQ2128" i="1"/>
  <c r="AP2128" i="1"/>
  <c r="AO2217" i="1"/>
  <c r="AO2216" i="1"/>
  <c r="AQ2220" i="1"/>
  <c r="AP2220" i="1"/>
  <c r="AR2220" i="1" s="1"/>
  <c r="AT2220" i="1" s="1"/>
  <c r="AQ2251" i="1"/>
  <c r="AS2251" i="1" s="1"/>
  <c r="AU2251" i="1" s="1"/>
  <c r="AP2251" i="1"/>
  <c r="AO2255" i="1"/>
  <c r="AO2279" i="1"/>
  <c r="AO2306" i="1"/>
  <c r="AQ2322" i="1"/>
  <c r="AP2322" i="1"/>
  <c r="AQ1951" i="1"/>
  <c r="AS1951" i="1" s="1"/>
  <c r="AU1951" i="1" s="1"/>
  <c r="AP1951" i="1"/>
  <c r="AR1951" i="1" s="1"/>
  <c r="AT1951" i="1" s="1"/>
  <c r="AO1995" i="1"/>
  <c r="AO1993" i="1"/>
  <c r="AO2006" i="1"/>
  <c r="AO2020" i="1"/>
  <c r="AO2018" i="1"/>
  <c r="AO2031" i="1"/>
  <c r="AO2045" i="1"/>
  <c r="AO2043" i="1"/>
  <c r="AO2056" i="1"/>
  <c r="AO2067" i="1"/>
  <c r="AO2080" i="1"/>
  <c r="AO2082" i="1"/>
  <c r="AO2094" i="1"/>
  <c r="AO2105" i="1"/>
  <c r="AO2107" i="1"/>
  <c r="AO2122" i="1"/>
  <c r="AO2125" i="1"/>
  <c r="AP2133" i="1"/>
  <c r="AQ2133" i="1"/>
  <c r="AO2138" i="1"/>
  <c r="AO2158" i="1"/>
  <c r="AO2178" i="1"/>
  <c r="AQ2191" i="1"/>
  <c r="AP2191" i="1"/>
  <c r="AQ2240" i="1"/>
  <c r="AP2240" i="1"/>
  <c r="AP2254" i="1"/>
  <c r="AQ2254" i="1"/>
  <c r="AO2316" i="1"/>
  <c r="AO2317" i="1"/>
  <c r="AP2321" i="1"/>
  <c r="AQ2321" i="1"/>
  <c r="AQ2454" i="1"/>
  <c r="AP2454" i="1"/>
  <c r="AO1981" i="1"/>
  <c r="AO1991" i="1"/>
  <c r="AO2005" i="1"/>
  <c r="AO2003" i="1"/>
  <c r="AO2016" i="1"/>
  <c r="AO2030" i="1"/>
  <c r="AO2028" i="1"/>
  <c r="AO2041" i="1"/>
  <c r="AO2055" i="1"/>
  <c r="AO2053" i="1"/>
  <c r="AO2064" i="1"/>
  <c r="AP2095" i="1"/>
  <c r="AQ2095" i="1"/>
  <c r="AP2153" i="1"/>
  <c r="AQ2153" i="1"/>
  <c r="AP2173" i="1"/>
  <c r="AR2174" i="1" s="1"/>
  <c r="AT2174" i="1" s="1"/>
  <c r="AQ2173" i="1"/>
  <c r="AO2274" i="1"/>
  <c r="AO2272" i="1"/>
  <c r="AQ2301" i="1"/>
  <c r="AP2301" i="1"/>
  <c r="AO1949" i="1"/>
  <c r="AP1970" i="1"/>
  <c r="AR1970" i="1" s="1"/>
  <c r="AT1970" i="1" s="1"/>
  <c r="AQ1970" i="1"/>
  <c r="AS1970" i="1" s="1"/>
  <c r="AU1970" i="1" s="1"/>
  <c r="AO1978" i="1"/>
  <c r="AO2150" i="1"/>
  <c r="AO2170" i="1"/>
  <c r="AP2193" i="1"/>
  <c r="AO2215" i="1"/>
  <c r="AO2212" i="1"/>
  <c r="AO2214" i="1"/>
  <c r="AO2211" i="1"/>
  <c r="AP2243" i="1"/>
  <c r="AO2257" i="1"/>
  <c r="AO2256" i="1"/>
  <c r="AP2264" i="1"/>
  <c r="AQ2264" i="1"/>
  <c r="AS2277" i="1"/>
  <c r="AU2277" i="1" s="1"/>
  <c r="AS2381" i="1"/>
  <c r="AU2381" i="1" s="1"/>
  <c r="AO1901" i="1"/>
  <c r="AO1941" i="1"/>
  <c r="AO1986" i="1"/>
  <c r="AO2000" i="1"/>
  <c r="AO1998" i="1"/>
  <c r="AO2011" i="1"/>
  <c r="AO2025" i="1"/>
  <c r="AO2023" i="1"/>
  <c r="AO2036" i="1"/>
  <c r="AO2050" i="1"/>
  <c r="AO2048" i="1"/>
  <c r="AO2061" i="1"/>
  <c r="AO2075" i="1"/>
  <c r="AO2077" i="1"/>
  <c r="AO2100" i="1"/>
  <c r="AO2102" i="1"/>
  <c r="AO2132" i="1"/>
  <c r="AO2225" i="1"/>
  <c r="AO2233" i="1"/>
  <c r="AO2231" i="1"/>
  <c r="AO2232" i="1"/>
  <c r="AO2234" i="1"/>
  <c r="AO2253" i="1"/>
  <c r="AO2260" i="1"/>
  <c r="AP2297" i="1"/>
  <c r="AR2297" i="1" s="1"/>
  <c r="AT2297" i="1" s="1"/>
  <c r="AO1930" i="1"/>
  <c r="AO1938" i="1"/>
  <c r="AO1959" i="1"/>
  <c r="AP1980" i="1"/>
  <c r="AQ1980" i="1"/>
  <c r="AO2071" i="1"/>
  <c r="AO2096" i="1"/>
  <c r="AO2127" i="1"/>
  <c r="AP2130" i="1"/>
  <c r="AR2130" i="1" s="1"/>
  <c r="AT2130" i="1" s="1"/>
  <c r="AQ2130" i="1"/>
  <c r="AS2130" i="1" s="1"/>
  <c r="AU2130" i="1" s="1"/>
  <c r="AO2131" i="1"/>
  <c r="AO2149" i="1"/>
  <c r="AO2147" i="1"/>
  <c r="AO2152" i="1"/>
  <c r="AO2169" i="1"/>
  <c r="AO2167" i="1"/>
  <c r="AO2172" i="1"/>
  <c r="AP2219" i="1"/>
  <c r="AQ2219" i="1"/>
  <c r="AO2244" i="1"/>
  <c r="AO2242" i="1"/>
  <c r="AO2241" i="1"/>
  <c r="AQ2188" i="1"/>
  <c r="AQ2194" i="1"/>
  <c r="AS2194" i="1" s="1"/>
  <c r="AU2194" i="1" s="1"/>
  <c r="AP2194" i="1"/>
  <c r="AR2194" i="1" s="1"/>
  <c r="AT2194" i="1" s="1"/>
  <c r="AO2195" i="1"/>
  <c r="AQ2201" i="1"/>
  <c r="AP2201" i="1"/>
  <c r="AO2235" i="1"/>
  <c r="AP2249" i="1"/>
  <c r="AQ2249" i="1"/>
  <c r="AP2278" i="1"/>
  <c r="AR2278" i="1" s="1"/>
  <c r="AT2278" i="1" s="1"/>
  <c r="AQ2278" i="1"/>
  <c r="AS2278" i="1" s="1"/>
  <c r="AU2278" i="1" s="1"/>
  <c r="AQ2350" i="1"/>
  <c r="AP2350" i="1"/>
  <c r="AO2511" i="1"/>
  <c r="AO2509" i="1"/>
  <c r="AQ2200" i="1"/>
  <c r="AP2200" i="1"/>
  <c r="AR2200" i="1" s="1"/>
  <c r="AT2200" i="1" s="1"/>
  <c r="AP2209" i="1"/>
  <c r="AQ2209" i="1"/>
  <c r="AO2223" i="1"/>
  <c r="AO2221" i="1"/>
  <c r="AO2230" i="1"/>
  <c r="AR2246" i="1"/>
  <c r="AT2246" i="1" s="1"/>
  <c r="AO2261" i="1"/>
  <c r="AO2262" i="1"/>
  <c r="AO2291" i="1"/>
  <c r="AQ2337" i="1"/>
  <c r="AP2337" i="1"/>
  <c r="AP2356" i="1"/>
  <c r="AR2356" i="1" s="1"/>
  <c r="AT2356" i="1" s="1"/>
  <c r="AQ2356" i="1"/>
  <c r="AS2356" i="1" s="1"/>
  <c r="AU2356" i="1" s="1"/>
  <c r="AO2483" i="1"/>
  <c r="AO2482" i="1"/>
  <c r="AO2479" i="1"/>
  <c r="AQ2198" i="1"/>
  <c r="AO2207" i="1"/>
  <c r="AO2205" i="1"/>
  <c r="AO2320" i="1"/>
  <c r="AO2323" i="1"/>
  <c r="AO2333" i="1"/>
  <c r="AR2352" i="1"/>
  <c r="AT2352" i="1" s="1"/>
  <c r="AS2376" i="1"/>
  <c r="AU2376" i="1" s="1"/>
  <c r="AS2377" i="1"/>
  <c r="AU2377" i="1" s="1"/>
  <c r="AR2407" i="1"/>
  <c r="AT2407" i="1" s="1"/>
  <c r="AP2413" i="1"/>
  <c r="AQ2413" i="1"/>
  <c r="AQ2474" i="1"/>
  <c r="AP2474" i="1"/>
  <c r="AO2196" i="1"/>
  <c r="AO2203" i="1"/>
  <c r="AO2227" i="1"/>
  <c r="AO2236" i="1"/>
  <c r="AR2277" i="1"/>
  <c r="AT2277" i="1" s="1"/>
  <c r="AP2284" i="1"/>
  <c r="AQ2284" i="1"/>
  <c r="AO2303" i="1"/>
  <c r="AO2302" i="1"/>
  <c r="AO2312" i="1"/>
  <c r="AQ2319" i="1"/>
  <c r="AP2319" i="1"/>
  <c r="AR2372" i="1"/>
  <c r="AT2372" i="1" s="1"/>
  <c r="AQ2440" i="1"/>
  <c r="AP2440" i="1"/>
  <c r="AS2514" i="1"/>
  <c r="AU2514" i="1" s="1"/>
  <c r="AO2136" i="1"/>
  <c r="AO2146" i="1"/>
  <c r="AO2156" i="1"/>
  <c r="AO2166" i="1"/>
  <c r="AO2176" i="1"/>
  <c r="AP2186" i="1"/>
  <c r="AR2186" i="1" s="1"/>
  <c r="AT2186" i="1" s="1"/>
  <c r="AQ2186" i="1"/>
  <c r="AO2192" i="1"/>
  <c r="AP2199" i="1"/>
  <c r="AR2199" i="1" s="1"/>
  <c r="AT2199" i="1" s="1"/>
  <c r="AQ2199" i="1"/>
  <c r="AO2271" i="1"/>
  <c r="AQ2296" i="1"/>
  <c r="AS2296" i="1" s="1"/>
  <c r="AU2296" i="1" s="1"/>
  <c r="AP2296" i="1"/>
  <c r="AO2299" i="1"/>
  <c r="AO2307" i="1"/>
  <c r="AS2424" i="1"/>
  <c r="AU2424" i="1" s="1"/>
  <c r="AS2423" i="1"/>
  <c r="AU2423" i="1" s="1"/>
  <c r="AP2189" i="1"/>
  <c r="AR2189" i="1" s="1"/>
  <c r="AT2189" i="1" s="1"/>
  <c r="AQ2189" i="1"/>
  <c r="AS2189" i="1" s="1"/>
  <c r="AU2189" i="1" s="1"/>
  <c r="AO2197" i="1"/>
  <c r="AO2218" i="1"/>
  <c r="AP2239" i="1"/>
  <c r="AR2239" i="1" s="1"/>
  <c r="AT2239" i="1" s="1"/>
  <c r="AQ2239" i="1"/>
  <c r="AS2239" i="1" s="1"/>
  <c r="AU2239" i="1" s="1"/>
  <c r="AO2247" i="1"/>
  <c r="AO2268" i="1"/>
  <c r="AO2287" i="1"/>
  <c r="AO2288" i="1"/>
  <c r="AO2300" i="1"/>
  <c r="AP2318" i="1"/>
  <c r="AQ2318" i="1"/>
  <c r="AP2331" i="1"/>
  <c r="AR2331" i="1" s="1"/>
  <c r="AT2331" i="1" s="1"/>
  <c r="AQ2331" i="1"/>
  <c r="AS2331" i="1" s="1"/>
  <c r="AU2331" i="1" s="1"/>
  <c r="AP2339" i="1"/>
  <c r="AQ2339" i="1"/>
  <c r="AP2378" i="1"/>
  <c r="AR2378" i="1" s="1"/>
  <c r="AT2378" i="1" s="1"/>
  <c r="AQ2378" i="1"/>
  <c r="AS2378" i="1" s="1"/>
  <c r="AU2378" i="1" s="1"/>
  <c r="AR2382" i="1"/>
  <c r="AT2382" i="1" s="1"/>
  <c r="AP2406" i="1"/>
  <c r="AR2406" i="1" s="1"/>
  <c r="AT2406" i="1" s="1"/>
  <c r="AQ2406" i="1"/>
  <c r="AS2406" i="1" s="1"/>
  <c r="AU2406" i="1" s="1"/>
  <c r="AO2248" i="1"/>
  <c r="AO2282" i="1"/>
  <c r="AO2280" i="1"/>
  <c r="AQ2298" i="1"/>
  <c r="AS2298" i="1" s="1"/>
  <c r="AU2298" i="1" s="1"/>
  <c r="AP2298" i="1"/>
  <c r="AO2326" i="1"/>
  <c r="AS2389" i="1"/>
  <c r="AU2389" i="1" s="1"/>
  <c r="AS2390" i="1"/>
  <c r="AU2390" i="1" s="1"/>
  <c r="AO2466" i="1"/>
  <c r="AO2465" i="1"/>
  <c r="AO2187" i="1"/>
  <c r="AQ2250" i="1"/>
  <c r="AS2250" i="1" s="1"/>
  <c r="AU2250" i="1" s="1"/>
  <c r="AP2250" i="1"/>
  <c r="AQ2380" i="1"/>
  <c r="AP2380" i="1"/>
  <c r="AR2423" i="1"/>
  <c r="AT2423" i="1" s="1"/>
  <c r="AO2433" i="1"/>
  <c r="AO2432" i="1"/>
  <c r="AR2546" i="1"/>
  <c r="AT2546" i="1" s="1"/>
  <c r="AO2202" i="1"/>
  <c r="AO2208" i="1"/>
  <c r="AP2229" i="1"/>
  <c r="AR2229" i="1" s="1"/>
  <c r="AT2229" i="1" s="1"/>
  <c r="AQ2229" i="1"/>
  <c r="AS2229" i="1" s="1"/>
  <c r="AU2229" i="1" s="1"/>
  <c r="AO2237" i="1"/>
  <c r="AO2252" i="1"/>
  <c r="AO2258" i="1"/>
  <c r="AO2263" i="1"/>
  <c r="AQ2275" i="1"/>
  <c r="AP2275" i="1"/>
  <c r="AO2290" i="1"/>
  <c r="AQ2370" i="1"/>
  <c r="AP2370" i="1"/>
  <c r="AP2376" i="1"/>
  <c r="AS2419" i="1"/>
  <c r="AU2419" i="1" s="1"/>
  <c r="AO2429" i="1"/>
  <c r="AQ2459" i="1"/>
  <c r="AP2459" i="1"/>
  <c r="AQ2467" i="1"/>
  <c r="AP2467" i="1"/>
  <c r="AO2190" i="1"/>
  <c r="AQ2210" i="1"/>
  <c r="AP2210" i="1"/>
  <c r="AO2270" i="1"/>
  <c r="AO2286" i="1"/>
  <c r="AO2332" i="1"/>
  <c r="AS2368" i="1"/>
  <c r="AU2368" i="1" s="1"/>
  <c r="AO2442" i="1"/>
  <c r="AO2441" i="1"/>
  <c r="AO2315" i="1"/>
  <c r="AO2325" i="1"/>
  <c r="AO2336" i="1"/>
  <c r="AO2335" i="1"/>
  <c r="AP2357" i="1"/>
  <c r="AR2357" i="1" s="1"/>
  <c r="AT2357" i="1" s="1"/>
  <c r="AP2386" i="1"/>
  <c r="AR2386" i="1" s="1"/>
  <c r="AT2386" i="1" s="1"/>
  <c r="AQ2386" i="1"/>
  <c r="AS2386" i="1" s="1"/>
  <c r="AU2386" i="1" s="1"/>
  <c r="AR2384" i="1"/>
  <c r="AT2384" i="1" s="1"/>
  <c r="AQ2305" i="1"/>
  <c r="AP2305" i="1"/>
  <c r="AO2464" i="1"/>
  <c r="AO2460" i="1"/>
  <c r="AO2273" i="1"/>
  <c r="AQ2295" i="1"/>
  <c r="AS2295" i="1" s="1"/>
  <c r="AU2295" i="1" s="1"/>
  <c r="AP2295" i="1"/>
  <c r="AR2295" i="1" s="1"/>
  <c r="AT2295" i="1" s="1"/>
  <c r="AO2314" i="1"/>
  <c r="AP2398" i="1"/>
  <c r="AQ2398" i="1"/>
  <c r="AO2431" i="1"/>
  <c r="AO2430" i="1"/>
  <c r="AO2427" i="1"/>
  <c r="AO2428" i="1"/>
  <c r="AO2439" i="1"/>
  <c r="AO2437" i="1"/>
  <c r="AQ2446" i="1"/>
  <c r="AP2446" i="1"/>
  <c r="AO2458" i="1"/>
  <c r="AO2457" i="1"/>
  <c r="AO2455" i="1"/>
  <c r="AO2456" i="1"/>
  <c r="AQ2498" i="1"/>
  <c r="AP2498" i="1"/>
  <c r="AO2324" i="1"/>
  <c r="AO2334" i="1"/>
  <c r="AQ2340" i="1"/>
  <c r="AS2340" i="1" s="1"/>
  <c r="AU2340" i="1" s="1"/>
  <c r="AP2340" i="1"/>
  <c r="AR2340" i="1" s="1"/>
  <c r="AT2340" i="1" s="1"/>
  <c r="AO2346" i="1"/>
  <c r="AS2351" i="1"/>
  <c r="AU2351" i="1" s="1"/>
  <c r="AS2357" i="1"/>
  <c r="AU2357" i="1" s="1"/>
  <c r="AP2359" i="1"/>
  <c r="AQ2359" i="1"/>
  <c r="AS2365" i="1"/>
  <c r="AU2365" i="1" s="1"/>
  <c r="AP2367" i="1"/>
  <c r="AQ2367" i="1"/>
  <c r="AS2367" i="1" s="1"/>
  <c r="AU2367" i="1" s="1"/>
  <c r="AP2369" i="1"/>
  <c r="AR2369" i="1" s="1"/>
  <c r="AT2369" i="1" s="1"/>
  <c r="AQ2369" i="1"/>
  <c r="AS2369" i="1" s="1"/>
  <c r="AU2369" i="1" s="1"/>
  <c r="AS2403" i="1"/>
  <c r="AU2403" i="1" s="1"/>
  <c r="AO2468" i="1"/>
  <c r="AO2469" i="1"/>
  <c r="AO2494" i="1"/>
  <c r="AQ2512" i="1"/>
  <c r="AP2512" i="1"/>
  <c r="AP2520" i="1"/>
  <c r="AO2304" i="1"/>
  <c r="AO2311" i="1"/>
  <c r="AR2353" i="1"/>
  <c r="AT2353" i="1" s="1"/>
  <c r="AS2361" i="1"/>
  <c r="AU2361" i="1" s="1"/>
  <c r="AP2365" i="1"/>
  <c r="AP2375" i="1"/>
  <c r="AR2375" i="1" s="1"/>
  <c r="AT2375" i="1" s="1"/>
  <c r="AQ2375" i="1"/>
  <c r="AS2375" i="1" s="1"/>
  <c r="AU2375" i="1" s="1"/>
  <c r="AQ2388" i="1"/>
  <c r="AP2388" i="1"/>
  <c r="AR2421" i="1"/>
  <c r="AT2421" i="1" s="1"/>
  <c r="AS2362" i="1"/>
  <c r="AU2362" i="1" s="1"/>
  <c r="AQ2387" i="1"/>
  <c r="AS2387" i="1" s="1"/>
  <c r="AU2387" i="1" s="1"/>
  <c r="AP2387" i="1"/>
  <c r="AR2387" i="1" s="1"/>
  <c r="AT2387" i="1" s="1"/>
  <c r="AS2408" i="1"/>
  <c r="AU2408" i="1" s="1"/>
  <c r="AR2424" i="1"/>
  <c r="AT2424" i="1" s="1"/>
  <c r="AO2449" i="1"/>
  <c r="AO2447" i="1"/>
  <c r="AO2478" i="1"/>
  <c r="AO2490" i="1"/>
  <c r="AO2491" i="1"/>
  <c r="AO2495" i="1"/>
  <c r="AO2497" i="1"/>
  <c r="AS2542" i="1"/>
  <c r="AU2542" i="1" s="1"/>
  <c r="AS2543" i="1"/>
  <c r="AU2543" i="1" s="1"/>
  <c r="AQ2473" i="1"/>
  <c r="AP2473" i="1"/>
  <c r="AO2481" i="1"/>
  <c r="AR2532" i="1"/>
  <c r="AT2532" i="1" s="1"/>
  <c r="AR2533" i="1"/>
  <c r="AT2533" i="1" s="1"/>
  <c r="AS2352" i="1"/>
  <c r="AU2352" i="1" s="1"/>
  <c r="AS2384" i="1"/>
  <c r="AU2384" i="1" s="1"/>
  <c r="AQ2402" i="1"/>
  <c r="AS2402" i="1" s="1"/>
  <c r="AU2402" i="1" s="1"/>
  <c r="AP2410" i="1"/>
  <c r="AQ2410" i="1"/>
  <c r="AS2421" i="1"/>
  <c r="AU2421" i="1" s="1"/>
  <c r="AQ2426" i="1"/>
  <c r="AP2426" i="1"/>
  <c r="AP2434" i="1"/>
  <c r="AQ2434" i="1"/>
  <c r="AO2436" i="1"/>
  <c r="AO2452" i="1"/>
  <c r="AO2477" i="1"/>
  <c r="AO2508" i="1"/>
  <c r="AR2527" i="1"/>
  <c r="AT2527" i="1" s="1"/>
  <c r="AQ2532" i="1"/>
  <c r="AO2345" i="1"/>
  <c r="AO2347" i="1"/>
  <c r="AS2354" i="1"/>
  <c r="AU2354" i="1" s="1"/>
  <c r="AQ2360" i="1"/>
  <c r="AP2360" i="1"/>
  <c r="AR2360" i="1" s="1"/>
  <c r="AT2360" i="1" s="1"/>
  <c r="AS2371" i="1"/>
  <c r="AU2371" i="1" s="1"/>
  <c r="AR2373" i="1"/>
  <c r="AT2373" i="1" s="1"/>
  <c r="AP2379" i="1"/>
  <c r="AR2379" i="1" s="1"/>
  <c r="AT2379" i="1" s="1"/>
  <c r="AQ2379" i="1"/>
  <c r="AS2379" i="1" s="1"/>
  <c r="AU2379" i="1" s="1"/>
  <c r="AQ2397" i="1"/>
  <c r="AS2397" i="1" s="1"/>
  <c r="AU2397" i="1" s="1"/>
  <c r="AP2397" i="1"/>
  <c r="AR2397" i="1" s="1"/>
  <c r="AT2397" i="1" s="1"/>
  <c r="AO2448" i="1"/>
  <c r="AO2451" i="1"/>
  <c r="AO2470" i="1"/>
  <c r="AO2338" i="1"/>
  <c r="AP2349" i="1"/>
  <c r="AR2349" i="1" s="1"/>
  <c r="AT2349" i="1" s="1"/>
  <c r="AQ2349" i="1"/>
  <c r="AS2349" i="1" s="1"/>
  <c r="AU2349" i="1" s="1"/>
  <c r="AR2362" i="1"/>
  <c r="AT2362" i="1" s="1"/>
  <c r="AQ2392" i="1"/>
  <c r="AS2392" i="1" s="1"/>
  <c r="AU2392" i="1" s="1"/>
  <c r="AP2392" i="1"/>
  <c r="AR2392" i="1" s="1"/>
  <c r="AT2392" i="1" s="1"/>
  <c r="AQ2412" i="1"/>
  <c r="AS2412" i="1" s="1"/>
  <c r="AU2412" i="1" s="1"/>
  <c r="AP2420" i="1"/>
  <c r="AR2420" i="1" s="1"/>
  <c r="AT2420" i="1" s="1"/>
  <c r="AQ2420" i="1"/>
  <c r="AS2420" i="1" s="1"/>
  <c r="AU2420" i="1" s="1"/>
  <c r="AO2500" i="1"/>
  <c r="AO2499" i="1"/>
  <c r="AQ2522" i="1"/>
  <c r="AS2522" i="1" s="1"/>
  <c r="AU2522" i="1" s="1"/>
  <c r="AO2341" i="1"/>
  <c r="AO2463" i="1"/>
  <c r="AO2461" i="1"/>
  <c r="AO2480" i="1"/>
  <c r="AO2485" i="1"/>
  <c r="AP2513" i="1"/>
  <c r="AR2513" i="1" s="1"/>
  <c r="AT2513" i="1" s="1"/>
  <c r="AQ2513" i="1"/>
  <c r="AR2514" i="1"/>
  <c r="AT2514" i="1" s="1"/>
  <c r="AO2475" i="1"/>
  <c r="AO2476" i="1"/>
  <c r="AO2505" i="1"/>
  <c r="AO2344" i="1"/>
  <c r="AP2351" i="1"/>
  <c r="AP2361" i="1"/>
  <c r="AP2371" i="1"/>
  <c r="AP2381" i="1"/>
  <c r="AR2381" i="1" s="1"/>
  <c r="AT2381" i="1" s="1"/>
  <c r="AQ2401" i="1"/>
  <c r="AS2401" i="1" s="1"/>
  <c r="AU2401" i="1" s="1"/>
  <c r="AP2435" i="1"/>
  <c r="AR2435" i="1" s="1"/>
  <c r="AT2435" i="1" s="1"/>
  <c r="AQ2435" i="1"/>
  <c r="AS2435" i="1" s="1"/>
  <c r="AU2435" i="1" s="1"/>
  <c r="AO2443" i="1"/>
  <c r="AO2472" i="1"/>
  <c r="AO2471" i="1"/>
  <c r="AO2486" i="1"/>
  <c r="AO2484" i="1"/>
  <c r="AO2492" i="1"/>
  <c r="AO2489" i="1"/>
  <c r="AO2503" i="1"/>
  <c r="AO2501" i="1"/>
  <c r="AQ2518" i="1"/>
  <c r="AS2518" i="1" s="1"/>
  <c r="AU2518" i="1" s="1"/>
  <c r="AP2518" i="1"/>
  <c r="AR2518" i="1" s="1"/>
  <c r="AT2518" i="1" s="1"/>
  <c r="AR2530" i="1"/>
  <c r="AT2530" i="1" s="1"/>
  <c r="AR2531" i="1"/>
  <c r="AT2531" i="1" s="1"/>
  <c r="AQ2546" i="1"/>
  <c r="AO2343" i="1"/>
  <c r="AP2488" i="1"/>
  <c r="AQ2530" i="1"/>
  <c r="AQ2556" i="1"/>
  <c r="AO2342" i="1"/>
  <c r="AQ2407" i="1"/>
  <c r="AQ2417" i="1"/>
  <c r="AS2417" i="1" s="1"/>
  <c r="AU2417" i="1" s="1"/>
  <c r="AP2445" i="1"/>
  <c r="AR2445" i="1" s="1"/>
  <c r="AT2445" i="1" s="1"/>
  <c r="AQ2445" i="1"/>
  <c r="AS2445" i="1" s="1"/>
  <c r="AU2445" i="1" s="1"/>
  <c r="AO2453" i="1"/>
  <c r="AO2510" i="1"/>
  <c r="AP2526" i="1"/>
  <c r="AR2526" i="1" s="1"/>
  <c r="AT2526" i="1" s="1"/>
  <c r="AQ2526" i="1"/>
  <c r="AR2556" i="1"/>
  <c r="AT2556" i="1" s="1"/>
  <c r="AO2506" i="1"/>
  <c r="AP2535" i="1"/>
  <c r="AQ2535" i="1"/>
  <c r="AO2462" i="1"/>
  <c r="AP2521" i="1"/>
  <c r="AQ2521" i="1"/>
  <c r="AS2521" i="1" s="1"/>
  <c r="AU2521" i="1" s="1"/>
  <c r="AQ2527" i="1"/>
  <c r="AQ2551" i="1"/>
  <c r="AP2547" i="1"/>
  <c r="AQ2547" i="1"/>
  <c r="AR2551" i="1"/>
  <c r="AT2551" i="1" s="1"/>
  <c r="AR2561" i="1"/>
  <c r="AT2561" i="1" s="1"/>
  <c r="AO2487" i="1"/>
  <c r="AO2493" i="1"/>
  <c r="AO2496" i="1"/>
  <c r="AO2504" i="1"/>
  <c r="AQ2519" i="1"/>
  <c r="AP2519" i="1"/>
  <c r="AQ2525" i="1"/>
  <c r="AP2537" i="1"/>
  <c r="AQ2537" i="1"/>
  <c r="AP2545" i="1"/>
  <c r="AR2545" i="1" s="1"/>
  <c r="AT2545" i="1" s="1"/>
  <c r="AQ2545" i="1"/>
  <c r="AS2545" i="1" s="1"/>
  <c r="AU2545" i="1" s="1"/>
  <c r="AS2561" i="1"/>
  <c r="AU2561" i="1" s="1"/>
  <c r="AP2516" i="1"/>
  <c r="AQ2516" i="1"/>
  <c r="AR2543" i="1"/>
  <c r="AT2543" i="1" s="1"/>
  <c r="AO2515" i="1"/>
  <c r="AQ2531" i="1"/>
  <c r="AS2531" i="1" s="1"/>
  <c r="AU2531" i="1" s="1"/>
  <c r="AQ2550" i="1"/>
  <c r="AS2550" i="1" s="1"/>
  <c r="AU2550" i="1" s="1"/>
  <c r="AQ2552" i="1"/>
  <c r="AQ2523" i="1"/>
  <c r="AS2523" i="1" s="1"/>
  <c r="AU2523" i="1" s="1"/>
  <c r="AQ2524" i="1"/>
  <c r="AS2524" i="1" s="1"/>
  <c r="AU2524" i="1" s="1"/>
  <c r="AQ2529" i="1"/>
  <c r="AS2529" i="1" s="1"/>
  <c r="AU2529" i="1" s="1"/>
  <c r="AQ2534" i="1"/>
  <c r="AS2534" i="1" s="1"/>
  <c r="AU2534" i="1" s="1"/>
  <c r="AQ2539" i="1"/>
  <c r="AS2539" i="1" s="1"/>
  <c r="AU2539" i="1" s="1"/>
  <c r="AQ2544" i="1"/>
  <c r="AS2544" i="1" s="1"/>
  <c r="AU2544" i="1" s="1"/>
  <c r="AQ2549" i="1"/>
  <c r="AS2549" i="1" s="1"/>
  <c r="AU2549" i="1" s="1"/>
  <c r="AQ2554" i="1"/>
  <c r="AS2554" i="1" s="1"/>
  <c r="AU2554" i="1" s="1"/>
  <c r="AQ2244" i="1" l="1"/>
  <c r="AP2244" i="1"/>
  <c r="AQ1893" i="1"/>
  <c r="AP1893" i="1"/>
  <c r="AP2092" i="1"/>
  <c r="AR2092" i="1" s="1"/>
  <c r="AT2092" i="1" s="1"/>
  <c r="AQ2092" i="1"/>
  <c r="AS2092" i="1" s="1"/>
  <c r="AU2092" i="1" s="1"/>
  <c r="AQ1292" i="1"/>
  <c r="AP1292" i="1"/>
  <c r="AP2248" i="1"/>
  <c r="AQ2248" i="1"/>
  <c r="AQ2164" i="1"/>
  <c r="AP2164" i="1"/>
  <c r="AP1892" i="1"/>
  <c r="AR1892" i="1" s="1"/>
  <c r="AT1892" i="1" s="1"/>
  <c r="AQ1892" i="1"/>
  <c r="AS1892" i="1" s="1"/>
  <c r="AU1892" i="1" s="1"/>
  <c r="AP1491" i="1"/>
  <c r="AR1491" i="1" s="1"/>
  <c r="AT1491" i="1" s="1"/>
  <c r="AQ1491" i="1"/>
  <c r="AS1491" i="1" s="1"/>
  <c r="AU1491" i="1" s="1"/>
  <c r="AQ2465" i="1"/>
  <c r="AP2465" i="1"/>
  <c r="AS2199" i="1"/>
  <c r="AU2199" i="1" s="1"/>
  <c r="AR1864" i="1"/>
  <c r="AT1864" i="1" s="1"/>
  <c r="AR1865" i="1"/>
  <c r="AT1865" i="1" s="1"/>
  <c r="AO1373" i="1"/>
  <c r="AO1372" i="1"/>
  <c r="AO1107" i="1"/>
  <c r="AO1105" i="1"/>
  <c r="AQ388" i="1"/>
  <c r="AP388" i="1"/>
  <c r="AP2430" i="1"/>
  <c r="AQ2430" i="1"/>
  <c r="AO1374" i="1"/>
  <c r="AQ1256" i="1"/>
  <c r="AS1256" i="1" s="1"/>
  <c r="AU1256" i="1" s="1"/>
  <c r="AP1256" i="1"/>
  <c r="AR1256" i="1" s="1"/>
  <c r="AT1256" i="1" s="1"/>
  <c r="AO782" i="1"/>
  <c r="AO778" i="1"/>
  <c r="AO780" i="1"/>
  <c r="AO781" i="1"/>
  <c r="AO779" i="1"/>
  <c r="AQ2455" i="1"/>
  <c r="AS2455" i="1" s="1"/>
  <c r="AU2455" i="1" s="1"/>
  <c r="AP2455" i="1"/>
  <c r="AR2455" i="1" s="1"/>
  <c r="AT2455" i="1" s="1"/>
  <c r="AQ1633" i="1"/>
  <c r="AS1633" i="1" s="1"/>
  <c r="AU1633" i="1" s="1"/>
  <c r="AP1633" i="1"/>
  <c r="AP776" i="1"/>
  <c r="AQ776" i="1"/>
  <c r="AS2532" i="1"/>
  <c r="AU2532" i="1" s="1"/>
  <c r="AS2533" i="1"/>
  <c r="AU2533" i="1" s="1"/>
  <c r="AQ2468" i="1"/>
  <c r="AS2468" i="1" s="1"/>
  <c r="AU2468" i="1" s="1"/>
  <c r="AP2468" i="1"/>
  <c r="AR2468" i="1" s="1"/>
  <c r="AT2468" i="1" s="1"/>
  <c r="AQ2461" i="1"/>
  <c r="AP2461" i="1"/>
  <c r="AR2461" i="1" s="1"/>
  <c r="AT2461" i="1" s="1"/>
  <c r="AS2410" i="1"/>
  <c r="AU2410" i="1" s="1"/>
  <c r="AS2411" i="1"/>
  <c r="AU2411" i="1" s="1"/>
  <c r="AP2496" i="1"/>
  <c r="AR2496" i="1" s="1"/>
  <c r="AT2496" i="1" s="1"/>
  <c r="AQ2496" i="1"/>
  <c r="AS2496" i="1" s="1"/>
  <c r="AU2496" i="1" s="1"/>
  <c r="AR2521" i="1"/>
  <c r="AT2521" i="1" s="1"/>
  <c r="AR2522" i="1"/>
  <c r="AT2522" i="1" s="1"/>
  <c r="AQ2471" i="1"/>
  <c r="AP2471" i="1"/>
  <c r="AQ2344" i="1"/>
  <c r="AP2344" i="1"/>
  <c r="AQ2463" i="1"/>
  <c r="AP2463" i="1"/>
  <c r="AR2410" i="1"/>
  <c r="AT2410" i="1" s="1"/>
  <c r="AR2411" i="1"/>
  <c r="AT2411" i="1" s="1"/>
  <c r="AQ2150" i="1"/>
  <c r="AP2150" i="1"/>
  <c r="AS2174" i="1"/>
  <c r="AU2174" i="1" s="1"/>
  <c r="AQ2158" i="1"/>
  <c r="AP2158" i="1"/>
  <c r="AP2080" i="1"/>
  <c r="AR2080" i="1" s="1"/>
  <c r="AT2080" i="1" s="1"/>
  <c r="AQ2080" i="1"/>
  <c r="AS2080" i="1" s="1"/>
  <c r="AU2080" i="1" s="1"/>
  <c r="AP1995" i="1"/>
  <c r="AQ1995" i="1"/>
  <c r="AP2060" i="1"/>
  <c r="AQ2060" i="1"/>
  <c r="AQ2308" i="1"/>
  <c r="AP2308" i="1"/>
  <c r="AR2308" i="1" s="1"/>
  <c r="AT2308" i="1" s="1"/>
  <c r="AQ2493" i="1"/>
  <c r="AP2493" i="1"/>
  <c r="AQ2462" i="1"/>
  <c r="AS2462" i="1" s="1"/>
  <c r="AU2462" i="1" s="1"/>
  <c r="AP2462" i="1"/>
  <c r="AR2462" i="1" s="1"/>
  <c r="AT2462" i="1" s="1"/>
  <c r="AQ2472" i="1"/>
  <c r="AS2472" i="1" s="1"/>
  <c r="AU2472" i="1" s="1"/>
  <c r="AP2472" i="1"/>
  <c r="AP2505" i="1"/>
  <c r="AQ2505" i="1"/>
  <c r="AQ2242" i="1"/>
  <c r="AP2242" i="1"/>
  <c r="AR2242" i="1" s="1"/>
  <c r="AT2242" i="1" s="1"/>
  <c r="AQ2131" i="1"/>
  <c r="AS2131" i="1" s="1"/>
  <c r="AU2131" i="1" s="1"/>
  <c r="AP2131" i="1"/>
  <c r="AR2131" i="1" s="1"/>
  <c r="AT2131" i="1" s="1"/>
  <c r="AP1930" i="1"/>
  <c r="AR1930" i="1" s="1"/>
  <c r="AT1930" i="1" s="1"/>
  <c r="AQ1930" i="1"/>
  <c r="AS1930" i="1" s="1"/>
  <c r="AU1930" i="1" s="1"/>
  <c r="AQ2102" i="1"/>
  <c r="AS2102" i="1" s="1"/>
  <c r="AU2102" i="1" s="1"/>
  <c r="AP2102" i="1"/>
  <c r="AQ2011" i="1"/>
  <c r="AP2011" i="1"/>
  <c r="AQ2256" i="1"/>
  <c r="AP2256" i="1"/>
  <c r="AQ1978" i="1"/>
  <c r="AP1978" i="1"/>
  <c r="AP2014" i="1"/>
  <c r="AR2014" i="1" s="1"/>
  <c r="AT2014" i="1" s="1"/>
  <c r="AQ2014" i="1"/>
  <c r="AS2014" i="1" s="1"/>
  <c r="AU2014" i="1" s="1"/>
  <c r="AP1898" i="1"/>
  <c r="AQ1898" i="1"/>
  <c r="AP2101" i="1"/>
  <c r="AQ2101" i="1"/>
  <c r="AQ1536" i="1"/>
  <c r="AP1536" i="1"/>
  <c r="AQ1953" i="1"/>
  <c r="AS1953" i="1" s="1"/>
  <c r="AU1953" i="1" s="1"/>
  <c r="AP1953" i="1"/>
  <c r="AR1953" i="1" s="1"/>
  <c r="AT1953" i="1" s="1"/>
  <c r="AP1619" i="1"/>
  <c r="AR1619" i="1" s="1"/>
  <c r="AT1619" i="1" s="1"/>
  <c r="AQ1619" i="1"/>
  <c r="AS1619" i="1" s="1"/>
  <c r="AU1619" i="1" s="1"/>
  <c r="AQ1592" i="1"/>
  <c r="AS1592" i="1" s="1"/>
  <c r="AU1592" i="1" s="1"/>
  <c r="AP1592" i="1"/>
  <c r="AR1592" i="1" s="1"/>
  <c r="AT1592" i="1" s="1"/>
  <c r="AQ1414" i="1"/>
  <c r="AP1414" i="1"/>
  <c r="AQ1301" i="1"/>
  <c r="AP1301" i="1"/>
  <c r="AQ1552" i="1"/>
  <c r="AS1552" i="1" s="1"/>
  <c r="AU1552" i="1" s="1"/>
  <c r="AP1552" i="1"/>
  <c r="AR1684" i="1"/>
  <c r="AT1684" i="1" s="1"/>
  <c r="AR1685" i="1"/>
  <c r="AT1685" i="1" s="1"/>
  <c r="AQ1561" i="1"/>
  <c r="AP1561" i="1"/>
  <c r="AR1561" i="1" s="1"/>
  <c r="AT1561" i="1" s="1"/>
  <c r="AP1979" i="1"/>
  <c r="AQ1979" i="1"/>
  <c r="AS1979" i="1" s="1"/>
  <c r="AU1979" i="1" s="1"/>
  <c r="AO1303" i="1"/>
  <c r="AO1304" i="1"/>
  <c r="AO1249" i="1"/>
  <c r="AO1246" i="1"/>
  <c r="AP1224" i="1"/>
  <c r="AQ1224" i="1"/>
  <c r="AO1199" i="1"/>
  <c r="AO1197" i="1"/>
  <c r="AO757" i="1"/>
  <c r="AO754" i="1"/>
  <c r="AO755" i="1"/>
  <c r="AO753" i="1"/>
  <c r="AO756" i="1"/>
  <c r="AP1149" i="1"/>
  <c r="AQ1149" i="1"/>
  <c r="AP1111" i="1"/>
  <c r="AQ1111" i="1"/>
  <c r="AP1393" i="1"/>
  <c r="AQ1393" i="1"/>
  <c r="AO1191" i="1"/>
  <c r="AO1190" i="1"/>
  <c r="AQ554" i="1"/>
  <c r="AP554" i="1"/>
  <c r="AP445" i="1"/>
  <c r="AQ445" i="1"/>
  <c r="AP361" i="1"/>
  <c r="AQ361" i="1"/>
  <c r="AP154" i="1"/>
  <c r="AQ154" i="1"/>
  <c r="AP1268" i="1"/>
  <c r="AQ1268" i="1"/>
  <c r="AP751" i="1"/>
  <c r="AQ751" i="1"/>
  <c r="AP1419" i="1"/>
  <c r="AQ1419" i="1"/>
  <c r="AO1370" i="1"/>
  <c r="AO1369" i="1"/>
  <c r="AQ822" i="1"/>
  <c r="AP822" i="1"/>
  <c r="AQ1192" i="1"/>
  <c r="AP1192" i="1"/>
  <c r="AP984" i="1"/>
  <c r="AQ984" i="1"/>
  <c r="AQ1140" i="1"/>
  <c r="AP1140" i="1"/>
  <c r="AQ1046" i="1"/>
  <c r="AP1046" i="1"/>
  <c r="AP372" i="1"/>
  <c r="AQ372" i="1"/>
  <c r="AP166" i="1"/>
  <c r="AQ166" i="1"/>
  <c r="AQ328" i="1"/>
  <c r="AP328" i="1"/>
  <c r="AP1490" i="1"/>
  <c r="AQ1490" i="1"/>
  <c r="AQ1660" i="1"/>
  <c r="AP1660" i="1"/>
  <c r="AR1855" i="1"/>
  <c r="AT1855" i="1" s="1"/>
  <c r="AR1856" i="1"/>
  <c r="AT1856" i="1" s="1"/>
  <c r="AQ883" i="1"/>
  <c r="AP883" i="1"/>
  <c r="AQ1375" i="1"/>
  <c r="AP1375" i="1"/>
  <c r="AP1385" i="1"/>
  <c r="AQ1385" i="1"/>
  <c r="AP1287" i="1"/>
  <c r="AQ1287" i="1"/>
  <c r="AQ1265" i="1"/>
  <c r="AP1265" i="1"/>
  <c r="AP959" i="1"/>
  <c r="AQ959" i="1"/>
  <c r="AP642" i="1"/>
  <c r="AR642" i="1" s="1"/>
  <c r="AT642" i="1" s="1"/>
  <c r="AQ642" i="1"/>
  <c r="AQ618" i="1"/>
  <c r="AP618" i="1"/>
  <c r="AQ150" i="1"/>
  <c r="AP150" i="1"/>
  <c r="AR2249" i="1"/>
  <c r="AT2249" i="1" s="1"/>
  <c r="AR1834" i="1"/>
  <c r="AT1834" i="1" s="1"/>
  <c r="AR1835" i="1"/>
  <c r="AT1835" i="1" s="1"/>
  <c r="AQ1530" i="1"/>
  <c r="AP1530" i="1"/>
  <c r="AP1376" i="1"/>
  <c r="AR1376" i="1" s="1"/>
  <c r="AT1376" i="1" s="1"/>
  <c r="AQ1376" i="1"/>
  <c r="AQ1038" i="1"/>
  <c r="AP1038" i="1"/>
  <c r="AQ975" i="1"/>
  <c r="AP975" i="1"/>
  <c r="AQ1122" i="1"/>
  <c r="AP1122" i="1"/>
  <c r="AQ863" i="1"/>
  <c r="AS863" i="1" s="1"/>
  <c r="AU863" i="1" s="1"/>
  <c r="AP863" i="1"/>
  <c r="AP90" i="1"/>
  <c r="AQ90" i="1"/>
  <c r="AQ246" i="1"/>
  <c r="AP246" i="1"/>
  <c r="AQ1006" i="1"/>
  <c r="AP1006" i="1"/>
  <c r="AP1383" i="1"/>
  <c r="AQ1383" i="1"/>
  <c r="AQ829" i="1"/>
  <c r="AP829" i="1"/>
  <c r="AP641" i="1"/>
  <c r="AQ641" i="1"/>
  <c r="AP1181" i="1"/>
  <c r="AQ1181" i="1"/>
  <c r="AQ980" i="1"/>
  <c r="AP980" i="1"/>
  <c r="AP1086" i="1"/>
  <c r="AR1086" i="1" s="1"/>
  <c r="AT1086" i="1" s="1"/>
  <c r="AQ1086" i="1"/>
  <c r="AS1086" i="1" s="1"/>
  <c r="AU1086" i="1" s="1"/>
  <c r="AP379" i="1"/>
  <c r="AQ379" i="1"/>
  <c r="AP568" i="1"/>
  <c r="AQ568" i="1"/>
  <c r="AP453" i="1"/>
  <c r="AQ453" i="1"/>
  <c r="AQ190" i="1"/>
  <c r="AP190" i="1"/>
  <c r="AQ100" i="1"/>
  <c r="AP100" i="1"/>
  <c r="AP1998" i="1"/>
  <c r="AQ1998" i="1"/>
  <c r="AP2291" i="1"/>
  <c r="AQ2291" i="1"/>
  <c r="AP2136" i="1"/>
  <c r="AQ2136" i="1"/>
  <c r="AQ2262" i="1"/>
  <c r="AS2262" i="1" s="1"/>
  <c r="AU2262" i="1" s="1"/>
  <c r="AP2262" i="1"/>
  <c r="AR2262" i="1" s="1"/>
  <c r="AT2262" i="1" s="1"/>
  <c r="AQ1977" i="1"/>
  <c r="AP1977" i="1"/>
  <c r="AP1654" i="1"/>
  <c r="AQ1654" i="1"/>
  <c r="AQ1878" i="1"/>
  <c r="AS1878" i="1" s="1"/>
  <c r="AU1878" i="1" s="1"/>
  <c r="AP1878" i="1"/>
  <c r="AR1878" i="1" s="1"/>
  <c r="AT1878" i="1" s="1"/>
  <c r="AR1754" i="1"/>
  <c r="AT1754" i="1" s="1"/>
  <c r="AR1755" i="1"/>
  <c r="AT1755" i="1" s="1"/>
  <c r="AR2275" i="1"/>
  <c r="AT2275" i="1" s="1"/>
  <c r="AS2318" i="1"/>
  <c r="AU2318" i="1" s="1"/>
  <c r="AQ1505" i="1"/>
  <c r="AP1505" i="1"/>
  <c r="AQ1567" i="1"/>
  <c r="AS1567" i="1" s="1"/>
  <c r="AU1567" i="1" s="1"/>
  <c r="AP1567" i="1"/>
  <c r="AR1567" i="1" s="1"/>
  <c r="AT1567" i="1" s="1"/>
  <c r="AO1277" i="1"/>
  <c r="AO1275" i="1"/>
  <c r="AO1273" i="1"/>
  <c r="AP541" i="1"/>
  <c r="AQ541" i="1"/>
  <c r="AQ2456" i="1"/>
  <c r="AS2456" i="1" s="1"/>
  <c r="AU2456" i="1" s="1"/>
  <c r="AP2456" i="1"/>
  <c r="AR2456" i="1" s="1"/>
  <c r="AT2456" i="1" s="1"/>
  <c r="AO1127" i="1"/>
  <c r="AO1126" i="1"/>
  <c r="AP1669" i="1"/>
  <c r="AR1669" i="1" s="1"/>
  <c r="AT1669" i="1" s="1"/>
  <c r="AQ1669" i="1"/>
  <c r="AS1669" i="1" s="1"/>
  <c r="AU1669" i="1" s="1"/>
  <c r="AP1009" i="1"/>
  <c r="AQ1009" i="1"/>
  <c r="AO1404" i="1"/>
  <c r="AO1400" i="1"/>
  <c r="AO1401" i="1"/>
  <c r="AQ226" i="1"/>
  <c r="AP226" i="1"/>
  <c r="AP2035" i="1"/>
  <c r="AQ2035" i="1"/>
  <c r="AR1839" i="1"/>
  <c r="AT1839" i="1" s="1"/>
  <c r="AR1840" i="1"/>
  <c r="AT1840" i="1" s="1"/>
  <c r="AQ1947" i="1"/>
  <c r="AP1947" i="1"/>
  <c r="AR2393" i="1"/>
  <c r="AT2393" i="1" s="1"/>
  <c r="AR2394" i="1"/>
  <c r="AT2394" i="1" s="1"/>
  <c r="AS2473" i="1"/>
  <c r="AU2473" i="1" s="1"/>
  <c r="AR2365" i="1"/>
  <c r="AT2365" i="1" s="1"/>
  <c r="AR2366" i="1"/>
  <c r="AT2366" i="1" s="1"/>
  <c r="AQ1931" i="1"/>
  <c r="AP1931" i="1"/>
  <c r="AP2110" i="1"/>
  <c r="AR2110" i="1" s="1"/>
  <c r="AT2110" i="1" s="1"/>
  <c r="AQ2110" i="1"/>
  <c r="AQ1583" i="1"/>
  <c r="AP1583" i="1"/>
  <c r="AQ1390" i="1"/>
  <c r="AP1390" i="1"/>
  <c r="AQ2179" i="1"/>
  <c r="AP2179" i="1"/>
  <c r="AR2179" i="1" s="1"/>
  <c r="AT2179" i="1" s="1"/>
  <c r="AR1829" i="1"/>
  <c r="AT1829" i="1" s="1"/>
  <c r="AR1830" i="1"/>
  <c r="AT1830" i="1" s="1"/>
  <c r="AR1694" i="1"/>
  <c r="AT1694" i="1" s="1"/>
  <c r="AR1695" i="1"/>
  <c r="AT1695" i="1" s="1"/>
  <c r="AO1443" i="1"/>
  <c r="AO1441" i="1"/>
  <c r="AO1442" i="1"/>
  <c r="AP1948" i="1"/>
  <c r="AQ1948" i="1"/>
  <c r="AQ1895" i="1"/>
  <c r="AP1895" i="1"/>
  <c r="AR1704" i="1"/>
  <c r="AT1704" i="1" s="1"/>
  <c r="AR1705" i="1"/>
  <c r="AT1705" i="1" s="1"/>
  <c r="AQ1526" i="1"/>
  <c r="AP1526" i="1"/>
  <c r="AQ1226" i="1"/>
  <c r="AP1226" i="1"/>
  <c r="AP1342" i="1"/>
  <c r="AQ1342" i="1"/>
  <c r="AO1211" i="1"/>
  <c r="AO1210" i="1"/>
  <c r="AO1366" i="1"/>
  <c r="AQ1322" i="1"/>
  <c r="AP1322" i="1"/>
  <c r="AO1054" i="1"/>
  <c r="AO1052" i="1"/>
  <c r="AP936" i="1"/>
  <c r="AQ936" i="1"/>
  <c r="AQ326" i="1"/>
  <c r="AP326" i="1"/>
  <c r="AP462" i="1"/>
  <c r="AQ462" i="1"/>
  <c r="AP255" i="1"/>
  <c r="AQ255" i="1"/>
  <c r="AP2100" i="1"/>
  <c r="AR2100" i="1" s="1"/>
  <c r="AT2100" i="1" s="1"/>
  <c r="AQ2100" i="1"/>
  <c r="AS2100" i="1" s="1"/>
  <c r="AU2100" i="1" s="1"/>
  <c r="AP2015" i="1"/>
  <c r="AQ2015" i="1"/>
  <c r="AP1966" i="1"/>
  <c r="AQ1966" i="1"/>
  <c r="AS1966" i="1" s="1"/>
  <c r="AU1966" i="1" s="1"/>
  <c r="AQ1502" i="1"/>
  <c r="AP1502" i="1"/>
  <c r="AQ2235" i="1"/>
  <c r="AS2235" i="1" s="1"/>
  <c r="AU2235" i="1" s="1"/>
  <c r="AP2235" i="1"/>
  <c r="AR2235" i="1" s="1"/>
  <c r="AT2235" i="1" s="1"/>
  <c r="AP2218" i="1"/>
  <c r="AR2218" i="1" s="1"/>
  <c r="AT2218" i="1" s="1"/>
  <c r="AQ2218" i="1"/>
  <c r="AR2413" i="1"/>
  <c r="AT2413" i="1" s="1"/>
  <c r="AR2414" i="1"/>
  <c r="AT2414" i="1" s="1"/>
  <c r="AQ1521" i="1"/>
  <c r="AS1521" i="1" s="1"/>
  <c r="AU1521" i="1" s="1"/>
  <c r="AP1521" i="1"/>
  <c r="AR1521" i="1" s="1"/>
  <c r="AT1521" i="1" s="1"/>
  <c r="AQ2161" i="1"/>
  <c r="AS2161" i="1" s="1"/>
  <c r="AU2161" i="1" s="1"/>
  <c r="AP2161" i="1"/>
  <c r="AR2161" i="1" s="1"/>
  <c r="AT2161" i="1" s="1"/>
  <c r="AO1489" i="1"/>
  <c r="AQ2119" i="1"/>
  <c r="AP2119" i="1"/>
  <c r="AO1189" i="1"/>
  <c r="AO1186" i="1"/>
  <c r="AO1188" i="1"/>
  <c r="AO1187" i="1"/>
  <c r="AQ1480" i="1"/>
  <c r="AP1480" i="1"/>
  <c r="AP927" i="1"/>
  <c r="AR927" i="1" s="1"/>
  <c r="AT927" i="1" s="1"/>
  <c r="AQ927" i="1"/>
  <c r="AO1164" i="1"/>
  <c r="AO1162" i="1"/>
  <c r="AO1163" i="1"/>
  <c r="AQ1230" i="1"/>
  <c r="AP1230" i="1"/>
  <c r="AO732" i="1"/>
  <c r="AO731" i="1"/>
  <c r="AO729" i="1"/>
  <c r="AO728" i="1"/>
  <c r="AO730" i="1"/>
  <c r="AQ803" i="1"/>
  <c r="AP803" i="1"/>
  <c r="AQ1003" i="1"/>
  <c r="AP1003" i="1"/>
  <c r="AP341" i="1"/>
  <c r="AQ341" i="1"/>
  <c r="AS341" i="1" s="1"/>
  <c r="AU341" i="1" s="1"/>
  <c r="AQ2469" i="1"/>
  <c r="AS2469" i="1" s="1"/>
  <c r="AU2469" i="1" s="1"/>
  <c r="AP2469" i="1"/>
  <c r="AR2469" i="1" s="1"/>
  <c r="AT2469" i="1" s="1"/>
  <c r="AP2431" i="1"/>
  <c r="AR2431" i="1" s="1"/>
  <c r="AT2431" i="1" s="1"/>
  <c r="AQ2431" i="1"/>
  <c r="AS2431" i="1" s="1"/>
  <c r="AU2431" i="1" s="1"/>
  <c r="AQ1906" i="1"/>
  <c r="AP1906" i="1"/>
  <c r="AR1860" i="1"/>
  <c r="AT1860" i="1" s="1"/>
  <c r="AR1861" i="1"/>
  <c r="AT1861" i="1" s="1"/>
  <c r="AQ2041" i="1"/>
  <c r="AP2041" i="1"/>
  <c r="AQ2178" i="1"/>
  <c r="AP2178" i="1"/>
  <c r="AQ2082" i="1"/>
  <c r="AS2082" i="1" s="1"/>
  <c r="AU2082" i="1" s="1"/>
  <c r="AP2082" i="1"/>
  <c r="AR2082" i="1" s="1"/>
  <c r="AT2082" i="1" s="1"/>
  <c r="AQ1993" i="1"/>
  <c r="AS1993" i="1" s="1"/>
  <c r="AU1993" i="1" s="1"/>
  <c r="AP1993" i="1"/>
  <c r="AR1993" i="1" s="1"/>
  <c r="AT1993" i="1" s="1"/>
  <c r="AP2059" i="1"/>
  <c r="AR2059" i="1" s="1"/>
  <c r="AT2059" i="1" s="1"/>
  <c r="AQ2059" i="1"/>
  <c r="AS2059" i="1" s="1"/>
  <c r="AU2059" i="1" s="1"/>
  <c r="AQ2309" i="1"/>
  <c r="AS2309" i="1" s="1"/>
  <c r="AU2309" i="1" s="1"/>
  <c r="AP2309" i="1"/>
  <c r="AQ2162" i="1"/>
  <c r="AP2162" i="1"/>
  <c r="AQ2159" i="1"/>
  <c r="AP2159" i="1"/>
  <c r="AR1961" i="1"/>
  <c r="AT1961" i="1" s="1"/>
  <c r="AP2087" i="1"/>
  <c r="AQ2087" i="1"/>
  <c r="AS1672" i="1"/>
  <c r="AU1672" i="1" s="1"/>
  <c r="AS1673" i="1"/>
  <c r="AU1673" i="1" s="1"/>
  <c r="AQ1566" i="1"/>
  <c r="AS1566" i="1" s="1"/>
  <c r="AU1566" i="1" s="1"/>
  <c r="AP1566" i="1"/>
  <c r="AR1566" i="1" s="1"/>
  <c r="AT1566" i="1" s="1"/>
  <c r="AO1381" i="1"/>
  <c r="AO1380" i="1"/>
  <c r="AO1379" i="1"/>
  <c r="AR2171" i="1"/>
  <c r="AT2171" i="1" s="1"/>
  <c r="AQ1364" i="1"/>
  <c r="AP1364" i="1"/>
  <c r="AR2099" i="1"/>
  <c r="AT2099" i="1" s="1"/>
  <c r="AO1511" i="1"/>
  <c r="AP832" i="1"/>
  <c r="AQ832" i="1"/>
  <c r="AQ1450" i="1"/>
  <c r="AP1450" i="1"/>
  <c r="AP683" i="1"/>
  <c r="AQ683" i="1"/>
  <c r="AP230" i="1"/>
  <c r="AQ230" i="1"/>
  <c r="AP180" i="1"/>
  <c r="AR180" i="1" s="1"/>
  <c r="AT180" i="1" s="1"/>
  <c r="AQ180" i="1"/>
  <c r="AS180" i="1" s="1"/>
  <c r="AU180" i="1" s="1"/>
  <c r="AQ2066" i="1"/>
  <c r="AP2066" i="1"/>
  <c r="AQ1916" i="1"/>
  <c r="AP1916" i="1"/>
  <c r="AR1916" i="1" s="1"/>
  <c r="AT1916" i="1" s="1"/>
  <c r="AQ2187" i="1"/>
  <c r="AS2187" i="1" s="1"/>
  <c r="AU2187" i="1" s="1"/>
  <c r="AP2187" i="1"/>
  <c r="AQ2271" i="1"/>
  <c r="AP2271" i="1"/>
  <c r="AS2198" i="1"/>
  <c r="AU2198" i="1" s="1"/>
  <c r="AS2415" i="1"/>
  <c r="AU2415" i="1" s="1"/>
  <c r="AS2416" i="1"/>
  <c r="AU2416" i="1" s="1"/>
  <c r="AQ1513" i="1"/>
  <c r="AP1513" i="1"/>
  <c r="AQ2197" i="1"/>
  <c r="AP2197" i="1"/>
  <c r="AQ1626" i="1"/>
  <c r="AS1626" i="1" s="1"/>
  <c r="AU1626" i="1" s="1"/>
  <c r="AP1626" i="1"/>
  <c r="AR1626" i="1" s="1"/>
  <c r="AT1626" i="1" s="1"/>
  <c r="AP1154" i="1"/>
  <c r="AQ1154" i="1"/>
  <c r="AP736" i="1"/>
  <c r="AQ736" i="1"/>
  <c r="AQ1166" i="1"/>
  <c r="AP1166" i="1"/>
  <c r="AQ2441" i="1"/>
  <c r="AS2441" i="1" s="1"/>
  <c r="AU2441" i="1" s="1"/>
  <c r="AP2441" i="1"/>
  <c r="AR2441" i="1" s="1"/>
  <c r="AT2441" i="1" s="1"/>
  <c r="AQ1983" i="1"/>
  <c r="AS1983" i="1" s="1"/>
  <c r="AU1983" i="1" s="1"/>
  <c r="AP1983" i="1"/>
  <c r="AR1983" i="1" s="1"/>
  <c r="AT1983" i="1" s="1"/>
  <c r="AO1509" i="1"/>
  <c r="AQ1207" i="1"/>
  <c r="AP1207" i="1"/>
  <c r="AQ1440" i="1"/>
  <c r="AP1440" i="1"/>
  <c r="AQ164" i="1"/>
  <c r="AS164" i="1" s="1"/>
  <c r="AU164" i="1" s="1"/>
  <c r="AP164" i="1"/>
  <c r="AR164" i="1" s="1"/>
  <c r="AT164" i="1" s="1"/>
  <c r="AQ2442" i="1"/>
  <c r="AS2442" i="1" s="1"/>
  <c r="AU2442" i="1" s="1"/>
  <c r="AP2442" i="1"/>
  <c r="AR2442" i="1" s="1"/>
  <c r="AT2442" i="1" s="1"/>
  <c r="AO1459" i="1"/>
  <c r="AO1457" i="1"/>
  <c r="AO1458" i="1"/>
  <c r="AP1984" i="1"/>
  <c r="AQ1984" i="1"/>
  <c r="AO1508" i="1"/>
  <c r="AO1507" i="1"/>
  <c r="AQ2028" i="1"/>
  <c r="AP2028" i="1"/>
  <c r="AR2028" i="1" s="1"/>
  <c r="AT2028" i="1" s="1"/>
  <c r="AS1833" i="1"/>
  <c r="AU1833" i="1" s="1"/>
  <c r="AS1783" i="1"/>
  <c r="AU1783" i="1" s="1"/>
  <c r="AS1758" i="1"/>
  <c r="AU1758" i="1" s="1"/>
  <c r="AS1759" i="1"/>
  <c r="AU1759" i="1" s="1"/>
  <c r="AS1733" i="1"/>
  <c r="AU1733" i="1" s="1"/>
  <c r="AS1734" i="1"/>
  <c r="AU1734" i="1" s="1"/>
  <c r="AS1683" i="1"/>
  <c r="AU1683" i="1" s="1"/>
  <c r="AS1684" i="1"/>
  <c r="AU1684" i="1" s="1"/>
  <c r="AP1564" i="1"/>
  <c r="AR1564" i="1" s="1"/>
  <c r="AT1564" i="1" s="1"/>
  <c r="AQ1564" i="1"/>
  <c r="AS1564" i="1" s="1"/>
  <c r="AU1564" i="1" s="1"/>
  <c r="AQ1956" i="1"/>
  <c r="AP1956" i="1"/>
  <c r="AP1639" i="1"/>
  <c r="AQ1639" i="1"/>
  <c r="AQ1563" i="1"/>
  <c r="AS1563" i="1" s="1"/>
  <c r="AU1563" i="1" s="1"/>
  <c r="AP1563" i="1"/>
  <c r="AR1563" i="1" s="1"/>
  <c r="AT1563" i="1" s="1"/>
  <c r="AQ1617" i="1"/>
  <c r="AS1617" i="1" s="1"/>
  <c r="AU1617" i="1" s="1"/>
  <c r="AP1617" i="1"/>
  <c r="AR1617" i="1" s="1"/>
  <c r="AT1617" i="1" s="1"/>
  <c r="AO1487" i="1"/>
  <c r="AO1486" i="1"/>
  <c r="AO1321" i="1"/>
  <c r="AO1317" i="1"/>
  <c r="AO1318" i="1"/>
  <c r="AO1319" i="1"/>
  <c r="AO1320" i="1"/>
  <c r="AQ1350" i="1"/>
  <c r="AP1350" i="1"/>
  <c r="AQ1587" i="1"/>
  <c r="AS1587" i="1" s="1"/>
  <c r="AU1587" i="1" s="1"/>
  <c r="AP1587" i="1"/>
  <c r="AO830" i="1"/>
  <c r="AQ815" i="1"/>
  <c r="AP815" i="1"/>
  <c r="AQ313" i="1"/>
  <c r="AP313" i="1"/>
  <c r="AQ435" i="1"/>
  <c r="AP435" i="1"/>
  <c r="AP583" i="1"/>
  <c r="AQ583" i="1"/>
  <c r="AP15" i="1"/>
  <c r="AQ15" i="1"/>
  <c r="AP1569" i="1"/>
  <c r="AR1569" i="1" s="1"/>
  <c r="AT1569" i="1" s="1"/>
  <c r="AQ1569" i="1"/>
  <c r="AQ998" i="1"/>
  <c r="AP998" i="1"/>
  <c r="AQ1083" i="1"/>
  <c r="AP1083" i="1"/>
  <c r="AQ1092" i="1"/>
  <c r="AP1092" i="1"/>
  <c r="AQ1429" i="1"/>
  <c r="AP1429" i="1"/>
  <c r="AS2553" i="1"/>
  <c r="AU2553" i="1" s="1"/>
  <c r="AS2552" i="1"/>
  <c r="AU2552" i="1" s="1"/>
  <c r="AP2487" i="1"/>
  <c r="AQ2487" i="1"/>
  <c r="AQ2443" i="1"/>
  <c r="AP2443" i="1"/>
  <c r="AQ2341" i="1"/>
  <c r="AS2341" i="1" s="1"/>
  <c r="AU2341" i="1" s="1"/>
  <c r="AP2341" i="1"/>
  <c r="AR2341" i="1" s="1"/>
  <c r="AT2341" i="1" s="1"/>
  <c r="AQ2346" i="1"/>
  <c r="AP2346" i="1"/>
  <c r="AQ2432" i="1"/>
  <c r="AS2432" i="1" s="1"/>
  <c r="AU2432" i="1" s="1"/>
  <c r="AP2432" i="1"/>
  <c r="AR2432" i="1" s="1"/>
  <c r="AT2432" i="1" s="1"/>
  <c r="AP2261" i="1"/>
  <c r="AQ2261" i="1"/>
  <c r="AS2219" i="1"/>
  <c r="AU2219" i="1" s="1"/>
  <c r="AP2000" i="1"/>
  <c r="AQ2000" i="1"/>
  <c r="AP2030" i="1"/>
  <c r="AR2030" i="1" s="1"/>
  <c r="AT2030" i="1" s="1"/>
  <c r="AQ2030" i="1"/>
  <c r="AS2030" i="1" s="1"/>
  <c r="AU2030" i="1" s="1"/>
  <c r="AS2220" i="1"/>
  <c r="AU2220" i="1" s="1"/>
  <c r="AQ1887" i="1"/>
  <c r="AP1887" i="1"/>
  <c r="AQ1923" i="1"/>
  <c r="AP1923" i="1"/>
  <c r="AR1923" i="1" s="1"/>
  <c r="AT1923" i="1" s="1"/>
  <c r="AS1676" i="1"/>
  <c r="AU1676" i="1" s="1"/>
  <c r="AS1675" i="1"/>
  <c r="AU1675" i="1" s="1"/>
  <c r="AP1664" i="1"/>
  <c r="AR1664" i="1" s="1"/>
  <c r="AT1664" i="1" s="1"/>
  <c r="AQ1664" i="1"/>
  <c r="AS1664" i="1" s="1"/>
  <c r="AU1664" i="1" s="1"/>
  <c r="AO1346" i="1"/>
  <c r="AQ1643" i="1"/>
  <c r="AP1643" i="1"/>
  <c r="AS2393" i="1"/>
  <c r="AU2393" i="1" s="1"/>
  <c r="AS1868" i="1"/>
  <c r="AU1868" i="1" s="1"/>
  <c r="AS1709" i="1"/>
  <c r="AU1709" i="1" s="1"/>
  <c r="AQ1652" i="1"/>
  <c r="AP1652" i="1"/>
  <c r="AP1279" i="1"/>
  <c r="AQ1279" i="1"/>
  <c r="AO1363" i="1"/>
  <c r="AP1219" i="1"/>
  <c r="AQ1219" i="1"/>
  <c r="AO1184" i="1"/>
  <c r="AP727" i="1"/>
  <c r="AQ727" i="1"/>
  <c r="AO1362" i="1"/>
  <c r="AO1413" i="1"/>
  <c r="AP1417" i="1"/>
  <c r="AR1417" i="1" s="1"/>
  <c r="AT1417" i="1" s="1"/>
  <c r="AQ1417" i="1"/>
  <c r="AQ797" i="1"/>
  <c r="AP797" i="1"/>
  <c r="AR2535" i="1"/>
  <c r="AT2535" i="1" s="1"/>
  <c r="AR2536" i="1"/>
  <c r="AT2536" i="1" s="1"/>
  <c r="AQ2476" i="1"/>
  <c r="AS2476" i="1" s="1"/>
  <c r="AU2476" i="1" s="1"/>
  <c r="AP2476" i="1"/>
  <c r="AR2476" i="1" s="1"/>
  <c r="AT2476" i="1" s="1"/>
  <c r="AR2398" i="1"/>
  <c r="AT2398" i="1" s="1"/>
  <c r="AR2399" i="1"/>
  <c r="AT2399" i="1" s="1"/>
  <c r="AQ2429" i="1"/>
  <c r="AP2429" i="1"/>
  <c r="AQ2433" i="1"/>
  <c r="AP2433" i="1"/>
  <c r="AQ2300" i="1"/>
  <c r="AP2300" i="1"/>
  <c r="AP2236" i="1"/>
  <c r="AR2236" i="1" s="1"/>
  <c r="AT2236" i="1" s="1"/>
  <c r="AQ2236" i="1"/>
  <c r="AS2236" i="1" s="1"/>
  <c r="AU2236" i="1" s="1"/>
  <c r="AR2219" i="1"/>
  <c r="AT2219" i="1" s="1"/>
  <c r="AQ2216" i="1"/>
  <c r="AP2216" i="1"/>
  <c r="AQ1885" i="1"/>
  <c r="AS1885" i="1" s="1"/>
  <c r="AU1885" i="1" s="1"/>
  <c r="AP1885" i="1"/>
  <c r="AR1885" i="1" s="1"/>
  <c r="AT1885" i="1" s="1"/>
  <c r="AQ1907" i="1"/>
  <c r="AS1907" i="1" s="1"/>
  <c r="AU1907" i="1" s="1"/>
  <c r="AP1907" i="1"/>
  <c r="AR1907" i="1" s="1"/>
  <c r="AT1907" i="1" s="1"/>
  <c r="AQ1474" i="1"/>
  <c r="AS1474" i="1" s="1"/>
  <c r="AU1474" i="1" s="1"/>
  <c r="AP1474" i="1"/>
  <c r="AR1474" i="1" s="1"/>
  <c r="AT1474" i="1" s="1"/>
  <c r="AQ1942" i="1"/>
  <c r="AS1942" i="1" s="1"/>
  <c r="AU1942" i="1" s="1"/>
  <c r="AP1942" i="1"/>
  <c r="AR1942" i="1" s="1"/>
  <c r="AT1942" i="1" s="1"/>
  <c r="AQ1636" i="1"/>
  <c r="AS1636" i="1" s="1"/>
  <c r="AU1636" i="1" s="1"/>
  <c r="AP1636" i="1"/>
  <c r="AR1636" i="1" s="1"/>
  <c r="AT1636" i="1" s="1"/>
  <c r="AO1348" i="1"/>
  <c r="AQ1607" i="1"/>
  <c r="AP1607" i="1"/>
  <c r="AQ1870" i="1"/>
  <c r="AS1870" i="1" s="1"/>
  <c r="AU1870" i="1" s="1"/>
  <c r="AP1870" i="1"/>
  <c r="AR1870" i="1" s="1"/>
  <c r="AT1870" i="1" s="1"/>
  <c r="AR2285" i="1"/>
  <c r="AT2285" i="1" s="1"/>
  <c r="AQ2327" i="1"/>
  <c r="AS2327" i="1" s="1"/>
  <c r="AU2327" i="1" s="1"/>
  <c r="AP2327" i="1"/>
  <c r="AP2120" i="1"/>
  <c r="AR2120" i="1" s="1"/>
  <c r="AT2120" i="1" s="1"/>
  <c r="AQ2120" i="1"/>
  <c r="AQ1581" i="1"/>
  <c r="AP1581" i="1"/>
  <c r="AO1499" i="1"/>
  <c r="AQ1658" i="1"/>
  <c r="AS1658" i="1" s="1"/>
  <c r="AU1658" i="1" s="1"/>
  <c r="AP1658" i="1"/>
  <c r="AR1658" i="1" s="1"/>
  <c r="AT1658" i="1" s="1"/>
  <c r="AO1460" i="1"/>
  <c r="AO1263" i="1"/>
  <c r="AO1329" i="1"/>
  <c r="AO726" i="1"/>
  <c r="AO1036" i="1"/>
  <c r="AO1327" i="1"/>
  <c r="AO1345" i="1"/>
  <c r="AO1387" i="1"/>
  <c r="AQ1416" i="1"/>
  <c r="AP1416" i="1"/>
  <c r="AO1124" i="1"/>
  <c r="AR2537" i="1"/>
  <c r="AT2537" i="1" s="1"/>
  <c r="AR2538" i="1"/>
  <c r="AT2538" i="1" s="1"/>
  <c r="AQ2342" i="1"/>
  <c r="AP2342" i="1"/>
  <c r="AQ2475" i="1"/>
  <c r="AS2475" i="1" s="1"/>
  <c r="AU2475" i="1" s="1"/>
  <c r="AP2475" i="1"/>
  <c r="AR2475" i="1" s="1"/>
  <c r="AT2475" i="1" s="1"/>
  <c r="AP2338" i="1"/>
  <c r="AR2338" i="1" s="1"/>
  <c r="AT2338" i="1" s="1"/>
  <c r="AQ2338" i="1"/>
  <c r="AS2338" i="1" s="1"/>
  <c r="AU2338" i="1" s="1"/>
  <c r="AP2311" i="1"/>
  <c r="AR2311" i="1" s="1"/>
  <c r="AT2311" i="1" s="1"/>
  <c r="AQ2311" i="1"/>
  <c r="AS2311" i="1" s="1"/>
  <c r="AU2311" i="1" s="1"/>
  <c r="AR2446" i="1"/>
  <c r="AT2446" i="1" s="1"/>
  <c r="AQ2252" i="1"/>
  <c r="AS2252" i="1" s="1"/>
  <c r="AU2252" i="1" s="1"/>
  <c r="AP2252" i="1"/>
  <c r="AR2252" i="1" s="1"/>
  <c r="AT2252" i="1" s="1"/>
  <c r="AQ2483" i="1"/>
  <c r="AP2483" i="1"/>
  <c r="AQ2511" i="1"/>
  <c r="AP2511" i="1"/>
  <c r="AP2195" i="1"/>
  <c r="AR2195" i="1" s="1"/>
  <c r="AT2195" i="1" s="1"/>
  <c r="AQ2195" i="1"/>
  <c r="AS2195" i="1" s="1"/>
  <c r="AU2195" i="1" s="1"/>
  <c r="AQ2172" i="1"/>
  <c r="AS2172" i="1" s="1"/>
  <c r="AU2172" i="1" s="1"/>
  <c r="AP2172" i="1"/>
  <c r="AR2172" i="1" s="1"/>
  <c r="AT2172" i="1" s="1"/>
  <c r="AP2096" i="1"/>
  <c r="AQ2096" i="1"/>
  <c r="AQ1941" i="1"/>
  <c r="AS1941" i="1" s="1"/>
  <c r="AU1941" i="1" s="1"/>
  <c r="AP1941" i="1"/>
  <c r="AR1941" i="1" s="1"/>
  <c r="AT1941" i="1" s="1"/>
  <c r="AP1949" i="1"/>
  <c r="AR1949" i="1" s="1"/>
  <c r="AT1949" i="1" s="1"/>
  <c r="AQ1949" i="1"/>
  <c r="AS1949" i="1" s="1"/>
  <c r="AU1949" i="1" s="1"/>
  <c r="AQ2003" i="1"/>
  <c r="AS2003" i="1" s="1"/>
  <c r="AU2003" i="1" s="1"/>
  <c r="AP2003" i="1"/>
  <c r="AR2003" i="1" s="1"/>
  <c r="AT2003" i="1" s="1"/>
  <c r="AP2043" i="1"/>
  <c r="AQ2043" i="1"/>
  <c r="AR2322" i="1"/>
  <c r="AT2322" i="1" s="1"/>
  <c r="AQ2217" i="1"/>
  <c r="AP2217" i="1"/>
  <c r="AR2217" i="1" s="1"/>
  <c r="AT2217" i="1" s="1"/>
  <c r="AP2283" i="1"/>
  <c r="AQ2283" i="1"/>
  <c r="AQ2108" i="1"/>
  <c r="AS2108" i="1" s="1"/>
  <c r="AU2108" i="1" s="1"/>
  <c r="AP2108" i="1"/>
  <c r="AP1915" i="1"/>
  <c r="AR1915" i="1" s="1"/>
  <c r="AT1915" i="1" s="1"/>
  <c r="AQ1915" i="1"/>
  <c r="AS1915" i="1" s="1"/>
  <c r="AU1915" i="1" s="1"/>
  <c r="AQ1932" i="1"/>
  <c r="AS1932" i="1" s="1"/>
  <c r="AU1932" i="1" s="1"/>
  <c r="AP1932" i="1"/>
  <c r="AP2089" i="1"/>
  <c r="AQ2089" i="1"/>
  <c r="AP1909" i="1"/>
  <c r="AR1909" i="1" s="1"/>
  <c r="AT1909" i="1" s="1"/>
  <c r="AQ1909" i="1"/>
  <c r="AS1909" i="1" s="1"/>
  <c r="AU1909" i="1" s="1"/>
  <c r="AQ2065" i="1"/>
  <c r="AS2065" i="1" s="1"/>
  <c r="AU2065" i="1" s="1"/>
  <c r="AP2065" i="1"/>
  <c r="AR2065" i="1" s="1"/>
  <c r="AT2065" i="1" s="1"/>
  <c r="AP1473" i="1"/>
  <c r="AR1473" i="1" s="1"/>
  <c r="AT1473" i="1" s="1"/>
  <c r="AQ1473" i="1"/>
  <c r="AS1473" i="1" s="1"/>
  <c r="AU1473" i="1" s="1"/>
  <c r="AQ2141" i="1"/>
  <c r="AS2141" i="1" s="1"/>
  <c r="AU2141" i="1" s="1"/>
  <c r="AP2141" i="1"/>
  <c r="AR2141" i="1" s="1"/>
  <c r="AT2141" i="1" s="1"/>
  <c r="AO1478" i="1"/>
  <c r="AO1477" i="1"/>
  <c r="AQ1573" i="1"/>
  <c r="AS1574" i="1" s="1"/>
  <c r="AU1574" i="1" s="1"/>
  <c r="AP1573" i="1"/>
  <c r="AR2012" i="1"/>
  <c r="AT2012" i="1" s="1"/>
  <c r="AS1823" i="1"/>
  <c r="AU1823" i="1" s="1"/>
  <c r="AS1773" i="1"/>
  <c r="AU1773" i="1" s="1"/>
  <c r="AP1937" i="1"/>
  <c r="AQ1937" i="1"/>
  <c r="AO1411" i="1"/>
  <c r="AQ1662" i="1"/>
  <c r="AP1662" i="1"/>
  <c r="AO1408" i="1"/>
  <c r="AP747" i="1"/>
  <c r="AQ747" i="1"/>
  <c r="AO1389" i="1"/>
  <c r="AO935" i="1"/>
  <c r="AQ1041" i="1"/>
  <c r="AP1041" i="1"/>
  <c r="AP1114" i="1"/>
  <c r="AQ1114" i="1"/>
  <c r="AQ840" i="1"/>
  <c r="AP840" i="1"/>
  <c r="AQ2436" i="1"/>
  <c r="AS2436" i="1" s="1"/>
  <c r="AU2436" i="1" s="1"/>
  <c r="AP2436" i="1"/>
  <c r="AR2436" i="1" s="1"/>
  <c r="AT2436" i="1" s="1"/>
  <c r="AP2326" i="1"/>
  <c r="AR2326" i="1" s="1"/>
  <c r="AT2326" i="1" s="1"/>
  <c r="AQ2326" i="1"/>
  <c r="AP2287" i="1"/>
  <c r="AQ2287" i="1"/>
  <c r="AP2203" i="1"/>
  <c r="AQ2203" i="1"/>
  <c r="AQ2230" i="1"/>
  <c r="AS2230" i="1" s="1"/>
  <c r="AU2230" i="1" s="1"/>
  <c r="AP2230" i="1"/>
  <c r="AR2230" i="1" s="1"/>
  <c r="AT2230" i="1" s="1"/>
  <c r="AP2071" i="1"/>
  <c r="AQ2071" i="1"/>
  <c r="AQ1901" i="1"/>
  <c r="AS1901" i="1" s="1"/>
  <c r="AU1901" i="1" s="1"/>
  <c r="AP1901" i="1"/>
  <c r="AR1901" i="1" s="1"/>
  <c r="AT1901" i="1" s="1"/>
  <c r="AP2005" i="1"/>
  <c r="AQ2005" i="1"/>
  <c r="AS2322" i="1"/>
  <c r="AU2322" i="1" s="1"/>
  <c r="AP1934" i="1"/>
  <c r="AR1934" i="1" s="1"/>
  <c r="AT1934" i="1" s="1"/>
  <c r="AQ1934" i="1"/>
  <c r="AS1934" i="1" s="1"/>
  <c r="AU1934" i="1" s="1"/>
  <c r="AQ2083" i="1"/>
  <c r="AS2083" i="1" s="1"/>
  <c r="AU2083" i="1" s="1"/>
  <c r="AP2083" i="1"/>
  <c r="AR2083" i="1" s="1"/>
  <c r="AT2083" i="1" s="1"/>
  <c r="AP1336" i="1"/>
  <c r="AQ1336" i="1"/>
  <c r="AQ1869" i="1"/>
  <c r="AS1869" i="1" s="1"/>
  <c r="AU1869" i="1" s="1"/>
  <c r="AP1869" i="1"/>
  <c r="AR1869" i="1" s="1"/>
  <c r="AT1869" i="1" s="1"/>
  <c r="AO1483" i="1"/>
  <c r="AO1360" i="1"/>
  <c r="AS2555" i="1"/>
  <c r="AU2555" i="1" s="1"/>
  <c r="AQ2504" i="1"/>
  <c r="AS2504" i="1" s="1"/>
  <c r="AU2504" i="1" s="1"/>
  <c r="AP2504" i="1"/>
  <c r="AR2504" i="1" s="1"/>
  <c r="AT2504" i="1" s="1"/>
  <c r="AQ2453" i="1"/>
  <c r="AS2453" i="1" s="1"/>
  <c r="AU2453" i="1" s="1"/>
  <c r="AP2453" i="1"/>
  <c r="AS2546" i="1"/>
  <c r="AU2546" i="1" s="1"/>
  <c r="AQ2486" i="1"/>
  <c r="AP2486" i="1"/>
  <c r="AR2351" i="1"/>
  <c r="AT2351" i="1" s="1"/>
  <c r="AQ2480" i="1"/>
  <c r="AP2480" i="1"/>
  <c r="AP2345" i="1"/>
  <c r="AR2345" i="1" s="1"/>
  <c r="AT2345" i="1" s="1"/>
  <c r="AQ2345" i="1"/>
  <c r="AS2345" i="1" s="1"/>
  <c r="AU2345" i="1" s="1"/>
  <c r="AS2426" i="1"/>
  <c r="AU2426" i="1" s="1"/>
  <c r="AR2473" i="1"/>
  <c r="AT2473" i="1" s="1"/>
  <c r="AQ2449" i="1"/>
  <c r="AP2449" i="1"/>
  <c r="AP2494" i="1"/>
  <c r="AQ2494" i="1"/>
  <c r="AR2359" i="1"/>
  <c r="AT2359" i="1" s="1"/>
  <c r="AQ2427" i="1"/>
  <c r="AS2427" i="1" s="1"/>
  <c r="AU2427" i="1" s="1"/>
  <c r="AP2427" i="1"/>
  <c r="AR2427" i="1" s="1"/>
  <c r="AT2427" i="1" s="1"/>
  <c r="AQ2464" i="1"/>
  <c r="AS2464" i="1" s="1"/>
  <c r="AU2464" i="1" s="1"/>
  <c r="AP2464" i="1"/>
  <c r="AQ2315" i="1"/>
  <c r="AP2315" i="1"/>
  <c r="AQ2290" i="1"/>
  <c r="AS2290" i="1" s="1"/>
  <c r="AU2290" i="1" s="1"/>
  <c r="AP2290" i="1"/>
  <c r="AR2290" i="1" s="1"/>
  <c r="AT2290" i="1" s="1"/>
  <c r="AQ2202" i="1"/>
  <c r="AS2202" i="1" s="1"/>
  <c r="AU2202" i="1" s="1"/>
  <c r="AP2202" i="1"/>
  <c r="AR2202" i="1" s="1"/>
  <c r="AT2202" i="1" s="1"/>
  <c r="AQ2282" i="1"/>
  <c r="AS2282" i="1" s="1"/>
  <c r="AU2282" i="1" s="1"/>
  <c r="AP2282" i="1"/>
  <c r="AR2282" i="1" s="1"/>
  <c r="AT2282" i="1" s="1"/>
  <c r="AP2146" i="1"/>
  <c r="AR2146" i="1" s="1"/>
  <c r="AT2146" i="1" s="1"/>
  <c r="AQ2146" i="1"/>
  <c r="AS2146" i="1" s="1"/>
  <c r="AU2146" i="1" s="1"/>
  <c r="AP2303" i="1"/>
  <c r="AQ2303" i="1"/>
  <c r="AS2414" i="1"/>
  <c r="AU2414" i="1" s="1"/>
  <c r="AS2413" i="1"/>
  <c r="AU2413" i="1" s="1"/>
  <c r="AP2207" i="1"/>
  <c r="AR2207" i="1" s="1"/>
  <c r="AT2207" i="1" s="1"/>
  <c r="AQ2207" i="1"/>
  <c r="AS2207" i="1" s="1"/>
  <c r="AU2207" i="1" s="1"/>
  <c r="AS2337" i="1"/>
  <c r="AU2337" i="1" s="1"/>
  <c r="AS2249" i="1"/>
  <c r="AU2249" i="1" s="1"/>
  <c r="AQ2241" i="1"/>
  <c r="AS2241" i="1" s="1"/>
  <c r="AU2241" i="1" s="1"/>
  <c r="AP2241" i="1"/>
  <c r="AR2241" i="1" s="1"/>
  <c r="AT2241" i="1" s="1"/>
  <c r="AQ2149" i="1"/>
  <c r="AS2149" i="1" s="1"/>
  <c r="AU2149" i="1" s="1"/>
  <c r="AP2149" i="1"/>
  <c r="AR2149" i="1" s="1"/>
  <c r="AT2149" i="1" s="1"/>
  <c r="AQ1938" i="1"/>
  <c r="AP1938" i="1"/>
  <c r="AQ2132" i="1"/>
  <c r="AS2132" i="1" s="1"/>
  <c r="AU2132" i="1" s="1"/>
  <c r="AP2132" i="1"/>
  <c r="AR2132" i="1" s="1"/>
  <c r="AT2132" i="1" s="1"/>
  <c r="AP2025" i="1"/>
  <c r="AR2025" i="1" s="1"/>
  <c r="AT2025" i="1" s="1"/>
  <c r="AQ2025" i="1"/>
  <c r="AS2025" i="1" s="1"/>
  <c r="AU2025" i="1" s="1"/>
  <c r="AQ2170" i="1"/>
  <c r="AP2170" i="1"/>
  <c r="AP2274" i="1"/>
  <c r="AQ2274" i="1"/>
  <c r="AP2055" i="1"/>
  <c r="AR2055" i="1" s="1"/>
  <c r="AT2055" i="1" s="1"/>
  <c r="AQ2055" i="1"/>
  <c r="AS2055" i="1" s="1"/>
  <c r="AU2055" i="1" s="1"/>
  <c r="AS2191" i="1"/>
  <c r="AU2191" i="1" s="1"/>
  <c r="AQ2094" i="1"/>
  <c r="AS2094" i="1" s="1"/>
  <c r="AU2094" i="1" s="1"/>
  <c r="AP2094" i="1"/>
  <c r="AR2094" i="1" s="1"/>
  <c r="AT2094" i="1" s="1"/>
  <c r="AQ2006" i="1"/>
  <c r="AS2006" i="1" s="1"/>
  <c r="AU2006" i="1" s="1"/>
  <c r="AP2006" i="1"/>
  <c r="AR2006" i="1" s="1"/>
  <c r="AT2006" i="1" s="1"/>
  <c r="AR2251" i="1"/>
  <c r="AT2251" i="1" s="1"/>
  <c r="AR2079" i="1"/>
  <c r="AT2079" i="1" s="1"/>
  <c r="AR2313" i="1"/>
  <c r="AT2313" i="1" s="1"/>
  <c r="AP2183" i="1"/>
  <c r="AQ2183" i="1"/>
  <c r="AQ2091" i="1"/>
  <c r="AP2091" i="1"/>
  <c r="AQ1903" i="1"/>
  <c r="AS1903" i="1" s="1"/>
  <c r="AU1903" i="1" s="1"/>
  <c r="AP1903" i="1"/>
  <c r="AR1903" i="1" s="1"/>
  <c r="AT1903" i="1" s="1"/>
  <c r="AQ2157" i="1"/>
  <c r="AP2157" i="1"/>
  <c r="AR2157" i="1" s="1"/>
  <c r="AT2157" i="1" s="1"/>
  <c r="AP1974" i="1"/>
  <c r="AQ1974" i="1"/>
  <c r="AQ2109" i="1"/>
  <c r="AS2109" i="1" s="1"/>
  <c r="AU2109" i="1" s="1"/>
  <c r="AP2109" i="1"/>
  <c r="AQ2034" i="1"/>
  <c r="AP2034" i="1"/>
  <c r="AP2269" i="1"/>
  <c r="AQ2269" i="1"/>
  <c r="AQ2068" i="1"/>
  <c r="AP2068" i="1"/>
  <c r="AR2068" i="1" s="1"/>
  <c r="AT2068" i="1" s="1"/>
  <c r="AP1535" i="1"/>
  <c r="AR1535" i="1" s="1"/>
  <c r="AT1535" i="1" s="1"/>
  <c r="AQ1535" i="1"/>
  <c r="AS1535" i="1" s="1"/>
  <c r="AU1535" i="1" s="1"/>
  <c r="AP1912" i="1"/>
  <c r="AR1912" i="1" s="1"/>
  <c r="AT1912" i="1" s="1"/>
  <c r="AQ1912" i="1"/>
  <c r="AS2180" i="1"/>
  <c r="AU2180" i="1" s="1"/>
  <c r="AQ1964" i="1"/>
  <c r="AP1964" i="1"/>
  <c r="AQ2103" i="1"/>
  <c r="AS2103" i="1" s="1"/>
  <c r="AU2103" i="1" s="1"/>
  <c r="AP2103" i="1"/>
  <c r="AR2103" i="1" s="1"/>
  <c r="AT2103" i="1" s="1"/>
  <c r="AQ1905" i="1"/>
  <c r="AS1905" i="1" s="1"/>
  <c r="AU1905" i="1" s="1"/>
  <c r="AP1905" i="1"/>
  <c r="AR1905" i="1" s="1"/>
  <c r="AT1905" i="1" s="1"/>
  <c r="AQ1955" i="1"/>
  <c r="AS1955" i="1" s="1"/>
  <c r="AU1955" i="1" s="1"/>
  <c r="AP1955" i="1"/>
  <c r="AR1955" i="1" s="1"/>
  <c r="AT1955" i="1" s="1"/>
  <c r="AO1406" i="1"/>
  <c r="AQ2177" i="1"/>
  <c r="AP2177" i="1"/>
  <c r="AR1854" i="1"/>
  <c r="AT1854" i="1" s="1"/>
  <c r="AR1744" i="1"/>
  <c r="AT1744" i="1" s="1"/>
  <c r="AR1745" i="1"/>
  <c r="AT1745" i="1" s="1"/>
  <c r="AR1565" i="1"/>
  <c r="AT1565" i="1" s="1"/>
  <c r="AR1679" i="1"/>
  <c r="AT1679" i="1" s="1"/>
  <c r="AR1680" i="1"/>
  <c r="AT1680" i="1" s="1"/>
  <c r="AO1510" i="1"/>
  <c r="AO1382" i="1"/>
  <c r="AQ1965" i="1"/>
  <c r="AS1965" i="1" s="1"/>
  <c r="AU1965" i="1" s="1"/>
  <c r="AP1965" i="1"/>
  <c r="AR1965" i="1" s="1"/>
  <c r="AT1965" i="1" s="1"/>
  <c r="AS2293" i="1"/>
  <c r="AU2293" i="1" s="1"/>
  <c r="AP2040" i="1"/>
  <c r="AQ2040" i="1"/>
  <c r="AS2040" i="1" s="1"/>
  <c r="AU2040" i="1" s="1"/>
  <c r="AS2450" i="1"/>
  <c r="AU2450" i="1" s="1"/>
  <c r="AQ1890" i="1"/>
  <c r="AP1890" i="1"/>
  <c r="AR1890" i="1" s="1"/>
  <c r="AT1890" i="1" s="1"/>
  <c r="AS1596" i="1"/>
  <c r="AU1596" i="1" s="1"/>
  <c r="AO1434" i="1"/>
  <c r="AO1290" i="1"/>
  <c r="AS1774" i="1"/>
  <c r="AU1774" i="1" s="1"/>
  <c r="AQ1520" i="1"/>
  <c r="AP1520" i="1"/>
  <c r="AO1356" i="1"/>
  <c r="AQ1629" i="1"/>
  <c r="AS1629" i="1" s="1"/>
  <c r="AU1629" i="1" s="1"/>
  <c r="AP1629" i="1"/>
  <c r="AR1629" i="1" s="1"/>
  <c r="AT1629" i="1" s="1"/>
  <c r="AO1506" i="1"/>
  <c r="AO1407" i="1"/>
  <c r="AO1152" i="1"/>
  <c r="AR1724" i="1"/>
  <c r="AT1724" i="1" s="1"/>
  <c r="AO1500" i="1"/>
  <c r="AS1556" i="1"/>
  <c r="AU1556" i="1" s="1"/>
  <c r="AR1616" i="1"/>
  <c r="AT1616" i="1" s="1"/>
  <c r="AQ1528" i="1"/>
  <c r="AP1528" i="1"/>
  <c r="AR2081" i="1"/>
  <c r="AT2081" i="1" s="1"/>
  <c r="AQ1667" i="1"/>
  <c r="AS1667" i="1" s="1"/>
  <c r="AU1667" i="1" s="1"/>
  <c r="AP1667" i="1"/>
  <c r="AR1667" i="1" s="1"/>
  <c r="AT1667" i="1" s="1"/>
  <c r="AQ1557" i="1"/>
  <c r="AS1557" i="1" s="1"/>
  <c r="AU1557" i="1" s="1"/>
  <c r="AP1557" i="1"/>
  <c r="AR1557" i="1" s="1"/>
  <c r="AT1557" i="1" s="1"/>
  <c r="AQ1559" i="1"/>
  <c r="AS1559" i="1" s="1"/>
  <c r="AU1559" i="1" s="1"/>
  <c r="AP1559" i="1"/>
  <c r="AQ1975" i="1"/>
  <c r="AP1975" i="1"/>
  <c r="AQ1568" i="1"/>
  <c r="AP1568" i="1"/>
  <c r="AR1568" i="1" s="1"/>
  <c r="AT1568" i="1" s="1"/>
  <c r="AO1326" i="1"/>
  <c r="AO1248" i="1"/>
  <c r="AO1247" i="1"/>
  <c r="AO1223" i="1"/>
  <c r="AO1222" i="1"/>
  <c r="AO1198" i="1"/>
  <c r="AQ1341" i="1"/>
  <c r="AP1341" i="1"/>
  <c r="AO1236" i="1"/>
  <c r="AO786" i="1"/>
  <c r="AO761" i="1"/>
  <c r="AO1150" i="1"/>
  <c r="AO890" i="1"/>
  <c r="AO1384" i="1"/>
  <c r="AO1161" i="1"/>
  <c r="AO974" i="1"/>
  <c r="AO1368" i="1"/>
  <c r="AO1110" i="1"/>
  <c r="AO1418" i="1"/>
  <c r="AO1405" i="1"/>
  <c r="AO1284" i="1"/>
  <c r="AO1282" i="1"/>
  <c r="AS1704" i="1"/>
  <c r="AU1704" i="1" s="1"/>
  <c r="AO1276" i="1"/>
  <c r="AO846" i="1"/>
  <c r="AO1059" i="1"/>
  <c r="AO866" i="1"/>
  <c r="AO656" i="1"/>
  <c r="AO1205" i="1"/>
  <c r="AO1037" i="1"/>
  <c r="AQ917" i="1"/>
  <c r="AP917" i="1"/>
  <c r="AP722" i="1"/>
  <c r="AQ722" i="1"/>
  <c r="AO1096" i="1"/>
  <c r="AO788" i="1"/>
  <c r="AO1013" i="1"/>
  <c r="AO882" i="1"/>
  <c r="AO1141" i="1"/>
  <c r="AO1142" i="1"/>
  <c r="AQ1338" i="1"/>
  <c r="AS1338" i="1" s="1"/>
  <c r="AU1338" i="1" s="1"/>
  <c r="AP1338" i="1"/>
  <c r="AR1338" i="1" s="1"/>
  <c r="AT1338" i="1" s="1"/>
  <c r="AO1217" i="1"/>
  <c r="AO1104" i="1"/>
  <c r="AO1108" i="1"/>
  <c r="AO1028" i="1"/>
  <c r="AO1245" i="1"/>
  <c r="AO1425" i="1"/>
  <c r="AO1090" i="1"/>
  <c r="AO839" i="1"/>
  <c r="AP706" i="1"/>
  <c r="AQ706" i="1"/>
  <c r="AS706" i="1" s="1"/>
  <c r="AU706" i="1" s="1"/>
  <c r="AO466" i="1"/>
  <c r="AP304" i="1"/>
  <c r="AQ304" i="1"/>
  <c r="AO930" i="1"/>
  <c r="AO801" i="1"/>
  <c r="AO602" i="1"/>
  <c r="AO450" i="1"/>
  <c r="AO951" i="1"/>
  <c r="AO519" i="1"/>
  <c r="AO214" i="1"/>
  <c r="AO947" i="1"/>
  <c r="AO758" i="1"/>
  <c r="AO522" i="1"/>
  <c r="AO953" i="1"/>
  <c r="AO1089" i="1"/>
  <c r="AO849" i="1"/>
  <c r="AO879" i="1"/>
  <c r="AO671" i="1"/>
  <c r="AO1101" i="1"/>
  <c r="AO845" i="1"/>
  <c r="AO952" i="1"/>
  <c r="AP662" i="1"/>
  <c r="AQ662" i="1"/>
  <c r="AS662" i="1" s="1"/>
  <c r="AU662" i="1" s="1"/>
  <c r="AO552" i="1"/>
  <c r="AO598" i="1"/>
  <c r="AO428" i="1"/>
  <c r="AO303" i="1"/>
  <c r="AO644" i="1"/>
  <c r="AP461" i="1"/>
  <c r="AQ461" i="1"/>
  <c r="AS461" i="1" s="1"/>
  <c r="AU461" i="1" s="1"/>
  <c r="AO392" i="1"/>
  <c r="AO285" i="1"/>
  <c r="AO648" i="1"/>
  <c r="AO516" i="1"/>
  <c r="AO252" i="1"/>
  <c r="AO652" i="1"/>
  <c r="AO457" i="1"/>
  <c r="AO592" i="1"/>
  <c r="AO474" i="1"/>
  <c r="AO377" i="1"/>
  <c r="AQ537" i="1"/>
  <c r="AP537" i="1"/>
  <c r="AR537" i="1" s="1"/>
  <c r="AT537" i="1" s="1"/>
  <c r="AO838" i="1"/>
  <c r="AO575" i="1"/>
  <c r="AO411" i="1"/>
  <c r="AO595" i="1"/>
  <c r="AO521" i="1"/>
  <c r="AO218" i="1"/>
  <c r="AO359" i="1"/>
  <c r="AO122" i="1"/>
  <c r="AO319" i="1"/>
  <c r="AO82" i="1"/>
  <c r="AO387" i="1"/>
  <c r="AO232" i="1"/>
  <c r="AO128" i="1"/>
  <c r="AO78" i="1"/>
  <c r="AO28" i="1"/>
  <c r="AO249" i="1"/>
  <c r="AO627" i="1"/>
  <c r="AQ349" i="1"/>
  <c r="AP349" i="1"/>
  <c r="AO352" i="1"/>
  <c r="AQ163" i="1"/>
  <c r="AP163" i="1"/>
  <c r="AO149" i="1"/>
  <c r="AO49" i="1"/>
  <c r="AO30" i="1"/>
  <c r="AO36" i="1"/>
  <c r="AO410" i="1"/>
  <c r="AO35" i="1"/>
  <c r="AO312" i="1"/>
  <c r="AO75" i="1"/>
  <c r="AO50" i="1"/>
  <c r="AQ1035" i="1"/>
  <c r="AP1035" i="1"/>
  <c r="AP893" i="1"/>
  <c r="AR893" i="1" s="1"/>
  <c r="AT893" i="1" s="1"/>
  <c r="AQ893" i="1"/>
  <c r="AS893" i="1" s="1"/>
  <c r="AU893" i="1" s="1"/>
  <c r="AP694" i="1"/>
  <c r="AQ694" i="1"/>
  <c r="AO1098" i="1"/>
  <c r="AQ988" i="1"/>
  <c r="AP988" i="1"/>
  <c r="AO792" i="1"/>
  <c r="AO1314" i="1"/>
  <c r="AO1132" i="1"/>
  <c r="AO995" i="1"/>
  <c r="AO1410" i="1"/>
  <c r="AO1137" i="1"/>
  <c r="AQ1335" i="1"/>
  <c r="AS1335" i="1" s="1"/>
  <c r="AU1335" i="1" s="1"/>
  <c r="AP1335" i="1"/>
  <c r="AR1335" i="1" s="1"/>
  <c r="AT1335" i="1" s="1"/>
  <c r="AQ1201" i="1"/>
  <c r="AP1201" i="1"/>
  <c r="AR1201" i="1" s="1"/>
  <c r="AT1201" i="1" s="1"/>
  <c r="AO1097" i="1"/>
  <c r="AO1109" i="1"/>
  <c r="AO1032" i="1"/>
  <c r="AQ1206" i="1"/>
  <c r="AP1206" i="1"/>
  <c r="AP1069" i="1"/>
  <c r="AR1069" i="1" s="1"/>
  <c r="AT1069" i="1" s="1"/>
  <c r="AQ1069" i="1"/>
  <c r="AS1069" i="1" s="1"/>
  <c r="AU1069" i="1" s="1"/>
  <c r="AP1225" i="1"/>
  <c r="AR1225" i="1" s="1"/>
  <c r="AT1225" i="1" s="1"/>
  <c r="AQ1225" i="1"/>
  <c r="AS1225" i="1" s="1"/>
  <c r="AU1225" i="1" s="1"/>
  <c r="AP1071" i="1"/>
  <c r="AQ1071" i="1"/>
  <c r="AQ860" i="1"/>
  <c r="AP860" i="1"/>
  <c r="AO1167" i="1"/>
  <c r="AQ842" i="1"/>
  <c r="AP842" i="1"/>
  <c r="AQ688" i="1"/>
  <c r="AP688" i="1"/>
  <c r="AQ467" i="1"/>
  <c r="AP467" i="1"/>
  <c r="AP279" i="1"/>
  <c r="AQ279" i="1"/>
  <c r="AO931" i="1"/>
  <c r="AP701" i="1"/>
  <c r="AQ701" i="1"/>
  <c r="AP601" i="1"/>
  <c r="AQ601" i="1"/>
  <c r="AP425" i="1"/>
  <c r="AQ425" i="1"/>
  <c r="AP944" i="1"/>
  <c r="AQ944" i="1"/>
  <c r="AQ508" i="1"/>
  <c r="AP508" i="1"/>
  <c r="AO189" i="1"/>
  <c r="AO188" i="1"/>
  <c r="AO948" i="1"/>
  <c r="AP716" i="1"/>
  <c r="AR716" i="1" s="1"/>
  <c r="AT716" i="1" s="1"/>
  <c r="AQ716" i="1"/>
  <c r="AQ523" i="1"/>
  <c r="AP523" i="1"/>
  <c r="AO929" i="1"/>
  <c r="AQ853" i="1"/>
  <c r="AP853" i="1"/>
  <c r="AQ880" i="1"/>
  <c r="AP880" i="1"/>
  <c r="AP672" i="1"/>
  <c r="AQ672" i="1"/>
  <c r="AO834" i="1"/>
  <c r="AO1082" i="1"/>
  <c r="AP661" i="1"/>
  <c r="AR661" i="1" s="1"/>
  <c r="AT661" i="1" s="1"/>
  <c r="AQ661" i="1"/>
  <c r="AQ549" i="1"/>
  <c r="AP549" i="1"/>
  <c r="AQ565" i="1"/>
  <c r="AP565" i="1"/>
  <c r="AP412" i="1"/>
  <c r="AQ412" i="1"/>
  <c r="AO284" i="1"/>
  <c r="AO283" i="1"/>
  <c r="AO628" i="1"/>
  <c r="AO441" i="1"/>
  <c r="AP386" i="1"/>
  <c r="AR386" i="1" s="1"/>
  <c r="AT386" i="1" s="1"/>
  <c r="AQ386" i="1"/>
  <c r="AP968" i="1"/>
  <c r="AQ968" i="1"/>
  <c r="AS968" i="1" s="1"/>
  <c r="AU968" i="1" s="1"/>
  <c r="AO632" i="1"/>
  <c r="AO497" i="1"/>
  <c r="AQ248" i="1"/>
  <c r="AP248" i="1"/>
  <c r="AO655" i="1"/>
  <c r="AO423" i="1"/>
  <c r="AP591" i="1"/>
  <c r="AQ591" i="1"/>
  <c r="AP455" i="1"/>
  <c r="AQ455" i="1"/>
  <c r="AP376" i="1"/>
  <c r="AR376" i="1" s="1"/>
  <c r="AT376" i="1" s="1"/>
  <c r="AQ376" i="1"/>
  <c r="AS376" i="1" s="1"/>
  <c r="AU376" i="1" s="1"/>
  <c r="AP532" i="1"/>
  <c r="AR532" i="1" s="1"/>
  <c r="AT532" i="1" s="1"/>
  <c r="AQ532" i="1"/>
  <c r="AS532" i="1" s="1"/>
  <c r="AU532" i="1" s="1"/>
  <c r="AQ764" i="1"/>
  <c r="AS764" i="1" s="1"/>
  <c r="AU764" i="1" s="1"/>
  <c r="AP764" i="1"/>
  <c r="AO578" i="1"/>
  <c r="AQ703" i="1"/>
  <c r="AP703" i="1"/>
  <c r="AO896" i="1"/>
  <c r="AO463" i="1"/>
  <c r="AO502" i="1"/>
  <c r="AO335" i="1"/>
  <c r="AQ215" i="1"/>
  <c r="AP215" i="1"/>
  <c r="AQ268" i="1"/>
  <c r="AP268" i="1"/>
  <c r="AP113" i="1"/>
  <c r="AQ113" i="1"/>
  <c r="AO309" i="1"/>
  <c r="AO124" i="1"/>
  <c r="AP73" i="1"/>
  <c r="AR73" i="1" s="1"/>
  <c r="AT73" i="1" s="1"/>
  <c r="AQ73" i="1"/>
  <c r="AS73" i="1" s="1"/>
  <c r="AU73" i="1" s="1"/>
  <c r="AP351" i="1"/>
  <c r="AR351" i="1" s="1"/>
  <c r="AT351" i="1" s="1"/>
  <c r="AQ351" i="1"/>
  <c r="AS351" i="1" s="1"/>
  <c r="AU351" i="1" s="1"/>
  <c r="AO200" i="1"/>
  <c r="AP127" i="1"/>
  <c r="AQ127" i="1"/>
  <c r="AP77" i="1"/>
  <c r="AQ77" i="1"/>
  <c r="AP27" i="1"/>
  <c r="AQ27" i="1"/>
  <c r="AQ146" i="1"/>
  <c r="AP146" i="1"/>
  <c r="AO13" i="1"/>
  <c r="AO593" i="1"/>
  <c r="AQ542" i="1"/>
  <c r="AP542" i="1"/>
  <c r="AR542" i="1" s="1"/>
  <c r="AT542" i="1" s="1"/>
  <c r="AQ318" i="1"/>
  <c r="AP318" i="1"/>
  <c r="AR318" i="1" s="1"/>
  <c r="AT318" i="1" s="1"/>
  <c r="AQ223" i="1"/>
  <c r="AS223" i="1" s="1"/>
  <c r="AU223" i="1" s="1"/>
  <c r="AP223" i="1"/>
  <c r="AR223" i="1" s="1"/>
  <c r="AT223" i="1" s="1"/>
  <c r="AP348" i="1"/>
  <c r="AQ348" i="1"/>
  <c r="AS348" i="1" s="1"/>
  <c r="AU348" i="1" s="1"/>
  <c r="AQ162" i="1"/>
  <c r="AP162" i="1"/>
  <c r="AQ385" i="1"/>
  <c r="AS385" i="1" s="1"/>
  <c r="AU385" i="1" s="1"/>
  <c r="AP385" i="1"/>
  <c r="AR385" i="1" s="1"/>
  <c r="AT385" i="1" s="1"/>
  <c r="AQ237" i="1"/>
  <c r="AP237" i="1"/>
  <c r="AQ350" i="1"/>
  <c r="AP350" i="1"/>
  <c r="AO139" i="1"/>
  <c r="AP39" i="1"/>
  <c r="AQ39" i="1"/>
  <c r="AO489" i="1"/>
  <c r="AP34" i="1"/>
  <c r="AQ34" i="1"/>
  <c r="AQ212" i="1"/>
  <c r="AP212" i="1"/>
  <c r="AO338" i="1"/>
  <c r="AO337" i="1"/>
  <c r="AQ60" i="1"/>
  <c r="AP60" i="1"/>
  <c r="AO282" i="1"/>
  <c r="AO1388" i="1"/>
  <c r="AO1123" i="1"/>
  <c r="AO821" i="1"/>
  <c r="AQ983" i="1"/>
  <c r="AP983" i="1"/>
  <c r="AO819" i="1"/>
  <c r="AO1193" i="1"/>
  <c r="AP1027" i="1"/>
  <c r="AQ1027" i="1"/>
  <c r="AO870" i="1"/>
  <c r="AQ629" i="1"/>
  <c r="AP629" i="1"/>
  <c r="AP1068" i="1"/>
  <c r="AQ1068" i="1"/>
  <c r="AO791" i="1"/>
  <c r="AO1133" i="1"/>
  <c r="AO978" i="1"/>
  <c r="AO1391" i="1"/>
  <c r="AQ1116" i="1"/>
  <c r="AP1116" i="1"/>
  <c r="AR1116" i="1" s="1"/>
  <c r="AT1116" i="1" s="1"/>
  <c r="AQ1337" i="1"/>
  <c r="AS1337" i="1" s="1"/>
  <c r="AU1337" i="1" s="1"/>
  <c r="AP1337" i="1"/>
  <c r="AP1093" i="1"/>
  <c r="AQ1093" i="1"/>
  <c r="AQ1078" i="1"/>
  <c r="AP1078" i="1"/>
  <c r="AO962" i="1"/>
  <c r="AO1156" i="1"/>
  <c r="AO1055" i="1"/>
  <c r="AO1212" i="1"/>
  <c r="AO1072" i="1"/>
  <c r="AQ862" i="1"/>
  <c r="AP862" i="1"/>
  <c r="AO986" i="1"/>
  <c r="AO841" i="1"/>
  <c r="AP660" i="1"/>
  <c r="AQ660" i="1"/>
  <c r="AO446" i="1"/>
  <c r="AP254" i="1"/>
  <c r="AQ254" i="1"/>
  <c r="AQ908" i="1"/>
  <c r="AP908" i="1"/>
  <c r="AO695" i="1"/>
  <c r="AQ580" i="1"/>
  <c r="AP580" i="1"/>
  <c r="AP400" i="1"/>
  <c r="AQ400" i="1"/>
  <c r="AP924" i="1"/>
  <c r="AQ924" i="1"/>
  <c r="AQ500" i="1"/>
  <c r="AP500" i="1"/>
  <c r="AQ855" i="1"/>
  <c r="AP855" i="1"/>
  <c r="AQ680" i="1"/>
  <c r="AP680" i="1"/>
  <c r="AQ484" i="1"/>
  <c r="AP484" i="1"/>
  <c r="AQ912" i="1"/>
  <c r="AP912" i="1"/>
  <c r="AQ992" i="1"/>
  <c r="AP992" i="1"/>
  <c r="AQ843" i="1"/>
  <c r="AP843" i="1"/>
  <c r="AQ1165" i="1"/>
  <c r="AP1165" i="1"/>
  <c r="AO859" i="1"/>
  <c r="AQ1231" i="1"/>
  <c r="AS1231" i="1" s="1"/>
  <c r="AU1231" i="1" s="1"/>
  <c r="AP1231" i="1"/>
  <c r="AR1231" i="1" s="1"/>
  <c r="AT1231" i="1" s="1"/>
  <c r="AO828" i="1"/>
  <c r="AO1077" i="1"/>
  <c r="AO814" i="1"/>
  <c r="AO895" i="1"/>
  <c r="AO621" i="1"/>
  <c r="AO405" i="1"/>
  <c r="AQ273" i="1"/>
  <c r="AP273" i="1"/>
  <c r="AO584" i="1"/>
  <c r="AO439" i="1"/>
  <c r="AQ358" i="1"/>
  <c r="AP358" i="1"/>
  <c r="AO687" i="1"/>
  <c r="AO631" i="1"/>
  <c r="AP495" i="1"/>
  <c r="AQ495" i="1"/>
  <c r="AP211" i="1"/>
  <c r="AQ211" i="1"/>
  <c r="AO620" i="1"/>
  <c r="AO421" i="1"/>
  <c r="AO569" i="1"/>
  <c r="AO447" i="1"/>
  <c r="AQ637" i="1"/>
  <c r="AP637" i="1"/>
  <c r="AO430" i="1"/>
  <c r="AO700" i="1"/>
  <c r="AO482" i="1"/>
  <c r="AO692" i="1"/>
  <c r="AO525" i="1"/>
  <c r="AO564" i="1"/>
  <c r="AO448" i="1"/>
  <c r="AO501" i="1"/>
  <c r="AP317" i="1"/>
  <c r="AQ317" i="1"/>
  <c r="AO363" i="1"/>
  <c r="AO360" i="1"/>
  <c r="AO194" i="1"/>
  <c r="AO193" i="1"/>
  <c r="AO112" i="1"/>
  <c r="AO277" i="1"/>
  <c r="AQ106" i="1"/>
  <c r="AP106" i="1"/>
  <c r="AP72" i="1"/>
  <c r="AQ72" i="1"/>
  <c r="AO332" i="1"/>
  <c r="AO182" i="1"/>
  <c r="AP118" i="1"/>
  <c r="AQ118" i="1"/>
  <c r="AO68" i="1"/>
  <c r="AO245" i="1"/>
  <c r="AP134" i="1"/>
  <c r="AQ134" i="1"/>
  <c r="AO143" i="1"/>
  <c r="AO579" i="1"/>
  <c r="AP510" i="1"/>
  <c r="AQ510" i="1"/>
  <c r="AQ295" i="1"/>
  <c r="AP295" i="1"/>
  <c r="AO217" i="1"/>
  <c r="AO342" i="1"/>
  <c r="AP133" i="1"/>
  <c r="AQ133" i="1"/>
  <c r="AO604" i="1"/>
  <c r="AQ290" i="1"/>
  <c r="AP290" i="1"/>
  <c r="AO129" i="1"/>
  <c r="AQ31" i="1"/>
  <c r="AP31" i="1"/>
  <c r="AO374" i="1"/>
  <c r="AP33" i="1"/>
  <c r="AQ33" i="1"/>
  <c r="AO45" i="1"/>
  <c r="AO287" i="1"/>
  <c r="AQ151" i="1"/>
  <c r="AS151" i="1" s="1"/>
  <c r="AU151" i="1" s="1"/>
  <c r="AP151" i="1"/>
  <c r="AQ302" i="1"/>
  <c r="AP302" i="1"/>
  <c r="AQ121" i="1"/>
  <c r="AP121" i="1"/>
  <c r="AO175" i="1"/>
  <c r="AQ327" i="1"/>
  <c r="AS327" i="1" s="1"/>
  <c r="AU327" i="1" s="1"/>
  <c r="AP327" i="1"/>
  <c r="AR327" i="1" s="1"/>
  <c r="AT327" i="1" s="1"/>
  <c r="AO187" i="1"/>
  <c r="AO1195" i="1"/>
  <c r="AQ1021" i="1"/>
  <c r="AP1021" i="1"/>
  <c r="AQ872" i="1"/>
  <c r="AP872" i="1"/>
  <c r="AP557" i="1"/>
  <c r="AQ557" i="1"/>
  <c r="AQ1062" i="1"/>
  <c r="AP1062" i="1"/>
  <c r="AO875" i="1"/>
  <c r="AQ785" i="1"/>
  <c r="AP785" i="1"/>
  <c r="AO1240" i="1"/>
  <c r="AO1135" i="1"/>
  <c r="AO979" i="1"/>
  <c r="AP1115" i="1"/>
  <c r="AR1115" i="1" s="1"/>
  <c r="AT1115" i="1" s="1"/>
  <c r="AQ1115" i="1"/>
  <c r="AS1115" i="1" s="1"/>
  <c r="AU1115" i="1" s="1"/>
  <c r="AO1143" i="1"/>
  <c r="AO1061" i="1"/>
  <c r="AO1064" i="1"/>
  <c r="AO963" i="1"/>
  <c r="AO1153" i="1"/>
  <c r="AR1334" i="1"/>
  <c r="AT1334" i="1" s="1"/>
  <c r="AO1056" i="1"/>
  <c r="AP1200" i="1"/>
  <c r="AQ1200" i="1"/>
  <c r="AQ1073" i="1"/>
  <c r="AP1073" i="1"/>
  <c r="AP861" i="1"/>
  <c r="AR861" i="1" s="1"/>
  <c r="AT861" i="1" s="1"/>
  <c r="AQ861" i="1"/>
  <c r="AS861" i="1" s="1"/>
  <c r="AU861" i="1" s="1"/>
  <c r="AO888" i="1"/>
  <c r="AO805" i="1"/>
  <c r="AO643" i="1"/>
  <c r="AQ449" i="1"/>
  <c r="AP449" i="1"/>
  <c r="AP229" i="1"/>
  <c r="AQ229" i="1"/>
  <c r="AQ910" i="1"/>
  <c r="AS910" i="1" s="1"/>
  <c r="AU910" i="1" s="1"/>
  <c r="AP910" i="1"/>
  <c r="AO693" i="1"/>
  <c r="AO577" i="1"/>
  <c r="AP375" i="1"/>
  <c r="AQ375" i="1"/>
  <c r="AQ925" i="1"/>
  <c r="AP925" i="1"/>
  <c r="AP491" i="1"/>
  <c r="AQ491" i="1"/>
  <c r="AO1004" i="1"/>
  <c r="AO854" i="1"/>
  <c r="AO626" i="1"/>
  <c r="AO858" i="1"/>
  <c r="AQ1010" i="1"/>
  <c r="AS1010" i="1" s="1"/>
  <c r="AU1010" i="1" s="1"/>
  <c r="AP1010" i="1"/>
  <c r="AR1010" i="1" s="1"/>
  <c r="AT1010" i="1" s="1"/>
  <c r="AO812" i="1"/>
  <c r="AQ1022" i="1"/>
  <c r="AS1022" i="1" s="1"/>
  <c r="AU1022" i="1" s="1"/>
  <c r="AP1022" i="1"/>
  <c r="AR1022" i="1" s="1"/>
  <c r="AT1022" i="1" s="1"/>
  <c r="AO868" i="1"/>
  <c r="AO622" i="1"/>
  <c r="AO789" i="1"/>
  <c r="AO524" i="1"/>
  <c r="AQ407" i="1"/>
  <c r="AP407" i="1"/>
  <c r="AQ236" i="1"/>
  <c r="AP236" i="1"/>
  <c r="AQ585" i="1"/>
  <c r="AP585" i="1"/>
  <c r="AO440" i="1"/>
  <c r="AP347" i="1"/>
  <c r="AQ347" i="1"/>
  <c r="AO690" i="1"/>
  <c r="AO600" i="1"/>
  <c r="AQ340" i="1"/>
  <c r="AP340" i="1"/>
  <c r="AQ208" i="1"/>
  <c r="AP208" i="1"/>
  <c r="AO588" i="1"/>
  <c r="AO373" i="1"/>
  <c r="AO573" i="1"/>
  <c r="AO444" i="1"/>
  <c r="AO574" i="1"/>
  <c r="AQ432" i="1"/>
  <c r="AP432" i="1"/>
  <c r="AP650" i="1"/>
  <c r="AQ650" i="1"/>
  <c r="AO479" i="1"/>
  <c r="AO684" i="1"/>
  <c r="AO526" i="1"/>
  <c r="AO567" i="1"/>
  <c r="AP799" i="1"/>
  <c r="AQ799" i="1"/>
  <c r="AP494" i="1"/>
  <c r="AQ494" i="1"/>
  <c r="AO280" i="1"/>
  <c r="AQ364" i="1"/>
  <c r="AP364" i="1"/>
  <c r="AQ184" i="1"/>
  <c r="AP184" i="1"/>
  <c r="AQ126" i="1"/>
  <c r="AP126" i="1"/>
  <c r="AP103" i="1"/>
  <c r="AQ103" i="1"/>
  <c r="AQ260" i="1"/>
  <c r="AP260" i="1"/>
  <c r="AP94" i="1"/>
  <c r="AQ94" i="1"/>
  <c r="AP23" i="1"/>
  <c r="AQ23" i="1"/>
  <c r="AO334" i="1"/>
  <c r="AO181" i="1"/>
  <c r="AO117" i="1"/>
  <c r="AO67" i="1"/>
  <c r="AP220" i="1"/>
  <c r="AQ220" i="1"/>
  <c r="AO116" i="1"/>
  <c r="AO142" i="1"/>
  <c r="AO454" i="1"/>
  <c r="AQ96" i="1"/>
  <c r="AP96" i="1"/>
  <c r="AP297" i="1"/>
  <c r="AQ297" i="1"/>
  <c r="AO206" i="1"/>
  <c r="AP320" i="1"/>
  <c r="AQ320" i="1"/>
  <c r="AO132" i="1"/>
  <c r="AO366" i="1"/>
  <c r="AO599" i="1"/>
  <c r="AO265" i="1"/>
  <c r="AP119" i="1"/>
  <c r="AR119" i="1" s="1"/>
  <c r="AT119" i="1" s="1"/>
  <c r="AQ119" i="1"/>
  <c r="AO29" i="1"/>
  <c r="AO267" i="1"/>
  <c r="AO32" i="1"/>
  <c r="AO213" i="1"/>
  <c r="AO331" i="1"/>
  <c r="AO115" i="1"/>
  <c r="AO276" i="1"/>
  <c r="AO95" i="1"/>
  <c r="AQ155" i="1"/>
  <c r="AS155" i="1" s="1"/>
  <c r="AU155" i="1" s="1"/>
  <c r="AP155" i="1"/>
  <c r="AR155" i="1" s="1"/>
  <c r="AT155" i="1" s="1"/>
  <c r="AO796" i="1"/>
  <c r="AO795" i="1"/>
  <c r="AP939" i="1"/>
  <c r="AQ939" i="1"/>
  <c r="AO816" i="1"/>
  <c r="AO1194" i="1"/>
  <c r="AO985" i="1"/>
  <c r="AO871" i="1"/>
  <c r="AO556" i="1"/>
  <c r="AO555" i="1"/>
  <c r="AP1045" i="1"/>
  <c r="AQ1045" i="1"/>
  <c r="AP877" i="1"/>
  <c r="AQ877" i="1"/>
  <c r="AS877" i="1" s="1"/>
  <c r="AU877" i="1" s="1"/>
  <c r="AQ714" i="1"/>
  <c r="AP714" i="1"/>
  <c r="AO1241" i="1"/>
  <c r="AO1134" i="1"/>
  <c r="AO981" i="1"/>
  <c r="AO1113" i="1"/>
  <c r="AO1262" i="1"/>
  <c r="AO1146" i="1"/>
  <c r="AO1057" i="1"/>
  <c r="AO1063" i="1"/>
  <c r="AO965" i="1"/>
  <c r="AO1155" i="1"/>
  <c r="AS1334" i="1"/>
  <c r="AU1334" i="1" s="1"/>
  <c r="AQ1176" i="1"/>
  <c r="AP1176" i="1"/>
  <c r="AO1049" i="1"/>
  <c r="AQ852" i="1"/>
  <c r="AP852" i="1"/>
  <c r="AO887" i="1"/>
  <c r="AO774" i="1"/>
  <c r="AO640" i="1"/>
  <c r="AO443" i="1"/>
  <c r="AP204" i="1"/>
  <c r="AQ204" i="1"/>
  <c r="AQ878" i="1"/>
  <c r="AP878" i="1"/>
  <c r="AO658" i="1"/>
  <c r="AO576" i="1"/>
  <c r="AO1180" i="1"/>
  <c r="AO850" i="1"/>
  <c r="AP492" i="1"/>
  <c r="AQ492" i="1"/>
  <c r="AO1005" i="1"/>
  <c r="AQ844" i="1"/>
  <c r="AS844" i="1" s="1"/>
  <c r="AU844" i="1" s="1"/>
  <c r="AP844" i="1"/>
  <c r="AR844" i="1" s="1"/>
  <c r="AT844" i="1" s="1"/>
  <c r="AO630" i="1"/>
  <c r="AQ1117" i="1"/>
  <c r="AP1117" i="1"/>
  <c r="AO810" i="1"/>
  <c r="AO976" i="1"/>
  <c r="AO943" i="1"/>
  <c r="AO824" i="1"/>
  <c r="AO823" i="1"/>
  <c r="AO987" i="1"/>
  <c r="AO811" i="1"/>
  <c r="AO1002" i="1"/>
  <c r="AO745" i="1"/>
  <c r="AO818" i="1"/>
  <c r="AO597" i="1"/>
  <c r="AQ738" i="1"/>
  <c r="AP738" i="1"/>
  <c r="AO506" i="1"/>
  <c r="AO381" i="1"/>
  <c r="AQ199" i="1"/>
  <c r="AP199" i="1"/>
  <c r="AO587" i="1"/>
  <c r="AO442" i="1"/>
  <c r="AP310" i="1"/>
  <c r="AQ310" i="1"/>
  <c r="AO603" i="1"/>
  <c r="AO336" i="1"/>
  <c r="AO174" i="1"/>
  <c r="AO172" i="1"/>
  <c r="AP530" i="1"/>
  <c r="AR530" i="1" s="1"/>
  <c r="AT530" i="1" s="1"/>
  <c r="AQ530" i="1"/>
  <c r="AS530" i="1" s="1"/>
  <c r="AU530" i="1" s="1"/>
  <c r="AO371" i="1"/>
  <c r="AP558" i="1"/>
  <c r="AQ558" i="1"/>
  <c r="AO427" i="1"/>
  <c r="AQ559" i="1"/>
  <c r="AS559" i="1" s="1"/>
  <c r="AU559" i="1" s="1"/>
  <c r="AP559" i="1"/>
  <c r="AR559" i="1" s="1"/>
  <c r="AT559" i="1" s="1"/>
  <c r="AQ413" i="1"/>
  <c r="AS413" i="1" s="1"/>
  <c r="AU413" i="1" s="1"/>
  <c r="AP413" i="1"/>
  <c r="AR413" i="1" s="1"/>
  <c r="AT413" i="1" s="1"/>
  <c r="AO649" i="1"/>
  <c r="AO480" i="1"/>
  <c r="AO636" i="1"/>
  <c r="AO527" i="1"/>
  <c r="AO566" i="1"/>
  <c r="AP717" i="1"/>
  <c r="AQ717" i="1"/>
  <c r="AQ458" i="1"/>
  <c r="AP458" i="1"/>
  <c r="AO269" i="1"/>
  <c r="AQ365" i="1"/>
  <c r="AS365" i="1" s="1"/>
  <c r="AU365" i="1" s="1"/>
  <c r="AP365" i="1"/>
  <c r="AO169" i="1"/>
  <c r="AO114" i="1"/>
  <c r="AO102" i="1"/>
  <c r="AO258" i="1"/>
  <c r="AO74" i="1"/>
  <c r="AO22" i="1"/>
  <c r="AP292" i="1"/>
  <c r="AQ292" i="1"/>
  <c r="AO183" i="1"/>
  <c r="AO108" i="1"/>
  <c r="AP58" i="1"/>
  <c r="AQ58" i="1"/>
  <c r="AQ160" i="1"/>
  <c r="AP160" i="1"/>
  <c r="AO104" i="1"/>
  <c r="AO93" i="1"/>
  <c r="AQ434" i="1"/>
  <c r="AS434" i="1" s="1"/>
  <c r="AU434" i="1" s="1"/>
  <c r="AP434" i="1"/>
  <c r="AR434" i="1" s="1"/>
  <c r="AT434" i="1" s="1"/>
  <c r="AQ538" i="1"/>
  <c r="AS538" i="1" s="1"/>
  <c r="AU538" i="1" s="1"/>
  <c r="AP538" i="1"/>
  <c r="AP274" i="1"/>
  <c r="AQ274" i="1"/>
  <c r="AO195" i="1"/>
  <c r="AO288" i="1"/>
  <c r="AO563" i="1"/>
  <c r="AO355" i="1"/>
  <c r="AO465" i="1"/>
  <c r="AO216" i="1"/>
  <c r="AO109" i="1"/>
  <c r="AO19" i="1"/>
  <c r="AO266" i="1"/>
  <c r="AO26" i="1"/>
  <c r="AO161" i="1"/>
  <c r="AP231" i="1"/>
  <c r="AR231" i="1" s="1"/>
  <c r="AT231" i="1" s="1"/>
  <c r="AQ231" i="1"/>
  <c r="AS231" i="1" s="1"/>
  <c r="AU231" i="1" s="1"/>
  <c r="AQ41" i="1"/>
  <c r="AS41" i="1" s="1"/>
  <c r="AU41" i="1" s="1"/>
  <c r="AP41" i="1"/>
  <c r="AR41" i="1" s="1"/>
  <c r="AT41" i="1" s="1"/>
  <c r="AO261" i="1"/>
  <c r="AO76" i="1"/>
  <c r="AO111" i="1"/>
  <c r="AQ300" i="1"/>
  <c r="AP300" i="1"/>
  <c r="AO136" i="1"/>
  <c r="AP1463" i="1"/>
  <c r="AQ1463" i="1"/>
  <c r="AQ1291" i="1"/>
  <c r="AP1291" i="1"/>
  <c r="AO1325" i="1"/>
  <c r="AO1094" i="1"/>
  <c r="AQ876" i="1"/>
  <c r="AP876" i="1"/>
  <c r="AQ1250" i="1"/>
  <c r="AP1250" i="1"/>
  <c r="AO938" i="1"/>
  <c r="AP1157" i="1"/>
  <c r="AQ1157" i="1"/>
  <c r="AO1042" i="1"/>
  <c r="AP1170" i="1"/>
  <c r="AQ1170" i="1"/>
  <c r="AO1050" i="1"/>
  <c r="AP851" i="1"/>
  <c r="AQ851" i="1"/>
  <c r="AQ891" i="1"/>
  <c r="AP891" i="1"/>
  <c r="AQ760" i="1"/>
  <c r="AP760" i="1"/>
  <c r="AQ634" i="1"/>
  <c r="AP634" i="1"/>
  <c r="AQ418" i="1"/>
  <c r="AP418" i="1"/>
  <c r="AP179" i="1"/>
  <c r="AQ179" i="1"/>
  <c r="AO825" i="1"/>
  <c r="AQ339" i="1"/>
  <c r="AP339" i="1"/>
  <c r="AQ1008" i="1"/>
  <c r="AP1008" i="1"/>
  <c r="AQ835" i="1"/>
  <c r="AP835" i="1"/>
  <c r="AP607" i="1"/>
  <c r="AQ607" i="1"/>
  <c r="AO1070" i="1"/>
  <c r="AO744" i="1"/>
  <c r="AQ955" i="1"/>
  <c r="AP955" i="1"/>
  <c r="AO685" i="1"/>
  <c r="AP919" i="1"/>
  <c r="AR919" i="1" s="1"/>
  <c r="AT919" i="1" s="1"/>
  <c r="AQ919" i="1"/>
  <c r="AS919" i="1" s="1"/>
  <c r="AU919" i="1" s="1"/>
  <c r="AO813" i="1"/>
  <c r="AQ967" i="1"/>
  <c r="AP967" i="1"/>
  <c r="AO773" i="1"/>
  <c r="AQ702" i="1"/>
  <c r="AS702" i="1" s="1"/>
  <c r="AU702" i="1" s="1"/>
  <c r="AP702" i="1"/>
  <c r="AR702" i="1" s="1"/>
  <c r="AT702" i="1" s="1"/>
  <c r="AQ763" i="1"/>
  <c r="AP763" i="1"/>
  <c r="AR763" i="1" s="1"/>
  <c r="AT763" i="1" s="1"/>
  <c r="AP596" i="1"/>
  <c r="AQ596" i="1"/>
  <c r="AO725" i="1"/>
  <c r="AO487" i="1"/>
  <c r="AQ383" i="1"/>
  <c r="AP383" i="1"/>
  <c r="AP196" i="1"/>
  <c r="AQ196" i="1"/>
  <c r="AP586" i="1"/>
  <c r="AQ586" i="1"/>
  <c r="AS586" i="1" s="1"/>
  <c r="AU586" i="1" s="1"/>
  <c r="AO436" i="1"/>
  <c r="AO244" i="1"/>
  <c r="AO676" i="1"/>
  <c r="AO547" i="1"/>
  <c r="AQ333" i="1"/>
  <c r="AP333" i="1"/>
  <c r="AQ171" i="1"/>
  <c r="AP171" i="1"/>
  <c r="AO505" i="1"/>
  <c r="AO344" i="1"/>
  <c r="AO544" i="1"/>
  <c r="AP426" i="1"/>
  <c r="AR426" i="1" s="1"/>
  <c r="AT426" i="1" s="1"/>
  <c r="AQ426" i="1"/>
  <c r="AO560" i="1"/>
  <c r="AO406" i="1"/>
  <c r="AO635" i="1"/>
  <c r="AQ473" i="1"/>
  <c r="AP473" i="1"/>
  <c r="AO639" i="1"/>
  <c r="AP512" i="1"/>
  <c r="AQ512" i="1"/>
  <c r="AO543" i="1"/>
  <c r="AP708" i="1"/>
  <c r="AQ708" i="1"/>
  <c r="AQ452" i="1"/>
  <c r="AP452" i="1"/>
  <c r="AO247" i="1"/>
  <c r="AP367" i="1"/>
  <c r="AQ367" i="1"/>
  <c r="AP14" i="1"/>
  <c r="AQ14" i="1"/>
  <c r="AP46" i="1"/>
  <c r="AQ46" i="1"/>
  <c r="AQ615" i="1"/>
  <c r="AP615" i="1"/>
  <c r="AO228" i="1"/>
  <c r="AP54" i="1"/>
  <c r="AQ54" i="1"/>
  <c r="AQ539" i="1"/>
  <c r="AP539" i="1"/>
  <c r="AR539" i="1" s="1"/>
  <c r="AT539" i="1" s="1"/>
  <c r="AO281" i="1"/>
  <c r="AO167" i="1"/>
  <c r="AO107" i="1"/>
  <c r="AO57" i="1"/>
  <c r="AO140" i="1"/>
  <c r="AQ86" i="1"/>
  <c r="AP86" i="1"/>
  <c r="AO92" i="1"/>
  <c r="AO437" i="1"/>
  <c r="AP518" i="1"/>
  <c r="AR518" i="1" s="1"/>
  <c r="AT518" i="1" s="1"/>
  <c r="AQ518" i="1"/>
  <c r="AS518" i="1" s="1"/>
  <c r="AU518" i="1" s="1"/>
  <c r="AO227" i="1"/>
  <c r="AO624" i="1"/>
  <c r="AO263" i="1"/>
  <c r="AQ517" i="1"/>
  <c r="AP517" i="1"/>
  <c r="AO346" i="1"/>
  <c r="AQ460" i="1"/>
  <c r="AP460" i="1"/>
  <c r="AR460" i="1" s="1"/>
  <c r="AT460" i="1" s="1"/>
  <c r="AO203" i="1"/>
  <c r="AO99" i="1"/>
  <c r="AO11" i="1"/>
  <c r="AO202" i="1"/>
  <c r="AO177" i="1"/>
  <c r="AQ61" i="1"/>
  <c r="AP61" i="1"/>
  <c r="AP40" i="1"/>
  <c r="AQ40" i="1"/>
  <c r="AO125" i="1"/>
  <c r="AQ238" i="1"/>
  <c r="AS238" i="1" s="1"/>
  <c r="AU238" i="1" s="1"/>
  <c r="AP238" i="1"/>
  <c r="AR238" i="1" s="1"/>
  <c r="AT238" i="1" s="1"/>
  <c r="AO21" i="1"/>
  <c r="AO85" i="1"/>
  <c r="AO291" i="1"/>
  <c r="AQ81" i="1"/>
  <c r="AP81" i="1"/>
  <c r="AO1354" i="1"/>
  <c r="AO1353" i="1"/>
  <c r="AQ2192" i="1"/>
  <c r="AP2192" i="1"/>
  <c r="AR2192" i="1" s="1"/>
  <c r="AT2192" i="1" s="1"/>
  <c r="AQ2016" i="1"/>
  <c r="AS2016" i="1" s="1"/>
  <c r="AU2016" i="1" s="1"/>
  <c r="AP2016" i="1"/>
  <c r="AR2016" i="1" s="1"/>
  <c r="AT2016" i="1" s="1"/>
  <c r="AQ2234" i="1"/>
  <c r="AP2234" i="1"/>
  <c r="AQ2007" i="1"/>
  <c r="AS2007" i="1" s="1"/>
  <c r="AU2007" i="1" s="1"/>
  <c r="AP2007" i="1"/>
  <c r="AR2007" i="1" s="1"/>
  <c r="AT2007" i="1" s="1"/>
  <c r="AP1603" i="1"/>
  <c r="AR1603" i="1" s="1"/>
  <c r="AT1603" i="1" s="1"/>
  <c r="AQ1603" i="1"/>
  <c r="AS1603" i="1" s="1"/>
  <c r="AU1603" i="1" s="1"/>
  <c r="AR1764" i="1"/>
  <c r="AT1764" i="1" s="1"/>
  <c r="AR1765" i="1"/>
  <c r="AT1765" i="1" s="1"/>
  <c r="AO1497" i="1"/>
  <c r="AR1899" i="1"/>
  <c r="AT1899" i="1" s="1"/>
  <c r="AQ689" i="1"/>
  <c r="AP689" i="1"/>
  <c r="AO937" i="1"/>
  <c r="AO826" i="1"/>
  <c r="AO1196" i="1"/>
  <c r="AO837" i="1"/>
  <c r="AO682" i="1"/>
  <c r="AO1084" i="1"/>
  <c r="AQ1102" i="1"/>
  <c r="AP1102" i="1"/>
  <c r="AO1237" i="1"/>
  <c r="AO1121" i="1"/>
  <c r="AP970" i="1"/>
  <c r="AQ970" i="1"/>
  <c r="AO1044" i="1"/>
  <c r="AO940" i="1"/>
  <c r="AO1118" i="1"/>
  <c r="AO1160" i="1"/>
  <c r="AO1018" i="1"/>
  <c r="AQ1171" i="1"/>
  <c r="AP1171" i="1"/>
  <c r="AO911" i="1"/>
  <c r="AO713" i="1"/>
  <c r="AO874" i="1"/>
  <c r="AO638" i="1"/>
  <c r="AQ393" i="1"/>
  <c r="AP393" i="1"/>
  <c r="AO820" i="1"/>
  <c r="AO646" i="1"/>
  <c r="AO504" i="1"/>
  <c r="AO1001" i="1"/>
  <c r="AO833" i="1"/>
  <c r="AO314" i="1"/>
  <c r="AP993" i="1"/>
  <c r="AR993" i="1" s="1"/>
  <c r="AT993" i="1" s="1"/>
  <c r="AQ993" i="1"/>
  <c r="AO809" i="1"/>
  <c r="AO606" i="1"/>
  <c r="AO996" i="1"/>
  <c r="AO712" i="1"/>
  <c r="AO957" i="1"/>
  <c r="AO686" i="1"/>
  <c r="AO903" i="1"/>
  <c r="AO808" i="1"/>
  <c r="AO904" i="1"/>
  <c r="AP759" i="1"/>
  <c r="AQ759" i="1"/>
  <c r="AS892" i="1"/>
  <c r="AU892" i="1" s="1"/>
  <c r="AQ704" i="1"/>
  <c r="AS704" i="1" s="1"/>
  <c r="AU704" i="1" s="1"/>
  <c r="AP704" i="1"/>
  <c r="AR704" i="1" s="1"/>
  <c r="AT704" i="1" s="1"/>
  <c r="AQ765" i="1"/>
  <c r="AP765" i="1"/>
  <c r="AR765" i="1" s="1"/>
  <c r="AT765" i="1" s="1"/>
  <c r="AO572" i="1"/>
  <c r="AQ614" i="1"/>
  <c r="AP614" i="1"/>
  <c r="AO481" i="1"/>
  <c r="AO378" i="1"/>
  <c r="AQ322" i="1"/>
  <c r="AP322" i="1"/>
  <c r="AO570" i="1"/>
  <c r="AO409" i="1"/>
  <c r="AP222" i="1"/>
  <c r="AQ222" i="1"/>
  <c r="AO677" i="1"/>
  <c r="AP540" i="1"/>
  <c r="AQ540" i="1"/>
  <c r="AS540" i="1" s="1"/>
  <c r="AU540" i="1" s="1"/>
  <c r="AQ299" i="1"/>
  <c r="AP299" i="1"/>
  <c r="AP7" i="1"/>
  <c r="AR7" i="1" s="1"/>
  <c r="AT7" i="1" s="1"/>
  <c r="AQ7" i="1"/>
  <c r="AS7" i="1" s="1"/>
  <c r="AU7" i="1" s="1"/>
  <c r="AO503" i="1"/>
  <c r="AO723" i="1"/>
  <c r="AQ534" i="1"/>
  <c r="AS534" i="1" s="1"/>
  <c r="AU534" i="1" s="1"/>
  <c r="AP534" i="1"/>
  <c r="AR534" i="1" s="1"/>
  <c r="AT534" i="1" s="1"/>
  <c r="AO404" i="1"/>
  <c r="AO562" i="1"/>
  <c r="AO408" i="1"/>
  <c r="AO619" i="1"/>
  <c r="AO416" i="1"/>
  <c r="AQ609" i="1"/>
  <c r="AP609" i="1"/>
  <c r="AP486" i="1"/>
  <c r="AQ486" i="1"/>
  <c r="AP531" i="1"/>
  <c r="AQ531" i="1"/>
  <c r="AS531" i="1" s="1"/>
  <c r="AU531" i="1" s="1"/>
  <c r="AO699" i="1"/>
  <c r="AO451" i="1"/>
  <c r="AO210" i="1"/>
  <c r="AO315" i="1"/>
  <c r="AP148" i="1"/>
  <c r="AQ148" i="1"/>
  <c r="AO44" i="1"/>
  <c r="AO520" i="1"/>
  <c r="AO207" i="1"/>
  <c r="AO24" i="1"/>
  <c r="AO507" i="1"/>
  <c r="AO243" i="1"/>
  <c r="AO158" i="1"/>
  <c r="AO98" i="1"/>
  <c r="AP48" i="1"/>
  <c r="AQ48" i="1"/>
  <c r="AQ80" i="1"/>
  <c r="AP80" i="1"/>
  <c r="AO84" i="1"/>
  <c r="AO63" i="1"/>
  <c r="AO325" i="1"/>
  <c r="AO514" i="1"/>
  <c r="AO43" i="1"/>
  <c r="AO257" i="1"/>
  <c r="AO478" i="1"/>
  <c r="AO89" i="1"/>
  <c r="AP8" i="1"/>
  <c r="AQ8" i="1"/>
  <c r="AO168" i="1"/>
  <c r="AO120" i="1"/>
  <c r="AO298" i="1"/>
  <c r="AO145" i="1"/>
  <c r="AO205" i="1"/>
  <c r="AO323" i="1"/>
  <c r="AO70" i="1"/>
  <c r="AO225" i="1"/>
  <c r="AO55" i="1"/>
  <c r="AO1185" i="1"/>
  <c r="AP1099" i="1"/>
  <c r="AQ1099" i="1"/>
  <c r="AS2535" i="1"/>
  <c r="AU2535" i="1" s="1"/>
  <c r="AS2536" i="1"/>
  <c r="AU2536" i="1" s="1"/>
  <c r="AS2398" i="1"/>
  <c r="AU2398" i="1" s="1"/>
  <c r="AS2399" i="1"/>
  <c r="AU2399" i="1" s="1"/>
  <c r="AP2257" i="1"/>
  <c r="AQ2257" i="1"/>
  <c r="AS2257" i="1" s="1"/>
  <c r="AU2257" i="1" s="1"/>
  <c r="AP2310" i="1"/>
  <c r="AR2310" i="1" s="1"/>
  <c r="AT2310" i="1" s="1"/>
  <c r="AQ2310" i="1"/>
  <c r="AP1875" i="1"/>
  <c r="AQ1875" i="1"/>
  <c r="AP1525" i="1"/>
  <c r="AR1525" i="1" s="1"/>
  <c r="AT1525" i="1" s="1"/>
  <c r="AQ1525" i="1"/>
  <c r="AS1525" i="1" s="1"/>
  <c r="AU1525" i="1" s="1"/>
  <c r="AO1488" i="1"/>
  <c r="AP2163" i="1"/>
  <c r="AR2163" i="1" s="1"/>
  <c r="AT2163" i="1" s="1"/>
  <c r="AQ2163" i="1"/>
  <c r="AS2163" i="1" s="1"/>
  <c r="AU2163" i="1" s="1"/>
  <c r="AS1728" i="1"/>
  <c r="AU1728" i="1" s="1"/>
  <c r="AQ1935" i="1"/>
  <c r="AP1935" i="1"/>
  <c r="AR1935" i="1" s="1"/>
  <c r="AT1935" i="1" s="1"/>
  <c r="AO1439" i="1"/>
  <c r="AQ1611" i="1"/>
  <c r="AS1611" i="1" s="1"/>
  <c r="AU1611" i="1" s="1"/>
  <c r="AP1611" i="1"/>
  <c r="AR1611" i="1" s="1"/>
  <c r="AT1611" i="1" s="1"/>
  <c r="AQ1642" i="1"/>
  <c r="AS1642" i="1" s="1"/>
  <c r="AU1642" i="1" s="1"/>
  <c r="AP1642" i="1"/>
  <c r="AR1642" i="1" s="1"/>
  <c r="AT1642" i="1" s="1"/>
  <c r="AR1851" i="1"/>
  <c r="AT1851" i="1" s="1"/>
  <c r="AQ1992" i="1"/>
  <c r="AP1992" i="1"/>
  <c r="AQ2116" i="1"/>
  <c r="AP2116" i="1"/>
  <c r="AR2116" i="1" s="1"/>
  <c r="AT2116" i="1" s="1"/>
  <c r="AR1933" i="1"/>
  <c r="AT1933" i="1" s="1"/>
  <c r="AR1591" i="1"/>
  <c r="AT1591" i="1" s="1"/>
  <c r="AS1584" i="1"/>
  <c r="AU1584" i="1" s="1"/>
  <c r="AP1358" i="1"/>
  <c r="AQ1358" i="1"/>
  <c r="AQ1588" i="1"/>
  <c r="AP1588" i="1"/>
  <c r="AR1824" i="1"/>
  <c r="AT1824" i="1" s="1"/>
  <c r="AR1825" i="1"/>
  <c r="AT1825" i="1" s="1"/>
  <c r="AP1244" i="1"/>
  <c r="AR1244" i="1" s="1"/>
  <c r="AT1244" i="1" s="1"/>
  <c r="AQ1244" i="1"/>
  <c r="AS1244" i="1" s="1"/>
  <c r="AU1244" i="1" s="1"/>
  <c r="AQ982" i="1"/>
  <c r="AP982" i="1"/>
  <c r="AO1377" i="1"/>
  <c r="AP1100" i="1"/>
  <c r="AR1100" i="1" s="1"/>
  <c r="AT1100" i="1" s="1"/>
  <c r="AQ1100" i="1"/>
  <c r="AO1386" i="1"/>
  <c r="AP964" i="1"/>
  <c r="AQ964" i="1"/>
  <c r="AS2537" i="1"/>
  <c r="AU2537" i="1" s="1"/>
  <c r="AS2538" i="1"/>
  <c r="AU2538" i="1" s="1"/>
  <c r="AP2497" i="1"/>
  <c r="AR2497" i="1" s="1"/>
  <c r="AT2497" i="1" s="1"/>
  <c r="AQ2497" i="1"/>
  <c r="AS2497" i="1" s="1"/>
  <c r="AU2497" i="1" s="1"/>
  <c r="AS2201" i="1"/>
  <c r="AU2201" i="1" s="1"/>
  <c r="AQ1986" i="1"/>
  <c r="AS1986" i="1" s="1"/>
  <c r="AU1986" i="1" s="1"/>
  <c r="AP1986" i="1"/>
  <c r="AP2281" i="1"/>
  <c r="AQ2281" i="1"/>
  <c r="AS2151" i="1"/>
  <c r="AU2151" i="1" s="1"/>
  <c r="AQ1913" i="1"/>
  <c r="AP1913" i="1"/>
  <c r="AS2093" i="1"/>
  <c r="AU2093" i="1" s="1"/>
  <c r="AO1479" i="1"/>
  <c r="AQ1623" i="1"/>
  <c r="AS1623" i="1" s="1"/>
  <c r="AU1623" i="1" s="1"/>
  <c r="AP1623" i="1"/>
  <c r="AO1494" i="1"/>
  <c r="AR1809" i="1"/>
  <c r="AT1809" i="1" s="1"/>
  <c r="AR1810" i="1"/>
  <c r="AT1810" i="1" s="1"/>
  <c r="AP1896" i="1"/>
  <c r="AR1896" i="1" s="1"/>
  <c r="AT1896" i="1" s="1"/>
  <c r="AQ1896" i="1"/>
  <c r="AS1896" i="1" s="1"/>
  <c r="AU1896" i="1" s="1"/>
  <c r="AQ1946" i="1"/>
  <c r="AS1946" i="1" s="1"/>
  <c r="AU1946" i="1" s="1"/>
  <c r="AP1946" i="1"/>
  <c r="AR1946" i="1" s="1"/>
  <c r="AT1946" i="1" s="1"/>
  <c r="AP1653" i="1"/>
  <c r="AR1653" i="1" s="1"/>
  <c r="AT1653" i="1" s="1"/>
  <c r="AQ1653" i="1"/>
  <c r="AS1653" i="1" s="1"/>
  <c r="AU1653" i="1" s="1"/>
  <c r="AO1365" i="1"/>
  <c r="AR1699" i="1"/>
  <c r="AT1699" i="1" s="1"/>
  <c r="AR1700" i="1"/>
  <c r="AT1700" i="1" s="1"/>
  <c r="AO1476" i="1"/>
  <c r="AO1409" i="1"/>
  <c r="AO806" i="1"/>
  <c r="AO1355" i="1"/>
  <c r="AQ2501" i="1"/>
  <c r="AP2501" i="1"/>
  <c r="AQ2495" i="1"/>
  <c r="AP2495" i="1"/>
  <c r="AR2495" i="1" s="1"/>
  <c r="AT2495" i="1" s="1"/>
  <c r="AQ2286" i="1"/>
  <c r="AS2286" i="1" s="1"/>
  <c r="AU2286" i="1" s="1"/>
  <c r="AP2286" i="1"/>
  <c r="AR2286" i="1" s="1"/>
  <c r="AT2286" i="1" s="1"/>
  <c r="AQ2227" i="1"/>
  <c r="AP2227" i="1"/>
  <c r="AP1604" i="1"/>
  <c r="AR1604" i="1" s="1"/>
  <c r="AT1604" i="1" s="1"/>
  <c r="AQ1604" i="1"/>
  <c r="AS1604" i="1" s="1"/>
  <c r="AU1604" i="1" s="1"/>
  <c r="AO1349" i="1"/>
  <c r="AR1799" i="1"/>
  <c r="AT1799" i="1" s="1"/>
  <c r="AR1800" i="1"/>
  <c r="AT1800" i="1" s="1"/>
  <c r="AP1897" i="1"/>
  <c r="AQ1897" i="1"/>
  <c r="AS1825" i="1"/>
  <c r="AU1825" i="1" s="1"/>
  <c r="AQ1548" i="1"/>
  <c r="AS1548" i="1" s="1"/>
  <c r="AU1548" i="1" s="1"/>
  <c r="AP1548" i="1"/>
  <c r="AR1548" i="1" s="1"/>
  <c r="AT1548" i="1" s="1"/>
  <c r="AR1794" i="1"/>
  <c r="AT1794" i="1" s="1"/>
  <c r="AR1795" i="1"/>
  <c r="AT1795" i="1" s="1"/>
  <c r="AQ1580" i="1"/>
  <c r="AP1580" i="1"/>
  <c r="AQ1609" i="1"/>
  <c r="AS1609" i="1" s="1"/>
  <c r="AU1609" i="1" s="1"/>
  <c r="AP1609" i="1"/>
  <c r="AR1609" i="1" s="1"/>
  <c r="AT1609" i="1" s="1"/>
  <c r="AO1239" i="1"/>
  <c r="AQ1306" i="1"/>
  <c r="AP1306" i="1"/>
  <c r="AO772" i="1"/>
  <c r="AO768" i="1"/>
  <c r="AO769" i="1"/>
  <c r="AO770" i="1"/>
  <c r="AR1560" i="1"/>
  <c r="AT1560" i="1" s="1"/>
  <c r="AP1394" i="1"/>
  <c r="AR1394" i="1" s="1"/>
  <c r="AT1394" i="1" s="1"/>
  <c r="AQ1394" i="1"/>
  <c r="AS1394" i="1" s="1"/>
  <c r="AU1394" i="1" s="1"/>
  <c r="AO1351" i="1"/>
  <c r="AO1260" i="1"/>
  <c r="AP783" i="1"/>
  <c r="AQ783" i="1"/>
  <c r="AQ1255" i="1"/>
  <c r="AP1255" i="1"/>
  <c r="AQ1085" i="1"/>
  <c r="AP1085" i="1"/>
  <c r="AO1138" i="1"/>
  <c r="AQ528" i="1"/>
  <c r="AS529" i="1" s="1"/>
  <c r="AU529" i="1" s="1"/>
  <c r="AP528" i="1"/>
  <c r="AP2515" i="1"/>
  <c r="AR2515" i="1" s="1"/>
  <c r="AT2515" i="1" s="1"/>
  <c r="AQ2515" i="1"/>
  <c r="AS2515" i="1" s="1"/>
  <c r="AU2515" i="1" s="1"/>
  <c r="AQ2470" i="1"/>
  <c r="AS2470" i="1" s="1"/>
  <c r="AU2470" i="1" s="1"/>
  <c r="AP2470" i="1"/>
  <c r="AR2470" i="1" s="1"/>
  <c r="AT2470" i="1" s="1"/>
  <c r="AQ2491" i="1"/>
  <c r="AP2491" i="1"/>
  <c r="AQ2237" i="1"/>
  <c r="AP2237" i="1"/>
  <c r="AQ2333" i="1"/>
  <c r="AS2333" i="1" s="1"/>
  <c r="AU2333" i="1" s="1"/>
  <c r="AP2333" i="1"/>
  <c r="AR2333" i="1" s="1"/>
  <c r="AT2333" i="1" s="1"/>
  <c r="AR2350" i="1"/>
  <c r="AT2350" i="1" s="1"/>
  <c r="AQ2232" i="1"/>
  <c r="AP2232" i="1"/>
  <c r="AR2232" i="1" s="1"/>
  <c r="AT2232" i="1" s="1"/>
  <c r="AP2045" i="1"/>
  <c r="AQ2045" i="1"/>
  <c r="AQ1889" i="1"/>
  <c r="AS1889" i="1" s="1"/>
  <c r="AU1889" i="1" s="1"/>
  <c r="AP1889" i="1"/>
  <c r="AR1889" i="1" s="1"/>
  <c r="AT1889" i="1" s="1"/>
  <c r="AP1945" i="1"/>
  <c r="AR1945" i="1" s="1"/>
  <c r="AT1945" i="1" s="1"/>
  <c r="AQ1945" i="1"/>
  <c r="AS1945" i="1" s="1"/>
  <c r="AU1945" i="1" s="1"/>
  <c r="AQ1999" i="1"/>
  <c r="AS1999" i="1" s="1"/>
  <c r="AU1999" i="1" s="1"/>
  <c r="AP1999" i="1"/>
  <c r="AR1999" i="1" s="1"/>
  <c r="AT1999" i="1" s="1"/>
  <c r="AS2012" i="1"/>
  <c r="AU2012" i="1" s="1"/>
  <c r="AO1435" i="1"/>
  <c r="AS1606" i="1"/>
  <c r="AU1606" i="1" s="1"/>
  <c r="AO1431" i="1"/>
  <c r="AP2328" i="1"/>
  <c r="AQ2328" i="1"/>
  <c r="AR1969" i="1"/>
  <c r="AT1969" i="1" s="1"/>
  <c r="AP1976" i="1"/>
  <c r="AR1976" i="1" s="1"/>
  <c r="AT1976" i="1" s="1"/>
  <c r="AQ1976" i="1"/>
  <c r="AS1976" i="1" s="1"/>
  <c r="AU1976" i="1" s="1"/>
  <c r="AR2078" i="1"/>
  <c r="AT2078" i="1" s="1"/>
  <c r="AR1952" i="1"/>
  <c r="AT1952" i="1" s="1"/>
  <c r="AP1550" i="1"/>
  <c r="AR1550" i="1" s="1"/>
  <c r="AT1550" i="1" s="1"/>
  <c r="AQ1550" i="1"/>
  <c r="AQ2047" i="1"/>
  <c r="AP2047" i="1"/>
  <c r="AP1464" i="1"/>
  <c r="AQ1464" i="1"/>
  <c r="AQ1659" i="1"/>
  <c r="AS1659" i="1" s="1"/>
  <c r="AU1659" i="1" s="1"/>
  <c r="AP1659" i="1"/>
  <c r="AR1659" i="1" s="1"/>
  <c r="AT1659" i="1" s="1"/>
  <c r="AO1208" i="1"/>
  <c r="AQ950" i="1"/>
  <c r="AS950" i="1" s="1"/>
  <c r="AU950" i="1" s="1"/>
  <c r="AP950" i="1"/>
  <c r="AR950" i="1" s="1"/>
  <c r="AT950" i="1" s="1"/>
  <c r="AO1299" i="1"/>
  <c r="AQ1395" i="1"/>
  <c r="AP1395" i="1"/>
  <c r="AO1324" i="1"/>
  <c r="AO932" i="1"/>
  <c r="AO1080" i="1"/>
  <c r="AO954" i="1"/>
  <c r="AS2360" i="1"/>
  <c r="AU2360" i="1" s="1"/>
  <c r="AR2520" i="1"/>
  <c r="AT2520" i="1" s="1"/>
  <c r="AR2370" i="1"/>
  <c r="AT2370" i="1" s="1"/>
  <c r="AQ2307" i="1"/>
  <c r="AP2307" i="1"/>
  <c r="AS2350" i="1"/>
  <c r="AU2350" i="1" s="1"/>
  <c r="AQ1991" i="1"/>
  <c r="AP1991" i="1"/>
  <c r="AQ2306" i="1"/>
  <c r="AS2306" i="1" s="1"/>
  <c r="AU2306" i="1" s="1"/>
  <c r="AP2306" i="1"/>
  <c r="AR2306" i="1" s="1"/>
  <c r="AT2306" i="1" s="1"/>
  <c r="AP1921" i="1"/>
  <c r="AR1921" i="1" s="1"/>
  <c r="AT1921" i="1" s="1"/>
  <c r="AQ1921" i="1"/>
  <c r="AS1921" i="1" s="1"/>
  <c r="AU1921" i="1" s="1"/>
  <c r="AR2027" i="1"/>
  <c r="AT2027" i="1" s="1"/>
  <c r="AP1891" i="1"/>
  <c r="AQ1891" i="1"/>
  <c r="AS1891" i="1" s="1"/>
  <c r="AU1891" i="1" s="1"/>
  <c r="AQ1925" i="1"/>
  <c r="AP1925" i="1"/>
  <c r="AP1989" i="1"/>
  <c r="AR1989" i="1" s="1"/>
  <c r="AT1989" i="1" s="1"/>
  <c r="AQ1989" i="1"/>
  <c r="AS1989" i="1" s="1"/>
  <c r="AU1989" i="1" s="1"/>
  <c r="AQ2062" i="1"/>
  <c r="AP2062" i="1"/>
  <c r="AR2062" i="1" s="1"/>
  <c r="AT2062" i="1" s="1"/>
  <c r="AS1899" i="1"/>
  <c r="AU1899" i="1" s="1"/>
  <c r="AQ2267" i="1"/>
  <c r="AP2267" i="1"/>
  <c r="AS1886" i="1"/>
  <c r="AU1886" i="1" s="1"/>
  <c r="AQ2001" i="1"/>
  <c r="AP2001" i="1"/>
  <c r="AR2001" i="1" s="1"/>
  <c r="AT2001" i="1" s="1"/>
  <c r="AS2142" i="1"/>
  <c r="AU2142" i="1" s="1"/>
  <c r="AQ1967" i="1"/>
  <c r="AS1967" i="1" s="1"/>
  <c r="AU1967" i="1" s="1"/>
  <c r="AP1967" i="1"/>
  <c r="AR1967" i="1" s="1"/>
  <c r="AT1967" i="1" s="1"/>
  <c r="AS1843" i="1"/>
  <c r="AU1843" i="1" s="1"/>
  <c r="AS1818" i="1"/>
  <c r="AU1818" i="1" s="1"/>
  <c r="AS1793" i="1"/>
  <c r="AU1793" i="1" s="1"/>
  <c r="AS1768" i="1"/>
  <c r="AU1768" i="1" s="1"/>
  <c r="AS1743" i="1"/>
  <c r="AU1743" i="1" s="1"/>
  <c r="AS1718" i="1"/>
  <c r="AU1718" i="1" s="1"/>
  <c r="AS1693" i="1"/>
  <c r="AU1693" i="1" s="1"/>
  <c r="AP1614" i="1"/>
  <c r="AR1614" i="1" s="1"/>
  <c r="AT1614" i="1" s="1"/>
  <c r="AQ1614" i="1"/>
  <c r="AS1614" i="1" s="1"/>
  <c r="AU1614" i="1" s="1"/>
  <c r="AQ2084" i="1"/>
  <c r="AS2084" i="1" s="1"/>
  <c r="AU2084" i="1" s="1"/>
  <c r="AP2084" i="1"/>
  <c r="AQ1598" i="1"/>
  <c r="AS1598" i="1" s="1"/>
  <c r="AU1598" i="1" s="1"/>
  <c r="AP1598" i="1"/>
  <c r="AO1433" i="1"/>
  <c r="AO1311" i="1"/>
  <c r="AQ1882" i="1"/>
  <c r="AP1882" i="1"/>
  <c r="AR1779" i="1"/>
  <c r="AT1779" i="1" s="1"/>
  <c r="AR1780" i="1"/>
  <c r="AT1780" i="1" s="1"/>
  <c r="AQ2137" i="1"/>
  <c r="AS2137" i="1" s="1"/>
  <c r="AU2137" i="1" s="1"/>
  <c r="AP2137" i="1"/>
  <c r="AR2137" i="1" s="1"/>
  <c r="AT2137" i="1" s="1"/>
  <c r="AQ1871" i="1"/>
  <c r="AS1871" i="1" s="1"/>
  <c r="AU1871" i="1" s="1"/>
  <c r="AP1871" i="1"/>
  <c r="AQ1539" i="1"/>
  <c r="AP1539" i="1"/>
  <c r="AR1539" i="1" s="1"/>
  <c r="AT1539" i="1" s="1"/>
  <c r="AO1415" i="1"/>
  <c r="AQ2088" i="1"/>
  <c r="AS2088" i="1" s="1"/>
  <c r="AU2088" i="1" s="1"/>
  <c r="AP2088" i="1"/>
  <c r="AR2088" i="1" s="1"/>
  <c r="AT2088" i="1" s="1"/>
  <c r="AR1849" i="1"/>
  <c r="AT1849" i="1" s="1"/>
  <c r="AP1579" i="1"/>
  <c r="AR1579" i="1" s="1"/>
  <c r="AT1579" i="1" s="1"/>
  <c r="AQ1579" i="1"/>
  <c r="AS1579" i="1" s="1"/>
  <c r="AU1579" i="1" s="1"/>
  <c r="AQ2289" i="1"/>
  <c r="AP2289" i="1"/>
  <c r="AR1924" i="1"/>
  <c r="AT1924" i="1" s="1"/>
  <c r="AQ1920" i="1"/>
  <c r="AS1920" i="1" s="1"/>
  <c r="AU1920" i="1" s="1"/>
  <c r="AP1920" i="1"/>
  <c r="AR1920" i="1" s="1"/>
  <c r="AT1920" i="1" s="1"/>
  <c r="AS2078" i="1"/>
  <c r="AU2078" i="1" s="1"/>
  <c r="AQ2042" i="1"/>
  <c r="AS2042" i="1" s="1"/>
  <c r="AU2042" i="1" s="1"/>
  <c r="AP2042" i="1"/>
  <c r="AR2042" i="1" s="1"/>
  <c r="AT2042" i="1" s="1"/>
  <c r="AP1632" i="1"/>
  <c r="AR1632" i="1" s="1"/>
  <c r="AT1632" i="1" s="1"/>
  <c r="AQ1632" i="1"/>
  <c r="AS1632" i="1" s="1"/>
  <c r="AU1632" i="1" s="1"/>
  <c r="AO1432" i="1"/>
  <c r="AS1952" i="1"/>
  <c r="AU1952" i="1" s="1"/>
  <c r="AS1553" i="1"/>
  <c r="AU1553" i="1" s="1"/>
  <c r="AO1437" i="1"/>
  <c r="AR1784" i="1"/>
  <c r="AT1784" i="1" s="1"/>
  <c r="AR1785" i="1"/>
  <c r="AT1785" i="1" s="1"/>
  <c r="AS1644" i="1"/>
  <c r="AU1644" i="1" s="1"/>
  <c r="AQ1541" i="1"/>
  <c r="AS1541" i="1" s="1"/>
  <c r="AU1541" i="1" s="1"/>
  <c r="AP1541" i="1"/>
  <c r="AO1444" i="1"/>
  <c r="AO1305" i="1"/>
  <c r="AR1749" i="1"/>
  <c r="AT1749" i="1" s="1"/>
  <c r="AR1750" i="1"/>
  <c r="AT1750" i="1" s="1"/>
  <c r="AQ1620" i="1"/>
  <c r="AS1620" i="1" s="1"/>
  <c r="AU1620" i="1" s="1"/>
  <c r="AP1620" i="1"/>
  <c r="AR1620" i="1" s="1"/>
  <c r="AT1620" i="1" s="1"/>
  <c r="AQ2051" i="1"/>
  <c r="AP2051" i="1"/>
  <c r="AR2051" i="1" s="1"/>
  <c r="AT2051" i="1" s="1"/>
  <c r="AR1631" i="1"/>
  <c r="AT1631" i="1" s="1"/>
  <c r="AO1453" i="1"/>
  <c r="AR1719" i="1"/>
  <c r="AT1719" i="1" s="1"/>
  <c r="AR1720" i="1"/>
  <c r="AT1720" i="1" s="1"/>
  <c r="AQ1613" i="1"/>
  <c r="AP1613" i="1"/>
  <c r="AR1589" i="1"/>
  <c r="AT1589" i="1" s="1"/>
  <c r="AS1863" i="1"/>
  <c r="AU1863" i="1" s="1"/>
  <c r="AR1663" i="1"/>
  <c r="AT1663" i="1" s="1"/>
  <c r="AP1518" i="1"/>
  <c r="AR1518" i="1" s="1"/>
  <c r="AT1518" i="1" s="1"/>
  <c r="AQ1518" i="1"/>
  <c r="AS1518" i="1" s="1"/>
  <c r="AU1518" i="1" s="1"/>
  <c r="AR1734" i="1"/>
  <c r="AT1734" i="1" s="1"/>
  <c r="AR1593" i="1"/>
  <c r="AT1593" i="1" s="1"/>
  <c r="AO1452" i="1"/>
  <c r="AO1259" i="1"/>
  <c r="AO1234" i="1"/>
  <c r="AO1209" i="1"/>
  <c r="AO1352" i="1"/>
  <c r="AO1274" i="1"/>
  <c r="AO1074" i="1"/>
  <c r="AO886" i="1"/>
  <c r="AQ767" i="1"/>
  <c r="AP767" i="1"/>
  <c r="AO742" i="1"/>
  <c r="AO740" i="1"/>
  <c r="AO739" i="1"/>
  <c r="AO1283" i="1"/>
  <c r="AO958" i="1"/>
  <c r="AO1289" i="1"/>
  <c r="AP1023" i="1"/>
  <c r="AR1023" i="1" s="1"/>
  <c r="AT1023" i="1" s="1"/>
  <c r="AQ1023" i="1"/>
  <c r="AS1023" i="1" s="1"/>
  <c r="AU1023" i="1" s="1"/>
  <c r="AQ1173" i="1"/>
  <c r="AP1173" i="1"/>
  <c r="AO1462" i="1"/>
  <c r="AO1313" i="1"/>
  <c r="AO1397" i="1"/>
  <c r="AO1446" i="1"/>
  <c r="AO1300" i="1"/>
  <c r="AO1323" i="1"/>
  <c r="AO990" i="1"/>
  <c r="AO902" i="1"/>
  <c r="AO673" i="1"/>
  <c r="AO1079" i="1"/>
  <c r="AQ926" i="1"/>
  <c r="AP926" i="1"/>
  <c r="AO790" i="1"/>
  <c r="AO1178" i="1"/>
  <c r="AP1024" i="1"/>
  <c r="AQ1024" i="1"/>
  <c r="AO836" i="1"/>
  <c r="AO681" i="1"/>
  <c r="AO1076" i="1"/>
  <c r="AO956" i="1"/>
  <c r="AO1183" i="1"/>
  <c r="AO1053" i="1"/>
  <c r="AO1119" i="1"/>
  <c r="AO971" i="1"/>
  <c r="AO1047" i="1"/>
  <c r="AO921" i="1"/>
  <c r="AO1112" i="1"/>
  <c r="AO1159" i="1"/>
  <c r="AO1412" i="1"/>
  <c r="AO1168" i="1"/>
  <c r="AP914" i="1"/>
  <c r="AQ914" i="1"/>
  <c r="AQ705" i="1"/>
  <c r="AP705" i="1"/>
  <c r="AR705" i="1" s="1"/>
  <c r="AT705" i="1" s="1"/>
  <c r="AO873" i="1"/>
  <c r="AO720" i="1"/>
  <c r="AO499" i="1"/>
  <c r="AQ368" i="1"/>
  <c r="AS368" i="1" s="1"/>
  <c r="AU368" i="1" s="1"/>
  <c r="AP368" i="1"/>
  <c r="AQ798" i="1"/>
  <c r="AS798" i="1" s="1"/>
  <c r="AU798" i="1" s="1"/>
  <c r="AP798" i="1"/>
  <c r="AR798" i="1" s="1"/>
  <c r="AT798" i="1" s="1"/>
  <c r="AO647" i="1"/>
  <c r="AO496" i="1"/>
  <c r="AO989" i="1"/>
  <c r="AO691" i="1"/>
  <c r="AO289" i="1"/>
  <c r="AO286" i="1"/>
  <c r="AO977" i="1"/>
  <c r="AO793" i="1"/>
  <c r="AO582" i="1"/>
  <c r="AO997" i="1"/>
  <c r="AO674" i="1"/>
  <c r="AO668" i="1"/>
  <c r="AO664" i="1"/>
  <c r="AO897" i="1"/>
  <c r="AO710" i="1"/>
  <c r="AO905" i="1"/>
  <c r="AQ715" i="1"/>
  <c r="AS715" i="1" s="1"/>
  <c r="AU715" i="1" s="1"/>
  <c r="AP715" i="1"/>
  <c r="AO885" i="1"/>
  <c r="AO743" i="1"/>
  <c r="AO571" i="1"/>
  <c r="AO617" i="1"/>
  <c r="AO438" i="1"/>
  <c r="AO362" i="1"/>
  <c r="AO197" i="1"/>
  <c r="AO545" i="1"/>
  <c r="AO391" i="1"/>
  <c r="AO185" i="1"/>
  <c r="AO678" i="1"/>
  <c r="AO511" i="1"/>
  <c r="AO296" i="1"/>
  <c r="AO219" i="1"/>
  <c r="AO470" i="1"/>
  <c r="AO711" i="1"/>
  <c r="AO509" i="1"/>
  <c r="AO399" i="1"/>
  <c r="AO561" i="1"/>
  <c r="AO403" i="1"/>
  <c r="AO623" i="1"/>
  <c r="AO414" i="1"/>
  <c r="AO610" i="1"/>
  <c r="AO477" i="1"/>
  <c r="AO659" i="1"/>
  <c r="AO422" i="1"/>
  <c r="AO192" i="1"/>
  <c r="AO311" i="1"/>
  <c r="AO147" i="1"/>
  <c r="AO16" i="1"/>
  <c r="AO356" i="1"/>
  <c r="AO209" i="1"/>
  <c r="AP153" i="1"/>
  <c r="AQ153" i="1"/>
  <c r="AO498" i="1"/>
  <c r="AO240" i="1"/>
  <c r="AO157" i="1"/>
  <c r="AO97" i="1"/>
  <c r="AO47" i="1"/>
  <c r="AO353" i="1"/>
  <c r="AO66" i="1"/>
  <c r="AO62" i="1"/>
  <c r="AO307" i="1"/>
  <c r="AO42" i="1"/>
  <c r="AO424" i="1"/>
  <c r="AO221" i="1"/>
  <c r="AO469" i="1"/>
  <c r="AO306" i="1"/>
  <c r="AO186" i="1"/>
  <c r="AO79" i="1"/>
  <c r="AO18" i="1"/>
  <c r="AO20" i="1"/>
  <c r="AO256" i="1"/>
  <c r="AO71" i="1"/>
  <c r="AO25" i="1"/>
  <c r="AO176" i="1"/>
  <c r="AO301" i="1"/>
  <c r="AO191" i="1"/>
  <c r="AO235" i="1"/>
  <c r="AQ1218" i="1"/>
  <c r="AP1218" i="1"/>
  <c r="AO831" i="1"/>
  <c r="AO1371" i="1"/>
  <c r="AQ1482" i="1"/>
  <c r="AP1482" i="1"/>
  <c r="AP2263" i="1"/>
  <c r="AR2263" i="1" s="1"/>
  <c r="AT2263" i="1" s="1"/>
  <c r="AQ2263" i="1"/>
  <c r="AS2263" i="1" s="1"/>
  <c r="AU2263" i="1" s="1"/>
  <c r="AR2440" i="1"/>
  <c r="AT2440" i="1" s="1"/>
  <c r="AS2200" i="1"/>
  <c r="AU2200" i="1" s="1"/>
  <c r="AQ2260" i="1"/>
  <c r="AS2260" i="1" s="1"/>
  <c r="AU2260" i="1" s="1"/>
  <c r="AP2260" i="1"/>
  <c r="AR2260" i="1" s="1"/>
  <c r="AT2260" i="1" s="1"/>
  <c r="AQ2317" i="1"/>
  <c r="AP2317" i="1"/>
  <c r="AR2317" i="1" s="1"/>
  <c r="AT2317" i="1" s="1"/>
  <c r="AP2067" i="1"/>
  <c r="AR2067" i="1" s="1"/>
  <c r="AT2067" i="1" s="1"/>
  <c r="AQ2067" i="1"/>
  <c r="AS2067" i="1" s="1"/>
  <c r="AU2067" i="1" s="1"/>
  <c r="AQ2037" i="1"/>
  <c r="AS2037" i="1" s="1"/>
  <c r="AU2037" i="1" s="1"/>
  <c r="AP2037" i="1"/>
  <c r="AR2037" i="1" s="1"/>
  <c r="AT2037" i="1" s="1"/>
  <c r="AR2151" i="1"/>
  <c r="AT2151" i="1" s="1"/>
  <c r="AR2415" i="1"/>
  <c r="AT2415" i="1" s="1"/>
  <c r="AR2416" i="1"/>
  <c r="AT2416" i="1" s="1"/>
  <c r="AQ1928" i="1"/>
  <c r="AP1928" i="1"/>
  <c r="AS1828" i="1"/>
  <c r="AU1828" i="1" s="1"/>
  <c r="AO1512" i="1"/>
  <c r="AR1819" i="1"/>
  <c r="AT1819" i="1" s="1"/>
  <c r="AR1820" i="1"/>
  <c r="AT1820" i="1" s="1"/>
  <c r="AQ1296" i="1"/>
  <c r="AP1296" i="1"/>
  <c r="AQ1982" i="1"/>
  <c r="AS1982" i="1" s="1"/>
  <c r="AU1982" i="1" s="1"/>
  <c r="AP1982" i="1"/>
  <c r="AQ1994" i="1"/>
  <c r="AP1994" i="1"/>
  <c r="AQ1529" i="1"/>
  <c r="AS1529" i="1" s="1"/>
  <c r="AU1529" i="1" s="1"/>
  <c r="AP1529" i="1"/>
  <c r="AR1529" i="1" s="1"/>
  <c r="AT1529" i="1" s="1"/>
  <c r="AO1496" i="1"/>
  <c r="AO1495" i="1"/>
  <c r="AQ1647" i="1"/>
  <c r="AS1647" i="1" s="1"/>
  <c r="AU1647" i="1" s="1"/>
  <c r="AP1647" i="1"/>
  <c r="AR1647" i="1" s="1"/>
  <c r="AT1647" i="1" s="1"/>
  <c r="AS1834" i="1"/>
  <c r="AU1834" i="1" s="1"/>
  <c r="AQ1527" i="1"/>
  <c r="AP1527" i="1"/>
  <c r="AP1542" i="1"/>
  <c r="AR1542" i="1" s="1"/>
  <c r="AT1542" i="1" s="1"/>
  <c r="AQ1542" i="1"/>
  <c r="AP1331" i="1"/>
  <c r="AQ1331" i="1"/>
  <c r="AS1332" i="1" s="1"/>
  <c r="AU1332" i="1" s="1"/>
  <c r="AO752" i="1"/>
  <c r="AO748" i="1"/>
  <c r="AO749" i="1"/>
  <c r="AO750" i="1"/>
  <c r="AP807" i="1"/>
  <c r="AQ807" i="1"/>
  <c r="AQ1040" i="1"/>
  <c r="AP1040" i="1"/>
  <c r="AO1481" i="1"/>
  <c r="AO1125" i="1"/>
  <c r="AS2407" i="1"/>
  <c r="AU2407" i="1" s="1"/>
  <c r="AQ2458" i="1"/>
  <c r="AS2458" i="1" s="1"/>
  <c r="AU2458" i="1" s="1"/>
  <c r="AP2458" i="1"/>
  <c r="AQ2258" i="1"/>
  <c r="AS2258" i="1" s="1"/>
  <c r="AU2258" i="1" s="1"/>
  <c r="AP2258" i="1"/>
  <c r="AP2127" i="1"/>
  <c r="AR2127" i="1" s="1"/>
  <c r="AT2127" i="1" s="1"/>
  <c r="AQ2127" i="1"/>
  <c r="AS2127" i="1" s="1"/>
  <c r="AU2127" i="1" s="1"/>
  <c r="AP2075" i="1"/>
  <c r="AR2075" i="1" s="1"/>
  <c r="AT2075" i="1" s="1"/>
  <c r="AQ2075" i="1"/>
  <c r="AS2075" i="1" s="1"/>
  <c r="AU2075" i="1" s="1"/>
  <c r="AS2153" i="1"/>
  <c r="AU2153" i="1" s="1"/>
  <c r="AQ2056" i="1"/>
  <c r="AS2056" i="1" s="1"/>
  <c r="AU2056" i="1" s="1"/>
  <c r="AP2056" i="1"/>
  <c r="AR2056" i="1" s="1"/>
  <c r="AT2056" i="1" s="1"/>
  <c r="AP2143" i="1"/>
  <c r="AR2143" i="1" s="1"/>
  <c r="AT2143" i="1" s="1"/>
  <c r="AQ2143" i="1"/>
  <c r="AS2143" i="1" s="1"/>
  <c r="AU2143" i="1" s="1"/>
  <c r="AO1503" i="1"/>
  <c r="AQ1640" i="1"/>
  <c r="AS1640" i="1" s="1"/>
  <c r="AU1640" i="1" s="1"/>
  <c r="AP1640" i="1"/>
  <c r="AR1640" i="1" s="1"/>
  <c r="AT1640" i="1" s="1"/>
  <c r="AQ1427" i="1"/>
  <c r="AP1427" i="1"/>
  <c r="AQ1601" i="1"/>
  <c r="AP1601" i="1"/>
  <c r="AR1601" i="1" s="1"/>
  <c r="AT1601" i="1" s="1"/>
  <c r="AS1605" i="1"/>
  <c r="AU1605" i="1" s="1"/>
  <c r="AP1985" i="1"/>
  <c r="AR1985" i="1" s="1"/>
  <c r="AT1985" i="1" s="1"/>
  <c r="AQ1985" i="1"/>
  <c r="AS1985" i="1" s="1"/>
  <c r="AU1985" i="1" s="1"/>
  <c r="AQ2292" i="1"/>
  <c r="AS2292" i="1" s="1"/>
  <c r="AU2292" i="1" s="1"/>
  <c r="AP2292" i="1"/>
  <c r="AR2292" i="1" s="1"/>
  <c r="AT2292" i="1" s="1"/>
  <c r="AS2070" i="1"/>
  <c r="AU2070" i="1" s="1"/>
  <c r="AO1359" i="1"/>
  <c r="AQ1648" i="1"/>
  <c r="AP1648" i="1"/>
  <c r="AR1648" i="1" s="1"/>
  <c r="AT1648" i="1" s="1"/>
  <c r="AS1641" i="1"/>
  <c r="AU1641" i="1" s="1"/>
  <c r="AR2008" i="1"/>
  <c r="AT2008" i="1" s="1"/>
  <c r="AQ1238" i="1"/>
  <c r="AP1238" i="1"/>
  <c r="AP1144" i="1"/>
  <c r="AQ1144" i="1"/>
  <c r="AO1378" i="1"/>
  <c r="AP898" i="1"/>
  <c r="AQ898" i="1"/>
  <c r="AQ2506" i="1"/>
  <c r="AS2506" i="1" s="1"/>
  <c r="AU2506" i="1" s="1"/>
  <c r="AP2506" i="1"/>
  <c r="AR2506" i="1" s="1"/>
  <c r="AT2506" i="1" s="1"/>
  <c r="AQ2452" i="1"/>
  <c r="AP2452" i="1"/>
  <c r="AP2314" i="1"/>
  <c r="AR2314" i="1" s="1"/>
  <c r="AT2314" i="1" s="1"/>
  <c r="AQ2314" i="1"/>
  <c r="AS2314" i="1" s="1"/>
  <c r="AU2314" i="1" s="1"/>
  <c r="AS2186" i="1"/>
  <c r="AU2186" i="1" s="1"/>
  <c r="AQ2211" i="1"/>
  <c r="AS2211" i="1" s="1"/>
  <c r="AU2211" i="1" s="1"/>
  <c r="AP2211" i="1"/>
  <c r="AR2211" i="1" s="1"/>
  <c r="AT2211" i="1" s="1"/>
  <c r="AQ1943" i="1"/>
  <c r="AS1943" i="1" s="1"/>
  <c r="AU1943" i="1" s="1"/>
  <c r="AP1943" i="1"/>
  <c r="AR1943" i="1" s="1"/>
  <c r="AT1943" i="1" s="1"/>
  <c r="AS1723" i="1"/>
  <c r="AU1723" i="1" s="1"/>
  <c r="AO1493" i="1"/>
  <c r="AQ1447" i="1"/>
  <c r="AP1447" i="1"/>
  <c r="AS1969" i="1"/>
  <c r="AU1969" i="1" s="1"/>
  <c r="AO1484" i="1"/>
  <c r="AR2070" i="1"/>
  <c r="AT2070" i="1" s="1"/>
  <c r="AP1582" i="1"/>
  <c r="AR1582" i="1" s="1"/>
  <c r="AT1582" i="1" s="1"/>
  <c r="AQ1582" i="1"/>
  <c r="AS1582" i="1" s="1"/>
  <c r="AU1582" i="1" s="1"/>
  <c r="AO1498" i="1"/>
  <c r="AQ2049" i="1"/>
  <c r="AS2049" i="1" s="1"/>
  <c r="AU2049" i="1" s="1"/>
  <c r="AP2049" i="1"/>
  <c r="AS2008" i="1"/>
  <c r="AU2008" i="1" s="1"/>
  <c r="AO1264" i="1"/>
  <c r="AO1136" i="1"/>
  <c r="AO1328" i="1"/>
  <c r="AO960" i="1"/>
  <c r="AQ698" i="1"/>
  <c r="AP698" i="1"/>
  <c r="AO1267" i="1"/>
  <c r="AO1020" i="1"/>
  <c r="AO1066" i="1"/>
  <c r="AS2525" i="1"/>
  <c r="AU2525" i="1" s="1"/>
  <c r="AQ2503" i="1"/>
  <c r="AS2503" i="1" s="1"/>
  <c r="AU2503" i="1" s="1"/>
  <c r="AP2503" i="1"/>
  <c r="AR2503" i="1" s="1"/>
  <c r="AT2503" i="1" s="1"/>
  <c r="AP2334" i="1"/>
  <c r="AQ2334" i="1"/>
  <c r="AS2334" i="1" s="1"/>
  <c r="AU2334" i="1" s="1"/>
  <c r="AR2376" i="1"/>
  <c r="AT2376" i="1" s="1"/>
  <c r="AP2214" i="1"/>
  <c r="AR2214" i="1" s="1"/>
  <c r="AT2214" i="1" s="1"/>
  <c r="AQ2214" i="1"/>
  <c r="AS2214" i="1" s="1"/>
  <c r="AU2214" i="1" s="1"/>
  <c r="AR2128" i="1"/>
  <c r="AT2128" i="1" s="1"/>
  <c r="AR2259" i="1"/>
  <c r="AT2259" i="1" s="1"/>
  <c r="AR2165" i="1"/>
  <c r="AT2165" i="1" s="1"/>
  <c r="AP2090" i="1"/>
  <c r="AR2090" i="1" s="1"/>
  <c r="AT2090" i="1" s="1"/>
  <c r="AQ2090" i="1"/>
  <c r="AS2090" i="1" s="1"/>
  <c r="AU2090" i="1" s="1"/>
  <c r="AP1469" i="1"/>
  <c r="AQ1469" i="1"/>
  <c r="AQ1576" i="1"/>
  <c r="AS1576" i="1" s="1"/>
  <c r="AU1576" i="1" s="1"/>
  <c r="AP1576" i="1"/>
  <c r="AR1576" i="1" s="1"/>
  <c r="AT1576" i="1" s="1"/>
  <c r="AQ1538" i="1"/>
  <c r="AS1538" i="1" s="1"/>
  <c r="AU1538" i="1" s="1"/>
  <c r="AP1538" i="1"/>
  <c r="AR1538" i="1" s="1"/>
  <c r="AT1538" i="1" s="1"/>
  <c r="AP1610" i="1"/>
  <c r="AQ1610" i="1"/>
  <c r="AS1610" i="1" s="1"/>
  <c r="AU1610" i="1" s="1"/>
  <c r="AR1789" i="1"/>
  <c r="AT1789" i="1" s="1"/>
  <c r="AR1790" i="1"/>
  <c r="AT1790" i="1" s="1"/>
  <c r="AQ2086" i="1"/>
  <c r="AS2086" i="1" s="1"/>
  <c r="AU2086" i="1" s="1"/>
  <c r="AP2086" i="1"/>
  <c r="AR2086" i="1" s="1"/>
  <c r="AT2086" i="1" s="1"/>
  <c r="AR1950" i="1"/>
  <c r="AT1950" i="1" s="1"/>
  <c r="AR1562" i="1"/>
  <c r="AT1562" i="1" s="1"/>
  <c r="AQ1657" i="1"/>
  <c r="AS1657" i="1" s="1"/>
  <c r="AU1657" i="1" s="1"/>
  <c r="AP1657" i="1"/>
  <c r="AR1657" i="1" s="1"/>
  <c r="AT1657" i="1" s="1"/>
  <c r="AP1465" i="1"/>
  <c r="AR1465" i="1" s="1"/>
  <c r="AT1465" i="1" s="1"/>
  <c r="AQ1465" i="1"/>
  <c r="AS1465" i="1" s="1"/>
  <c r="AU1465" i="1" s="1"/>
  <c r="AO1258" i="1"/>
  <c r="AO1257" i="1"/>
  <c r="AQ1280" i="1"/>
  <c r="AS1280" i="1" s="1"/>
  <c r="AU1280" i="1" s="1"/>
  <c r="AP1280" i="1"/>
  <c r="AR1280" i="1" s="1"/>
  <c r="AT1280" i="1" s="1"/>
  <c r="AO771" i="1"/>
  <c r="AQ1285" i="1"/>
  <c r="AP1285" i="1"/>
  <c r="AO1312" i="1"/>
  <c r="AO1343" i="1"/>
  <c r="AO1310" i="1"/>
  <c r="AO994" i="1"/>
  <c r="AO1235" i="1"/>
  <c r="AO1307" i="1"/>
  <c r="AR2519" i="1"/>
  <c r="AT2519" i="1" s="1"/>
  <c r="AR2547" i="1"/>
  <c r="AT2547" i="1" s="1"/>
  <c r="AR2548" i="1"/>
  <c r="AT2548" i="1" s="1"/>
  <c r="AS2526" i="1"/>
  <c r="AU2526" i="1" s="1"/>
  <c r="AS2530" i="1"/>
  <c r="AU2530" i="1" s="1"/>
  <c r="AQ2489" i="1"/>
  <c r="AS2489" i="1" s="1"/>
  <c r="AU2489" i="1" s="1"/>
  <c r="AP2489" i="1"/>
  <c r="AR2489" i="1" s="1"/>
  <c r="AT2489" i="1" s="1"/>
  <c r="AS2513" i="1"/>
  <c r="AU2513" i="1" s="1"/>
  <c r="AQ2451" i="1"/>
  <c r="AS2451" i="1" s="1"/>
  <c r="AU2451" i="1" s="1"/>
  <c r="AP2451" i="1"/>
  <c r="AR2451" i="1" s="1"/>
  <c r="AT2451" i="1" s="1"/>
  <c r="AS2434" i="1"/>
  <c r="AU2434" i="1" s="1"/>
  <c r="AQ2490" i="1"/>
  <c r="AP2490" i="1"/>
  <c r="AS2394" i="1"/>
  <c r="AU2394" i="1" s="1"/>
  <c r="AR2368" i="1"/>
  <c r="AT2368" i="1" s="1"/>
  <c r="AR2367" i="1"/>
  <c r="AT2367" i="1" s="1"/>
  <c r="AP2324" i="1"/>
  <c r="AR2324" i="1" s="1"/>
  <c r="AT2324" i="1" s="1"/>
  <c r="AQ2324" i="1"/>
  <c r="AS2324" i="1" s="1"/>
  <c r="AU2324" i="1" s="1"/>
  <c r="AQ2437" i="1"/>
  <c r="AP2437" i="1"/>
  <c r="AQ2335" i="1"/>
  <c r="AP2335" i="1"/>
  <c r="AR2210" i="1"/>
  <c r="AT2210" i="1" s="1"/>
  <c r="AR2380" i="1"/>
  <c r="AT2380" i="1" s="1"/>
  <c r="AR2298" i="1"/>
  <c r="AT2298" i="1" s="1"/>
  <c r="AP2268" i="1"/>
  <c r="AR2268" i="1" s="1"/>
  <c r="AT2268" i="1" s="1"/>
  <c r="AQ2268" i="1"/>
  <c r="AS2268" i="1" s="1"/>
  <c r="AU2268" i="1" s="1"/>
  <c r="AP2176" i="1"/>
  <c r="AQ2176" i="1"/>
  <c r="AS2176" i="1" s="1"/>
  <c r="AU2176" i="1" s="1"/>
  <c r="AS2319" i="1"/>
  <c r="AU2319" i="1" s="1"/>
  <c r="AQ2196" i="1"/>
  <c r="AP2196" i="1"/>
  <c r="AQ2323" i="1"/>
  <c r="AS2323" i="1" s="1"/>
  <c r="AU2323" i="1" s="1"/>
  <c r="AP2323" i="1"/>
  <c r="AR2323" i="1" s="1"/>
  <c r="AT2323" i="1" s="1"/>
  <c r="AQ2221" i="1"/>
  <c r="AP2221" i="1"/>
  <c r="AR2221" i="1" s="1"/>
  <c r="AT2221" i="1" s="1"/>
  <c r="AQ2169" i="1"/>
  <c r="AS2169" i="1" s="1"/>
  <c r="AU2169" i="1" s="1"/>
  <c r="AP2169" i="1"/>
  <c r="AR2169" i="1" s="1"/>
  <c r="AT2169" i="1" s="1"/>
  <c r="AS1980" i="1"/>
  <c r="AU1980" i="1" s="1"/>
  <c r="AQ2231" i="1"/>
  <c r="AS2231" i="1" s="1"/>
  <c r="AU2231" i="1" s="1"/>
  <c r="AP2231" i="1"/>
  <c r="AP2050" i="1"/>
  <c r="AR2050" i="1" s="1"/>
  <c r="AT2050" i="1" s="1"/>
  <c r="AQ2050" i="1"/>
  <c r="AQ2212" i="1"/>
  <c r="AP2212" i="1"/>
  <c r="AR2301" i="1"/>
  <c r="AT2301" i="1" s="1"/>
  <c r="AR2095" i="1"/>
  <c r="AT2095" i="1" s="1"/>
  <c r="AR2240" i="1"/>
  <c r="AT2240" i="1" s="1"/>
  <c r="AQ2122" i="1"/>
  <c r="AS2122" i="1" s="1"/>
  <c r="AU2122" i="1" s="1"/>
  <c r="AP2122" i="1"/>
  <c r="AR2122" i="1" s="1"/>
  <c r="AT2122" i="1" s="1"/>
  <c r="AQ2031" i="1"/>
  <c r="AP2031" i="1"/>
  <c r="AS2259" i="1"/>
  <c r="AU2259" i="1" s="1"/>
  <c r="AQ2009" i="1"/>
  <c r="AS2009" i="1" s="1"/>
  <c r="AU2009" i="1" s="1"/>
  <c r="AP2009" i="1"/>
  <c r="AR2009" i="1" s="1"/>
  <c r="AT2009" i="1" s="1"/>
  <c r="AS2165" i="1"/>
  <c r="AU2165" i="1" s="1"/>
  <c r="AS2276" i="1"/>
  <c r="AU2276" i="1" s="1"/>
  <c r="AS2516" i="1"/>
  <c r="AU2516" i="1" s="1"/>
  <c r="AS2517" i="1"/>
  <c r="AU2517" i="1" s="1"/>
  <c r="AS2519" i="1"/>
  <c r="AU2519" i="1" s="1"/>
  <c r="AS2551" i="1"/>
  <c r="AU2551" i="1" s="1"/>
  <c r="AR2488" i="1"/>
  <c r="AT2488" i="1" s="1"/>
  <c r="AP2492" i="1"/>
  <c r="AR2492" i="1" s="1"/>
  <c r="AT2492" i="1" s="1"/>
  <c r="AQ2492" i="1"/>
  <c r="AS2492" i="1" s="1"/>
  <c r="AU2492" i="1" s="1"/>
  <c r="AR2371" i="1"/>
  <c r="AT2371" i="1" s="1"/>
  <c r="AQ2448" i="1"/>
  <c r="AS2448" i="1" s="1"/>
  <c r="AU2448" i="1" s="1"/>
  <c r="AP2448" i="1"/>
  <c r="AR2448" i="1" s="1"/>
  <c r="AT2448" i="1" s="1"/>
  <c r="AR2434" i="1"/>
  <c r="AT2434" i="1" s="1"/>
  <c r="AQ2478" i="1"/>
  <c r="AP2478" i="1"/>
  <c r="AR2388" i="1"/>
  <c r="AT2388" i="1" s="1"/>
  <c r="AS2520" i="1"/>
  <c r="AU2520" i="1" s="1"/>
  <c r="AP2439" i="1"/>
  <c r="AR2439" i="1" s="1"/>
  <c r="AT2439" i="1" s="1"/>
  <c r="AQ2439" i="1"/>
  <c r="AS2439" i="1" s="1"/>
  <c r="AU2439" i="1" s="1"/>
  <c r="AP2273" i="1"/>
  <c r="AR2273" i="1" s="1"/>
  <c r="AT2273" i="1" s="1"/>
  <c r="AQ2273" i="1"/>
  <c r="AS2273" i="1" s="1"/>
  <c r="AU2273" i="1" s="1"/>
  <c r="AP2336" i="1"/>
  <c r="AR2336" i="1" s="1"/>
  <c r="AT2336" i="1" s="1"/>
  <c r="AQ2336" i="1"/>
  <c r="AS2336" i="1" s="1"/>
  <c r="AU2336" i="1" s="1"/>
  <c r="AS2210" i="1"/>
  <c r="AU2210" i="1" s="1"/>
  <c r="AS2370" i="1"/>
  <c r="AU2370" i="1" s="1"/>
  <c r="AS2380" i="1"/>
  <c r="AU2380" i="1" s="1"/>
  <c r="AQ2247" i="1"/>
  <c r="AS2247" i="1" s="1"/>
  <c r="AU2247" i="1" s="1"/>
  <c r="AP2247" i="1"/>
  <c r="AR2247" i="1" s="1"/>
  <c r="AT2247" i="1" s="1"/>
  <c r="AP2299" i="1"/>
  <c r="AR2299" i="1" s="1"/>
  <c r="AT2299" i="1" s="1"/>
  <c r="AQ2299" i="1"/>
  <c r="AS2299" i="1" s="1"/>
  <c r="AU2299" i="1" s="1"/>
  <c r="AP2166" i="1"/>
  <c r="AR2166" i="1" s="1"/>
  <c r="AT2166" i="1" s="1"/>
  <c r="AQ2166" i="1"/>
  <c r="AS2166" i="1" s="1"/>
  <c r="AU2166" i="1" s="1"/>
  <c r="AQ2312" i="1"/>
  <c r="AP2312" i="1"/>
  <c r="AR2474" i="1"/>
  <c r="AT2474" i="1" s="1"/>
  <c r="AP2320" i="1"/>
  <c r="AR2320" i="1" s="1"/>
  <c r="AT2320" i="1" s="1"/>
  <c r="AQ2320" i="1"/>
  <c r="AS2320" i="1" s="1"/>
  <c r="AU2320" i="1" s="1"/>
  <c r="AQ2223" i="1"/>
  <c r="AS2223" i="1" s="1"/>
  <c r="AU2223" i="1" s="1"/>
  <c r="AP2223" i="1"/>
  <c r="AR2223" i="1" s="1"/>
  <c r="AT2223" i="1" s="1"/>
  <c r="AS2188" i="1"/>
  <c r="AU2188" i="1" s="1"/>
  <c r="AP2152" i="1"/>
  <c r="AR2152" i="1" s="1"/>
  <c r="AT2152" i="1" s="1"/>
  <c r="AQ2152" i="1"/>
  <c r="AS2152" i="1" s="1"/>
  <c r="AU2152" i="1" s="1"/>
  <c r="AR1980" i="1"/>
  <c r="AT1980" i="1" s="1"/>
  <c r="AP2233" i="1"/>
  <c r="AQ2233" i="1"/>
  <c r="AQ2036" i="1"/>
  <c r="AS2036" i="1" s="1"/>
  <c r="AU2036" i="1" s="1"/>
  <c r="AP2036" i="1"/>
  <c r="AR2036" i="1" s="1"/>
  <c r="AT2036" i="1" s="1"/>
  <c r="AS2297" i="1"/>
  <c r="AU2297" i="1" s="1"/>
  <c r="AQ2215" i="1"/>
  <c r="AP2215" i="1"/>
  <c r="AR2215" i="1" s="1"/>
  <c r="AT2215" i="1" s="1"/>
  <c r="AS2301" i="1"/>
  <c r="AU2301" i="1" s="1"/>
  <c r="AP2064" i="1"/>
  <c r="AR2064" i="1" s="1"/>
  <c r="AT2064" i="1" s="1"/>
  <c r="AQ2064" i="1"/>
  <c r="AS2064" i="1" s="1"/>
  <c r="AU2064" i="1" s="1"/>
  <c r="AQ1981" i="1"/>
  <c r="AS1981" i="1" s="1"/>
  <c r="AU1981" i="1" s="1"/>
  <c r="AP1981" i="1"/>
  <c r="AR1981" i="1" s="1"/>
  <c r="AT1981" i="1" s="1"/>
  <c r="AS2240" i="1"/>
  <c r="AU2240" i="1" s="1"/>
  <c r="AQ2107" i="1"/>
  <c r="AP2107" i="1"/>
  <c r="AP2018" i="1"/>
  <c r="AR2018" i="1" s="1"/>
  <c r="AT2018" i="1" s="1"/>
  <c r="AQ2018" i="1"/>
  <c r="AS2018" i="1" s="1"/>
  <c r="AU2018" i="1" s="1"/>
  <c r="AQ2279" i="1"/>
  <c r="AS2279" i="1" s="1"/>
  <c r="AU2279" i="1" s="1"/>
  <c r="AP2279" i="1"/>
  <c r="AR2279" i="1" s="1"/>
  <c r="AT2279" i="1" s="1"/>
  <c r="AQ2118" i="1"/>
  <c r="AP2118" i="1"/>
  <c r="AQ1911" i="1"/>
  <c r="AP1911" i="1"/>
  <c r="AQ2184" i="1"/>
  <c r="AS2185" i="1" s="1"/>
  <c r="AU2185" i="1" s="1"/>
  <c r="AP2184" i="1"/>
  <c r="AR2184" i="1" s="1"/>
  <c r="AT2184" i="1" s="1"/>
  <c r="AQ2117" i="1"/>
  <c r="AS2117" i="1" s="1"/>
  <c r="AU2117" i="1" s="1"/>
  <c r="AP2117" i="1"/>
  <c r="AR2117" i="1" s="1"/>
  <c r="AT2117" i="1" s="1"/>
  <c r="AP2010" i="1"/>
  <c r="AR2010" i="1" s="1"/>
  <c r="AT2010" i="1" s="1"/>
  <c r="AQ2010" i="1"/>
  <c r="AQ2160" i="1"/>
  <c r="AS2160" i="1" s="1"/>
  <c r="AU2160" i="1" s="1"/>
  <c r="AP2160" i="1"/>
  <c r="AR2160" i="1" s="1"/>
  <c r="AT2160" i="1" s="1"/>
  <c r="AQ1927" i="1"/>
  <c r="AS1927" i="1" s="1"/>
  <c r="AU1927" i="1" s="1"/>
  <c r="AP1927" i="1"/>
  <c r="AR1927" i="1" s="1"/>
  <c r="AT1927" i="1" s="1"/>
  <c r="AP1990" i="1"/>
  <c r="AR1990" i="1" s="1"/>
  <c r="AT1990" i="1" s="1"/>
  <c r="AQ1990" i="1"/>
  <c r="AS1990" i="1" s="1"/>
  <c r="AU1990" i="1" s="1"/>
  <c r="AQ1874" i="1"/>
  <c r="AS1874" i="1" s="1"/>
  <c r="AU1874" i="1" s="1"/>
  <c r="AP1874" i="1"/>
  <c r="AR1874" i="1" s="1"/>
  <c r="AT1874" i="1" s="1"/>
  <c r="AQ2266" i="1"/>
  <c r="AP2266" i="1"/>
  <c r="AR2266" i="1" s="1"/>
  <c r="AT2266" i="1" s="1"/>
  <c r="AR1886" i="1"/>
  <c r="AT1886" i="1" s="1"/>
  <c r="AS1929" i="1"/>
  <c r="AU1929" i="1" s="1"/>
  <c r="AQ2181" i="1"/>
  <c r="AS2181" i="1" s="1"/>
  <c r="AU2181" i="1" s="1"/>
  <c r="AP2181" i="1"/>
  <c r="AR2181" i="1" s="1"/>
  <c r="AT2181" i="1" s="1"/>
  <c r="AQ1963" i="1"/>
  <c r="AS1963" i="1" s="1"/>
  <c r="AU1963" i="1" s="1"/>
  <c r="AP1963" i="1"/>
  <c r="AR1963" i="1" s="1"/>
  <c r="AT1963" i="1" s="1"/>
  <c r="AQ2114" i="1"/>
  <c r="AS2114" i="1" s="1"/>
  <c r="AU2114" i="1" s="1"/>
  <c r="AP2114" i="1"/>
  <c r="AR2114" i="1" s="1"/>
  <c r="AT2114" i="1" s="1"/>
  <c r="AQ1968" i="1"/>
  <c r="AP1968" i="1"/>
  <c r="AQ1586" i="1"/>
  <c r="AS1586" i="1" s="1"/>
  <c r="AU1586" i="1" s="1"/>
  <c r="AP1586" i="1"/>
  <c r="AR1586" i="1" s="1"/>
  <c r="AT1586" i="1" s="1"/>
  <c r="AP2085" i="1"/>
  <c r="AR2085" i="1" s="1"/>
  <c r="AT2085" i="1" s="1"/>
  <c r="AQ2085" i="1"/>
  <c r="AP1600" i="1"/>
  <c r="AR1600" i="1" s="1"/>
  <c r="AT1600" i="1" s="1"/>
  <c r="AQ1600" i="1"/>
  <c r="AS1600" i="1" s="1"/>
  <c r="AU1600" i="1" s="1"/>
  <c r="AO1430" i="1"/>
  <c r="AO1286" i="1"/>
  <c r="AQ1879" i="1"/>
  <c r="AP1879" i="1"/>
  <c r="AR1879" i="1" s="1"/>
  <c r="AT1879" i="1" s="1"/>
  <c r="AR1769" i="1"/>
  <c r="AT1769" i="1" s="1"/>
  <c r="AR1770" i="1"/>
  <c r="AT1770" i="1" s="1"/>
  <c r="AP1571" i="1"/>
  <c r="AQ1571" i="1"/>
  <c r="AQ2139" i="1"/>
  <c r="AS2139" i="1" s="1"/>
  <c r="AU2139" i="1" s="1"/>
  <c r="AP2139" i="1"/>
  <c r="AR2139" i="1" s="1"/>
  <c r="AT2139" i="1" s="1"/>
  <c r="AS1858" i="1"/>
  <c r="AU1858" i="1" s="1"/>
  <c r="AR1729" i="1"/>
  <c r="AT1729" i="1" s="1"/>
  <c r="AR1730" i="1"/>
  <c r="AT1730" i="1" s="1"/>
  <c r="AQ1540" i="1"/>
  <c r="AP1540" i="1"/>
  <c r="AO1398" i="1"/>
  <c r="AR1714" i="1"/>
  <c r="AT1714" i="1" s="1"/>
  <c r="AR1715" i="1"/>
  <c r="AT1715" i="1" s="1"/>
  <c r="AQ1543" i="1"/>
  <c r="AS1543" i="1" s="1"/>
  <c r="AU1543" i="1" s="1"/>
  <c r="AP1543" i="1"/>
  <c r="AR2134" i="1"/>
  <c r="AT2134" i="1" s="1"/>
  <c r="AQ1908" i="1"/>
  <c r="AS1908" i="1" s="1"/>
  <c r="AU1908" i="1" s="1"/>
  <c r="AP1908" i="1"/>
  <c r="AR1908" i="1" s="1"/>
  <c r="AT1908" i="1" s="1"/>
  <c r="AR1917" i="1"/>
  <c r="AT1917" i="1" s="1"/>
  <c r="AP2038" i="1"/>
  <c r="AQ2038" i="1"/>
  <c r="AS2074" i="1"/>
  <c r="AU2074" i="1" s="1"/>
  <c r="AQ2044" i="1"/>
  <c r="AS2044" i="1" s="1"/>
  <c r="AU2044" i="1" s="1"/>
  <c r="AP2044" i="1"/>
  <c r="AR2044" i="1" s="1"/>
  <c r="AT2044" i="1" s="1"/>
  <c r="AS1795" i="1"/>
  <c r="AU1795" i="1" s="1"/>
  <c r="AS1599" i="1"/>
  <c r="AU1599" i="1" s="1"/>
  <c r="AR1597" i="1"/>
  <c r="AT1597" i="1" s="1"/>
  <c r="AO1330" i="1"/>
  <c r="AQ1547" i="1"/>
  <c r="AS1547" i="1" s="1"/>
  <c r="AU1547" i="1" s="1"/>
  <c r="AP1547" i="1"/>
  <c r="AR1547" i="1" s="1"/>
  <c r="AT1547" i="1" s="1"/>
  <c r="AO1438" i="1"/>
  <c r="AS1784" i="1"/>
  <c r="AU1784" i="1" s="1"/>
  <c r="AQ1630" i="1"/>
  <c r="AP1630" i="1"/>
  <c r="AR1630" i="1" s="1"/>
  <c r="AT1630" i="1" s="1"/>
  <c r="AS1524" i="1"/>
  <c r="AU1524" i="1" s="1"/>
  <c r="AO1423" i="1"/>
  <c r="AO1177" i="1"/>
  <c r="AS1749" i="1"/>
  <c r="AU1749" i="1" s="1"/>
  <c r="AS1545" i="1"/>
  <c r="AU1545" i="1" s="1"/>
  <c r="AR1804" i="1"/>
  <c r="AT1804" i="1" s="1"/>
  <c r="AR1805" i="1"/>
  <c r="AT1805" i="1" s="1"/>
  <c r="AQ1558" i="1"/>
  <c r="AS1558" i="1" s="1"/>
  <c r="AU1558" i="1" s="1"/>
  <c r="AP1558" i="1"/>
  <c r="AR1558" i="1" s="1"/>
  <c r="AT1558" i="1" s="1"/>
  <c r="AR1814" i="1"/>
  <c r="AT1814" i="1" s="1"/>
  <c r="AR1815" i="1"/>
  <c r="AT1815" i="1" s="1"/>
  <c r="AR1537" i="1"/>
  <c r="AT1537" i="1" s="1"/>
  <c r="AO1454" i="1"/>
  <c r="AS2099" i="1"/>
  <c r="AU2099" i="1" s="1"/>
  <c r="AR1844" i="1"/>
  <c r="AT1844" i="1" s="1"/>
  <c r="AR1618" i="1"/>
  <c r="AT1618" i="1" s="1"/>
  <c r="AQ1519" i="1"/>
  <c r="AP1519" i="1"/>
  <c r="AS1593" i="1"/>
  <c r="AU1593" i="1" s="1"/>
  <c r="AO1448" i="1"/>
  <c r="AO1253" i="1"/>
  <c r="AO1252" i="1"/>
  <c r="AO1228" i="1"/>
  <c r="AO1227" i="1"/>
  <c r="AO1203" i="1"/>
  <c r="AO1202" i="1"/>
  <c r="AO1347" i="1"/>
  <c r="AO1272" i="1"/>
  <c r="AO1075" i="1"/>
  <c r="AO884" i="1"/>
  <c r="AO766" i="1"/>
  <c r="AO741" i="1"/>
  <c r="AR1472" i="1"/>
  <c r="AT1472" i="1" s="1"/>
  <c r="AO1278" i="1"/>
  <c r="AO942" i="1"/>
  <c r="AO941" i="1"/>
  <c r="AO1428" i="1"/>
  <c r="AO1266" i="1"/>
  <c r="AO1007" i="1"/>
  <c r="AO1421" i="1"/>
  <c r="AO1175" i="1"/>
  <c r="AO1492" i="1"/>
  <c r="AO1402" i="1"/>
  <c r="AO1294" i="1"/>
  <c r="AO1315" i="1"/>
  <c r="AO1298" i="1"/>
  <c r="AO1308" i="1"/>
  <c r="AO933" i="1"/>
  <c r="AO865" i="1"/>
  <c r="AQ665" i="1"/>
  <c r="AP665" i="1"/>
  <c r="AO1251" i="1"/>
  <c r="AO1081" i="1"/>
  <c r="AO920" i="1"/>
  <c r="AO784" i="1"/>
  <c r="AO1131" i="1"/>
  <c r="AO1025" i="1"/>
  <c r="AO804" i="1"/>
  <c r="AP666" i="1"/>
  <c r="AR666" i="1" s="1"/>
  <c r="AT666" i="1" s="1"/>
  <c r="AQ666" i="1"/>
  <c r="AS666" i="1" s="1"/>
  <c r="AU666" i="1" s="1"/>
  <c r="AO1182" i="1"/>
  <c r="AO1051" i="1"/>
  <c r="AO934" i="1"/>
  <c r="AO1151" i="1"/>
  <c r="AO969" i="1"/>
  <c r="AO1215" i="1"/>
  <c r="AO1106" i="1"/>
  <c r="AO973" i="1"/>
  <c r="AO1048" i="1"/>
  <c r="AO922" i="1"/>
  <c r="AO1012" i="1"/>
  <c r="AO1128" i="1"/>
  <c r="AO1087" i="1"/>
  <c r="AQ915" i="1"/>
  <c r="AS915" i="1" s="1"/>
  <c r="AU915" i="1" s="1"/>
  <c r="AP915" i="1"/>
  <c r="AR915" i="1" s="1"/>
  <c r="AT915" i="1" s="1"/>
  <c r="AO696" i="1"/>
  <c r="AO857" i="1"/>
  <c r="AO718" i="1"/>
  <c r="AO483" i="1"/>
  <c r="AO354" i="1"/>
  <c r="AO1017" i="1"/>
  <c r="AO800" i="1"/>
  <c r="AO625" i="1"/>
  <c r="AO488" i="1"/>
  <c r="AO972" i="1"/>
  <c r="AO653" i="1"/>
  <c r="AO264" i="1"/>
  <c r="AO945" i="1"/>
  <c r="AO581" i="1"/>
  <c r="AO999" i="1"/>
  <c r="AO1220" i="1"/>
  <c r="AO913" i="1"/>
  <c r="AO899" i="1"/>
  <c r="AO669" i="1"/>
  <c r="AO907" i="1"/>
  <c r="AO869" i="1"/>
  <c r="AO1172" i="1"/>
  <c r="AO709" i="1"/>
  <c r="AO550" i="1"/>
  <c r="AO616" i="1"/>
  <c r="AO431" i="1"/>
  <c r="AQ324" i="1"/>
  <c r="AP324" i="1"/>
  <c r="AO724" i="1"/>
  <c r="AP536" i="1"/>
  <c r="AQ536" i="1"/>
  <c r="AO389" i="1"/>
  <c r="AO170" i="1"/>
  <c r="AO679" i="1"/>
  <c r="AO515" i="1"/>
  <c r="AO278" i="1"/>
  <c r="AO864" i="1"/>
  <c r="AO464" i="1"/>
  <c r="AO633" i="1"/>
  <c r="AO471" i="1"/>
  <c r="AO397" i="1"/>
  <c r="AO548" i="1"/>
  <c r="AO380" i="1"/>
  <c r="AO608" i="1"/>
  <c r="AO415" i="1"/>
  <c r="AO612" i="1"/>
  <c r="AO476" i="1"/>
  <c r="AO613" i="1"/>
  <c r="AO402" i="1"/>
  <c r="AO12" i="1"/>
  <c r="AO305" i="1"/>
  <c r="AO9" i="1"/>
  <c r="AO343" i="1"/>
  <c r="AO152" i="1"/>
  <c r="AO490" i="1"/>
  <c r="AO241" i="1"/>
  <c r="AO138" i="1"/>
  <c r="AO88" i="1"/>
  <c r="AO38" i="1"/>
  <c r="AO345" i="1"/>
  <c r="AO64" i="1"/>
  <c r="AO53" i="1"/>
  <c r="AO308" i="1"/>
  <c r="AO419" i="1"/>
  <c r="AO316" i="1"/>
  <c r="AP395" i="1"/>
  <c r="AQ395" i="1"/>
  <c r="AO201" i="1"/>
  <c r="AO398" i="1"/>
  <c r="AO270" i="1"/>
  <c r="AO369" i="1"/>
  <c r="AO165" i="1"/>
  <c r="AO69" i="1"/>
  <c r="AO17" i="1"/>
  <c r="AO144" i="1"/>
  <c r="AO262" i="1"/>
  <c r="AO51" i="1"/>
  <c r="AO198" i="1"/>
  <c r="AO357" i="1"/>
  <c r="AO131" i="1"/>
  <c r="AO275" i="1"/>
  <c r="AO156" i="1"/>
  <c r="AO91" i="1"/>
  <c r="AO173" i="1"/>
  <c r="AQ1243" i="1"/>
  <c r="AP1243" i="1"/>
  <c r="AQ1344" i="1"/>
  <c r="AP1344" i="1"/>
  <c r="AO1367" i="1"/>
  <c r="AP909" i="1"/>
  <c r="AR909" i="1" s="1"/>
  <c r="AT909" i="1" s="1"/>
  <c r="AQ909" i="1"/>
  <c r="AS909" i="1" s="1"/>
  <c r="AU909" i="1" s="1"/>
  <c r="AQ1420" i="1"/>
  <c r="AS1420" i="1" s="1"/>
  <c r="AU1420" i="1" s="1"/>
  <c r="AP1420" i="1"/>
  <c r="AR1420" i="1" s="1"/>
  <c r="AT1420" i="1" s="1"/>
  <c r="AQ2508" i="1"/>
  <c r="AS2508" i="1" s="1"/>
  <c r="AU2508" i="1" s="1"/>
  <c r="AP2508" i="1"/>
  <c r="AR2508" i="1" s="1"/>
  <c r="AT2508" i="1" s="1"/>
  <c r="AQ2457" i="1"/>
  <c r="AP2457" i="1"/>
  <c r="AR2457" i="1" s="1"/>
  <c r="AT2457" i="1" s="1"/>
  <c r="AQ2466" i="1"/>
  <c r="AS2466" i="1" s="1"/>
  <c r="AU2466" i="1" s="1"/>
  <c r="AP2466" i="1"/>
  <c r="AR2466" i="1" s="1"/>
  <c r="AT2466" i="1" s="1"/>
  <c r="AQ2479" i="1"/>
  <c r="AS2479" i="1" s="1"/>
  <c r="AU2479" i="1" s="1"/>
  <c r="AP2479" i="1"/>
  <c r="AR2479" i="1" s="1"/>
  <c r="AT2479" i="1" s="1"/>
  <c r="AR2201" i="1"/>
  <c r="AT2201" i="1" s="1"/>
  <c r="AQ2077" i="1"/>
  <c r="AS2077" i="1" s="1"/>
  <c r="AU2077" i="1" s="1"/>
  <c r="AP2077" i="1"/>
  <c r="AR2077" i="1" s="1"/>
  <c r="AT2077" i="1" s="1"/>
  <c r="AQ2138" i="1"/>
  <c r="AP2138" i="1"/>
  <c r="AR2138" i="1" s="1"/>
  <c r="AT2138" i="1" s="1"/>
  <c r="AQ2144" i="1"/>
  <c r="AS2144" i="1" s="1"/>
  <c r="AU2144" i="1" s="1"/>
  <c r="AP2144" i="1"/>
  <c r="AR2144" i="1" s="1"/>
  <c r="AT2144" i="1" s="1"/>
  <c r="AS1971" i="1"/>
  <c r="AU1971" i="1" s="1"/>
  <c r="AQ1997" i="1"/>
  <c r="AP1997" i="1"/>
  <c r="AR1997" i="1" s="1"/>
  <c r="AT1997" i="1" s="1"/>
  <c r="AR2032" i="1"/>
  <c r="AT2032" i="1" s="1"/>
  <c r="AS1778" i="1"/>
  <c r="AU1778" i="1" s="1"/>
  <c r="AO1504" i="1"/>
  <c r="AQ1638" i="1"/>
  <c r="AP1638" i="1"/>
  <c r="AR1638" i="1" s="1"/>
  <c r="AT1638" i="1" s="1"/>
  <c r="AS2171" i="1"/>
  <c r="AU2171" i="1" s="1"/>
  <c r="AQ1894" i="1"/>
  <c r="AS1894" i="1" s="1"/>
  <c r="AU1894" i="1" s="1"/>
  <c r="AP1894" i="1"/>
  <c r="AR1894" i="1" s="1"/>
  <c r="AT1894" i="1" s="1"/>
  <c r="AP1139" i="1"/>
  <c r="AQ1139" i="1"/>
  <c r="AP1129" i="1"/>
  <c r="AQ1129" i="1"/>
  <c r="AS1655" i="1"/>
  <c r="AU1655" i="1" s="1"/>
  <c r="AO1501" i="1"/>
  <c r="AQ1269" i="1"/>
  <c r="AS1269" i="1" s="1"/>
  <c r="AU1269" i="1" s="1"/>
  <c r="AP1269" i="1"/>
  <c r="AR1269" i="1" s="1"/>
  <c r="AT1269" i="1" s="1"/>
  <c r="AP1426" i="1"/>
  <c r="AQ1426" i="1"/>
  <c r="AO777" i="1"/>
  <c r="AO775" i="1"/>
  <c r="AQ1067" i="1"/>
  <c r="AP1067" i="1"/>
  <c r="AQ906" i="1"/>
  <c r="AP906" i="1"/>
  <c r="AQ1339" i="1"/>
  <c r="AP1339" i="1"/>
  <c r="AQ817" i="1"/>
  <c r="AP817" i="1"/>
  <c r="AQ2477" i="1"/>
  <c r="AS2477" i="1" s="1"/>
  <c r="AU2477" i="1" s="1"/>
  <c r="AP2477" i="1"/>
  <c r="AR2477" i="1" s="1"/>
  <c r="AT2477" i="1" s="1"/>
  <c r="AQ2332" i="1"/>
  <c r="AS2332" i="1" s="1"/>
  <c r="AU2332" i="1" s="1"/>
  <c r="AP2332" i="1"/>
  <c r="AR2332" i="1" s="1"/>
  <c r="AT2332" i="1" s="1"/>
  <c r="AP2482" i="1"/>
  <c r="AR2482" i="1" s="1"/>
  <c r="AT2482" i="1" s="1"/>
  <c r="AQ2482" i="1"/>
  <c r="AS2482" i="1" s="1"/>
  <c r="AU2482" i="1" s="1"/>
  <c r="AP2509" i="1"/>
  <c r="AR2509" i="1" s="1"/>
  <c r="AT2509" i="1" s="1"/>
  <c r="AQ2509" i="1"/>
  <c r="AS2509" i="1" s="1"/>
  <c r="AU2509" i="1" s="1"/>
  <c r="AQ2253" i="1"/>
  <c r="AS2253" i="1" s="1"/>
  <c r="AU2253" i="1" s="1"/>
  <c r="AP2253" i="1"/>
  <c r="AR2253" i="1" s="1"/>
  <c r="AT2253" i="1" s="1"/>
  <c r="AR2243" i="1"/>
  <c r="AT2243" i="1" s="1"/>
  <c r="AP2316" i="1"/>
  <c r="AR2316" i="1" s="1"/>
  <c r="AT2316" i="1" s="1"/>
  <c r="AQ2316" i="1"/>
  <c r="AS2316" i="1" s="1"/>
  <c r="AU2316" i="1" s="1"/>
  <c r="AP2004" i="1"/>
  <c r="AQ2004" i="1"/>
  <c r="AQ1936" i="1"/>
  <c r="AS1936" i="1" s="1"/>
  <c r="AU1936" i="1" s="1"/>
  <c r="AP1936" i="1"/>
  <c r="AR1936" i="1" s="1"/>
  <c r="AT1936" i="1" s="1"/>
  <c r="AO1455" i="1"/>
  <c r="AQ1996" i="1"/>
  <c r="AS1996" i="1" s="1"/>
  <c r="AU1996" i="1" s="1"/>
  <c r="AP1996" i="1"/>
  <c r="AR1996" i="1" s="1"/>
  <c r="AT1996" i="1" s="1"/>
  <c r="AP1515" i="1"/>
  <c r="AR1515" i="1" s="1"/>
  <c r="AT1515" i="1" s="1"/>
  <c r="AQ1515" i="1"/>
  <c r="AS1515" i="1" s="1"/>
  <c r="AU1515" i="1" s="1"/>
  <c r="AQ1517" i="1"/>
  <c r="AP1517" i="1"/>
  <c r="AQ1271" i="1"/>
  <c r="AP1271" i="1"/>
  <c r="AQ1572" i="1"/>
  <c r="AS1572" i="1" s="1"/>
  <c r="AU1572" i="1" s="1"/>
  <c r="AP1572" i="1"/>
  <c r="AR1572" i="1" s="1"/>
  <c r="AT1572" i="1" s="1"/>
  <c r="AS1523" i="1"/>
  <c r="AU1523" i="1" s="1"/>
  <c r="AQ1590" i="1"/>
  <c r="AP1590" i="1"/>
  <c r="AR1590" i="1" s="1"/>
  <c r="AT1590" i="1" s="1"/>
  <c r="AQ1213" i="1"/>
  <c r="AP1213" i="1"/>
  <c r="AQ966" i="1"/>
  <c r="AP966" i="1"/>
  <c r="AO1039" i="1"/>
  <c r="AO1357" i="1"/>
  <c r="AO1485" i="1"/>
  <c r="AQ2499" i="1"/>
  <c r="AS2499" i="1" s="1"/>
  <c r="AU2499" i="1" s="1"/>
  <c r="AP2499" i="1"/>
  <c r="AR2499" i="1" s="1"/>
  <c r="AT2499" i="1" s="1"/>
  <c r="AQ2288" i="1"/>
  <c r="AS2288" i="1" s="1"/>
  <c r="AU2288" i="1" s="1"/>
  <c r="AP2288" i="1"/>
  <c r="AR2288" i="1" s="1"/>
  <c r="AT2288" i="1" s="1"/>
  <c r="AQ2061" i="1"/>
  <c r="AS2061" i="1" s="1"/>
  <c r="AU2061" i="1" s="1"/>
  <c r="AP2061" i="1"/>
  <c r="AR2061" i="1" s="1"/>
  <c r="AT2061" i="1" s="1"/>
  <c r="AQ2019" i="1"/>
  <c r="AP2019" i="1"/>
  <c r="AQ2111" i="1"/>
  <c r="AS2111" i="1" s="1"/>
  <c r="AU2111" i="1" s="1"/>
  <c r="AP2111" i="1"/>
  <c r="AR2111" i="1" s="1"/>
  <c r="AT2111" i="1" s="1"/>
  <c r="AS1634" i="1"/>
  <c r="AU1634" i="1" s="1"/>
  <c r="AQ1944" i="1"/>
  <c r="AP1944" i="1"/>
  <c r="AP1872" i="1"/>
  <c r="AQ1872" i="1"/>
  <c r="AS2285" i="1"/>
  <c r="AU2285" i="1" s="1"/>
  <c r="AQ2329" i="1"/>
  <c r="AP2329" i="1"/>
  <c r="AQ1918" i="1"/>
  <c r="AS1918" i="1" s="1"/>
  <c r="AU1918" i="1" s="1"/>
  <c r="AP1918" i="1"/>
  <c r="AR1918" i="1" s="1"/>
  <c r="AT1918" i="1" s="1"/>
  <c r="AO1461" i="1"/>
  <c r="AQ1316" i="1"/>
  <c r="AP1316" i="1"/>
  <c r="AQ1661" i="1"/>
  <c r="AS1661" i="1" s="1"/>
  <c r="AU1661" i="1" s="1"/>
  <c r="AP1661" i="1"/>
  <c r="AR1661" i="1" s="1"/>
  <c r="AT1661" i="1" s="1"/>
  <c r="AP1650" i="1"/>
  <c r="AR1650" i="1" s="1"/>
  <c r="AT1650" i="1" s="1"/>
  <c r="AQ1650" i="1"/>
  <c r="AS1650" i="1" s="1"/>
  <c r="AU1650" i="1" s="1"/>
  <c r="AS1699" i="1"/>
  <c r="AU1699" i="1" s="1"/>
  <c r="AS1534" i="1"/>
  <c r="AU1534" i="1" s="1"/>
  <c r="AP1621" i="1"/>
  <c r="AQ1621" i="1"/>
  <c r="AO1214" i="1"/>
  <c r="AP949" i="1"/>
  <c r="AQ949" i="1"/>
  <c r="AO1019" i="1"/>
  <c r="AO1034" i="1"/>
  <c r="AS1668" i="1"/>
  <c r="AU1668" i="1" s="1"/>
  <c r="AQ1058" i="1"/>
  <c r="AP1058" i="1"/>
  <c r="AO827" i="1"/>
  <c r="AO1242" i="1"/>
  <c r="AO1065" i="1"/>
  <c r="AQ645" i="1"/>
  <c r="AP645" i="1"/>
  <c r="AS2548" i="1"/>
  <c r="AU2548" i="1" s="1"/>
  <c r="AS2547" i="1"/>
  <c r="AU2547" i="1" s="1"/>
  <c r="AS2556" i="1"/>
  <c r="AU2556" i="1" s="1"/>
  <c r="AS2557" i="1"/>
  <c r="AU2557" i="1" s="1"/>
  <c r="AP2500" i="1"/>
  <c r="AR2500" i="1" s="1"/>
  <c r="AT2500" i="1" s="1"/>
  <c r="AQ2500" i="1"/>
  <c r="AP2304" i="1"/>
  <c r="AR2304" i="1" s="1"/>
  <c r="AT2304" i="1" s="1"/>
  <c r="AQ2304" i="1"/>
  <c r="AS2304" i="1" s="1"/>
  <c r="AU2304" i="1" s="1"/>
  <c r="AS2446" i="1"/>
  <c r="AU2446" i="1" s="1"/>
  <c r="AQ2270" i="1"/>
  <c r="AS2270" i="1" s="1"/>
  <c r="AU2270" i="1" s="1"/>
  <c r="AP2270" i="1"/>
  <c r="AR2270" i="1" s="1"/>
  <c r="AT2270" i="1" s="1"/>
  <c r="AR2319" i="1"/>
  <c r="AT2319" i="1" s="1"/>
  <c r="AR2377" i="1"/>
  <c r="AT2377" i="1" s="1"/>
  <c r="AQ2167" i="1"/>
  <c r="AP2167" i="1"/>
  <c r="AP2048" i="1"/>
  <c r="AR2048" i="1" s="1"/>
  <c r="AT2048" i="1" s="1"/>
  <c r="AQ2048" i="1"/>
  <c r="AS2048" i="1" s="1"/>
  <c r="AU2048" i="1" s="1"/>
  <c r="AS2095" i="1"/>
  <c r="AU2095" i="1" s="1"/>
  <c r="AP2125" i="1"/>
  <c r="AR2125" i="1" s="1"/>
  <c r="AT2125" i="1" s="1"/>
  <c r="AQ2125" i="1"/>
  <c r="AQ2021" i="1"/>
  <c r="AP2021" i="1"/>
  <c r="AR2021" i="1" s="1"/>
  <c r="AT2021" i="1" s="1"/>
  <c r="AS2026" i="1"/>
  <c r="AU2026" i="1" s="1"/>
  <c r="AR2276" i="1"/>
  <c r="AT2276" i="1" s="1"/>
  <c r="AQ2058" i="1"/>
  <c r="AS2058" i="1" s="1"/>
  <c r="AU2058" i="1" s="1"/>
  <c r="AP2058" i="1"/>
  <c r="AR2058" i="1" s="1"/>
  <c r="AT2058" i="1" s="1"/>
  <c r="AR2142" i="1"/>
  <c r="AT2142" i="1" s="1"/>
  <c r="AR1900" i="1"/>
  <c r="AT1900" i="1" s="1"/>
  <c r="AR1914" i="1"/>
  <c r="AT1914" i="1" s="1"/>
  <c r="AQ2135" i="1"/>
  <c r="AS2135" i="1" s="1"/>
  <c r="AU2135" i="1" s="1"/>
  <c r="AP2135" i="1"/>
  <c r="AR2135" i="1" s="1"/>
  <c r="AT2135" i="1" s="1"/>
  <c r="AQ1577" i="1"/>
  <c r="AP1577" i="1"/>
  <c r="AR1577" i="1" s="1"/>
  <c r="AT1577" i="1" s="1"/>
  <c r="AP1919" i="1"/>
  <c r="AQ1919" i="1"/>
  <c r="AO1456" i="1"/>
  <c r="AQ1309" i="1"/>
  <c r="AP1309" i="1"/>
  <c r="AQ1651" i="1"/>
  <c r="AP1651" i="1"/>
  <c r="AR1651" i="1" s="1"/>
  <c r="AT1651" i="1" s="1"/>
  <c r="AO1475" i="1"/>
  <c r="AQ1637" i="1"/>
  <c r="AP1637" i="1"/>
  <c r="AR1637" i="1" s="1"/>
  <c r="AT1637" i="1" s="1"/>
  <c r="AQ1549" i="1"/>
  <c r="AP1549" i="1"/>
  <c r="AP1612" i="1"/>
  <c r="AQ1612" i="1"/>
  <c r="AR1534" i="1"/>
  <c r="AT1534" i="1" s="1"/>
  <c r="AO1233" i="1"/>
  <c r="AO1232" i="1"/>
  <c r="AO1091" i="1"/>
  <c r="AO746" i="1"/>
  <c r="AP1015" i="1"/>
  <c r="AQ1015" i="1"/>
  <c r="AO1031" i="1"/>
  <c r="AO1029" i="1"/>
  <c r="AR2517" i="1"/>
  <c r="AT2517" i="1" s="1"/>
  <c r="AS2527" i="1"/>
  <c r="AU2527" i="1" s="1"/>
  <c r="AS2528" i="1"/>
  <c r="AU2528" i="1" s="1"/>
  <c r="AP2510" i="1"/>
  <c r="AR2510" i="1" s="1"/>
  <c r="AT2510" i="1" s="1"/>
  <c r="AQ2510" i="1"/>
  <c r="AP2343" i="1"/>
  <c r="AR2343" i="1" s="1"/>
  <c r="AT2343" i="1" s="1"/>
  <c r="AQ2343" i="1"/>
  <c r="AS2343" i="1" s="1"/>
  <c r="AU2343" i="1" s="1"/>
  <c r="AQ2484" i="1"/>
  <c r="AS2484" i="1" s="1"/>
  <c r="AU2484" i="1" s="1"/>
  <c r="AP2484" i="1"/>
  <c r="AR2484" i="1" s="1"/>
  <c r="AT2484" i="1" s="1"/>
  <c r="AR2361" i="1"/>
  <c r="AT2361" i="1" s="1"/>
  <c r="AQ2485" i="1"/>
  <c r="AS2485" i="1" s="1"/>
  <c r="AU2485" i="1" s="1"/>
  <c r="AP2485" i="1"/>
  <c r="AR2485" i="1" s="1"/>
  <c r="AT2485" i="1" s="1"/>
  <c r="AP2347" i="1"/>
  <c r="AQ2347" i="1"/>
  <c r="AR2426" i="1"/>
  <c r="AT2426" i="1" s="1"/>
  <c r="AQ2481" i="1"/>
  <c r="AP2481" i="1"/>
  <c r="AQ2447" i="1"/>
  <c r="AS2447" i="1" s="1"/>
  <c r="AU2447" i="1" s="1"/>
  <c r="AP2447" i="1"/>
  <c r="AR2447" i="1" s="1"/>
  <c r="AT2447" i="1" s="1"/>
  <c r="AS2388" i="1"/>
  <c r="AU2388" i="1" s="1"/>
  <c r="AS2512" i="1"/>
  <c r="AU2512" i="1" s="1"/>
  <c r="AS2359" i="1"/>
  <c r="AU2359" i="1" s="1"/>
  <c r="AR2498" i="1"/>
  <c r="AT2498" i="1" s="1"/>
  <c r="AQ2428" i="1"/>
  <c r="AS2428" i="1" s="1"/>
  <c r="AU2428" i="1" s="1"/>
  <c r="AP2428" i="1"/>
  <c r="AQ2460" i="1"/>
  <c r="AS2460" i="1" s="1"/>
  <c r="AU2460" i="1" s="1"/>
  <c r="AP2460" i="1"/>
  <c r="AR2460" i="1" s="1"/>
  <c r="AT2460" i="1" s="1"/>
  <c r="AQ2325" i="1"/>
  <c r="AP2325" i="1"/>
  <c r="AQ2190" i="1"/>
  <c r="AS2190" i="1" s="1"/>
  <c r="AU2190" i="1" s="1"/>
  <c r="AP2190" i="1"/>
  <c r="AR2190" i="1" s="1"/>
  <c r="AT2190" i="1" s="1"/>
  <c r="AP2208" i="1"/>
  <c r="AR2208" i="1" s="1"/>
  <c r="AT2208" i="1" s="1"/>
  <c r="AQ2208" i="1"/>
  <c r="AS2208" i="1" s="1"/>
  <c r="AU2208" i="1" s="1"/>
  <c r="AR2250" i="1"/>
  <c r="AT2250" i="1" s="1"/>
  <c r="AQ2280" i="1"/>
  <c r="AP2280" i="1"/>
  <c r="AR2280" i="1" s="1"/>
  <c r="AT2280" i="1" s="1"/>
  <c r="AR2296" i="1"/>
  <c r="AT2296" i="1" s="1"/>
  <c r="AP2156" i="1"/>
  <c r="AR2156" i="1" s="1"/>
  <c r="AT2156" i="1" s="1"/>
  <c r="AQ2156" i="1"/>
  <c r="AS2156" i="1" s="1"/>
  <c r="AU2156" i="1" s="1"/>
  <c r="AQ2302" i="1"/>
  <c r="AS2302" i="1" s="1"/>
  <c r="AU2302" i="1" s="1"/>
  <c r="AP2302" i="1"/>
  <c r="AR2302" i="1" s="1"/>
  <c r="AT2302" i="1" s="1"/>
  <c r="AS2474" i="1"/>
  <c r="AU2474" i="1" s="1"/>
  <c r="AQ2205" i="1"/>
  <c r="AP2205" i="1"/>
  <c r="AQ2147" i="1"/>
  <c r="AP2147" i="1"/>
  <c r="AP1959" i="1"/>
  <c r="AR1959" i="1" s="1"/>
  <c r="AT1959" i="1" s="1"/>
  <c r="AQ1959" i="1"/>
  <c r="AS1959" i="1" s="1"/>
  <c r="AU1959" i="1" s="1"/>
  <c r="AP2225" i="1"/>
  <c r="AR2225" i="1" s="1"/>
  <c r="AT2225" i="1" s="1"/>
  <c r="AQ2225" i="1"/>
  <c r="AS2225" i="1" s="1"/>
  <c r="AU2225" i="1" s="1"/>
  <c r="AP2023" i="1"/>
  <c r="AR2023" i="1" s="1"/>
  <c r="AT2023" i="1" s="1"/>
  <c r="AQ2023" i="1"/>
  <c r="AS2023" i="1" s="1"/>
  <c r="AU2023" i="1" s="1"/>
  <c r="AQ2272" i="1"/>
  <c r="AP2272" i="1"/>
  <c r="AQ2053" i="1"/>
  <c r="AP2053" i="1"/>
  <c r="AR2454" i="1"/>
  <c r="AT2454" i="1" s="1"/>
  <c r="AR2191" i="1"/>
  <c r="AT2191" i="1" s="1"/>
  <c r="AP2105" i="1"/>
  <c r="AR2105" i="1" s="1"/>
  <c r="AT2105" i="1" s="1"/>
  <c r="AQ2105" i="1"/>
  <c r="AS2105" i="1" s="1"/>
  <c r="AU2105" i="1" s="1"/>
  <c r="AP2020" i="1"/>
  <c r="AQ2020" i="1"/>
  <c r="AQ2255" i="1"/>
  <c r="AS2255" i="1" s="1"/>
  <c r="AU2255" i="1" s="1"/>
  <c r="AP2255" i="1"/>
  <c r="AR2255" i="1" s="1"/>
  <c r="AT2255" i="1" s="1"/>
  <c r="AQ2104" i="1"/>
  <c r="AS2104" i="1" s="1"/>
  <c r="AU2104" i="1" s="1"/>
  <c r="AP2104" i="1"/>
  <c r="AR2104" i="1" s="1"/>
  <c r="AT2104" i="1" s="1"/>
  <c r="AQ2182" i="1"/>
  <c r="AS2182" i="1" s="1"/>
  <c r="AU2182" i="1" s="1"/>
  <c r="AP2182" i="1"/>
  <c r="AR2182" i="1" s="1"/>
  <c r="AT2182" i="1" s="1"/>
  <c r="AQ1973" i="1"/>
  <c r="AS1973" i="1" s="1"/>
  <c r="AU1973" i="1" s="1"/>
  <c r="AP1973" i="1"/>
  <c r="AR1973" i="1" s="1"/>
  <c r="AT1973" i="1" s="1"/>
  <c r="AQ1988" i="1"/>
  <c r="AS1988" i="1" s="1"/>
  <c r="AU1988" i="1" s="1"/>
  <c r="AP1988" i="1"/>
  <c r="AR1988" i="1" s="1"/>
  <c r="AT1988" i="1" s="1"/>
  <c r="AP1904" i="1"/>
  <c r="AQ1904" i="1"/>
  <c r="AS1904" i="1" s="1"/>
  <c r="AU1904" i="1" s="1"/>
  <c r="AQ1972" i="1"/>
  <c r="AS1972" i="1" s="1"/>
  <c r="AU1972" i="1" s="1"/>
  <c r="AP1972" i="1"/>
  <c r="AR1972" i="1" s="1"/>
  <c r="AT1972" i="1" s="1"/>
  <c r="AQ2106" i="1"/>
  <c r="AP2106" i="1"/>
  <c r="AQ2033" i="1"/>
  <c r="AS2033" i="1" s="1"/>
  <c r="AU2033" i="1" s="1"/>
  <c r="AP2033" i="1"/>
  <c r="AR2033" i="1" s="1"/>
  <c r="AT2033" i="1" s="1"/>
  <c r="AR1859" i="1"/>
  <c r="AT1859" i="1" s="1"/>
  <c r="AQ2265" i="1"/>
  <c r="AS2265" i="1" s="1"/>
  <c r="AU2265" i="1" s="1"/>
  <c r="AP2265" i="1"/>
  <c r="AR2265" i="1" s="1"/>
  <c r="AT2265" i="1" s="1"/>
  <c r="AQ2069" i="1"/>
  <c r="AP2069" i="1"/>
  <c r="AP1554" i="1"/>
  <c r="AR1554" i="1" s="1"/>
  <c r="AT1554" i="1" s="1"/>
  <c r="AQ1554" i="1"/>
  <c r="AS1554" i="1" s="1"/>
  <c r="AU1554" i="1" s="1"/>
  <c r="AS2145" i="1"/>
  <c r="AU2145" i="1" s="1"/>
  <c r="AR1929" i="1"/>
  <c r="AT1929" i="1" s="1"/>
  <c r="AR2180" i="1"/>
  <c r="AT2180" i="1" s="1"/>
  <c r="AQ1962" i="1"/>
  <c r="AS1962" i="1" s="1"/>
  <c r="AU1962" i="1" s="1"/>
  <c r="AP1962" i="1"/>
  <c r="AR1962" i="1" s="1"/>
  <c r="AT1962" i="1" s="1"/>
  <c r="AP2115" i="1"/>
  <c r="AQ2115" i="1"/>
  <c r="AS1838" i="1"/>
  <c r="AU1838" i="1" s="1"/>
  <c r="AS1813" i="1"/>
  <c r="AU1813" i="1" s="1"/>
  <c r="AS1788" i="1"/>
  <c r="AU1788" i="1" s="1"/>
  <c r="AS1763" i="1"/>
  <c r="AU1763" i="1" s="1"/>
  <c r="AS1738" i="1"/>
  <c r="AU1738" i="1" s="1"/>
  <c r="AS1713" i="1"/>
  <c r="AU1713" i="1" s="1"/>
  <c r="AS1688" i="1"/>
  <c r="AU1688" i="1" s="1"/>
  <c r="AS1585" i="1"/>
  <c r="AU1585" i="1" s="1"/>
  <c r="AP1954" i="1"/>
  <c r="AQ1954" i="1"/>
  <c r="AS1954" i="1" s="1"/>
  <c r="AU1954" i="1" s="1"/>
  <c r="AQ1422" i="1"/>
  <c r="AP1422" i="1"/>
  <c r="AQ2175" i="1"/>
  <c r="AS2175" i="1" s="1"/>
  <c r="AU2175" i="1" s="1"/>
  <c r="AP2175" i="1"/>
  <c r="AR2175" i="1" s="1"/>
  <c r="AT2175" i="1" s="1"/>
  <c r="AP1881" i="1"/>
  <c r="AR1881" i="1" s="1"/>
  <c r="AT1881" i="1" s="1"/>
  <c r="AQ1881" i="1"/>
  <c r="AS1881" i="1" s="1"/>
  <c r="AU1881" i="1" s="1"/>
  <c r="AR1759" i="1"/>
  <c r="AT1759" i="1" s="1"/>
  <c r="AR1760" i="1"/>
  <c r="AT1760" i="1" s="1"/>
  <c r="AS1839" i="1"/>
  <c r="AU1839" i="1" s="1"/>
  <c r="AS1710" i="1"/>
  <c r="AU1710" i="1" s="1"/>
  <c r="AP1522" i="1"/>
  <c r="AR1522" i="1" s="1"/>
  <c r="AT1522" i="1" s="1"/>
  <c r="AQ1522" i="1"/>
  <c r="AS1522" i="1" s="1"/>
  <c r="AU1522" i="1" s="1"/>
  <c r="AQ1399" i="1"/>
  <c r="AP1399" i="1"/>
  <c r="AR1677" i="1"/>
  <c r="AT1677" i="1" s="1"/>
  <c r="AQ1532" i="1"/>
  <c r="AS1532" i="1" s="1"/>
  <c r="AU1532" i="1" s="1"/>
  <c r="AP1532" i="1"/>
  <c r="AR1532" i="1" s="1"/>
  <c r="AT1532" i="1" s="1"/>
  <c r="AP1910" i="1"/>
  <c r="AQ1910" i="1"/>
  <c r="AR2293" i="1"/>
  <c r="AT2293" i="1" s="1"/>
  <c r="AR2294" i="1"/>
  <c r="AT2294" i="1" s="1"/>
  <c r="AS1917" i="1"/>
  <c r="AU1917" i="1" s="1"/>
  <c r="AP2039" i="1"/>
  <c r="AR2039" i="1" s="1"/>
  <c r="AT2039" i="1" s="1"/>
  <c r="AQ2039" i="1"/>
  <c r="AR2450" i="1"/>
  <c r="AT2450" i="1" s="1"/>
  <c r="AQ2046" i="1"/>
  <c r="AS2046" i="1" s="1"/>
  <c r="AU2046" i="1" s="1"/>
  <c r="AP2046" i="1"/>
  <c r="AR2046" i="1" s="1"/>
  <c r="AT2046" i="1" s="1"/>
  <c r="AR1596" i="1"/>
  <c r="AT1596" i="1" s="1"/>
  <c r="AP1466" i="1"/>
  <c r="AQ1466" i="1"/>
  <c r="AR1709" i="1"/>
  <c r="AT1709" i="1" s="1"/>
  <c r="AS1597" i="1"/>
  <c r="AU1597" i="1" s="1"/>
  <c r="AO1293" i="1"/>
  <c r="AR1774" i="1"/>
  <c r="AT1774" i="1" s="1"/>
  <c r="AR1775" i="1"/>
  <c r="AT1775" i="1" s="1"/>
  <c r="AQ1533" i="1"/>
  <c r="AP1533" i="1"/>
  <c r="AR1533" i="1" s="1"/>
  <c r="AT1533" i="1" s="1"/>
  <c r="AO1361" i="1"/>
  <c r="AS1754" i="1"/>
  <c r="AU1754" i="1" s="1"/>
  <c r="AQ1627" i="1"/>
  <c r="AP1627" i="1"/>
  <c r="AR1524" i="1"/>
  <c r="AT1524" i="1" s="1"/>
  <c r="AO1424" i="1"/>
  <c r="AP1179" i="1"/>
  <c r="AQ1179" i="1"/>
  <c r="AS1804" i="1"/>
  <c r="AU1804" i="1" s="1"/>
  <c r="AR1556" i="1"/>
  <c r="AT1556" i="1" s="1"/>
  <c r="AS1814" i="1"/>
  <c r="AU1814" i="1" s="1"/>
  <c r="AQ1622" i="1"/>
  <c r="AS1622" i="1" s="1"/>
  <c r="AU1622" i="1" s="1"/>
  <c r="AP1622" i="1"/>
  <c r="AR1622" i="1" s="1"/>
  <c r="AT1622" i="1" s="1"/>
  <c r="AS1537" i="1"/>
  <c r="AU1537" i="1" s="1"/>
  <c r="AO1436" i="1"/>
  <c r="AP1670" i="1"/>
  <c r="AQ1670" i="1"/>
  <c r="AS1844" i="1"/>
  <c r="AU1844" i="1" s="1"/>
  <c r="AS1618" i="1"/>
  <c r="AU1618" i="1" s="1"/>
  <c r="AQ1516" i="1"/>
  <c r="AS1516" i="1" s="1"/>
  <c r="AU1516" i="1" s="1"/>
  <c r="AP1516" i="1"/>
  <c r="AR1516" i="1" s="1"/>
  <c r="AT1516" i="1" s="1"/>
  <c r="AS1689" i="1"/>
  <c r="AU1689" i="1" s="1"/>
  <c r="AQ1570" i="1"/>
  <c r="AS1570" i="1" s="1"/>
  <c r="AU1570" i="1" s="1"/>
  <c r="AP1570" i="1"/>
  <c r="AR1570" i="1" s="1"/>
  <c r="AT1570" i="1" s="1"/>
  <c r="AO1449" i="1"/>
  <c r="AO1254" i="1"/>
  <c r="AO1229" i="1"/>
  <c r="AO1204" i="1"/>
  <c r="AQ1340" i="1"/>
  <c r="AS1340" i="1" s="1"/>
  <c r="AU1340" i="1" s="1"/>
  <c r="AP1340" i="1"/>
  <c r="AR1340" i="1" s="1"/>
  <c r="AT1340" i="1" s="1"/>
  <c r="AO1261" i="1"/>
  <c r="AO1011" i="1"/>
  <c r="AO787" i="1"/>
  <c r="AQ762" i="1"/>
  <c r="AP762" i="1"/>
  <c r="AO737" i="1"/>
  <c r="AO733" i="1"/>
  <c r="AO734" i="1"/>
  <c r="AO735" i="1"/>
  <c r="AO1148" i="1"/>
  <c r="AO894" i="1"/>
  <c r="AO1396" i="1"/>
  <c r="AO1169" i="1"/>
  <c r="AQ991" i="1"/>
  <c r="AP991" i="1"/>
  <c r="AO1392" i="1"/>
  <c r="AP1174" i="1"/>
  <c r="AR1174" i="1" s="1"/>
  <c r="AT1174" i="1" s="1"/>
  <c r="AQ1174" i="1"/>
  <c r="AS1174" i="1" s="1"/>
  <c r="AU1174" i="1" s="1"/>
  <c r="AO1451" i="1"/>
  <c r="AO1403" i="1"/>
  <c r="AO1288" i="1"/>
  <c r="AO1281" i="1"/>
  <c r="AO1297" i="1"/>
  <c r="AO1302" i="1"/>
  <c r="AO847" i="1"/>
  <c r="AO1060" i="1"/>
  <c r="AO867" i="1"/>
  <c r="AO657" i="1"/>
  <c r="AO1221" i="1"/>
  <c r="AO1043" i="1"/>
  <c r="AP918" i="1"/>
  <c r="AR918" i="1" s="1"/>
  <c r="AT918" i="1" s="1"/>
  <c r="AQ918" i="1"/>
  <c r="AS918" i="1" s="1"/>
  <c r="AU918" i="1" s="1"/>
  <c r="AP721" i="1"/>
  <c r="AQ721" i="1"/>
  <c r="AO1095" i="1"/>
  <c r="AO1014" i="1"/>
  <c r="AO794" i="1"/>
  <c r="AO1147" i="1"/>
  <c r="AO1033" i="1"/>
  <c r="AQ881" i="1"/>
  <c r="AS881" i="1" s="1"/>
  <c r="AU881" i="1" s="1"/>
  <c r="AP881" i="1"/>
  <c r="AR881" i="1" s="1"/>
  <c r="AT881" i="1" s="1"/>
  <c r="AO1145" i="1"/>
  <c r="AO1445" i="1"/>
  <c r="AO1216" i="1"/>
  <c r="AO1103" i="1"/>
  <c r="AO1295" i="1"/>
  <c r="AO1030" i="1"/>
  <c r="AO923" i="1"/>
  <c r="AQ1016" i="1"/>
  <c r="AS1016" i="1" s="1"/>
  <c r="AU1016" i="1" s="1"/>
  <c r="AP1016" i="1"/>
  <c r="AR1016" i="1" s="1"/>
  <c r="AT1016" i="1" s="1"/>
  <c r="AO1130" i="1"/>
  <c r="AO1270" i="1"/>
  <c r="AO1088" i="1"/>
  <c r="AO889" i="1"/>
  <c r="AO697" i="1"/>
  <c r="AO856" i="1"/>
  <c r="AQ707" i="1"/>
  <c r="AP707" i="1"/>
  <c r="AO475" i="1"/>
  <c r="AO329" i="1"/>
  <c r="AO928" i="1"/>
  <c r="AO802" i="1"/>
  <c r="AO605" i="1"/>
  <c r="AQ459" i="1"/>
  <c r="AS459" i="1" s="1"/>
  <c r="AU459" i="1" s="1"/>
  <c r="AP459" i="1"/>
  <c r="AO961" i="1"/>
  <c r="AO654" i="1"/>
  <c r="AQ239" i="1"/>
  <c r="AP239" i="1"/>
  <c r="AO946" i="1"/>
  <c r="AO553" i="1"/>
  <c r="AO1000" i="1"/>
  <c r="AO1158" i="1"/>
  <c r="AO916" i="1"/>
  <c r="AO900" i="1"/>
  <c r="AO670" i="1"/>
  <c r="AO901" i="1"/>
  <c r="AO1120" i="1"/>
  <c r="AO848" i="1"/>
  <c r="AO1026" i="1"/>
  <c r="AO667" i="1"/>
  <c r="AO551" i="1"/>
  <c r="AO594" i="1"/>
  <c r="AQ433" i="1"/>
  <c r="AS433" i="1" s="1"/>
  <c r="AU433" i="1" s="1"/>
  <c r="AP433" i="1"/>
  <c r="AR433" i="1" s="1"/>
  <c r="AT433" i="1" s="1"/>
  <c r="AO321" i="1"/>
  <c r="AO675" i="1"/>
  <c r="AO493" i="1"/>
  <c r="AO390" i="1"/>
  <c r="AO10" i="1"/>
  <c r="AO651" i="1"/>
  <c r="AQ513" i="1"/>
  <c r="AS513" i="1" s="1"/>
  <c r="AU513" i="1" s="1"/>
  <c r="AP513" i="1"/>
  <c r="AR513" i="1" s="1"/>
  <c r="AT513" i="1" s="1"/>
  <c r="AO259" i="1"/>
  <c r="AO719" i="1"/>
  <c r="AQ468" i="1"/>
  <c r="AP468" i="1"/>
  <c r="AO589" i="1"/>
  <c r="AO472" i="1"/>
  <c r="AP394" i="1"/>
  <c r="AQ394" i="1"/>
  <c r="AS394" i="1" s="1"/>
  <c r="AU394" i="1" s="1"/>
  <c r="AP535" i="1"/>
  <c r="AR535" i="1" s="1"/>
  <c r="AT535" i="1" s="1"/>
  <c r="AQ535" i="1"/>
  <c r="AS535" i="1" s="1"/>
  <c r="AU535" i="1" s="1"/>
  <c r="AO382" i="1"/>
  <c r="AO590" i="1"/>
  <c r="AO417" i="1"/>
  <c r="AO611" i="1"/>
  <c r="AO456" i="1"/>
  <c r="AO546" i="1"/>
  <c r="AO401" i="1"/>
  <c r="AO233" i="1"/>
  <c r="AO294" i="1"/>
  <c r="AO485" i="1"/>
  <c r="AO123" i="1"/>
  <c r="AO330" i="1"/>
  <c r="AO224" i="1"/>
  <c r="AO83" i="1"/>
  <c r="AO429" i="1"/>
  <c r="AO234" i="1"/>
  <c r="AO137" i="1"/>
  <c r="AO87" i="1"/>
  <c r="AO37" i="1"/>
  <c r="AO251" i="1"/>
  <c r="AP52" i="1"/>
  <c r="AQ52" i="1"/>
  <c r="AO293" i="1"/>
  <c r="AO420" i="1"/>
  <c r="AO242" i="1"/>
  <c r="AR384" i="1"/>
  <c r="AT384" i="1" s="1"/>
  <c r="AO178" i="1"/>
  <c r="AO396" i="1"/>
  <c r="AO271" i="1"/>
  <c r="AO370" i="1"/>
  <c r="AO159" i="1"/>
  <c r="AO59" i="1"/>
  <c r="AO253" i="1"/>
  <c r="AO56" i="1"/>
  <c r="AO110" i="1"/>
  <c r="AO141" i="1"/>
  <c r="AO135" i="1"/>
  <c r="AO272" i="1"/>
  <c r="AO105" i="1"/>
  <c r="AO250" i="1"/>
  <c r="AO101" i="1"/>
  <c r="AO65" i="1"/>
  <c r="AO130" i="1"/>
  <c r="AQ105" i="1" l="1"/>
  <c r="AP105" i="1"/>
  <c r="AP294" i="1"/>
  <c r="AQ294" i="1"/>
  <c r="AQ594" i="1"/>
  <c r="AP594" i="1"/>
  <c r="AQ1475" i="1"/>
  <c r="AS1475" i="1" s="1"/>
  <c r="AU1475" i="1" s="1"/>
  <c r="AP1475" i="1"/>
  <c r="AR1475" i="1" s="1"/>
  <c r="AT1475" i="1" s="1"/>
  <c r="AQ308" i="1"/>
  <c r="AP308" i="1"/>
  <c r="AQ679" i="1"/>
  <c r="AP679" i="1"/>
  <c r="AQ922" i="1"/>
  <c r="AP922" i="1"/>
  <c r="AP1448" i="1"/>
  <c r="AR1448" i="1" s="1"/>
  <c r="AT1448" i="1" s="1"/>
  <c r="AQ1448" i="1"/>
  <c r="AS1448" i="1" s="1"/>
  <c r="AU1448" i="1" s="1"/>
  <c r="AQ1430" i="1"/>
  <c r="AS1430" i="1" s="1"/>
  <c r="AU1430" i="1" s="1"/>
  <c r="AP1430" i="1"/>
  <c r="AR1430" i="1" s="1"/>
  <c r="AT1430" i="1" s="1"/>
  <c r="AQ748" i="1"/>
  <c r="AS748" i="1" s="1"/>
  <c r="AU748" i="1" s="1"/>
  <c r="AP748" i="1"/>
  <c r="AR748" i="1" s="1"/>
  <c r="AT748" i="1" s="1"/>
  <c r="AQ306" i="1"/>
  <c r="AP306" i="1"/>
  <c r="AP561" i="1"/>
  <c r="AQ561" i="1"/>
  <c r="AS1358" i="1"/>
  <c r="AU1358" i="1" s="1"/>
  <c r="AQ1497" i="1"/>
  <c r="AP1497" i="1"/>
  <c r="AQ272" i="1"/>
  <c r="AP272" i="1"/>
  <c r="AQ233" i="1"/>
  <c r="AP233" i="1"/>
  <c r="AP551" i="1"/>
  <c r="AQ551" i="1"/>
  <c r="AQ1088" i="1"/>
  <c r="AP1088" i="1"/>
  <c r="AQ1297" i="1"/>
  <c r="AS1297" i="1" s="1"/>
  <c r="AU1297" i="1" s="1"/>
  <c r="AP1297" i="1"/>
  <c r="AR1297" i="1" s="1"/>
  <c r="AT1297" i="1" s="1"/>
  <c r="AR1627" i="1"/>
  <c r="AT1627" i="1" s="1"/>
  <c r="AR1628" i="1"/>
  <c r="AT1628" i="1" s="1"/>
  <c r="AQ1232" i="1"/>
  <c r="AS1232" i="1" s="1"/>
  <c r="AU1232" i="1" s="1"/>
  <c r="AP1232" i="1"/>
  <c r="AR1232" i="1" s="1"/>
  <c r="AT1232" i="1" s="1"/>
  <c r="AQ1485" i="1"/>
  <c r="AP1485" i="1"/>
  <c r="AR1485" i="1" s="1"/>
  <c r="AT1485" i="1" s="1"/>
  <c r="AQ170" i="1"/>
  <c r="AP170" i="1"/>
  <c r="AP1048" i="1"/>
  <c r="AQ1048" i="1"/>
  <c r="AP157" i="1"/>
  <c r="AQ157" i="1"/>
  <c r="AQ905" i="1"/>
  <c r="AP905" i="1"/>
  <c r="AS2232" i="1"/>
  <c r="AU2232" i="1" s="1"/>
  <c r="AP772" i="1"/>
  <c r="AR772" i="1" s="1"/>
  <c r="AT772" i="1" s="1"/>
  <c r="AQ772" i="1"/>
  <c r="AS772" i="1" s="1"/>
  <c r="AU772" i="1" s="1"/>
  <c r="AP619" i="1"/>
  <c r="AR619" i="1" s="1"/>
  <c r="AT619" i="1" s="1"/>
  <c r="AQ619" i="1"/>
  <c r="AS619" i="1" s="1"/>
  <c r="AU619" i="1" s="1"/>
  <c r="AP436" i="1"/>
  <c r="AR436" i="1" s="1"/>
  <c r="AT436" i="1" s="1"/>
  <c r="AQ436" i="1"/>
  <c r="AS436" i="1" s="1"/>
  <c r="AU436" i="1" s="1"/>
  <c r="AP137" i="1"/>
  <c r="AQ137" i="1"/>
  <c r="AQ1000" i="1"/>
  <c r="AP1000" i="1"/>
  <c r="AP1145" i="1"/>
  <c r="AR1145" i="1" s="1"/>
  <c r="AT1145" i="1" s="1"/>
  <c r="AQ1145" i="1"/>
  <c r="AS1145" i="1" s="1"/>
  <c r="AU1145" i="1" s="1"/>
  <c r="AP1011" i="1"/>
  <c r="AR1011" i="1" s="1"/>
  <c r="AT1011" i="1" s="1"/>
  <c r="AQ1011" i="1"/>
  <c r="AS1011" i="1" s="1"/>
  <c r="AU1011" i="1" s="1"/>
  <c r="AS1466" i="1"/>
  <c r="AU1466" i="1" s="1"/>
  <c r="AS1467" i="1"/>
  <c r="AU1467" i="1" s="1"/>
  <c r="AQ1233" i="1"/>
  <c r="AS1233" i="1" s="1"/>
  <c r="AU1233" i="1" s="1"/>
  <c r="AP1233" i="1"/>
  <c r="AR1233" i="1" s="1"/>
  <c r="AT1233" i="1" s="1"/>
  <c r="AP305" i="1"/>
  <c r="AR305" i="1" s="1"/>
  <c r="AT305" i="1" s="1"/>
  <c r="AQ305" i="1"/>
  <c r="AS305" i="1" s="1"/>
  <c r="AU305" i="1" s="1"/>
  <c r="AP973" i="1"/>
  <c r="AQ973" i="1"/>
  <c r="AR1519" i="1"/>
  <c r="AT1519" i="1" s="1"/>
  <c r="AS2215" i="1"/>
  <c r="AU2215" i="1" s="1"/>
  <c r="AP197" i="1"/>
  <c r="AR197" i="1" s="1"/>
  <c r="AT197" i="1" s="1"/>
  <c r="AQ197" i="1"/>
  <c r="AS197" i="1" s="1"/>
  <c r="AU197" i="1" s="1"/>
  <c r="AS1024" i="1"/>
  <c r="AU1024" i="1" s="1"/>
  <c r="AP954" i="1"/>
  <c r="AQ954" i="1"/>
  <c r="AQ1260" i="1"/>
  <c r="AP1260" i="1"/>
  <c r="AR1260" i="1" s="1"/>
  <c r="AT1260" i="1" s="1"/>
  <c r="AQ1355" i="1"/>
  <c r="AP1355" i="1"/>
  <c r="AQ344" i="1"/>
  <c r="AP344" i="1"/>
  <c r="AP506" i="1"/>
  <c r="AQ506" i="1"/>
  <c r="AQ1241" i="1"/>
  <c r="AP1241" i="1"/>
  <c r="AQ454" i="1"/>
  <c r="AS454" i="1" s="1"/>
  <c r="AU454" i="1" s="1"/>
  <c r="AP454" i="1"/>
  <c r="AR454" i="1" s="1"/>
  <c r="AT454" i="1" s="1"/>
  <c r="AP446" i="1"/>
  <c r="AR446" i="1" s="1"/>
  <c r="AT446" i="1" s="1"/>
  <c r="AQ446" i="1"/>
  <c r="AS446" i="1" s="1"/>
  <c r="AU446" i="1" s="1"/>
  <c r="AQ1261" i="1"/>
  <c r="AP1261" i="1"/>
  <c r="AP1019" i="1"/>
  <c r="AR1019" i="1" s="1"/>
  <c r="AT1019" i="1" s="1"/>
  <c r="AQ1019" i="1"/>
  <c r="AS1019" i="1" s="1"/>
  <c r="AU1019" i="1" s="1"/>
  <c r="AP1039" i="1"/>
  <c r="AR1039" i="1" s="1"/>
  <c r="AT1039" i="1" s="1"/>
  <c r="AQ1039" i="1"/>
  <c r="AS1039" i="1" s="1"/>
  <c r="AU1039" i="1" s="1"/>
  <c r="AP12" i="1"/>
  <c r="AQ12" i="1"/>
  <c r="AP869" i="1"/>
  <c r="AQ869" i="1"/>
  <c r="AQ1308" i="1"/>
  <c r="AP1308" i="1"/>
  <c r="AQ1310" i="1"/>
  <c r="AS1310" i="1" s="1"/>
  <c r="AU1310" i="1" s="1"/>
  <c r="AP1310" i="1"/>
  <c r="AR1310" i="1" s="1"/>
  <c r="AT1310" i="1" s="1"/>
  <c r="AQ960" i="1"/>
  <c r="AS960" i="1" s="1"/>
  <c r="AU960" i="1" s="1"/>
  <c r="AP960" i="1"/>
  <c r="AR960" i="1" s="1"/>
  <c r="AT960" i="1" s="1"/>
  <c r="AQ659" i="1"/>
  <c r="AP659" i="1"/>
  <c r="AP691" i="1"/>
  <c r="AQ691" i="1"/>
  <c r="AQ958" i="1"/>
  <c r="AP958" i="1"/>
  <c r="AQ1351" i="1"/>
  <c r="AS1351" i="1" s="1"/>
  <c r="AU1351" i="1" s="1"/>
  <c r="AP1351" i="1"/>
  <c r="AR1351" i="1" s="1"/>
  <c r="AT1351" i="1" s="1"/>
  <c r="AR2153" i="1"/>
  <c r="AT2153" i="1" s="1"/>
  <c r="AQ325" i="1"/>
  <c r="AS325" i="1" s="1"/>
  <c r="AU325" i="1" s="1"/>
  <c r="AP325" i="1"/>
  <c r="AR325" i="1" s="1"/>
  <c r="AT325" i="1" s="1"/>
  <c r="AP562" i="1"/>
  <c r="AR562" i="1" s="1"/>
  <c r="AT562" i="1" s="1"/>
  <c r="AQ562" i="1"/>
  <c r="AS993" i="1"/>
  <c r="AU993" i="1" s="1"/>
  <c r="AP1196" i="1"/>
  <c r="AQ1196" i="1"/>
  <c r="AS763" i="1"/>
  <c r="AU763" i="1" s="1"/>
  <c r="AP22" i="1"/>
  <c r="AR22" i="1" s="1"/>
  <c r="AT22" i="1" s="1"/>
  <c r="AQ22" i="1"/>
  <c r="AS22" i="1" s="1"/>
  <c r="AU22" i="1" s="1"/>
  <c r="AP336" i="1"/>
  <c r="AR336" i="1" s="1"/>
  <c r="AT336" i="1" s="1"/>
  <c r="AQ336" i="1"/>
  <c r="AQ640" i="1"/>
  <c r="AP640" i="1"/>
  <c r="AP374" i="1"/>
  <c r="AQ374" i="1"/>
  <c r="AP525" i="1"/>
  <c r="AQ525" i="1"/>
  <c r="AP627" i="1"/>
  <c r="AQ627" i="1"/>
  <c r="AQ845" i="1"/>
  <c r="AS845" i="1" s="1"/>
  <c r="AU845" i="1" s="1"/>
  <c r="AP845" i="1"/>
  <c r="AR845" i="1" s="1"/>
  <c r="AT845" i="1" s="1"/>
  <c r="AS2283" i="1"/>
  <c r="AU2283" i="1" s="1"/>
  <c r="AP110" i="1"/>
  <c r="AQ110" i="1"/>
  <c r="AQ472" i="1"/>
  <c r="AP472" i="1"/>
  <c r="AQ848" i="1"/>
  <c r="AP848" i="1"/>
  <c r="AP946" i="1"/>
  <c r="AQ946" i="1"/>
  <c r="AP1403" i="1"/>
  <c r="AQ1403" i="1"/>
  <c r="AQ1148" i="1"/>
  <c r="AP1148" i="1"/>
  <c r="AS1309" i="1"/>
  <c r="AU1309" i="1" s="1"/>
  <c r="AS2125" i="1"/>
  <c r="AU2125" i="1" s="1"/>
  <c r="AS2126" i="1"/>
  <c r="AU2126" i="1" s="1"/>
  <c r="AS2019" i="1"/>
  <c r="AU2019" i="1" s="1"/>
  <c r="AR1339" i="1"/>
  <c r="AT1339" i="1" s="1"/>
  <c r="AP1367" i="1"/>
  <c r="AR1367" i="1" s="1"/>
  <c r="AT1367" i="1" s="1"/>
  <c r="AQ1367" i="1"/>
  <c r="AS1367" i="1" s="1"/>
  <c r="AU1367" i="1" s="1"/>
  <c r="AQ402" i="1"/>
  <c r="AP402" i="1"/>
  <c r="AP696" i="1"/>
  <c r="AQ696" i="1"/>
  <c r="AQ1484" i="1"/>
  <c r="AP1484" i="1"/>
  <c r="AP1378" i="1"/>
  <c r="AQ1378" i="1"/>
  <c r="AS1542" i="1"/>
  <c r="AU1542" i="1" s="1"/>
  <c r="AQ71" i="1"/>
  <c r="AS71" i="1" s="1"/>
  <c r="AU71" i="1" s="1"/>
  <c r="AP71" i="1"/>
  <c r="AR72" i="1" s="1"/>
  <c r="AT72" i="1" s="1"/>
  <c r="AP1446" i="1"/>
  <c r="AQ1446" i="1"/>
  <c r="AP1437" i="1"/>
  <c r="AQ1437" i="1"/>
  <c r="AS1882" i="1"/>
  <c r="AU1882" i="1" s="1"/>
  <c r="AS1883" i="1"/>
  <c r="AU1883" i="1" s="1"/>
  <c r="AS2001" i="1"/>
  <c r="AU2001" i="1" s="1"/>
  <c r="AS2002" i="1"/>
  <c r="AU2002" i="1" s="1"/>
  <c r="AQ932" i="1"/>
  <c r="AP932" i="1"/>
  <c r="AP1239" i="1"/>
  <c r="AR1239" i="1" s="1"/>
  <c r="AT1239" i="1" s="1"/>
  <c r="AQ1239" i="1"/>
  <c r="AS1239" i="1" s="1"/>
  <c r="AU1239" i="1" s="1"/>
  <c r="AR1913" i="1"/>
  <c r="AT1913" i="1" s="1"/>
  <c r="AP1439" i="1"/>
  <c r="AQ1439" i="1"/>
  <c r="AQ120" i="1"/>
  <c r="AS120" i="1" s="1"/>
  <c r="AU120" i="1" s="1"/>
  <c r="AP120" i="1"/>
  <c r="AR120" i="1" s="1"/>
  <c r="AT120" i="1" s="1"/>
  <c r="AR540" i="1"/>
  <c r="AT540" i="1" s="1"/>
  <c r="AR171" i="1"/>
  <c r="AT171" i="1" s="1"/>
  <c r="AR339" i="1"/>
  <c r="AT339" i="1" s="1"/>
  <c r="AQ850" i="1"/>
  <c r="AP850" i="1"/>
  <c r="AP816" i="1"/>
  <c r="AR816" i="1" s="1"/>
  <c r="AT816" i="1" s="1"/>
  <c r="AQ816" i="1"/>
  <c r="AS816" i="1" s="1"/>
  <c r="AU816" i="1" s="1"/>
  <c r="AP692" i="1"/>
  <c r="AR692" i="1" s="1"/>
  <c r="AT692" i="1" s="1"/>
  <c r="AQ692" i="1"/>
  <c r="AS692" i="1" s="1"/>
  <c r="AU692" i="1" s="1"/>
  <c r="AP124" i="1"/>
  <c r="AQ124" i="1"/>
  <c r="AQ632" i="1"/>
  <c r="AP632" i="1"/>
  <c r="AQ36" i="1"/>
  <c r="AS36" i="1" s="1"/>
  <c r="AU36" i="1" s="1"/>
  <c r="AP36" i="1"/>
  <c r="AR36" i="1" s="1"/>
  <c r="AT36" i="1" s="1"/>
  <c r="AR461" i="1"/>
  <c r="AT461" i="1" s="1"/>
  <c r="AQ1101" i="1"/>
  <c r="AS1101" i="1" s="1"/>
  <c r="AU1101" i="1" s="1"/>
  <c r="AP1101" i="1"/>
  <c r="AR1101" i="1" s="1"/>
  <c r="AT1101" i="1" s="1"/>
  <c r="AQ1326" i="1"/>
  <c r="AP1326" i="1"/>
  <c r="AS2274" i="1"/>
  <c r="AU2274" i="1" s="1"/>
  <c r="AR1662" i="1"/>
  <c r="AT1662" i="1" s="1"/>
  <c r="AS2089" i="1"/>
  <c r="AU2089" i="1" s="1"/>
  <c r="AR2283" i="1"/>
  <c r="AT2283" i="1" s="1"/>
  <c r="AR2511" i="1"/>
  <c r="AT2511" i="1" s="1"/>
  <c r="AP420" i="1"/>
  <c r="AQ420" i="1"/>
  <c r="AP456" i="1"/>
  <c r="AR456" i="1" s="1"/>
  <c r="AT456" i="1" s="1"/>
  <c r="AQ456" i="1"/>
  <c r="AS456" i="1" s="1"/>
  <c r="AU456" i="1" s="1"/>
  <c r="AQ589" i="1"/>
  <c r="AP589" i="1"/>
  <c r="AR589" i="1" s="1"/>
  <c r="AT589" i="1" s="1"/>
  <c r="AP1120" i="1"/>
  <c r="AQ1120" i="1"/>
  <c r="AQ1033" i="1"/>
  <c r="AP1033" i="1"/>
  <c r="AQ735" i="1"/>
  <c r="AP735" i="1"/>
  <c r="AS2053" i="1"/>
  <c r="AU2053" i="1" s="1"/>
  <c r="AS2054" i="1"/>
  <c r="AU2054" i="1" s="1"/>
  <c r="AR1612" i="1"/>
  <c r="AT1612" i="1" s="1"/>
  <c r="AR2004" i="1"/>
  <c r="AT2004" i="1" s="1"/>
  <c r="AQ201" i="1"/>
  <c r="AS201" i="1" s="1"/>
  <c r="AU201" i="1" s="1"/>
  <c r="AP201" i="1"/>
  <c r="AP613" i="1"/>
  <c r="AQ613" i="1"/>
  <c r="AQ724" i="1"/>
  <c r="AP724" i="1"/>
  <c r="AP784" i="1"/>
  <c r="AR784" i="1" s="1"/>
  <c r="AT784" i="1" s="1"/>
  <c r="AQ784" i="1"/>
  <c r="AS784" i="1" s="1"/>
  <c r="AU784" i="1" s="1"/>
  <c r="AQ1315" i="1"/>
  <c r="AP1315" i="1"/>
  <c r="AQ942" i="1"/>
  <c r="AP942" i="1"/>
  <c r="AS2038" i="1"/>
  <c r="AU2038" i="1" s="1"/>
  <c r="AR1911" i="1"/>
  <c r="AT1911" i="1" s="1"/>
  <c r="AR2212" i="1"/>
  <c r="AT2212" i="1" s="1"/>
  <c r="AR2213" i="1"/>
  <c r="AT2213" i="1" s="1"/>
  <c r="AS2221" i="1"/>
  <c r="AU2221" i="1" s="1"/>
  <c r="AS2222" i="1"/>
  <c r="AU2222" i="1" s="1"/>
  <c r="AP1312" i="1"/>
  <c r="AQ1312" i="1"/>
  <c r="AP1136" i="1"/>
  <c r="AR1136" i="1" s="1"/>
  <c r="AT1136" i="1" s="1"/>
  <c r="AQ1136" i="1"/>
  <c r="AR1555" i="1"/>
  <c r="AT1555" i="1" s="1"/>
  <c r="AQ307" i="1"/>
  <c r="AS307" i="1" s="1"/>
  <c r="AU307" i="1" s="1"/>
  <c r="AP307" i="1"/>
  <c r="AR307" i="1" s="1"/>
  <c r="AT307" i="1" s="1"/>
  <c r="AQ477" i="1"/>
  <c r="AP477" i="1"/>
  <c r="AP219" i="1"/>
  <c r="AR219" i="1" s="1"/>
  <c r="AT219" i="1" s="1"/>
  <c r="AQ219" i="1"/>
  <c r="AS219" i="1" s="1"/>
  <c r="AU219" i="1" s="1"/>
  <c r="AQ668" i="1"/>
  <c r="AP668" i="1"/>
  <c r="AS705" i="1"/>
  <c r="AU705" i="1" s="1"/>
  <c r="AQ739" i="1"/>
  <c r="AS739" i="1" s="1"/>
  <c r="AU739" i="1" s="1"/>
  <c r="AP739" i="1"/>
  <c r="AR739" i="1" s="1"/>
  <c r="AT739" i="1" s="1"/>
  <c r="AP1234" i="1"/>
  <c r="AR1234" i="1" s="1"/>
  <c r="AT1234" i="1" s="1"/>
  <c r="AQ1234" i="1"/>
  <c r="AS1234" i="1" s="1"/>
  <c r="AU1234" i="1" s="1"/>
  <c r="AR1925" i="1"/>
  <c r="AT1925" i="1" s="1"/>
  <c r="AR1926" i="1"/>
  <c r="AT1926" i="1" s="1"/>
  <c r="AP1324" i="1"/>
  <c r="AR1324" i="1" s="1"/>
  <c r="AT1324" i="1" s="1"/>
  <c r="AQ1324" i="1"/>
  <c r="AS1324" i="1" s="1"/>
  <c r="AU1324" i="1" s="1"/>
  <c r="AR2237" i="1"/>
  <c r="AT2237" i="1" s="1"/>
  <c r="AR2238" i="1"/>
  <c r="AT2238" i="1" s="1"/>
  <c r="AS2227" i="1"/>
  <c r="AU2227" i="1" s="1"/>
  <c r="AS2228" i="1"/>
  <c r="AU2228" i="1" s="1"/>
  <c r="AS1913" i="1"/>
  <c r="AU1913" i="1" s="1"/>
  <c r="AS1914" i="1"/>
  <c r="AU1914" i="1" s="1"/>
  <c r="AS2057" i="1"/>
  <c r="AU2057" i="1" s="1"/>
  <c r="AR1099" i="1"/>
  <c r="AT1099" i="1" s="1"/>
  <c r="AP84" i="1"/>
  <c r="AQ84" i="1"/>
  <c r="AR531" i="1"/>
  <c r="AT531" i="1" s="1"/>
  <c r="AS614" i="1"/>
  <c r="AU614" i="1" s="1"/>
  <c r="AQ314" i="1"/>
  <c r="AS314" i="1" s="1"/>
  <c r="AU314" i="1" s="1"/>
  <c r="AP314" i="1"/>
  <c r="AR314" i="1" s="1"/>
  <c r="AT314" i="1" s="1"/>
  <c r="AR40" i="1"/>
  <c r="AT40" i="1" s="1"/>
  <c r="AS171" i="1"/>
  <c r="AU171" i="1" s="1"/>
  <c r="AR717" i="1"/>
  <c r="AT717" i="1" s="1"/>
  <c r="AQ250" i="1"/>
  <c r="AP250" i="1"/>
  <c r="AP370" i="1"/>
  <c r="AQ370" i="1"/>
  <c r="AQ251" i="1"/>
  <c r="AP251" i="1"/>
  <c r="AR251" i="1" s="1"/>
  <c r="AT251" i="1" s="1"/>
  <c r="AQ485" i="1"/>
  <c r="AS485" i="1" s="1"/>
  <c r="AU485" i="1" s="1"/>
  <c r="AP485" i="1"/>
  <c r="AR485" i="1" s="1"/>
  <c r="AT485" i="1" s="1"/>
  <c r="AQ382" i="1"/>
  <c r="AP382" i="1"/>
  <c r="AR382" i="1" s="1"/>
  <c r="AT382" i="1" s="1"/>
  <c r="AQ259" i="1"/>
  <c r="AP259" i="1"/>
  <c r="AS663" i="1"/>
  <c r="AU663" i="1" s="1"/>
  <c r="AR459" i="1"/>
  <c r="AT459" i="1" s="1"/>
  <c r="AQ697" i="1"/>
  <c r="AS697" i="1" s="1"/>
  <c r="AU697" i="1" s="1"/>
  <c r="AP697" i="1"/>
  <c r="AR697" i="1" s="1"/>
  <c r="AT697" i="1" s="1"/>
  <c r="AP1103" i="1"/>
  <c r="AR1103" i="1" s="1"/>
  <c r="AT1103" i="1" s="1"/>
  <c r="AQ1103" i="1"/>
  <c r="AS1103" i="1" s="1"/>
  <c r="AU1103" i="1" s="1"/>
  <c r="AP1095" i="1"/>
  <c r="AR1095" i="1" s="1"/>
  <c r="AT1095" i="1" s="1"/>
  <c r="AQ1095" i="1"/>
  <c r="AS1095" i="1" s="1"/>
  <c r="AU1095" i="1" s="1"/>
  <c r="AQ847" i="1"/>
  <c r="AS847" i="1" s="1"/>
  <c r="AU847" i="1" s="1"/>
  <c r="AP847" i="1"/>
  <c r="AQ1449" i="1"/>
  <c r="AP1449" i="1"/>
  <c r="AR1671" i="1"/>
  <c r="AT1671" i="1" s="1"/>
  <c r="AR1670" i="1"/>
  <c r="AT1670" i="1" s="1"/>
  <c r="AQ1424" i="1"/>
  <c r="AS1424" i="1" s="1"/>
  <c r="AU1424" i="1" s="1"/>
  <c r="AP1424" i="1"/>
  <c r="AP1293" i="1"/>
  <c r="AR1293" i="1" s="1"/>
  <c r="AT1293" i="1" s="1"/>
  <c r="AQ1293" i="1"/>
  <c r="AS1293" i="1" s="1"/>
  <c r="AU1293" i="1" s="1"/>
  <c r="AS2039" i="1"/>
  <c r="AU2039" i="1" s="1"/>
  <c r="AR2020" i="1"/>
  <c r="AT2020" i="1" s="1"/>
  <c r="AR2205" i="1"/>
  <c r="AT2205" i="1" s="1"/>
  <c r="AR2206" i="1"/>
  <c r="AT2206" i="1" s="1"/>
  <c r="AS2280" i="1"/>
  <c r="AU2280" i="1" s="1"/>
  <c r="AR2428" i="1"/>
  <c r="AT2428" i="1" s="1"/>
  <c r="AS2510" i="1"/>
  <c r="AU2510" i="1" s="1"/>
  <c r="AP746" i="1"/>
  <c r="AR746" i="1" s="1"/>
  <c r="AT746" i="1" s="1"/>
  <c r="AQ746" i="1"/>
  <c r="AS1637" i="1"/>
  <c r="AU1637" i="1" s="1"/>
  <c r="AR1919" i="1"/>
  <c r="AT1919" i="1" s="1"/>
  <c r="AR2167" i="1"/>
  <c r="AT2167" i="1" s="1"/>
  <c r="AR2168" i="1"/>
  <c r="AT2168" i="1" s="1"/>
  <c r="AS2076" i="1"/>
  <c r="AU2076" i="1" s="1"/>
  <c r="AS1590" i="1"/>
  <c r="AU1590" i="1" s="1"/>
  <c r="AS1591" i="1"/>
  <c r="AU1591" i="1" s="1"/>
  <c r="AQ173" i="1"/>
  <c r="AP173" i="1"/>
  <c r="AP17" i="1"/>
  <c r="AQ17" i="1"/>
  <c r="AP419" i="1"/>
  <c r="AR419" i="1" s="1"/>
  <c r="AT419" i="1" s="1"/>
  <c r="AQ419" i="1"/>
  <c r="AS419" i="1" s="1"/>
  <c r="AU419" i="1" s="1"/>
  <c r="AP152" i="1"/>
  <c r="AR152" i="1" s="1"/>
  <c r="AT152" i="1" s="1"/>
  <c r="AQ152" i="1"/>
  <c r="AS152" i="1" s="1"/>
  <c r="AU152" i="1" s="1"/>
  <c r="AQ415" i="1"/>
  <c r="AS415" i="1" s="1"/>
  <c r="AU415" i="1" s="1"/>
  <c r="AP415" i="1"/>
  <c r="AR415" i="1" s="1"/>
  <c r="AT415" i="1" s="1"/>
  <c r="AP515" i="1"/>
  <c r="AQ515" i="1"/>
  <c r="AP616" i="1"/>
  <c r="AR616" i="1" s="1"/>
  <c r="AT616" i="1" s="1"/>
  <c r="AQ616" i="1"/>
  <c r="AS616" i="1" s="1"/>
  <c r="AU616" i="1" s="1"/>
  <c r="AQ1220" i="1"/>
  <c r="AS1220" i="1" s="1"/>
  <c r="AU1220" i="1" s="1"/>
  <c r="AP1220" i="1"/>
  <c r="AR1220" i="1" s="1"/>
  <c r="AT1220" i="1" s="1"/>
  <c r="AQ1017" i="1"/>
  <c r="AS1017" i="1" s="1"/>
  <c r="AU1017" i="1" s="1"/>
  <c r="AP1017" i="1"/>
  <c r="AR1017" i="1" s="1"/>
  <c r="AT1017" i="1" s="1"/>
  <c r="AQ1012" i="1"/>
  <c r="AS1012" i="1" s="1"/>
  <c r="AU1012" i="1" s="1"/>
  <c r="AP1012" i="1"/>
  <c r="AR1012" i="1" s="1"/>
  <c r="AT1012" i="1" s="1"/>
  <c r="AQ1182" i="1"/>
  <c r="AS1182" i="1" s="1"/>
  <c r="AU1182" i="1" s="1"/>
  <c r="AP1182" i="1"/>
  <c r="AR1182" i="1" s="1"/>
  <c r="AT1182" i="1" s="1"/>
  <c r="AQ1175" i="1"/>
  <c r="AS1175" i="1" s="1"/>
  <c r="AU1175" i="1" s="1"/>
  <c r="AP1175" i="1"/>
  <c r="AR1175" i="1" s="1"/>
  <c r="AT1175" i="1" s="1"/>
  <c r="AP766" i="1"/>
  <c r="AR766" i="1" s="1"/>
  <c r="AT766" i="1" s="1"/>
  <c r="AQ766" i="1"/>
  <c r="AS766" i="1" s="1"/>
  <c r="AU766" i="1" s="1"/>
  <c r="AQ1253" i="1"/>
  <c r="AP1253" i="1"/>
  <c r="AP1423" i="1"/>
  <c r="AR1423" i="1" s="1"/>
  <c r="AT1423" i="1" s="1"/>
  <c r="AQ1423" i="1"/>
  <c r="AS1423" i="1" s="1"/>
  <c r="AU1423" i="1" s="1"/>
  <c r="AP1286" i="1"/>
  <c r="AR1286" i="1" s="1"/>
  <c r="AT1286" i="1" s="1"/>
  <c r="AQ1286" i="1"/>
  <c r="AS1286" i="1" s="1"/>
  <c r="AU1286" i="1" s="1"/>
  <c r="AS2266" i="1"/>
  <c r="AU2266" i="1" s="1"/>
  <c r="AS2010" i="1"/>
  <c r="AU2010" i="1" s="1"/>
  <c r="AS2478" i="1"/>
  <c r="AU2478" i="1" s="1"/>
  <c r="AS2031" i="1"/>
  <c r="AU2031" i="1" s="1"/>
  <c r="AR2231" i="1"/>
  <c r="AT2231" i="1" s="1"/>
  <c r="AS2196" i="1"/>
  <c r="AU2196" i="1" s="1"/>
  <c r="AS2335" i="1"/>
  <c r="AU2335" i="1" s="1"/>
  <c r="AP771" i="1"/>
  <c r="AQ771" i="1"/>
  <c r="AR1615" i="1"/>
  <c r="AT1615" i="1" s="1"/>
  <c r="AR2254" i="1"/>
  <c r="AT2254" i="1" s="1"/>
  <c r="AP1020" i="1"/>
  <c r="AQ1020" i="1"/>
  <c r="AS1020" i="1" s="1"/>
  <c r="AU1020" i="1" s="1"/>
  <c r="AP1493" i="1"/>
  <c r="AQ1493" i="1"/>
  <c r="AS2452" i="1"/>
  <c r="AU2452" i="1" s="1"/>
  <c r="AS1624" i="1"/>
  <c r="AU1624" i="1" s="1"/>
  <c r="AR2458" i="1"/>
  <c r="AT2458" i="1" s="1"/>
  <c r="AQ749" i="1"/>
  <c r="AS749" i="1" s="1"/>
  <c r="AU749" i="1" s="1"/>
  <c r="AP749" i="1"/>
  <c r="AR749" i="1" s="1"/>
  <c r="AT749" i="1" s="1"/>
  <c r="AQ235" i="1"/>
  <c r="AP235" i="1"/>
  <c r="AP186" i="1"/>
  <c r="AR186" i="1" s="1"/>
  <c r="AT186" i="1" s="1"/>
  <c r="AQ186" i="1"/>
  <c r="AS186" i="1" s="1"/>
  <c r="AU186" i="1" s="1"/>
  <c r="AP47" i="1"/>
  <c r="AR47" i="1" s="1"/>
  <c r="AT47" i="1" s="1"/>
  <c r="AQ47" i="1"/>
  <c r="AS47" i="1" s="1"/>
  <c r="AU47" i="1" s="1"/>
  <c r="AP147" i="1"/>
  <c r="AR147" i="1" s="1"/>
  <c r="AT147" i="1" s="1"/>
  <c r="AQ147" i="1"/>
  <c r="AS147" i="1" s="1"/>
  <c r="AU147" i="1" s="1"/>
  <c r="AP403" i="1"/>
  <c r="AQ403" i="1"/>
  <c r="AP185" i="1"/>
  <c r="AR185" i="1" s="1"/>
  <c r="AT185" i="1" s="1"/>
  <c r="AQ185" i="1"/>
  <c r="AS185" i="1" s="1"/>
  <c r="AU185" i="1" s="1"/>
  <c r="AR715" i="1"/>
  <c r="AT715" i="1" s="1"/>
  <c r="AQ793" i="1"/>
  <c r="AP793" i="1"/>
  <c r="AR368" i="1"/>
  <c r="AT368" i="1" s="1"/>
  <c r="AQ1412" i="1"/>
  <c r="AS1412" i="1" s="1"/>
  <c r="AU1412" i="1" s="1"/>
  <c r="AP1412" i="1"/>
  <c r="AQ1076" i="1"/>
  <c r="AP1076" i="1"/>
  <c r="AQ673" i="1"/>
  <c r="AS673" i="1" s="1"/>
  <c r="AU673" i="1" s="1"/>
  <c r="AP673" i="1"/>
  <c r="AR673" i="1" s="1"/>
  <c r="AT673" i="1" s="1"/>
  <c r="AS767" i="1"/>
  <c r="AU767" i="1" s="1"/>
  <c r="AP1453" i="1"/>
  <c r="AQ1453" i="1"/>
  <c r="AR1541" i="1"/>
  <c r="AT1541" i="1" s="1"/>
  <c r="AR2084" i="1"/>
  <c r="AT2084" i="1" s="1"/>
  <c r="AS2267" i="1"/>
  <c r="AU2267" i="1" s="1"/>
  <c r="AP1299" i="1"/>
  <c r="AQ1299" i="1"/>
  <c r="AS1550" i="1"/>
  <c r="AU1550" i="1" s="1"/>
  <c r="AS1551" i="1"/>
  <c r="AU1551" i="1" s="1"/>
  <c r="AR2045" i="1"/>
  <c r="AT2045" i="1" s="1"/>
  <c r="AQ769" i="1"/>
  <c r="AP769" i="1"/>
  <c r="AS2495" i="1"/>
  <c r="AU2495" i="1" s="1"/>
  <c r="AQ1365" i="1"/>
  <c r="AS1365" i="1" s="1"/>
  <c r="AU1365" i="1" s="1"/>
  <c r="AP1365" i="1"/>
  <c r="AR1365" i="1" s="1"/>
  <c r="AT1365" i="1" s="1"/>
  <c r="AS2032" i="1"/>
  <c r="AU2032" i="1" s="1"/>
  <c r="AR1986" i="1"/>
  <c r="AT1986" i="1" s="1"/>
  <c r="AS1100" i="1"/>
  <c r="AU1100" i="1" s="1"/>
  <c r="AS1588" i="1"/>
  <c r="AU1588" i="1" s="1"/>
  <c r="AS1589" i="1"/>
  <c r="AU1589" i="1" s="1"/>
  <c r="AR2257" i="1"/>
  <c r="AT2257" i="1" s="1"/>
  <c r="AP70" i="1"/>
  <c r="AQ70" i="1"/>
  <c r="AP478" i="1"/>
  <c r="AQ478" i="1"/>
  <c r="AQ570" i="1"/>
  <c r="AS570" i="1" s="1"/>
  <c r="AU570" i="1" s="1"/>
  <c r="AP570" i="1"/>
  <c r="AR570" i="1" s="1"/>
  <c r="AT570" i="1" s="1"/>
  <c r="AQ712" i="1"/>
  <c r="AP712" i="1"/>
  <c r="AR712" i="1" s="1"/>
  <c r="AT712" i="1" s="1"/>
  <c r="AP646" i="1"/>
  <c r="AR646" i="1" s="1"/>
  <c r="AT646" i="1" s="1"/>
  <c r="AQ646" i="1"/>
  <c r="AS646" i="1" s="1"/>
  <c r="AU646" i="1" s="1"/>
  <c r="AP1018" i="1"/>
  <c r="AQ1018" i="1"/>
  <c r="AS1102" i="1"/>
  <c r="AU1102" i="1" s="1"/>
  <c r="AR2222" i="1"/>
  <c r="AT2222" i="1" s="1"/>
  <c r="AQ85" i="1"/>
  <c r="AS85" i="1" s="1"/>
  <c r="AU85" i="1" s="1"/>
  <c r="AP85" i="1"/>
  <c r="AR85" i="1" s="1"/>
  <c r="AT85" i="1" s="1"/>
  <c r="AQ202" i="1"/>
  <c r="AS202" i="1" s="1"/>
  <c r="AU202" i="1" s="1"/>
  <c r="AP202" i="1"/>
  <c r="AR202" i="1" s="1"/>
  <c r="AT202" i="1" s="1"/>
  <c r="AP624" i="1"/>
  <c r="AQ624" i="1"/>
  <c r="AP107" i="1"/>
  <c r="AR107" i="1" s="1"/>
  <c r="AT107" i="1" s="1"/>
  <c r="AQ107" i="1"/>
  <c r="AS107" i="1" s="1"/>
  <c r="AU107" i="1" s="1"/>
  <c r="AR708" i="1"/>
  <c r="AT708" i="1" s="1"/>
  <c r="AS426" i="1"/>
  <c r="AU426" i="1" s="1"/>
  <c r="AP676" i="1"/>
  <c r="AQ676" i="1"/>
  <c r="AQ725" i="1"/>
  <c r="AS725" i="1" s="1"/>
  <c r="AU725" i="1" s="1"/>
  <c r="AP725" i="1"/>
  <c r="AS967" i="1"/>
  <c r="AU967" i="1" s="1"/>
  <c r="AQ1050" i="1"/>
  <c r="AP1050" i="1"/>
  <c r="AS876" i="1"/>
  <c r="AU876" i="1" s="1"/>
  <c r="AQ111" i="1"/>
  <c r="AS111" i="1" s="1"/>
  <c r="AU111" i="1" s="1"/>
  <c r="AP111" i="1"/>
  <c r="AR111" i="1" s="1"/>
  <c r="AT111" i="1" s="1"/>
  <c r="AP19" i="1"/>
  <c r="AR19" i="1" s="1"/>
  <c r="AT19" i="1" s="1"/>
  <c r="AQ19" i="1"/>
  <c r="AR538" i="1"/>
  <c r="AT538" i="1" s="1"/>
  <c r="AP108" i="1"/>
  <c r="AR108" i="1" s="1"/>
  <c r="AT108" i="1" s="1"/>
  <c r="AQ108" i="1"/>
  <c r="AS108" i="1" s="1"/>
  <c r="AU108" i="1" s="1"/>
  <c r="AR365" i="1"/>
  <c r="AT365" i="1" s="1"/>
  <c r="AQ480" i="1"/>
  <c r="AS480" i="1" s="1"/>
  <c r="AU480" i="1" s="1"/>
  <c r="AP480" i="1"/>
  <c r="AP811" i="1"/>
  <c r="AR811" i="1" s="1"/>
  <c r="AT811" i="1" s="1"/>
  <c r="AQ811" i="1"/>
  <c r="AS811" i="1" s="1"/>
  <c r="AU811" i="1" s="1"/>
  <c r="AS878" i="1"/>
  <c r="AU878" i="1" s="1"/>
  <c r="AQ555" i="1"/>
  <c r="AS555" i="1" s="1"/>
  <c r="AU555" i="1" s="1"/>
  <c r="AP555" i="1"/>
  <c r="AR555" i="1" s="1"/>
  <c r="AT555" i="1" s="1"/>
  <c r="AS119" i="1"/>
  <c r="AU119" i="1" s="1"/>
  <c r="AQ181" i="1"/>
  <c r="AS181" i="1" s="1"/>
  <c r="AU181" i="1" s="1"/>
  <c r="AP181" i="1"/>
  <c r="AR181" i="1" s="1"/>
  <c r="AT181" i="1" s="1"/>
  <c r="AR799" i="1"/>
  <c r="AT799" i="1" s="1"/>
  <c r="AP444" i="1"/>
  <c r="AQ444" i="1"/>
  <c r="AQ789" i="1"/>
  <c r="AP789" i="1"/>
  <c r="AP854" i="1"/>
  <c r="AR854" i="1" s="1"/>
  <c r="AT854" i="1" s="1"/>
  <c r="AQ854" i="1"/>
  <c r="AS854" i="1" s="1"/>
  <c r="AU854" i="1" s="1"/>
  <c r="AR910" i="1"/>
  <c r="AT910" i="1" s="1"/>
  <c r="AP1061" i="1"/>
  <c r="AQ1061" i="1"/>
  <c r="AQ875" i="1"/>
  <c r="AP875" i="1"/>
  <c r="AQ187" i="1"/>
  <c r="AP187" i="1"/>
  <c r="AQ287" i="1"/>
  <c r="AP287" i="1"/>
  <c r="AQ604" i="1"/>
  <c r="AS604" i="1" s="1"/>
  <c r="AU604" i="1" s="1"/>
  <c r="AP604" i="1"/>
  <c r="AR604" i="1" s="1"/>
  <c r="AT604" i="1" s="1"/>
  <c r="AP143" i="1"/>
  <c r="AR143" i="1" s="1"/>
  <c r="AT143" i="1" s="1"/>
  <c r="AQ143" i="1"/>
  <c r="AS143" i="1" s="1"/>
  <c r="AU143" i="1" s="1"/>
  <c r="AQ687" i="1"/>
  <c r="AP687" i="1"/>
  <c r="AP814" i="1"/>
  <c r="AQ814" i="1"/>
  <c r="AR992" i="1"/>
  <c r="AT992" i="1" s="1"/>
  <c r="AR500" i="1"/>
  <c r="AT500" i="1" s="1"/>
  <c r="AS908" i="1"/>
  <c r="AU908" i="1" s="1"/>
  <c r="AP1072" i="1"/>
  <c r="AR1072" i="1" s="1"/>
  <c r="AT1072" i="1" s="1"/>
  <c r="AQ1072" i="1"/>
  <c r="AS1072" i="1" s="1"/>
  <c r="AU1072" i="1" s="1"/>
  <c r="AP1388" i="1"/>
  <c r="AQ1388" i="1"/>
  <c r="AQ489" i="1"/>
  <c r="AS489" i="1" s="1"/>
  <c r="AU489" i="1" s="1"/>
  <c r="AP489" i="1"/>
  <c r="AR489" i="1" s="1"/>
  <c r="AT489" i="1" s="1"/>
  <c r="AR162" i="1"/>
  <c r="AT162" i="1" s="1"/>
  <c r="AP593" i="1"/>
  <c r="AR593" i="1" s="1"/>
  <c r="AT593" i="1" s="1"/>
  <c r="AQ593" i="1"/>
  <c r="AS593" i="1" s="1"/>
  <c r="AU593" i="1" s="1"/>
  <c r="AQ200" i="1"/>
  <c r="AS200" i="1" s="1"/>
  <c r="AU200" i="1" s="1"/>
  <c r="AP200" i="1"/>
  <c r="AR200" i="1" s="1"/>
  <c r="AT200" i="1" s="1"/>
  <c r="AR764" i="1"/>
  <c r="AT764" i="1" s="1"/>
  <c r="AP423" i="1"/>
  <c r="AR423" i="1" s="1"/>
  <c r="AT423" i="1" s="1"/>
  <c r="AQ423" i="1"/>
  <c r="AS423" i="1" s="1"/>
  <c r="AU423" i="1" s="1"/>
  <c r="AP441" i="1"/>
  <c r="AQ441" i="1"/>
  <c r="AS661" i="1"/>
  <c r="AU661" i="1" s="1"/>
  <c r="AP929" i="1"/>
  <c r="AR929" i="1" s="1"/>
  <c r="AT929" i="1" s="1"/>
  <c r="AQ929" i="1"/>
  <c r="AQ1097" i="1"/>
  <c r="AP1097" i="1"/>
  <c r="AQ792" i="1"/>
  <c r="AP792" i="1"/>
  <c r="AP50" i="1"/>
  <c r="AQ50" i="1"/>
  <c r="AS163" i="1"/>
  <c r="AU163" i="1" s="1"/>
  <c r="AP387" i="1"/>
  <c r="AR387" i="1" s="1"/>
  <c r="AT387" i="1" s="1"/>
  <c r="AQ387" i="1"/>
  <c r="AS387" i="1" s="1"/>
  <c r="AU387" i="1" s="1"/>
  <c r="AQ575" i="1"/>
  <c r="AP575" i="1"/>
  <c r="AP516" i="1"/>
  <c r="AR516" i="1" s="1"/>
  <c r="AT516" i="1" s="1"/>
  <c r="AQ516" i="1"/>
  <c r="AS516" i="1" s="1"/>
  <c r="AU516" i="1" s="1"/>
  <c r="AP552" i="1"/>
  <c r="AR552" i="1" s="1"/>
  <c r="AT552" i="1" s="1"/>
  <c r="AQ552" i="1"/>
  <c r="AS552" i="1" s="1"/>
  <c r="AU552" i="1" s="1"/>
  <c r="AQ953" i="1"/>
  <c r="AS953" i="1" s="1"/>
  <c r="AU953" i="1" s="1"/>
  <c r="AP953" i="1"/>
  <c r="AP930" i="1"/>
  <c r="AQ930" i="1"/>
  <c r="AQ1028" i="1"/>
  <c r="AS1028" i="1" s="1"/>
  <c r="AU1028" i="1" s="1"/>
  <c r="AP1028" i="1"/>
  <c r="AR1028" i="1" s="1"/>
  <c r="AT1028" i="1" s="1"/>
  <c r="AP788" i="1"/>
  <c r="AR788" i="1" s="1"/>
  <c r="AT788" i="1" s="1"/>
  <c r="AQ788" i="1"/>
  <c r="AS788" i="1" s="1"/>
  <c r="AU788" i="1" s="1"/>
  <c r="AP1059" i="1"/>
  <c r="AR1059" i="1" s="1"/>
  <c r="AT1059" i="1" s="1"/>
  <c r="AQ1059" i="1"/>
  <c r="AS1059" i="1" s="1"/>
  <c r="AU1059" i="1" s="1"/>
  <c r="AP974" i="1"/>
  <c r="AR974" i="1" s="1"/>
  <c r="AT974" i="1" s="1"/>
  <c r="AQ974" i="1"/>
  <c r="AQ1198" i="1"/>
  <c r="AP1198" i="1"/>
  <c r="AR1559" i="1"/>
  <c r="AT1559" i="1" s="1"/>
  <c r="AS1520" i="1"/>
  <c r="AU1520" i="1" s="1"/>
  <c r="AS2112" i="1"/>
  <c r="AU2112" i="1" s="1"/>
  <c r="AQ1510" i="1"/>
  <c r="AP1510" i="1"/>
  <c r="AR1510" i="1" s="1"/>
  <c r="AT1510" i="1" s="1"/>
  <c r="AQ1406" i="1"/>
  <c r="AP1406" i="1"/>
  <c r="AR1406" i="1" s="1"/>
  <c r="AT1406" i="1" s="1"/>
  <c r="AS1912" i="1"/>
  <c r="AU1912" i="1" s="1"/>
  <c r="AR2109" i="1"/>
  <c r="AT2109" i="1" s="1"/>
  <c r="AS2091" i="1"/>
  <c r="AU2091" i="1" s="1"/>
  <c r="AR2464" i="1"/>
  <c r="AT2464" i="1" s="1"/>
  <c r="AR2453" i="1"/>
  <c r="AT2453" i="1" s="1"/>
  <c r="AS1336" i="1"/>
  <c r="AU1336" i="1" s="1"/>
  <c r="AS2326" i="1"/>
  <c r="AU2326" i="1" s="1"/>
  <c r="AQ935" i="1"/>
  <c r="AP935" i="1"/>
  <c r="AR936" i="1" s="1"/>
  <c r="AT936" i="1" s="1"/>
  <c r="AR2043" i="1"/>
  <c r="AT2043" i="1" s="1"/>
  <c r="AR2096" i="1"/>
  <c r="AT2096" i="1" s="1"/>
  <c r="AR2097" i="1"/>
  <c r="AT2097" i="1" s="1"/>
  <c r="AP726" i="1"/>
  <c r="AR726" i="1" s="1"/>
  <c r="AT726" i="1" s="1"/>
  <c r="AQ726" i="1"/>
  <c r="AS2120" i="1"/>
  <c r="AU2120" i="1" s="1"/>
  <c r="AS2121" i="1"/>
  <c r="AU2121" i="1" s="1"/>
  <c r="AR2216" i="1"/>
  <c r="AT2216" i="1" s="1"/>
  <c r="AR2429" i="1"/>
  <c r="AT2429" i="1" s="1"/>
  <c r="AS1417" i="1"/>
  <c r="AU1417" i="1" s="1"/>
  <c r="AR1523" i="1"/>
  <c r="AT1523" i="1" s="1"/>
  <c r="AS1643" i="1"/>
  <c r="AU1643" i="1" s="1"/>
  <c r="AS1887" i="1"/>
  <c r="AU1887" i="1" s="1"/>
  <c r="AS1888" i="1"/>
  <c r="AU1888" i="1" s="1"/>
  <c r="AS1569" i="1"/>
  <c r="AU1569" i="1" s="1"/>
  <c r="AQ1318" i="1"/>
  <c r="AS1318" i="1" s="1"/>
  <c r="AU1318" i="1" s="1"/>
  <c r="AP1318" i="1"/>
  <c r="AR1318" i="1" s="1"/>
  <c r="AT1318" i="1" s="1"/>
  <c r="AR1639" i="1"/>
  <c r="AT1639" i="1" s="1"/>
  <c r="AQ1457" i="1"/>
  <c r="AS1457" i="1" s="1"/>
  <c r="AU1457" i="1" s="1"/>
  <c r="AP1457" i="1"/>
  <c r="AR1457" i="1" s="1"/>
  <c r="AT1457" i="1" s="1"/>
  <c r="AS1207" i="1"/>
  <c r="AU1207" i="1" s="1"/>
  <c r="AS2066" i="1"/>
  <c r="AU2066" i="1" s="1"/>
  <c r="AR2309" i="1"/>
  <c r="AT2309" i="1" s="1"/>
  <c r="AS2321" i="1"/>
  <c r="AU2321" i="1" s="1"/>
  <c r="AQ729" i="1"/>
  <c r="AP729" i="1"/>
  <c r="AS927" i="1"/>
  <c r="AU927" i="1" s="1"/>
  <c r="AP1489" i="1"/>
  <c r="AR1489" i="1" s="1"/>
  <c r="AT1489" i="1" s="1"/>
  <c r="AQ1489" i="1"/>
  <c r="AS2218" i="1"/>
  <c r="AU2218" i="1" s="1"/>
  <c r="AP1052" i="1"/>
  <c r="AQ1052" i="1"/>
  <c r="AS1226" i="1"/>
  <c r="AU1226" i="1" s="1"/>
  <c r="AP1442" i="1"/>
  <c r="AR1442" i="1" s="1"/>
  <c r="AT1442" i="1" s="1"/>
  <c r="AQ1442" i="1"/>
  <c r="AS1442" i="1" s="1"/>
  <c r="AU1442" i="1" s="1"/>
  <c r="AS1390" i="1"/>
  <c r="AU1390" i="1" s="1"/>
  <c r="AS2305" i="1"/>
  <c r="AU2305" i="1" s="1"/>
  <c r="AQ1126" i="1"/>
  <c r="AS1126" i="1" s="1"/>
  <c r="AU1126" i="1" s="1"/>
  <c r="AP1126" i="1"/>
  <c r="AS1654" i="1"/>
  <c r="AU1654" i="1" s="1"/>
  <c r="AS1998" i="1"/>
  <c r="AU1998" i="1" s="1"/>
  <c r="AR863" i="1"/>
  <c r="AT863" i="1" s="1"/>
  <c r="AR1530" i="1"/>
  <c r="AT1530" i="1" s="1"/>
  <c r="AR1531" i="1"/>
  <c r="AT1531" i="1" s="1"/>
  <c r="AS1375" i="1"/>
  <c r="AU1375" i="1" s="1"/>
  <c r="AR328" i="1"/>
  <c r="AT328" i="1" s="1"/>
  <c r="AS984" i="1"/>
  <c r="AU984" i="1" s="1"/>
  <c r="AS445" i="1"/>
  <c r="AU445" i="1" s="1"/>
  <c r="AR1902" i="1"/>
  <c r="AT1902" i="1" s="1"/>
  <c r="AR1898" i="1"/>
  <c r="AT1898" i="1" s="1"/>
  <c r="AR1995" i="1"/>
  <c r="AT1995" i="1" s="1"/>
  <c r="AR2264" i="1"/>
  <c r="AT2264" i="1" s="1"/>
  <c r="AP781" i="1"/>
  <c r="AR781" i="1" s="1"/>
  <c r="AT781" i="1" s="1"/>
  <c r="AQ781" i="1"/>
  <c r="AR388" i="1"/>
  <c r="AT388" i="1" s="1"/>
  <c r="AR2465" i="1"/>
  <c r="AT2465" i="1" s="1"/>
  <c r="AS2248" i="1"/>
  <c r="AU2248" i="1" s="1"/>
  <c r="AQ1216" i="1"/>
  <c r="AP1216" i="1"/>
  <c r="AQ1091" i="1"/>
  <c r="AS1091" i="1" s="1"/>
  <c r="AU1091" i="1" s="1"/>
  <c r="AP1091" i="1"/>
  <c r="AR1091" i="1" s="1"/>
  <c r="AT1091" i="1" s="1"/>
  <c r="AP999" i="1"/>
  <c r="AR999" i="1" s="1"/>
  <c r="AT999" i="1" s="1"/>
  <c r="AQ999" i="1"/>
  <c r="AS999" i="1" s="1"/>
  <c r="AU999" i="1" s="1"/>
  <c r="AP977" i="1"/>
  <c r="AQ977" i="1"/>
  <c r="AP1488" i="1"/>
  <c r="AQ1488" i="1"/>
  <c r="AQ323" i="1"/>
  <c r="AS323" i="1" s="1"/>
  <c r="AU323" i="1" s="1"/>
  <c r="AP323" i="1"/>
  <c r="AR323" i="1" s="1"/>
  <c r="AT323" i="1" s="1"/>
  <c r="AQ257" i="1"/>
  <c r="AS257" i="1" s="1"/>
  <c r="AU257" i="1" s="1"/>
  <c r="AP257" i="1"/>
  <c r="AR257" i="1" s="1"/>
  <c r="AT257" i="1" s="1"/>
  <c r="AP98" i="1"/>
  <c r="AR98" i="1" s="1"/>
  <c r="AT98" i="1" s="1"/>
  <c r="AQ98" i="1"/>
  <c r="AS98" i="1" s="1"/>
  <c r="AU98" i="1" s="1"/>
  <c r="AQ820" i="1"/>
  <c r="AP820" i="1"/>
  <c r="AQ1160" i="1"/>
  <c r="AP1160" i="1"/>
  <c r="AP1084" i="1"/>
  <c r="AR1084" i="1" s="1"/>
  <c r="AT1084" i="1" s="1"/>
  <c r="AQ1084" i="1"/>
  <c r="AS1084" i="1" s="1"/>
  <c r="AU1084" i="1" s="1"/>
  <c r="AQ227" i="1"/>
  <c r="AS227" i="1" s="1"/>
  <c r="AU227" i="1" s="1"/>
  <c r="AP227" i="1"/>
  <c r="AR227" i="1" s="1"/>
  <c r="AT227" i="1" s="1"/>
  <c r="AP167" i="1"/>
  <c r="AR167" i="1" s="1"/>
  <c r="AT167" i="1" s="1"/>
  <c r="AQ167" i="1"/>
  <c r="AS167" i="1" s="1"/>
  <c r="AU167" i="1" s="1"/>
  <c r="AP543" i="1"/>
  <c r="AR543" i="1" s="1"/>
  <c r="AT543" i="1" s="1"/>
  <c r="AQ543" i="1"/>
  <c r="AS543" i="1" s="1"/>
  <c r="AU543" i="1" s="1"/>
  <c r="AQ244" i="1"/>
  <c r="AP244" i="1"/>
  <c r="AS596" i="1"/>
  <c r="AU596" i="1" s="1"/>
  <c r="AQ813" i="1"/>
  <c r="AS813" i="1" s="1"/>
  <c r="AU813" i="1" s="1"/>
  <c r="AP813" i="1"/>
  <c r="AR813" i="1" s="1"/>
  <c r="AT813" i="1" s="1"/>
  <c r="AR835" i="1"/>
  <c r="AT835" i="1" s="1"/>
  <c r="AS418" i="1"/>
  <c r="AU418" i="1" s="1"/>
  <c r="AP1094" i="1"/>
  <c r="AR1094" i="1" s="1"/>
  <c r="AT1094" i="1" s="1"/>
  <c r="AQ1094" i="1"/>
  <c r="AS1094" i="1" s="1"/>
  <c r="AU1094" i="1" s="1"/>
  <c r="AQ76" i="1"/>
  <c r="AP76" i="1"/>
  <c r="AR76" i="1" s="1"/>
  <c r="AT76" i="1" s="1"/>
  <c r="AP109" i="1"/>
  <c r="AR109" i="1" s="1"/>
  <c r="AT109" i="1" s="1"/>
  <c r="AQ109" i="1"/>
  <c r="AS109" i="1" s="1"/>
  <c r="AU109" i="1" s="1"/>
  <c r="AQ183" i="1"/>
  <c r="AS183" i="1" s="1"/>
  <c r="AU183" i="1" s="1"/>
  <c r="AP183" i="1"/>
  <c r="AR183" i="1" s="1"/>
  <c r="AT183" i="1" s="1"/>
  <c r="AP649" i="1"/>
  <c r="AR649" i="1" s="1"/>
  <c r="AT649" i="1" s="1"/>
  <c r="AQ649" i="1"/>
  <c r="AQ987" i="1"/>
  <c r="AP987" i="1"/>
  <c r="AS1176" i="1"/>
  <c r="AU1176" i="1" s="1"/>
  <c r="AQ981" i="1"/>
  <c r="AS981" i="1" s="1"/>
  <c r="AU981" i="1" s="1"/>
  <c r="AP981" i="1"/>
  <c r="AR981" i="1" s="1"/>
  <c r="AT981" i="1" s="1"/>
  <c r="AP556" i="1"/>
  <c r="AR556" i="1" s="1"/>
  <c r="AT556" i="1" s="1"/>
  <c r="AQ556" i="1"/>
  <c r="AS556" i="1" s="1"/>
  <c r="AU556" i="1" s="1"/>
  <c r="AQ334" i="1"/>
  <c r="AS334" i="1" s="1"/>
  <c r="AU334" i="1" s="1"/>
  <c r="AP334" i="1"/>
  <c r="AR334" i="1" s="1"/>
  <c r="AT334" i="1" s="1"/>
  <c r="AP567" i="1"/>
  <c r="AQ567" i="1"/>
  <c r="AP573" i="1"/>
  <c r="AR573" i="1" s="1"/>
  <c r="AT573" i="1" s="1"/>
  <c r="AQ573" i="1"/>
  <c r="AS573" i="1" s="1"/>
  <c r="AU573" i="1" s="1"/>
  <c r="AR347" i="1"/>
  <c r="AT347" i="1" s="1"/>
  <c r="AP622" i="1"/>
  <c r="AR622" i="1" s="1"/>
  <c r="AT622" i="1" s="1"/>
  <c r="AQ622" i="1"/>
  <c r="AP1004" i="1"/>
  <c r="AR1004" i="1" s="1"/>
  <c r="AT1004" i="1" s="1"/>
  <c r="AQ1004" i="1"/>
  <c r="AS1004" i="1" s="1"/>
  <c r="AU1004" i="1" s="1"/>
  <c r="AR1073" i="1"/>
  <c r="AT1073" i="1" s="1"/>
  <c r="AQ1143" i="1"/>
  <c r="AS1143" i="1" s="1"/>
  <c r="AU1143" i="1" s="1"/>
  <c r="AP1143" i="1"/>
  <c r="AR1143" i="1" s="1"/>
  <c r="AT1143" i="1" s="1"/>
  <c r="AR1062" i="1"/>
  <c r="AT1062" i="1" s="1"/>
  <c r="AQ45" i="1"/>
  <c r="AS45" i="1" s="1"/>
  <c r="AU45" i="1" s="1"/>
  <c r="AP45" i="1"/>
  <c r="AR45" i="1" s="1"/>
  <c r="AT45" i="1" s="1"/>
  <c r="AS134" i="1"/>
  <c r="AU134" i="1" s="1"/>
  <c r="AR106" i="1"/>
  <c r="AT106" i="1" s="1"/>
  <c r="AP501" i="1"/>
  <c r="AR501" i="1" s="1"/>
  <c r="AT501" i="1" s="1"/>
  <c r="AQ501" i="1"/>
  <c r="AS501" i="1" s="1"/>
  <c r="AU501" i="1" s="1"/>
  <c r="AQ447" i="1"/>
  <c r="AS447" i="1" s="1"/>
  <c r="AU447" i="1" s="1"/>
  <c r="AP447" i="1"/>
  <c r="AR447" i="1" s="1"/>
  <c r="AT447" i="1" s="1"/>
  <c r="AP1077" i="1"/>
  <c r="AR1077" i="1" s="1"/>
  <c r="AT1077" i="1" s="1"/>
  <c r="AQ1077" i="1"/>
  <c r="AS1077" i="1" s="1"/>
  <c r="AU1077" i="1" s="1"/>
  <c r="AS992" i="1"/>
  <c r="AU992" i="1" s="1"/>
  <c r="AQ1212" i="1"/>
  <c r="AP1212" i="1"/>
  <c r="AQ870" i="1"/>
  <c r="AS870" i="1" s="1"/>
  <c r="AU870" i="1" s="1"/>
  <c r="AP870" i="1"/>
  <c r="AR870" i="1" s="1"/>
  <c r="AT870" i="1" s="1"/>
  <c r="AP282" i="1"/>
  <c r="AQ282" i="1"/>
  <c r="AS162" i="1"/>
  <c r="AU162" i="1" s="1"/>
  <c r="AP13" i="1"/>
  <c r="AQ13" i="1"/>
  <c r="AS13" i="1" s="1"/>
  <c r="AU13" i="1" s="1"/>
  <c r="AQ655" i="1"/>
  <c r="AP655" i="1"/>
  <c r="AQ628" i="1"/>
  <c r="AS628" i="1" s="1"/>
  <c r="AU628" i="1" s="1"/>
  <c r="AP628" i="1"/>
  <c r="AR628" i="1" s="1"/>
  <c r="AT628" i="1" s="1"/>
  <c r="AR523" i="1"/>
  <c r="AT523" i="1" s="1"/>
  <c r="AR467" i="1"/>
  <c r="AT467" i="1" s="1"/>
  <c r="AR988" i="1"/>
  <c r="AT988" i="1" s="1"/>
  <c r="AQ75" i="1"/>
  <c r="AP75" i="1"/>
  <c r="AQ352" i="1"/>
  <c r="AS352" i="1" s="1"/>
  <c r="AU352" i="1" s="1"/>
  <c r="AP352" i="1"/>
  <c r="AR352" i="1" s="1"/>
  <c r="AT352" i="1" s="1"/>
  <c r="AP82" i="1"/>
  <c r="AR82" i="1" s="1"/>
  <c r="AT82" i="1" s="1"/>
  <c r="AQ82" i="1"/>
  <c r="AS82" i="1" s="1"/>
  <c r="AU82" i="1" s="1"/>
  <c r="AQ838" i="1"/>
  <c r="AP838" i="1"/>
  <c r="AQ648" i="1"/>
  <c r="AP648" i="1"/>
  <c r="AP522" i="1"/>
  <c r="AQ522" i="1"/>
  <c r="AP1108" i="1"/>
  <c r="AR1108" i="1" s="1"/>
  <c r="AT1108" i="1" s="1"/>
  <c r="AQ1108" i="1"/>
  <c r="AS1108" i="1" s="1"/>
  <c r="AU1108" i="1" s="1"/>
  <c r="AQ1096" i="1"/>
  <c r="AS1096" i="1" s="1"/>
  <c r="AU1096" i="1" s="1"/>
  <c r="AP1096" i="1"/>
  <c r="AR1096" i="1" s="1"/>
  <c r="AT1096" i="1" s="1"/>
  <c r="AP846" i="1"/>
  <c r="AR846" i="1" s="1"/>
  <c r="AT846" i="1" s="1"/>
  <c r="AQ846" i="1"/>
  <c r="AS846" i="1" s="1"/>
  <c r="AU846" i="1" s="1"/>
  <c r="AP1161" i="1"/>
  <c r="AR1161" i="1" s="1"/>
  <c r="AT1161" i="1" s="1"/>
  <c r="AQ1161" i="1"/>
  <c r="AS1161" i="1" s="1"/>
  <c r="AU1161" i="1" s="1"/>
  <c r="AQ1222" i="1"/>
  <c r="AP1222" i="1"/>
  <c r="AQ1500" i="1"/>
  <c r="AS1500" i="1" s="1"/>
  <c r="AU1500" i="1" s="1"/>
  <c r="AP1500" i="1"/>
  <c r="AR1500" i="1" s="1"/>
  <c r="AT1500" i="1" s="1"/>
  <c r="AS1960" i="1"/>
  <c r="AU1960" i="1" s="1"/>
  <c r="AR2209" i="1"/>
  <c r="AT2209" i="1" s="1"/>
  <c r="AR1336" i="1"/>
  <c r="AT1336" i="1" s="1"/>
  <c r="AQ1389" i="1"/>
  <c r="AP1389" i="1"/>
  <c r="AR1389" i="1" s="1"/>
  <c r="AT1389" i="1" s="1"/>
  <c r="AR2026" i="1"/>
  <c r="AT2026" i="1" s="1"/>
  <c r="AR2133" i="1"/>
  <c r="AT2133" i="1" s="1"/>
  <c r="AP1329" i="1"/>
  <c r="AQ1329" i="1"/>
  <c r="AS2216" i="1"/>
  <c r="AU2216" i="1" s="1"/>
  <c r="AS2429" i="1"/>
  <c r="AU2429" i="1" s="1"/>
  <c r="AP1363" i="1"/>
  <c r="AQ1363" i="1"/>
  <c r="AP1346" i="1"/>
  <c r="AQ1346" i="1"/>
  <c r="AQ1317" i="1"/>
  <c r="AS1317" i="1" s="1"/>
  <c r="AU1317" i="1" s="1"/>
  <c r="AP1317" i="1"/>
  <c r="AR1317" i="1" s="1"/>
  <c r="AT1317" i="1" s="1"/>
  <c r="AR1956" i="1"/>
  <c r="AT1956" i="1" s="1"/>
  <c r="AR1957" i="1"/>
  <c r="AT1957" i="1" s="1"/>
  <c r="AQ1459" i="1"/>
  <c r="AP1459" i="1"/>
  <c r="AQ1509" i="1"/>
  <c r="AP1509" i="1"/>
  <c r="AQ1511" i="1"/>
  <c r="AP1511" i="1"/>
  <c r="AR2041" i="1"/>
  <c r="AT2041" i="1" s="1"/>
  <c r="AP731" i="1"/>
  <c r="AR731" i="1" s="1"/>
  <c r="AT731" i="1" s="1"/>
  <c r="AQ731" i="1"/>
  <c r="AS731" i="1" s="1"/>
  <c r="AU731" i="1" s="1"/>
  <c r="AP1054" i="1"/>
  <c r="AQ1054" i="1"/>
  <c r="AR1526" i="1"/>
  <c r="AT1526" i="1" s="1"/>
  <c r="AQ1441" i="1"/>
  <c r="AS1441" i="1" s="1"/>
  <c r="AU1441" i="1" s="1"/>
  <c r="AP1441" i="1"/>
  <c r="AR1441" i="1" s="1"/>
  <c r="AT1441" i="1" s="1"/>
  <c r="AS2226" i="1"/>
  <c r="AU2226" i="1" s="1"/>
  <c r="AQ1127" i="1"/>
  <c r="AP1127" i="1"/>
  <c r="AR1127" i="1" s="1"/>
  <c r="AT1127" i="1" s="1"/>
  <c r="AR1654" i="1"/>
  <c r="AT1654" i="1" s="1"/>
  <c r="AR1998" i="1"/>
  <c r="AT1998" i="1" s="1"/>
  <c r="AS829" i="1"/>
  <c r="AU829" i="1" s="1"/>
  <c r="AS1530" i="1"/>
  <c r="AU1530" i="1" s="1"/>
  <c r="AS959" i="1"/>
  <c r="AU959" i="1" s="1"/>
  <c r="AS328" i="1"/>
  <c r="AU328" i="1" s="1"/>
  <c r="AR984" i="1"/>
  <c r="AT984" i="1" s="1"/>
  <c r="AR445" i="1"/>
  <c r="AT445" i="1" s="1"/>
  <c r="AR1149" i="1"/>
  <c r="AT1149" i="1" s="1"/>
  <c r="AP1246" i="1"/>
  <c r="AR1246" i="1" s="1"/>
  <c r="AT1246" i="1" s="1"/>
  <c r="AQ1246" i="1"/>
  <c r="AS1246" i="1" s="1"/>
  <c r="AU1246" i="1" s="1"/>
  <c r="AR1552" i="1"/>
  <c r="AT1552" i="1" s="1"/>
  <c r="AR1553" i="1"/>
  <c r="AT1553" i="1" s="1"/>
  <c r="AQ780" i="1"/>
  <c r="AP780" i="1"/>
  <c r="AS388" i="1"/>
  <c r="AU388" i="1" s="1"/>
  <c r="AS2465" i="1"/>
  <c r="AU2465" i="1" s="1"/>
  <c r="AR2248" i="1"/>
  <c r="AT2248" i="1" s="1"/>
  <c r="AS721" i="1"/>
  <c r="AU721" i="1" s="1"/>
  <c r="AR2437" i="1"/>
  <c r="AT2437" i="1" s="1"/>
  <c r="AR2438" i="1"/>
  <c r="AT2438" i="1" s="1"/>
  <c r="AP191" i="1"/>
  <c r="AR191" i="1" s="1"/>
  <c r="AT191" i="1" s="1"/>
  <c r="AQ191" i="1"/>
  <c r="AS191" i="1" s="1"/>
  <c r="AU191" i="1" s="1"/>
  <c r="AQ315" i="1"/>
  <c r="AS315" i="1" s="1"/>
  <c r="AU315" i="1" s="1"/>
  <c r="AP315" i="1"/>
  <c r="AR315" i="1" s="1"/>
  <c r="AT315" i="1" s="1"/>
  <c r="AQ1075" i="1"/>
  <c r="AP1075" i="1"/>
  <c r="AP43" i="1"/>
  <c r="AQ43" i="1"/>
  <c r="AS322" i="1"/>
  <c r="AU322" i="1" s="1"/>
  <c r="AP606" i="1"/>
  <c r="AQ606" i="1"/>
  <c r="AQ1118" i="1"/>
  <c r="AS1118" i="1" s="1"/>
  <c r="AU1118" i="1" s="1"/>
  <c r="AP1118" i="1"/>
  <c r="AR1118" i="1" s="1"/>
  <c r="AT1118" i="1" s="1"/>
  <c r="AQ682" i="1"/>
  <c r="AS682" i="1" s="1"/>
  <c r="AU682" i="1" s="1"/>
  <c r="AP682" i="1"/>
  <c r="AR682" i="1" s="1"/>
  <c r="AT682" i="1" s="1"/>
  <c r="AQ281" i="1"/>
  <c r="AP281" i="1"/>
  <c r="AS14" i="1"/>
  <c r="AU14" i="1" s="1"/>
  <c r="AQ1325" i="1"/>
  <c r="AP1325" i="1"/>
  <c r="AQ261" i="1"/>
  <c r="AS261" i="1" s="1"/>
  <c r="AU261" i="1" s="1"/>
  <c r="AP261" i="1"/>
  <c r="AR261" i="1" s="1"/>
  <c r="AT261" i="1" s="1"/>
  <c r="AP216" i="1"/>
  <c r="AR216" i="1" s="1"/>
  <c r="AT216" i="1" s="1"/>
  <c r="AQ216" i="1"/>
  <c r="AS216" i="1" s="1"/>
  <c r="AU216" i="1" s="1"/>
  <c r="AQ269" i="1"/>
  <c r="AS269" i="1" s="1"/>
  <c r="AU269" i="1" s="1"/>
  <c r="AP269" i="1"/>
  <c r="AR269" i="1" s="1"/>
  <c r="AT269" i="1" s="1"/>
  <c r="AP172" i="1"/>
  <c r="AR172" i="1" s="1"/>
  <c r="AT172" i="1" s="1"/>
  <c r="AQ172" i="1"/>
  <c r="AS172" i="1" s="1"/>
  <c r="AU172" i="1" s="1"/>
  <c r="AP381" i="1"/>
  <c r="AQ381" i="1"/>
  <c r="AQ823" i="1"/>
  <c r="AS823" i="1" s="1"/>
  <c r="AU823" i="1" s="1"/>
  <c r="AP823" i="1"/>
  <c r="AR823" i="1" s="1"/>
  <c r="AT823" i="1" s="1"/>
  <c r="AQ1005" i="1"/>
  <c r="AS1005" i="1" s="1"/>
  <c r="AU1005" i="1" s="1"/>
  <c r="AP1005" i="1"/>
  <c r="AR1005" i="1" s="1"/>
  <c r="AT1005" i="1" s="1"/>
  <c r="AP1134" i="1"/>
  <c r="AQ1134" i="1"/>
  <c r="AP871" i="1"/>
  <c r="AQ871" i="1"/>
  <c r="AS871" i="1" s="1"/>
  <c r="AU871" i="1" s="1"/>
  <c r="AQ95" i="1"/>
  <c r="AS95" i="1" s="1"/>
  <c r="AU95" i="1" s="1"/>
  <c r="AP95" i="1"/>
  <c r="AR95" i="1" s="1"/>
  <c r="AT95" i="1" s="1"/>
  <c r="AQ265" i="1"/>
  <c r="AP265" i="1"/>
  <c r="AS96" i="1"/>
  <c r="AU96" i="1" s="1"/>
  <c r="AP526" i="1"/>
  <c r="AQ526" i="1"/>
  <c r="AP373" i="1"/>
  <c r="AR373" i="1" s="1"/>
  <c r="AT373" i="1" s="1"/>
  <c r="AQ373" i="1"/>
  <c r="AS373" i="1" s="1"/>
  <c r="AU373" i="1" s="1"/>
  <c r="AQ440" i="1"/>
  <c r="AS440" i="1" s="1"/>
  <c r="AU440" i="1" s="1"/>
  <c r="AP440" i="1"/>
  <c r="AR440" i="1" s="1"/>
  <c r="AT440" i="1" s="1"/>
  <c r="AQ868" i="1"/>
  <c r="AS868" i="1" s="1"/>
  <c r="AU868" i="1" s="1"/>
  <c r="AP868" i="1"/>
  <c r="AS1073" i="1"/>
  <c r="AU1073" i="1" s="1"/>
  <c r="AS33" i="1"/>
  <c r="AU33" i="1" s="1"/>
  <c r="AR134" i="1"/>
  <c r="AT134" i="1" s="1"/>
  <c r="AS106" i="1"/>
  <c r="AU106" i="1" s="1"/>
  <c r="AQ448" i="1"/>
  <c r="AS448" i="1" s="1"/>
  <c r="AU448" i="1" s="1"/>
  <c r="AP448" i="1"/>
  <c r="AR448" i="1" s="1"/>
  <c r="AT448" i="1" s="1"/>
  <c r="AQ569" i="1"/>
  <c r="AS569" i="1" s="1"/>
  <c r="AU569" i="1" s="1"/>
  <c r="AP569" i="1"/>
  <c r="AR569" i="1" s="1"/>
  <c r="AT569" i="1" s="1"/>
  <c r="AQ828" i="1"/>
  <c r="AP828" i="1"/>
  <c r="AS924" i="1"/>
  <c r="AU924" i="1" s="1"/>
  <c r="AR254" i="1"/>
  <c r="AT254" i="1" s="1"/>
  <c r="AP1055" i="1"/>
  <c r="AR1055" i="1" s="1"/>
  <c r="AT1055" i="1" s="1"/>
  <c r="AQ1055" i="1"/>
  <c r="AS1055" i="1" s="1"/>
  <c r="AU1055" i="1" s="1"/>
  <c r="AS1116" i="1"/>
  <c r="AU1116" i="1" s="1"/>
  <c r="AQ283" i="1"/>
  <c r="AS283" i="1" s="1"/>
  <c r="AU283" i="1" s="1"/>
  <c r="AP283" i="1"/>
  <c r="AR283" i="1" s="1"/>
  <c r="AT283" i="1" s="1"/>
  <c r="AQ1082" i="1"/>
  <c r="AP1082" i="1"/>
  <c r="AS523" i="1"/>
  <c r="AU523" i="1" s="1"/>
  <c r="AS1201" i="1"/>
  <c r="AU1201" i="1" s="1"/>
  <c r="AS988" i="1"/>
  <c r="AU988" i="1" s="1"/>
  <c r="AQ312" i="1"/>
  <c r="AS312" i="1" s="1"/>
  <c r="AU312" i="1" s="1"/>
  <c r="AP312" i="1"/>
  <c r="AR312" i="1" s="1"/>
  <c r="AT312" i="1" s="1"/>
  <c r="AR349" i="1"/>
  <c r="AT349" i="1" s="1"/>
  <c r="AP319" i="1"/>
  <c r="AR319" i="1" s="1"/>
  <c r="AT319" i="1" s="1"/>
  <c r="AQ319" i="1"/>
  <c r="AS319" i="1" s="1"/>
  <c r="AU319" i="1" s="1"/>
  <c r="AQ285" i="1"/>
  <c r="AP285" i="1"/>
  <c r="AR662" i="1"/>
  <c r="AT662" i="1" s="1"/>
  <c r="AP758" i="1"/>
  <c r="AR758" i="1" s="1"/>
  <c r="AT758" i="1" s="1"/>
  <c r="AQ758" i="1"/>
  <c r="AS758" i="1" s="1"/>
  <c r="AU758" i="1" s="1"/>
  <c r="AR304" i="1"/>
  <c r="AT304" i="1" s="1"/>
  <c r="AP1104" i="1"/>
  <c r="AR1104" i="1" s="1"/>
  <c r="AT1104" i="1" s="1"/>
  <c r="AQ1104" i="1"/>
  <c r="AS1104" i="1" s="1"/>
  <c r="AU1104" i="1" s="1"/>
  <c r="AS722" i="1"/>
  <c r="AU722" i="1" s="1"/>
  <c r="AQ1276" i="1"/>
  <c r="AP1276" i="1"/>
  <c r="AQ1384" i="1"/>
  <c r="AS1384" i="1" s="1"/>
  <c r="AU1384" i="1" s="1"/>
  <c r="AP1384" i="1"/>
  <c r="AR1384" i="1" s="1"/>
  <c r="AT1384" i="1" s="1"/>
  <c r="AQ1223" i="1"/>
  <c r="AS1223" i="1" s="1"/>
  <c r="AU1223" i="1" s="1"/>
  <c r="AP1223" i="1"/>
  <c r="AR1223" i="1" s="1"/>
  <c r="AT1223" i="1" s="1"/>
  <c r="AQ1290" i="1"/>
  <c r="AS1290" i="1" s="1"/>
  <c r="AU1290" i="1" s="1"/>
  <c r="AP1290" i="1"/>
  <c r="AR1290" i="1" s="1"/>
  <c r="AT1290" i="1" s="1"/>
  <c r="AR2040" i="1"/>
  <c r="AT2040" i="1" s="1"/>
  <c r="AS1974" i="1"/>
  <c r="AU1974" i="1" s="1"/>
  <c r="AS2183" i="1"/>
  <c r="AU2183" i="1" s="1"/>
  <c r="AS2454" i="1"/>
  <c r="AU2454" i="1" s="1"/>
  <c r="AS2071" i="1"/>
  <c r="AU2071" i="1" s="1"/>
  <c r="AS2072" i="1"/>
  <c r="AU2072" i="1" s="1"/>
  <c r="AR2108" i="1"/>
  <c r="AT2108" i="1" s="1"/>
  <c r="AS2254" i="1"/>
  <c r="AU2254" i="1" s="1"/>
  <c r="AP1124" i="1"/>
  <c r="AR1124" i="1" s="1"/>
  <c r="AT1124" i="1" s="1"/>
  <c r="AQ1124" i="1"/>
  <c r="AQ1263" i="1"/>
  <c r="AS1263" i="1" s="1"/>
  <c r="AU1263" i="1" s="1"/>
  <c r="AP1263" i="1"/>
  <c r="AR2327" i="1"/>
  <c r="AT2327" i="1" s="1"/>
  <c r="AS2133" i="1"/>
  <c r="AU2133" i="1" s="1"/>
  <c r="AP1413" i="1"/>
  <c r="AR1413" i="1" s="1"/>
  <c r="AT1413" i="1" s="1"/>
  <c r="AQ1413" i="1"/>
  <c r="AR2346" i="1"/>
  <c r="AT2346" i="1" s="1"/>
  <c r="AS15" i="1"/>
  <c r="AU15" i="1" s="1"/>
  <c r="AQ830" i="1"/>
  <c r="AS830" i="1" s="1"/>
  <c r="AU830" i="1" s="1"/>
  <c r="AP830" i="1"/>
  <c r="AR830" i="1" s="1"/>
  <c r="AT830" i="1" s="1"/>
  <c r="AQ1321" i="1"/>
  <c r="AP1321" i="1"/>
  <c r="AS1956" i="1"/>
  <c r="AU1956" i="1" s="1"/>
  <c r="AS1957" i="1"/>
  <c r="AU1957" i="1" s="1"/>
  <c r="AR2226" i="1"/>
  <c r="AT2226" i="1" s="1"/>
  <c r="AR2271" i="1"/>
  <c r="AT2271" i="1" s="1"/>
  <c r="AS2041" i="1"/>
  <c r="AU2041" i="1" s="1"/>
  <c r="AQ732" i="1"/>
  <c r="AS732" i="1" s="1"/>
  <c r="AU732" i="1" s="1"/>
  <c r="AP732" i="1"/>
  <c r="AR732" i="1" s="1"/>
  <c r="AT732" i="1" s="1"/>
  <c r="AS255" i="1"/>
  <c r="AU255" i="1" s="1"/>
  <c r="AR1322" i="1"/>
  <c r="AT1322" i="1" s="1"/>
  <c r="AS1526" i="1"/>
  <c r="AU1526" i="1" s="1"/>
  <c r="AP1443" i="1"/>
  <c r="AQ1443" i="1"/>
  <c r="AS1443" i="1" s="1"/>
  <c r="AU1443" i="1" s="1"/>
  <c r="AR1583" i="1"/>
  <c r="AT1583" i="1" s="1"/>
  <c r="AR1584" i="1"/>
  <c r="AT1584" i="1" s="1"/>
  <c r="AS226" i="1"/>
  <c r="AU226" i="1" s="1"/>
  <c r="AS2467" i="1"/>
  <c r="AU2467" i="1" s="1"/>
  <c r="AR1977" i="1"/>
  <c r="AT1977" i="1" s="1"/>
  <c r="AR959" i="1"/>
  <c r="AT959" i="1" s="1"/>
  <c r="AS166" i="1"/>
  <c r="AU166" i="1" s="1"/>
  <c r="AR1192" i="1"/>
  <c r="AT1192" i="1" s="1"/>
  <c r="AS1268" i="1"/>
  <c r="AU1268" i="1" s="1"/>
  <c r="AP756" i="1"/>
  <c r="AQ756" i="1"/>
  <c r="AP1249" i="1"/>
  <c r="AQ1249" i="1"/>
  <c r="AQ778" i="1"/>
  <c r="AS778" i="1" s="1"/>
  <c r="AU778" i="1" s="1"/>
  <c r="AP778" i="1"/>
  <c r="AR778" i="1" s="1"/>
  <c r="AT778" i="1" s="1"/>
  <c r="AQ1105" i="1"/>
  <c r="AS1105" i="1" s="1"/>
  <c r="AU1105" i="1" s="1"/>
  <c r="AP1105" i="1"/>
  <c r="AR1105" i="1" s="1"/>
  <c r="AT1105" i="1" s="1"/>
  <c r="AR1292" i="1"/>
  <c r="AT1292" i="1" s="1"/>
  <c r="AQ787" i="1"/>
  <c r="AP787" i="1"/>
  <c r="AS1577" i="1"/>
  <c r="AU1577" i="1" s="1"/>
  <c r="AQ165" i="1"/>
  <c r="AS165" i="1" s="1"/>
  <c r="AU165" i="1" s="1"/>
  <c r="AP165" i="1"/>
  <c r="AR165" i="1" s="1"/>
  <c r="AT165" i="1" s="1"/>
  <c r="AP99" i="1"/>
  <c r="AR99" i="1" s="1"/>
  <c r="AT99" i="1" s="1"/>
  <c r="AQ99" i="1"/>
  <c r="AS99" i="1" s="1"/>
  <c r="AU99" i="1" s="1"/>
  <c r="AP369" i="1"/>
  <c r="AR369" i="1" s="1"/>
  <c r="AT369" i="1" s="1"/>
  <c r="AQ369" i="1"/>
  <c r="AS369" i="1" s="1"/>
  <c r="AU369" i="1" s="1"/>
  <c r="AS1601" i="1"/>
  <c r="AU1601" i="1" s="1"/>
  <c r="AS1602" i="1"/>
  <c r="AU1602" i="1" s="1"/>
  <c r="AP1323" i="1"/>
  <c r="AR1323" i="1" s="1"/>
  <c r="AT1323" i="1" s="1"/>
  <c r="AQ1323" i="1"/>
  <c r="AS1323" i="1" s="1"/>
  <c r="AU1323" i="1" s="1"/>
  <c r="AQ824" i="1"/>
  <c r="AS824" i="1" s="1"/>
  <c r="AU824" i="1" s="1"/>
  <c r="AP824" i="1"/>
  <c r="AR824" i="1" s="1"/>
  <c r="AT824" i="1" s="1"/>
  <c r="AS184" i="1"/>
  <c r="AU184" i="1" s="1"/>
  <c r="AR491" i="1"/>
  <c r="AT491" i="1" s="1"/>
  <c r="AQ175" i="1"/>
  <c r="AP175" i="1"/>
  <c r="AR33" i="1"/>
  <c r="AT33" i="1" s="1"/>
  <c r="AP342" i="1"/>
  <c r="AR342" i="1" s="1"/>
  <c r="AT342" i="1" s="1"/>
  <c r="AQ342" i="1"/>
  <c r="AS342" i="1" s="1"/>
  <c r="AU342" i="1" s="1"/>
  <c r="AP245" i="1"/>
  <c r="AR245" i="1" s="1"/>
  <c r="AT245" i="1" s="1"/>
  <c r="AQ245" i="1"/>
  <c r="AS245" i="1" s="1"/>
  <c r="AU245" i="1" s="1"/>
  <c r="AQ277" i="1"/>
  <c r="AP277" i="1"/>
  <c r="AP139" i="1"/>
  <c r="AR139" i="1" s="1"/>
  <c r="AT139" i="1" s="1"/>
  <c r="AQ139" i="1"/>
  <c r="AS139" i="1" s="1"/>
  <c r="AU139" i="1" s="1"/>
  <c r="AR348" i="1"/>
  <c r="AT348" i="1" s="1"/>
  <c r="AQ335" i="1"/>
  <c r="AS335" i="1" s="1"/>
  <c r="AU335" i="1" s="1"/>
  <c r="AP335" i="1"/>
  <c r="AR335" i="1" s="1"/>
  <c r="AT335" i="1" s="1"/>
  <c r="AP284" i="1"/>
  <c r="AQ284" i="1"/>
  <c r="AP834" i="1"/>
  <c r="AQ834" i="1"/>
  <c r="AS835" i="1" s="1"/>
  <c r="AU835" i="1" s="1"/>
  <c r="AS716" i="1"/>
  <c r="AU716" i="1" s="1"/>
  <c r="AR688" i="1"/>
  <c r="AT688" i="1" s="1"/>
  <c r="AQ1098" i="1"/>
  <c r="AS1098" i="1" s="1"/>
  <c r="AU1098" i="1" s="1"/>
  <c r="AP1098" i="1"/>
  <c r="AQ35" i="1"/>
  <c r="AS35" i="1" s="1"/>
  <c r="AU35" i="1" s="1"/>
  <c r="AP35" i="1"/>
  <c r="AR35" i="1" s="1"/>
  <c r="AT35" i="1" s="1"/>
  <c r="AS349" i="1"/>
  <c r="AU349" i="1" s="1"/>
  <c r="AP122" i="1"/>
  <c r="AR122" i="1" s="1"/>
  <c r="AT122" i="1" s="1"/>
  <c r="AQ122" i="1"/>
  <c r="AS122" i="1" s="1"/>
  <c r="AU122" i="1" s="1"/>
  <c r="AS537" i="1"/>
  <c r="AU537" i="1" s="1"/>
  <c r="AP392" i="1"/>
  <c r="AQ392" i="1"/>
  <c r="AP952" i="1"/>
  <c r="AR952" i="1" s="1"/>
  <c r="AT952" i="1" s="1"/>
  <c r="AQ952" i="1"/>
  <c r="AP947" i="1"/>
  <c r="AR947" i="1" s="1"/>
  <c r="AT947" i="1" s="1"/>
  <c r="AQ947" i="1"/>
  <c r="AS947" i="1" s="1"/>
  <c r="AU947" i="1" s="1"/>
  <c r="AP466" i="1"/>
  <c r="AQ466" i="1"/>
  <c r="AS466" i="1" s="1"/>
  <c r="AU466" i="1" s="1"/>
  <c r="AQ1217" i="1"/>
  <c r="AS1217" i="1" s="1"/>
  <c r="AU1217" i="1" s="1"/>
  <c r="AP1217" i="1"/>
  <c r="AR1217" i="1" s="1"/>
  <c r="AT1217" i="1" s="1"/>
  <c r="AR722" i="1"/>
  <c r="AT722" i="1" s="1"/>
  <c r="AP890" i="1"/>
  <c r="AR890" i="1" s="1"/>
  <c r="AT890" i="1" s="1"/>
  <c r="AQ890" i="1"/>
  <c r="AS890" i="1" s="1"/>
  <c r="AU890" i="1" s="1"/>
  <c r="AQ1247" i="1"/>
  <c r="AP1247" i="1"/>
  <c r="AQ1152" i="1"/>
  <c r="AP1152" i="1"/>
  <c r="AR1578" i="1"/>
  <c r="AT1578" i="1" s="1"/>
  <c r="AS1902" i="1"/>
  <c r="AU1902" i="1" s="1"/>
  <c r="AR2002" i="1"/>
  <c r="AT2002" i="1" s="1"/>
  <c r="AR1974" i="1"/>
  <c r="AT1974" i="1" s="1"/>
  <c r="AR2183" i="1"/>
  <c r="AT2183" i="1" s="1"/>
  <c r="AR2071" i="1"/>
  <c r="AT2071" i="1" s="1"/>
  <c r="AR2072" i="1"/>
  <c r="AT2072" i="1" s="1"/>
  <c r="AR1573" i="1"/>
  <c r="AT1573" i="1" s="1"/>
  <c r="AP1460" i="1"/>
  <c r="AQ1460" i="1"/>
  <c r="AP1362" i="1"/>
  <c r="AQ1362" i="1"/>
  <c r="AS2346" i="1"/>
  <c r="AU2346" i="1" s="1"/>
  <c r="AR15" i="1"/>
  <c r="AT15" i="1" s="1"/>
  <c r="AR1587" i="1"/>
  <c r="AT1587" i="1" s="1"/>
  <c r="AQ1486" i="1"/>
  <c r="AS1486" i="1" s="1"/>
  <c r="AU1486" i="1" s="1"/>
  <c r="AP1486" i="1"/>
  <c r="AR1486" i="1" s="1"/>
  <c r="AT1486" i="1" s="1"/>
  <c r="AS2271" i="1"/>
  <c r="AU2271" i="1" s="1"/>
  <c r="AS230" i="1"/>
  <c r="AU230" i="1" s="1"/>
  <c r="AR1364" i="1"/>
  <c r="AT1364" i="1" s="1"/>
  <c r="AS2087" i="1"/>
  <c r="AU2087" i="1" s="1"/>
  <c r="AS1578" i="1"/>
  <c r="AU1578" i="1" s="1"/>
  <c r="AR341" i="1"/>
  <c r="AT341" i="1" s="1"/>
  <c r="AR255" i="1"/>
  <c r="AT255" i="1" s="1"/>
  <c r="AS1322" i="1"/>
  <c r="AU1322" i="1" s="1"/>
  <c r="AS1583" i="1"/>
  <c r="AU1583" i="1" s="1"/>
  <c r="AR1947" i="1"/>
  <c r="AT1947" i="1" s="1"/>
  <c r="AP1401" i="1"/>
  <c r="AQ1401" i="1"/>
  <c r="AS1401" i="1" s="1"/>
  <c r="AU1401" i="1" s="1"/>
  <c r="AS1505" i="1"/>
  <c r="AU1505" i="1" s="1"/>
  <c r="AS1977" i="1"/>
  <c r="AU1977" i="1" s="1"/>
  <c r="AR1551" i="1"/>
  <c r="AT1551" i="1" s="1"/>
  <c r="AR166" i="1"/>
  <c r="AT166" i="1" s="1"/>
  <c r="AS1192" i="1"/>
  <c r="AU1192" i="1" s="1"/>
  <c r="AR1268" i="1"/>
  <c r="AT1268" i="1" s="1"/>
  <c r="AS554" i="1"/>
  <c r="AU554" i="1" s="1"/>
  <c r="AQ753" i="1"/>
  <c r="AP753" i="1"/>
  <c r="AQ1304" i="1"/>
  <c r="AP1304" i="1"/>
  <c r="AR1978" i="1"/>
  <c r="AT1978" i="1" s="1"/>
  <c r="AR2493" i="1"/>
  <c r="AT2493" i="1" s="1"/>
  <c r="AR2158" i="1"/>
  <c r="AT2158" i="1" s="1"/>
  <c r="AR2463" i="1"/>
  <c r="AT2463" i="1" s="1"/>
  <c r="AS2081" i="1"/>
  <c r="AU2081" i="1" s="1"/>
  <c r="AP782" i="1"/>
  <c r="AQ782" i="1"/>
  <c r="AS782" i="1" s="1"/>
  <c r="AU782" i="1" s="1"/>
  <c r="AP1107" i="1"/>
  <c r="AQ1107" i="1"/>
  <c r="AS1292" i="1"/>
  <c r="AU1292" i="1" s="1"/>
  <c r="AQ775" i="1"/>
  <c r="AP775" i="1"/>
  <c r="AR322" i="1"/>
  <c r="AT322" i="1" s="1"/>
  <c r="AQ605" i="1"/>
  <c r="AS605" i="1" s="1"/>
  <c r="AU605" i="1" s="1"/>
  <c r="AP605" i="1"/>
  <c r="AR605" i="1" s="1"/>
  <c r="AT605" i="1" s="1"/>
  <c r="AQ777" i="1"/>
  <c r="AS777" i="1" s="1"/>
  <c r="AU777" i="1" s="1"/>
  <c r="AP777" i="1"/>
  <c r="AR777" i="1" s="1"/>
  <c r="AT777" i="1" s="1"/>
  <c r="AQ1357" i="1"/>
  <c r="AP1357" i="1"/>
  <c r="AQ720" i="1"/>
  <c r="AP720" i="1"/>
  <c r="AR721" i="1" s="1"/>
  <c r="AT721" i="1" s="1"/>
  <c r="AQ1208" i="1"/>
  <c r="AS1208" i="1" s="1"/>
  <c r="AU1208" i="1" s="1"/>
  <c r="AP1208" i="1"/>
  <c r="AR1208" i="1" s="1"/>
  <c r="AT1208" i="1" s="1"/>
  <c r="AP145" i="1"/>
  <c r="AR145" i="1" s="1"/>
  <c r="AT145" i="1" s="1"/>
  <c r="AQ145" i="1"/>
  <c r="AS145" i="1" s="1"/>
  <c r="AU145" i="1" s="1"/>
  <c r="AP439" i="1"/>
  <c r="AQ439" i="1"/>
  <c r="AQ1026" i="1"/>
  <c r="AP1026" i="1"/>
  <c r="AS1519" i="1"/>
  <c r="AU1519" i="1" s="1"/>
  <c r="AS1648" i="1"/>
  <c r="AU1648" i="1" s="1"/>
  <c r="AQ125" i="1"/>
  <c r="AS125" i="1" s="1"/>
  <c r="AU125" i="1" s="1"/>
  <c r="AP125" i="1"/>
  <c r="AR125" i="1" s="1"/>
  <c r="AT125" i="1" s="1"/>
  <c r="AP1194" i="1"/>
  <c r="AQ1194" i="1"/>
  <c r="AS1194" i="1" s="1"/>
  <c r="AU1194" i="1" s="1"/>
  <c r="AP978" i="1"/>
  <c r="AR978" i="1" s="1"/>
  <c r="AT978" i="1" s="1"/>
  <c r="AQ978" i="1"/>
  <c r="AS978" i="1" s="1"/>
  <c r="AU978" i="1" s="1"/>
  <c r="AR1938" i="1"/>
  <c r="AT1938" i="1" s="1"/>
  <c r="AR1939" i="1"/>
  <c r="AT1939" i="1" s="1"/>
  <c r="AS2498" i="1"/>
  <c r="AU2498" i="1" s="1"/>
  <c r="AR2480" i="1"/>
  <c r="AT2480" i="1" s="1"/>
  <c r="AR2140" i="1"/>
  <c r="AT2140" i="1" s="1"/>
  <c r="AP1408" i="1"/>
  <c r="AR1408" i="1" s="1"/>
  <c r="AT1408" i="1" s="1"/>
  <c r="AQ1408" i="1"/>
  <c r="AS1408" i="1" s="1"/>
  <c r="AU1408" i="1" s="1"/>
  <c r="AS727" i="1"/>
  <c r="AU727" i="1" s="1"/>
  <c r="AR1652" i="1"/>
  <c r="AT1652" i="1" s="1"/>
  <c r="AS2000" i="1"/>
  <c r="AU2000" i="1" s="1"/>
  <c r="AQ1487" i="1"/>
  <c r="AS1487" i="1" s="1"/>
  <c r="AU1487" i="1" s="1"/>
  <c r="AP1487" i="1"/>
  <c r="AR1487" i="1" s="1"/>
  <c r="AT1487" i="1" s="1"/>
  <c r="AS2028" i="1"/>
  <c r="AU2028" i="1" s="1"/>
  <c r="AS2029" i="1"/>
  <c r="AU2029" i="1" s="1"/>
  <c r="AR2284" i="1"/>
  <c r="AT2284" i="1" s="1"/>
  <c r="AR2187" i="1"/>
  <c r="AT2187" i="1" s="1"/>
  <c r="AR2188" i="1"/>
  <c r="AT2188" i="1" s="1"/>
  <c r="AR230" i="1"/>
  <c r="AT230" i="1" s="1"/>
  <c r="AR2087" i="1"/>
  <c r="AT2087" i="1" s="1"/>
  <c r="AS1230" i="1"/>
  <c r="AU1230" i="1" s="1"/>
  <c r="AP1187" i="1"/>
  <c r="AQ1187" i="1"/>
  <c r="AR1502" i="1"/>
  <c r="AT1502" i="1" s="1"/>
  <c r="AS462" i="1"/>
  <c r="AU462" i="1" s="1"/>
  <c r="AQ1366" i="1"/>
  <c r="AS1366" i="1" s="1"/>
  <c r="AU1366" i="1" s="1"/>
  <c r="AP1366" i="1"/>
  <c r="AR1366" i="1" s="1"/>
  <c r="AT1366" i="1" s="1"/>
  <c r="AS2110" i="1"/>
  <c r="AU2110" i="1" s="1"/>
  <c r="AS1947" i="1"/>
  <c r="AU1947" i="1" s="1"/>
  <c r="AQ1400" i="1"/>
  <c r="AS1400" i="1" s="1"/>
  <c r="AU1400" i="1" s="1"/>
  <c r="AP1400" i="1"/>
  <c r="AR1400" i="1" s="1"/>
  <c r="AT1400" i="1" s="1"/>
  <c r="AR190" i="1"/>
  <c r="AT190" i="1" s="1"/>
  <c r="AR980" i="1"/>
  <c r="AT980" i="1" s="1"/>
  <c r="AR1006" i="1"/>
  <c r="AT1006" i="1" s="1"/>
  <c r="AS1531" i="1"/>
  <c r="AU1531" i="1" s="1"/>
  <c r="AP1190" i="1"/>
  <c r="AQ1190" i="1"/>
  <c r="AQ755" i="1"/>
  <c r="AS755" i="1" s="1"/>
  <c r="AU755" i="1" s="1"/>
  <c r="AP755" i="1"/>
  <c r="AR755" i="1" s="1"/>
  <c r="AT755" i="1" s="1"/>
  <c r="AQ1303" i="1"/>
  <c r="AS1303" i="1" s="1"/>
  <c r="AU1303" i="1" s="1"/>
  <c r="AP1303" i="1"/>
  <c r="AS1978" i="1"/>
  <c r="AU1978" i="1" s="1"/>
  <c r="AS2493" i="1"/>
  <c r="AU2493" i="1" s="1"/>
  <c r="AS2158" i="1"/>
  <c r="AU2158" i="1" s="1"/>
  <c r="AS2463" i="1"/>
  <c r="AU2463" i="1" s="1"/>
  <c r="AR1633" i="1"/>
  <c r="AT1633" i="1" s="1"/>
  <c r="AR1634" i="1"/>
  <c r="AT1634" i="1" s="1"/>
  <c r="AQ1372" i="1"/>
  <c r="AP1372" i="1"/>
  <c r="AR1372" i="1" s="1"/>
  <c r="AT1372" i="1" s="1"/>
  <c r="AP37" i="1"/>
  <c r="AQ37" i="1"/>
  <c r="AQ91" i="1"/>
  <c r="AS91" i="1" s="1"/>
  <c r="AU91" i="1" s="1"/>
  <c r="AP91" i="1"/>
  <c r="AR91" i="1" s="1"/>
  <c r="AT91" i="1" s="1"/>
  <c r="AQ996" i="1"/>
  <c r="AP996" i="1"/>
  <c r="AP1169" i="1"/>
  <c r="AR1169" i="1" s="1"/>
  <c r="AT1169" i="1" s="1"/>
  <c r="AQ1169" i="1"/>
  <c r="AS1169" i="1" s="1"/>
  <c r="AU1169" i="1" s="1"/>
  <c r="AQ380" i="1"/>
  <c r="AS380" i="1" s="1"/>
  <c r="AU380" i="1" s="1"/>
  <c r="AP380" i="1"/>
  <c r="AR380" i="1" s="1"/>
  <c r="AT380" i="1" s="1"/>
  <c r="AQ135" i="1"/>
  <c r="AS135" i="1" s="1"/>
  <c r="AU135" i="1" s="1"/>
  <c r="AP135" i="1"/>
  <c r="AR135" i="1" s="1"/>
  <c r="AT135" i="1" s="1"/>
  <c r="AR2106" i="1"/>
  <c r="AT2106" i="1" s="1"/>
  <c r="AR817" i="1"/>
  <c r="AT817" i="1" s="1"/>
  <c r="AP994" i="1"/>
  <c r="AR994" i="1" s="1"/>
  <c r="AT994" i="1" s="1"/>
  <c r="AQ994" i="1"/>
  <c r="AS994" i="1" s="1"/>
  <c r="AU994" i="1" s="1"/>
  <c r="AQ240" i="1"/>
  <c r="AS240" i="1" s="1"/>
  <c r="AU240" i="1" s="1"/>
  <c r="AP240" i="1"/>
  <c r="AR240" i="1" s="1"/>
  <c r="AT240" i="1" s="1"/>
  <c r="AP451" i="1"/>
  <c r="AQ451" i="1"/>
  <c r="AP421" i="1"/>
  <c r="AR421" i="1" s="1"/>
  <c r="AT421" i="1" s="1"/>
  <c r="AQ421" i="1"/>
  <c r="AS421" i="1" s="1"/>
  <c r="AU421" i="1" s="1"/>
  <c r="AP234" i="1"/>
  <c r="AR234" i="1" s="1"/>
  <c r="AT234" i="1" s="1"/>
  <c r="AQ234" i="1"/>
  <c r="AS234" i="1" s="1"/>
  <c r="AU234" i="1" s="1"/>
  <c r="AQ131" i="1"/>
  <c r="AP131" i="1"/>
  <c r="AS2085" i="1"/>
  <c r="AU2085" i="1" s="1"/>
  <c r="AP424" i="1"/>
  <c r="AR424" i="1" s="1"/>
  <c r="AT424" i="1" s="1"/>
  <c r="AQ424" i="1"/>
  <c r="AS424" i="1" s="1"/>
  <c r="AU424" i="1" s="1"/>
  <c r="AR727" i="1"/>
  <c r="AT727" i="1" s="1"/>
  <c r="AS1652" i="1"/>
  <c r="AU1652" i="1" s="1"/>
  <c r="AR2000" i="1"/>
  <c r="AT2000" i="1" s="1"/>
  <c r="AQ1507" i="1"/>
  <c r="AP1507" i="1"/>
  <c r="AR2197" i="1"/>
  <c r="AT2197" i="1" s="1"/>
  <c r="AR2198" i="1"/>
  <c r="AT2198" i="1" s="1"/>
  <c r="AS683" i="1"/>
  <c r="AU683" i="1" s="1"/>
  <c r="AR1602" i="1"/>
  <c r="AT1602" i="1" s="1"/>
  <c r="AQ1188" i="1"/>
  <c r="AP1188" i="1"/>
  <c r="AR462" i="1"/>
  <c r="AT462" i="1" s="1"/>
  <c r="AQ1210" i="1"/>
  <c r="AP1210" i="1"/>
  <c r="AR1210" i="1" s="1"/>
  <c r="AT1210" i="1" s="1"/>
  <c r="AS1544" i="1"/>
  <c r="AU1544" i="1" s="1"/>
  <c r="AQ1404" i="1"/>
  <c r="AS1404" i="1" s="1"/>
  <c r="AU1404" i="1" s="1"/>
  <c r="AP1404" i="1"/>
  <c r="AS541" i="1"/>
  <c r="AU541" i="1" s="1"/>
  <c r="AS975" i="1"/>
  <c r="AU975" i="1" s="1"/>
  <c r="AR150" i="1"/>
  <c r="AT150" i="1" s="1"/>
  <c r="AS1287" i="1"/>
  <c r="AU1287" i="1" s="1"/>
  <c r="AR372" i="1"/>
  <c r="AT372" i="1" s="1"/>
  <c r="AS822" i="1"/>
  <c r="AU822" i="1" s="1"/>
  <c r="AS1555" i="1"/>
  <c r="AU1555" i="1" s="1"/>
  <c r="AQ1191" i="1"/>
  <c r="AP1191" i="1"/>
  <c r="AQ754" i="1"/>
  <c r="AS754" i="1" s="1"/>
  <c r="AU754" i="1" s="1"/>
  <c r="AP754" i="1"/>
  <c r="AR754" i="1" s="1"/>
  <c r="AT754" i="1" s="1"/>
  <c r="AR1414" i="1"/>
  <c r="AT1414" i="1" s="1"/>
  <c r="AR1536" i="1"/>
  <c r="AT1536" i="1" s="1"/>
  <c r="AR2256" i="1"/>
  <c r="AT2256" i="1" s="1"/>
  <c r="AR2321" i="1"/>
  <c r="AT2321" i="1" s="1"/>
  <c r="AR2344" i="1"/>
  <c r="AT2344" i="1" s="1"/>
  <c r="AP1373" i="1"/>
  <c r="AQ1373" i="1"/>
  <c r="AP416" i="1"/>
  <c r="AQ416" i="1"/>
  <c r="AS416" i="1" s="1"/>
  <c r="AU416" i="1" s="1"/>
  <c r="AP396" i="1"/>
  <c r="AR396" i="1" s="1"/>
  <c r="AT396" i="1" s="1"/>
  <c r="AQ396" i="1"/>
  <c r="AS396" i="1" s="1"/>
  <c r="AU396" i="1" s="1"/>
  <c r="AQ1007" i="1"/>
  <c r="AS1007" i="1" s="1"/>
  <c r="AU1007" i="1" s="1"/>
  <c r="AP1007" i="1"/>
  <c r="AR1007" i="1" s="1"/>
  <c r="AT1007" i="1" s="1"/>
  <c r="AQ1495" i="1"/>
  <c r="AP1495" i="1"/>
  <c r="AQ1257" i="1"/>
  <c r="AS1257" i="1" s="1"/>
  <c r="AU1257" i="1" s="1"/>
  <c r="AP1257" i="1"/>
  <c r="AR1257" i="1" s="1"/>
  <c r="AT1257" i="1" s="1"/>
  <c r="AP422" i="1"/>
  <c r="AR422" i="1" s="1"/>
  <c r="AT422" i="1" s="1"/>
  <c r="AQ422" i="1"/>
  <c r="AS422" i="1" s="1"/>
  <c r="AU422" i="1" s="1"/>
  <c r="AQ408" i="1"/>
  <c r="AS408" i="1" s="1"/>
  <c r="AU408" i="1" s="1"/>
  <c r="AP408" i="1"/>
  <c r="AR408" i="1" s="1"/>
  <c r="AT408" i="1" s="1"/>
  <c r="AQ564" i="1"/>
  <c r="AS564" i="1" s="1"/>
  <c r="AU564" i="1" s="1"/>
  <c r="AP564" i="1"/>
  <c r="AP546" i="1"/>
  <c r="AQ546" i="1"/>
  <c r="AQ1025" i="1"/>
  <c r="AS1025" i="1" s="1"/>
  <c r="AU1025" i="1" s="1"/>
  <c r="AP1025" i="1"/>
  <c r="AR1025" i="1" s="1"/>
  <c r="AT1025" i="1" s="1"/>
  <c r="AP1043" i="1"/>
  <c r="AR1043" i="1" s="1"/>
  <c r="AT1043" i="1" s="1"/>
  <c r="AQ1043" i="1"/>
  <c r="AS1043" i="1" s="1"/>
  <c r="AU1043" i="1" s="1"/>
  <c r="AR2516" i="1"/>
  <c r="AT2516" i="1" s="1"/>
  <c r="AS1040" i="1"/>
  <c r="AU1040" i="1" s="1"/>
  <c r="AQ247" i="1"/>
  <c r="AS247" i="1" s="1"/>
  <c r="AU247" i="1" s="1"/>
  <c r="AP247" i="1"/>
  <c r="AR247" i="1" s="1"/>
  <c r="AT247" i="1" s="1"/>
  <c r="AR340" i="1"/>
  <c r="AT340" i="1" s="1"/>
  <c r="AQ194" i="1"/>
  <c r="AP194" i="1"/>
  <c r="AR680" i="1"/>
  <c r="AT680" i="1" s="1"/>
  <c r="AP841" i="1"/>
  <c r="AR841" i="1" s="1"/>
  <c r="AT841" i="1" s="1"/>
  <c r="AQ841" i="1"/>
  <c r="AS841" i="1" s="1"/>
  <c r="AU841" i="1" s="1"/>
  <c r="AS1078" i="1"/>
  <c r="AU1078" i="1" s="1"/>
  <c r="AP791" i="1"/>
  <c r="AR791" i="1" s="1"/>
  <c r="AT791" i="1" s="1"/>
  <c r="AQ791" i="1"/>
  <c r="AS791" i="1" s="1"/>
  <c r="AU791" i="1" s="1"/>
  <c r="AR983" i="1"/>
  <c r="AT983" i="1" s="1"/>
  <c r="AR212" i="1"/>
  <c r="AT212" i="1" s="1"/>
  <c r="AS77" i="1"/>
  <c r="AU77" i="1" s="1"/>
  <c r="AP309" i="1"/>
  <c r="AR309" i="1" s="1"/>
  <c r="AT309" i="1" s="1"/>
  <c r="AQ309" i="1"/>
  <c r="AS309" i="1" s="1"/>
  <c r="AU309" i="1" s="1"/>
  <c r="AQ896" i="1"/>
  <c r="AS896" i="1" s="1"/>
  <c r="AU896" i="1" s="1"/>
  <c r="AP896" i="1"/>
  <c r="AR896" i="1" s="1"/>
  <c r="AT896" i="1" s="1"/>
  <c r="AS455" i="1"/>
  <c r="AU455" i="1" s="1"/>
  <c r="AR880" i="1"/>
  <c r="AT880" i="1" s="1"/>
  <c r="AS701" i="1"/>
  <c r="AU701" i="1" s="1"/>
  <c r="AP1410" i="1"/>
  <c r="AQ1410" i="1"/>
  <c r="AP30" i="1"/>
  <c r="AR30" i="1" s="1"/>
  <c r="AT30" i="1" s="1"/>
  <c r="AQ30" i="1"/>
  <c r="AS30" i="1" s="1"/>
  <c r="AU30" i="1" s="1"/>
  <c r="AP28" i="1"/>
  <c r="AR28" i="1" s="1"/>
  <c r="AT28" i="1" s="1"/>
  <c r="AQ28" i="1"/>
  <c r="AS28" i="1" s="1"/>
  <c r="AU28" i="1" s="1"/>
  <c r="AP521" i="1"/>
  <c r="AR521" i="1" s="1"/>
  <c r="AT521" i="1" s="1"/>
  <c r="AQ521" i="1"/>
  <c r="AS521" i="1" s="1"/>
  <c r="AU521" i="1" s="1"/>
  <c r="AP592" i="1"/>
  <c r="AR592" i="1" s="1"/>
  <c r="AT592" i="1" s="1"/>
  <c r="AQ592" i="1"/>
  <c r="AS592" i="1" s="1"/>
  <c r="AU592" i="1" s="1"/>
  <c r="AQ644" i="1"/>
  <c r="AP644" i="1"/>
  <c r="AP671" i="1"/>
  <c r="AQ671" i="1"/>
  <c r="AS672" i="1" s="1"/>
  <c r="AU672" i="1" s="1"/>
  <c r="AQ951" i="1"/>
  <c r="AS951" i="1" s="1"/>
  <c r="AU951" i="1" s="1"/>
  <c r="AP951" i="1"/>
  <c r="AR951" i="1" s="1"/>
  <c r="AT951" i="1" s="1"/>
  <c r="AQ839" i="1"/>
  <c r="AS839" i="1" s="1"/>
  <c r="AU839" i="1" s="1"/>
  <c r="AP839" i="1"/>
  <c r="AR839" i="1" s="1"/>
  <c r="AT839" i="1" s="1"/>
  <c r="AQ1142" i="1"/>
  <c r="AP1142" i="1"/>
  <c r="AQ1037" i="1"/>
  <c r="AP1037" i="1"/>
  <c r="AP1405" i="1"/>
  <c r="AR1405" i="1" s="1"/>
  <c r="AT1405" i="1" s="1"/>
  <c r="AQ1405" i="1"/>
  <c r="AP786" i="1"/>
  <c r="AR786" i="1" s="1"/>
  <c r="AT786" i="1" s="1"/>
  <c r="AQ786" i="1"/>
  <c r="AS786" i="1" s="1"/>
  <c r="AU786" i="1" s="1"/>
  <c r="AR2052" i="1"/>
  <c r="AT2052" i="1" s="1"/>
  <c r="AS2269" i="1"/>
  <c r="AU2269" i="1" s="1"/>
  <c r="AR2274" i="1"/>
  <c r="AT2274" i="1" s="1"/>
  <c r="AS2494" i="1"/>
  <c r="AU2494" i="1" s="1"/>
  <c r="AP1483" i="1"/>
  <c r="AR1483" i="1" s="1"/>
  <c r="AT1483" i="1" s="1"/>
  <c r="AQ1483" i="1"/>
  <c r="AS1483" i="1" s="1"/>
  <c r="AU1483" i="1" s="1"/>
  <c r="AS2203" i="1"/>
  <c r="AU2203" i="1" s="1"/>
  <c r="AS2204" i="1"/>
  <c r="AU2204" i="1" s="1"/>
  <c r="AS1662" i="1"/>
  <c r="AU1662" i="1" s="1"/>
  <c r="AP1478" i="1"/>
  <c r="AR1478" i="1" s="1"/>
  <c r="AT1478" i="1" s="1"/>
  <c r="AQ1478" i="1"/>
  <c r="AS1478" i="1" s="1"/>
  <c r="AU1478" i="1" s="1"/>
  <c r="AR2089" i="1"/>
  <c r="AT2089" i="1" s="1"/>
  <c r="AS2511" i="1"/>
  <c r="AU2511" i="1" s="1"/>
  <c r="AQ1345" i="1"/>
  <c r="AS1345" i="1" s="1"/>
  <c r="AU1345" i="1" s="1"/>
  <c r="AP1345" i="1"/>
  <c r="AR1345" i="1" s="1"/>
  <c r="AT1345" i="1" s="1"/>
  <c r="AQ1499" i="1"/>
  <c r="AS1499" i="1" s="1"/>
  <c r="AU1499" i="1" s="1"/>
  <c r="AP1499" i="1"/>
  <c r="AR1499" i="1" s="1"/>
  <c r="AT1499" i="1" s="1"/>
  <c r="AR2300" i="1"/>
  <c r="AT2300" i="1" s="1"/>
  <c r="AP1184" i="1"/>
  <c r="AR1184" i="1" s="1"/>
  <c r="AT1184" i="1" s="1"/>
  <c r="AQ1184" i="1"/>
  <c r="AR2093" i="1"/>
  <c r="AT2093" i="1" s="1"/>
  <c r="AR2443" i="1"/>
  <c r="AT2443" i="1" s="1"/>
  <c r="AR2444" i="1"/>
  <c r="AT2444" i="1" s="1"/>
  <c r="AR1083" i="1"/>
  <c r="AT1083" i="1" s="1"/>
  <c r="AR435" i="1"/>
  <c r="AT435" i="1" s="1"/>
  <c r="AP1508" i="1"/>
  <c r="AQ1508" i="1"/>
  <c r="AS1508" i="1" s="1"/>
  <c r="AU1508" i="1" s="1"/>
  <c r="AR1166" i="1"/>
  <c r="AT1166" i="1" s="1"/>
  <c r="AS2197" i="1"/>
  <c r="AU2197" i="1" s="1"/>
  <c r="AR683" i="1"/>
  <c r="AT683" i="1" s="1"/>
  <c r="AQ1379" i="1"/>
  <c r="AP1379" i="1"/>
  <c r="AR1379" i="1" s="1"/>
  <c r="AT1379" i="1" s="1"/>
  <c r="AR2159" i="1"/>
  <c r="AT2159" i="1" s="1"/>
  <c r="AR1906" i="1"/>
  <c r="AT1906" i="1" s="1"/>
  <c r="AQ1163" i="1"/>
  <c r="AS1163" i="1" s="1"/>
  <c r="AU1163" i="1" s="1"/>
  <c r="AP1163" i="1"/>
  <c r="AR1163" i="1" s="1"/>
  <c r="AT1163" i="1" s="1"/>
  <c r="AP1186" i="1"/>
  <c r="AR1186" i="1" s="1"/>
  <c r="AT1186" i="1" s="1"/>
  <c r="AQ1186" i="1"/>
  <c r="AS1186" i="1" s="1"/>
  <c r="AU1186" i="1" s="1"/>
  <c r="AR2121" i="1"/>
  <c r="AT2121" i="1" s="1"/>
  <c r="AQ1211" i="1"/>
  <c r="AP1211" i="1"/>
  <c r="AR1895" i="1"/>
  <c r="AT1895" i="1" s="1"/>
  <c r="AR1931" i="1"/>
  <c r="AT1931" i="1" s="1"/>
  <c r="AS1009" i="1"/>
  <c r="AU1009" i="1" s="1"/>
  <c r="AR541" i="1"/>
  <c r="AT541" i="1" s="1"/>
  <c r="AS2136" i="1"/>
  <c r="AU2136" i="1" s="1"/>
  <c r="AS453" i="1"/>
  <c r="AU453" i="1" s="1"/>
  <c r="AS1181" i="1"/>
  <c r="AU1181" i="1" s="1"/>
  <c r="AR1287" i="1"/>
  <c r="AT1287" i="1" s="1"/>
  <c r="AR1660" i="1"/>
  <c r="AT1660" i="1" s="1"/>
  <c r="AR1046" i="1"/>
  <c r="AT1046" i="1" s="1"/>
  <c r="AQ1369" i="1"/>
  <c r="AP1369" i="1"/>
  <c r="AS154" i="1"/>
  <c r="AU154" i="1" s="1"/>
  <c r="AS1393" i="1"/>
  <c r="AU1393" i="1" s="1"/>
  <c r="AP757" i="1"/>
  <c r="AR757" i="1" s="1"/>
  <c r="AT757" i="1" s="1"/>
  <c r="AQ757" i="1"/>
  <c r="AS757" i="1" s="1"/>
  <c r="AU757" i="1" s="1"/>
  <c r="AR1979" i="1"/>
  <c r="AT1979" i="1" s="1"/>
  <c r="AS1536" i="1"/>
  <c r="AU1536" i="1" s="1"/>
  <c r="AS2256" i="1"/>
  <c r="AU2256" i="1" s="1"/>
  <c r="AS2242" i="1"/>
  <c r="AU2242" i="1" s="1"/>
  <c r="AS2243" i="1"/>
  <c r="AU2243" i="1" s="1"/>
  <c r="AS2308" i="1"/>
  <c r="AU2308" i="1" s="1"/>
  <c r="AS2344" i="1"/>
  <c r="AU2344" i="1" s="1"/>
  <c r="AS2461" i="1"/>
  <c r="AU2461" i="1" s="1"/>
  <c r="AR2459" i="1"/>
  <c r="AT2459" i="1" s="1"/>
  <c r="AQ1374" i="1"/>
  <c r="AS1374" i="1" s="1"/>
  <c r="AU1374" i="1" s="1"/>
  <c r="AP1374" i="1"/>
  <c r="AR1374" i="1" s="1"/>
  <c r="AT1374" i="1" s="1"/>
  <c r="AR2164" i="1"/>
  <c r="AT2164" i="1" s="1"/>
  <c r="AR1893" i="1"/>
  <c r="AT1893" i="1" s="1"/>
  <c r="AQ916" i="1"/>
  <c r="AS916" i="1" s="1"/>
  <c r="AU916" i="1" s="1"/>
  <c r="AP916" i="1"/>
  <c r="AR916" i="1" s="1"/>
  <c r="AT916" i="1" s="1"/>
  <c r="AQ1302" i="1"/>
  <c r="AS1302" i="1" s="1"/>
  <c r="AU1302" i="1" s="1"/>
  <c r="AP1302" i="1"/>
  <c r="AR1302" i="1" s="1"/>
  <c r="AT1302" i="1" s="1"/>
  <c r="AQ1436" i="1"/>
  <c r="AP1436" i="1"/>
  <c r="AS2347" i="1"/>
  <c r="AU2347" i="1" s="1"/>
  <c r="AS2348" i="1"/>
  <c r="AU2348" i="1" s="1"/>
  <c r="AP608" i="1"/>
  <c r="AR608" i="1" s="1"/>
  <c r="AT608" i="1" s="1"/>
  <c r="AQ608" i="1"/>
  <c r="AS608" i="1" s="1"/>
  <c r="AU608" i="1" s="1"/>
  <c r="AP354" i="1"/>
  <c r="AR354" i="1" s="1"/>
  <c r="AT354" i="1" s="1"/>
  <c r="AQ354" i="1"/>
  <c r="AS354" i="1" s="1"/>
  <c r="AU354" i="1" s="1"/>
  <c r="AQ1421" i="1"/>
  <c r="AS1421" i="1" s="1"/>
  <c r="AU1421" i="1" s="1"/>
  <c r="AP1421" i="1"/>
  <c r="AR1421" i="1" s="1"/>
  <c r="AT1421" i="1" s="1"/>
  <c r="AQ1307" i="1"/>
  <c r="AS1307" i="1" s="1"/>
  <c r="AU1307" i="1" s="1"/>
  <c r="AP1307" i="1"/>
  <c r="AR1307" i="1" s="1"/>
  <c r="AT1307" i="1" s="1"/>
  <c r="AQ1267" i="1"/>
  <c r="AP1267" i="1"/>
  <c r="AQ311" i="1"/>
  <c r="AS311" i="1" s="1"/>
  <c r="AU311" i="1" s="1"/>
  <c r="AP311" i="1"/>
  <c r="AR311" i="1" s="1"/>
  <c r="AT311" i="1" s="1"/>
  <c r="AP391" i="1"/>
  <c r="AQ391" i="1"/>
  <c r="AP1159" i="1"/>
  <c r="AR1159" i="1" s="1"/>
  <c r="AT1159" i="1" s="1"/>
  <c r="AQ1159" i="1"/>
  <c r="AS1159" i="1" s="1"/>
  <c r="AU1159" i="1" s="1"/>
  <c r="AP886" i="1"/>
  <c r="AQ886" i="1"/>
  <c r="AP1435" i="1"/>
  <c r="AQ1435" i="1"/>
  <c r="AR1623" i="1"/>
  <c r="AT1623" i="1" s="1"/>
  <c r="AR1624" i="1"/>
  <c r="AT1624" i="1" s="1"/>
  <c r="AQ1445" i="1"/>
  <c r="AS1445" i="1" s="1"/>
  <c r="AU1445" i="1" s="1"/>
  <c r="AP1445" i="1"/>
  <c r="AR1445" i="1" s="1"/>
  <c r="AT1445" i="1" s="1"/>
  <c r="AP9" i="1"/>
  <c r="AR9" i="1" s="1"/>
  <c r="AT9" i="1" s="1"/>
  <c r="AQ9" i="1"/>
  <c r="AS9" i="1" s="1"/>
  <c r="AU9" i="1" s="1"/>
  <c r="AR1543" i="1"/>
  <c r="AT1543" i="1" s="1"/>
  <c r="AR1544" i="1"/>
  <c r="AT1544" i="1" s="1"/>
  <c r="AR2123" i="1"/>
  <c r="AT2123" i="1" s="1"/>
  <c r="AS1469" i="1"/>
  <c r="AU1469" i="1" s="1"/>
  <c r="AS1470" i="1"/>
  <c r="AU1470" i="1" s="1"/>
  <c r="AQ752" i="1"/>
  <c r="AS752" i="1" s="1"/>
  <c r="AU752" i="1" s="1"/>
  <c r="AP752" i="1"/>
  <c r="AR752" i="1" s="1"/>
  <c r="AT752" i="1" s="1"/>
  <c r="AP469" i="1"/>
  <c r="AR469" i="1" s="1"/>
  <c r="AT469" i="1" s="1"/>
  <c r="AQ469" i="1"/>
  <c r="AS469" i="1" s="1"/>
  <c r="AU469" i="1" s="1"/>
  <c r="AP545" i="1"/>
  <c r="AR545" i="1" s="1"/>
  <c r="AT545" i="1" s="1"/>
  <c r="AQ545" i="1"/>
  <c r="AQ499" i="1"/>
  <c r="AS500" i="1" s="1"/>
  <c r="AU500" i="1" s="1"/>
  <c r="AP499" i="1"/>
  <c r="AP990" i="1"/>
  <c r="AQ990" i="1"/>
  <c r="AS991" i="1" s="1"/>
  <c r="AU991" i="1" s="1"/>
  <c r="AR1358" i="1"/>
  <c r="AT1358" i="1" s="1"/>
  <c r="AP205" i="1"/>
  <c r="AR205" i="1" s="1"/>
  <c r="AT205" i="1" s="1"/>
  <c r="AQ205" i="1"/>
  <c r="AS205" i="1" s="1"/>
  <c r="AU205" i="1" s="1"/>
  <c r="AQ210" i="1"/>
  <c r="AS210" i="1" s="1"/>
  <c r="AU210" i="1" s="1"/>
  <c r="AP210" i="1"/>
  <c r="AR210" i="1" s="1"/>
  <c r="AT210" i="1" s="1"/>
  <c r="AQ1396" i="1"/>
  <c r="AS1396" i="1" s="1"/>
  <c r="AU1396" i="1" s="1"/>
  <c r="AP1396" i="1"/>
  <c r="AR1396" i="1" s="1"/>
  <c r="AT1396" i="1" s="1"/>
  <c r="AS1627" i="1"/>
  <c r="AU1627" i="1" s="1"/>
  <c r="AS1628" i="1"/>
  <c r="AU1628" i="1" s="1"/>
  <c r="AR1922" i="1"/>
  <c r="AT1922" i="1" s="1"/>
  <c r="AS1426" i="1"/>
  <c r="AU1426" i="1" s="1"/>
  <c r="AQ275" i="1"/>
  <c r="AS275" i="1" s="1"/>
  <c r="AU275" i="1" s="1"/>
  <c r="AP275" i="1"/>
  <c r="AR275" i="1" s="1"/>
  <c r="AT275" i="1" s="1"/>
  <c r="AP389" i="1"/>
  <c r="AR389" i="1" s="1"/>
  <c r="AT389" i="1" s="1"/>
  <c r="AQ389" i="1"/>
  <c r="AS389" i="1" s="1"/>
  <c r="AU389" i="1" s="1"/>
  <c r="AQ804" i="1"/>
  <c r="AS804" i="1" s="1"/>
  <c r="AU804" i="1" s="1"/>
  <c r="AP804" i="1"/>
  <c r="AR804" i="1" s="1"/>
  <c r="AT804" i="1" s="1"/>
  <c r="AS2123" i="1"/>
  <c r="AU2123" i="1" s="1"/>
  <c r="AS698" i="1"/>
  <c r="AU698" i="1" s="1"/>
  <c r="AQ221" i="1"/>
  <c r="AS221" i="1" s="1"/>
  <c r="AU221" i="1" s="1"/>
  <c r="AP221" i="1"/>
  <c r="AR221" i="1" s="1"/>
  <c r="AT221" i="1" s="1"/>
  <c r="AQ289" i="1"/>
  <c r="AS289" i="1" s="1"/>
  <c r="AU289" i="1" s="1"/>
  <c r="AP289" i="1"/>
  <c r="AR289" i="1" s="1"/>
  <c r="AT289" i="1" s="1"/>
  <c r="AP1274" i="1"/>
  <c r="AR1274" i="1" s="1"/>
  <c r="AT1274" i="1" s="1"/>
  <c r="AQ1274" i="1"/>
  <c r="AS2051" i="1"/>
  <c r="AU2051" i="1" s="1"/>
  <c r="AS2052" i="1"/>
  <c r="AU2052" i="1" s="1"/>
  <c r="AS2062" i="1"/>
  <c r="AU2062" i="1" s="1"/>
  <c r="AS2063" i="1"/>
  <c r="AU2063" i="1" s="1"/>
  <c r="AQ243" i="1"/>
  <c r="AP243" i="1"/>
  <c r="AS393" i="1"/>
  <c r="AU393" i="1" s="1"/>
  <c r="AQ837" i="1"/>
  <c r="AP837" i="1"/>
  <c r="AR837" i="1" s="1"/>
  <c r="AT837" i="1" s="1"/>
  <c r="AQ1042" i="1"/>
  <c r="AS1042" i="1" s="1"/>
  <c r="AU1042" i="1" s="1"/>
  <c r="AP1042" i="1"/>
  <c r="AR1042" i="1" s="1"/>
  <c r="AT1042" i="1" s="1"/>
  <c r="AQ465" i="1"/>
  <c r="AP465" i="1"/>
  <c r="AR458" i="1"/>
  <c r="AT458" i="1" s="1"/>
  <c r="AQ174" i="1"/>
  <c r="AS174" i="1" s="1"/>
  <c r="AU174" i="1" s="1"/>
  <c r="AP174" i="1"/>
  <c r="AR174" i="1" s="1"/>
  <c r="AT174" i="1" s="1"/>
  <c r="AQ1155" i="1"/>
  <c r="AS1155" i="1" s="1"/>
  <c r="AU1155" i="1" s="1"/>
  <c r="AP1155" i="1"/>
  <c r="AR1155" i="1" s="1"/>
  <c r="AT1155" i="1" s="1"/>
  <c r="AQ599" i="1"/>
  <c r="AS599" i="1" s="1"/>
  <c r="AU599" i="1" s="1"/>
  <c r="AP599" i="1"/>
  <c r="AQ1156" i="1"/>
  <c r="AP1156" i="1"/>
  <c r="AQ141" i="1"/>
  <c r="AP141" i="1"/>
  <c r="AR141" i="1" s="1"/>
  <c r="AT141" i="1" s="1"/>
  <c r="AP553" i="1"/>
  <c r="AR553" i="1" s="1"/>
  <c r="AT553" i="1" s="1"/>
  <c r="AQ553" i="1"/>
  <c r="AS553" i="1" s="1"/>
  <c r="AU553" i="1" s="1"/>
  <c r="AP1130" i="1"/>
  <c r="AR1130" i="1" s="1"/>
  <c r="AT1130" i="1" s="1"/>
  <c r="AQ1130" i="1"/>
  <c r="AS1130" i="1" s="1"/>
  <c r="AU1130" i="1" s="1"/>
  <c r="AP894" i="1"/>
  <c r="AR894" i="1" s="1"/>
  <c r="AT894" i="1" s="1"/>
  <c r="AQ894" i="1"/>
  <c r="AS894" i="1" s="1"/>
  <c r="AU894" i="1" s="1"/>
  <c r="AS2106" i="1"/>
  <c r="AU2106" i="1" s="1"/>
  <c r="AR1309" i="1"/>
  <c r="AT1309" i="1" s="1"/>
  <c r="AS2329" i="1"/>
  <c r="AU2329" i="1" s="1"/>
  <c r="AS2330" i="1"/>
  <c r="AU2330" i="1" s="1"/>
  <c r="AS817" i="1"/>
  <c r="AU817" i="1" s="1"/>
  <c r="AS536" i="1"/>
  <c r="AU536" i="1" s="1"/>
  <c r="AP1106" i="1"/>
  <c r="AR1106" i="1" s="1"/>
  <c r="AT1106" i="1" s="1"/>
  <c r="AQ1106" i="1"/>
  <c r="AS1106" i="1" s="1"/>
  <c r="AU1106" i="1" s="1"/>
  <c r="AP1347" i="1"/>
  <c r="AR1347" i="1" s="1"/>
  <c r="AT1347" i="1" s="1"/>
  <c r="AQ1347" i="1"/>
  <c r="AS1347" i="1" s="1"/>
  <c r="AU1347" i="1" s="1"/>
  <c r="AS1571" i="1"/>
  <c r="AU1571" i="1" s="1"/>
  <c r="AR2107" i="1"/>
  <c r="AT2107" i="1" s="1"/>
  <c r="AR1482" i="1"/>
  <c r="AT1482" i="1" s="1"/>
  <c r="AP362" i="1"/>
  <c r="AR362" i="1" s="1"/>
  <c r="AT362" i="1" s="1"/>
  <c r="AQ362" i="1"/>
  <c r="AS362" i="1" s="1"/>
  <c r="AU362" i="1" s="1"/>
  <c r="AR1024" i="1"/>
  <c r="AT1024" i="1" s="1"/>
  <c r="AR1882" i="1"/>
  <c r="AT1882" i="1" s="1"/>
  <c r="AP699" i="1"/>
  <c r="AR699" i="1" s="1"/>
  <c r="AT699" i="1" s="1"/>
  <c r="AQ699" i="1"/>
  <c r="AS699" i="1" s="1"/>
  <c r="AU699" i="1" s="1"/>
  <c r="AP1044" i="1"/>
  <c r="AR1044" i="1" s="1"/>
  <c r="AT1044" i="1" s="1"/>
  <c r="AQ1044" i="1"/>
  <c r="AS1044" i="1" s="1"/>
  <c r="AU1044" i="1" s="1"/>
  <c r="AS2192" i="1"/>
  <c r="AU2192" i="1" s="1"/>
  <c r="AS2193" i="1"/>
  <c r="AU2193" i="1" s="1"/>
  <c r="AP437" i="1"/>
  <c r="AR437" i="1" s="1"/>
  <c r="AT437" i="1" s="1"/>
  <c r="AQ437" i="1"/>
  <c r="AS437" i="1" s="1"/>
  <c r="AU437" i="1" s="1"/>
  <c r="AQ639" i="1"/>
  <c r="AP639" i="1"/>
  <c r="AP93" i="1"/>
  <c r="AQ93" i="1"/>
  <c r="AR738" i="1"/>
  <c r="AT738" i="1" s="1"/>
  <c r="AR714" i="1"/>
  <c r="AT714" i="1" s="1"/>
  <c r="AS94" i="1"/>
  <c r="AU94" i="1" s="1"/>
  <c r="AP479" i="1"/>
  <c r="AR479" i="1" s="1"/>
  <c r="AT479" i="1" s="1"/>
  <c r="AQ479" i="1"/>
  <c r="AS479" i="1" s="1"/>
  <c r="AU479" i="1" s="1"/>
  <c r="AR925" i="1"/>
  <c r="AT925" i="1" s="1"/>
  <c r="AR1332" i="1"/>
  <c r="AT1332" i="1" s="1"/>
  <c r="AP217" i="1"/>
  <c r="AQ217" i="1"/>
  <c r="AP962" i="1"/>
  <c r="AR962" i="1" s="1"/>
  <c r="AT962" i="1" s="1"/>
  <c r="AQ962" i="1"/>
  <c r="AS962" i="1" s="1"/>
  <c r="AU962" i="1" s="1"/>
  <c r="AQ359" i="1"/>
  <c r="AS359" i="1" s="1"/>
  <c r="AU359" i="1" s="1"/>
  <c r="AP359" i="1"/>
  <c r="AR359" i="1" s="1"/>
  <c r="AT359" i="1" s="1"/>
  <c r="AQ1282" i="1"/>
  <c r="AS1282" i="1" s="1"/>
  <c r="AU1282" i="1" s="1"/>
  <c r="AP1282" i="1"/>
  <c r="AQ1407" i="1"/>
  <c r="AP1407" i="1"/>
  <c r="AR529" i="1"/>
  <c r="AT529" i="1" s="1"/>
  <c r="AR2053" i="1"/>
  <c r="AT2053" i="1" s="1"/>
  <c r="AR2054" i="1"/>
  <c r="AT2054" i="1" s="1"/>
  <c r="AS2004" i="1"/>
  <c r="AU2004" i="1" s="1"/>
  <c r="AP38" i="1"/>
  <c r="AR38" i="1" s="1"/>
  <c r="AT38" i="1" s="1"/>
  <c r="AQ38" i="1"/>
  <c r="AS38" i="1" s="1"/>
  <c r="AU38" i="1" s="1"/>
  <c r="AQ907" i="1"/>
  <c r="AS907" i="1" s="1"/>
  <c r="AU907" i="1" s="1"/>
  <c r="AP907" i="1"/>
  <c r="AR907" i="1" s="1"/>
  <c r="AT907" i="1" s="1"/>
  <c r="AP1298" i="1"/>
  <c r="AQ1298" i="1"/>
  <c r="AR1571" i="1"/>
  <c r="AT1571" i="1" s="1"/>
  <c r="AP1343" i="1"/>
  <c r="AR1343" i="1" s="1"/>
  <c r="AT1343" i="1" s="1"/>
  <c r="AQ1343" i="1"/>
  <c r="AS1343" i="1" s="1"/>
  <c r="AU1343" i="1" s="1"/>
  <c r="AR2334" i="1"/>
  <c r="AT2334" i="1" s="1"/>
  <c r="AP42" i="1"/>
  <c r="AR42" i="1" s="1"/>
  <c r="AT42" i="1" s="1"/>
  <c r="AQ42" i="1"/>
  <c r="AS42" i="1" s="1"/>
  <c r="AU42" i="1" s="1"/>
  <c r="AP470" i="1"/>
  <c r="AQ470" i="1"/>
  <c r="AQ664" i="1"/>
  <c r="AS664" i="1" s="1"/>
  <c r="AU664" i="1" s="1"/>
  <c r="AP664" i="1"/>
  <c r="AR664" i="1" s="1"/>
  <c r="AT664" i="1" s="1"/>
  <c r="AQ971" i="1"/>
  <c r="AS971" i="1" s="1"/>
  <c r="AU971" i="1" s="1"/>
  <c r="AP971" i="1"/>
  <c r="AR971" i="1" s="1"/>
  <c r="AT971" i="1" s="1"/>
  <c r="AP1209" i="1"/>
  <c r="AR1209" i="1" s="1"/>
  <c r="AT1209" i="1" s="1"/>
  <c r="AQ1209" i="1"/>
  <c r="AS1209" i="1" s="1"/>
  <c r="AU1209" i="1" s="1"/>
  <c r="AQ1415" i="1"/>
  <c r="AS1415" i="1" s="1"/>
  <c r="AU1415" i="1" s="1"/>
  <c r="AP1415" i="1"/>
  <c r="AR1415" i="1" s="1"/>
  <c r="AT1415" i="1" s="1"/>
  <c r="AR1875" i="1"/>
  <c r="AT1875" i="1" s="1"/>
  <c r="AR1876" i="1"/>
  <c r="AT1876" i="1" s="1"/>
  <c r="AP63" i="1"/>
  <c r="AQ63" i="1"/>
  <c r="AP404" i="1"/>
  <c r="AR404" i="1" s="1"/>
  <c r="AT404" i="1" s="1"/>
  <c r="AQ404" i="1"/>
  <c r="AS404" i="1" s="1"/>
  <c r="AU404" i="1" s="1"/>
  <c r="AP904" i="1"/>
  <c r="AR904" i="1" s="1"/>
  <c r="AT904" i="1" s="1"/>
  <c r="AQ904" i="1"/>
  <c r="AS904" i="1" s="1"/>
  <c r="AU904" i="1" s="1"/>
  <c r="AS970" i="1"/>
  <c r="AU970" i="1" s="1"/>
  <c r="AS460" i="1"/>
  <c r="AU460" i="1" s="1"/>
  <c r="AS717" i="1"/>
  <c r="AU717" i="1" s="1"/>
  <c r="AQ976" i="1"/>
  <c r="AS976" i="1" s="1"/>
  <c r="AU976" i="1" s="1"/>
  <c r="AP976" i="1"/>
  <c r="AR976" i="1" s="1"/>
  <c r="AT976" i="1" s="1"/>
  <c r="AQ116" i="1"/>
  <c r="AP116" i="1"/>
  <c r="AR116" i="1" s="1"/>
  <c r="AT116" i="1" s="1"/>
  <c r="AR236" i="1"/>
  <c r="AT236" i="1" s="1"/>
  <c r="AP1056" i="1"/>
  <c r="AR1056" i="1" s="1"/>
  <c r="AT1056" i="1" s="1"/>
  <c r="AQ1056" i="1"/>
  <c r="AS1056" i="1" s="1"/>
  <c r="AU1056" i="1" s="1"/>
  <c r="AR295" i="1"/>
  <c r="AT295" i="1" s="1"/>
  <c r="AQ1133" i="1"/>
  <c r="AP1133" i="1"/>
  <c r="AS350" i="1"/>
  <c r="AU350" i="1" s="1"/>
  <c r="AQ463" i="1"/>
  <c r="AS463" i="1" s="1"/>
  <c r="AU463" i="1" s="1"/>
  <c r="AP463" i="1"/>
  <c r="AR463" i="1" s="1"/>
  <c r="AT463" i="1" s="1"/>
  <c r="AR672" i="1"/>
  <c r="AT672" i="1" s="1"/>
  <c r="AQ948" i="1"/>
  <c r="AS948" i="1" s="1"/>
  <c r="AU948" i="1" s="1"/>
  <c r="AP948" i="1"/>
  <c r="AR948" i="1" s="1"/>
  <c r="AT948" i="1" s="1"/>
  <c r="AP1137" i="1"/>
  <c r="AQ1137" i="1"/>
  <c r="AS1137" i="1" s="1"/>
  <c r="AU1137" i="1" s="1"/>
  <c r="AQ218" i="1"/>
  <c r="AP218" i="1"/>
  <c r="AR218" i="1" s="1"/>
  <c r="AT218" i="1" s="1"/>
  <c r="AP761" i="1"/>
  <c r="AR761" i="1" s="1"/>
  <c r="AT761" i="1" s="1"/>
  <c r="AQ761" i="1"/>
  <c r="AS761" i="1" s="1"/>
  <c r="AU761" i="1" s="1"/>
  <c r="AQ1506" i="1"/>
  <c r="AS1506" i="1" s="1"/>
  <c r="AU1506" i="1" s="1"/>
  <c r="AP1506" i="1"/>
  <c r="AR1506" i="1" s="1"/>
  <c r="AT1506" i="1" s="1"/>
  <c r="AR1883" i="1"/>
  <c r="AT1883" i="1" s="1"/>
  <c r="AS2157" i="1"/>
  <c r="AU2157" i="1" s="1"/>
  <c r="AP1360" i="1"/>
  <c r="AQ1360" i="1"/>
  <c r="AQ493" i="1"/>
  <c r="AS493" i="1" s="1"/>
  <c r="AU493" i="1" s="1"/>
  <c r="AP493" i="1"/>
  <c r="AR493" i="1" s="1"/>
  <c r="AT493" i="1" s="1"/>
  <c r="AP1221" i="1"/>
  <c r="AR1221" i="1" s="1"/>
  <c r="AT1221" i="1" s="1"/>
  <c r="AQ1221" i="1"/>
  <c r="AS1221" i="1" s="1"/>
  <c r="AU1221" i="1" s="1"/>
  <c r="AR2069" i="1"/>
  <c r="AT2069" i="1" s="1"/>
  <c r="AR2147" i="1"/>
  <c r="AT2147" i="1" s="1"/>
  <c r="AR2148" i="1"/>
  <c r="AT2148" i="1" s="1"/>
  <c r="AP1029" i="1"/>
  <c r="AR1029" i="1" s="1"/>
  <c r="AT1029" i="1" s="1"/>
  <c r="AQ1029" i="1"/>
  <c r="AS1029" i="1" s="1"/>
  <c r="AU1029" i="1" s="1"/>
  <c r="AS1872" i="1"/>
  <c r="AU1872" i="1" s="1"/>
  <c r="AS1873" i="1"/>
  <c r="AU1873" i="1" s="1"/>
  <c r="AS2459" i="1"/>
  <c r="AU2459" i="1" s="1"/>
  <c r="AP633" i="1"/>
  <c r="AR633" i="1" s="1"/>
  <c r="AT633" i="1" s="1"/>
  <c r="AQ633" i="1"/>
  <c r="AS633" i="1" s="1"/>
  <c r="AU633" i="1" s="1"/>
  <c r="AP969" i="1"/>
  <c r="AR969" i="1" s="1"/>
  <c r="AT969" i="1" s="1"/>
  <c r="AQ969" i="1"/>
  <c r="AS969" i="1" s="1"/>
  <c r="AU969" i="1" s="1"/>
  <c r="AP1398" i="1"/>
  <c r="AR1398" i="1" s="1"/>
  <c r="AT1398" i="1" s="1"/>
  <c r="AQ1398" i="1"/>
  <c r="AS1398" i="1" s="1"/>
  <c r="AU1398" i="1" s="1"/>
  <c r="AP256" i="1"/>
  <c r="AR256" i="1" s="1"/>
  <c r="AT256" i="1" s="1"/>
  <c r="AQ256" i="1"/>
  <c r="AS256" i="1" s="1"/>
  <c r="AU256" i="1" s="1"/>
  <c r="AP496" i="1"/>
  <c r="AR496" i="1" s="1"/>
  <c r="AT496" i="1" s="1"/>
  <c r="AQ496" i="1"/>
  <c r="AS496" i="1" s="1"/>
  <c r="AU496" i="1" s="1"/>
  <c r="AQ1397" i="1"/>
  <c r="AS1397" i="1" s="1"/>
  <c r="AU1397" i="1" s="1"/>
  <c r="AP1397" i="1"/>
  <c r="AR1397" i="1" s="1"/>
  <c r="AT1397" i="1" s="1"/>
  <c r="AS2224" i="1"/>
  <c r="AU2224" i="1" s="1"/>
  <c r="AS1950" i="1"/>
  <c r="AU1950" i="1" s="1"/>
  <c r="AQ168" i="1"/>
  <c r="AS168" i="1" s="1"/>
  <c r="AU168" i="1" s="1"/>
  <c r="AP168" i="1"/>
  <c r="AR168" i="1" s="1"/>
  <c r="AT168" i="1" s="1"/>
  <c r="AP677" i="1"/>
  <c r="AQ677" i="1"/>
  <c r="AQ713" i="1"/>
  <c r="AS714" i="1" s="1"/>
  <c r="AU714" i="1" s="1"/>
  <c r="AP713" i="1"/>
  <c r="AP1354" i="1"/>
  <c r="AQ1354" i="1"/>
  <c r="AR86" i="1"/>
  <c r="AT86" i="1" s="1"/>
  <c r="AR196" i="1"/>
  <c r="AT196" i="1" s="1"/>
  <c r="AR891" i="1"/>
  <c r="AT891" i="1" s="1"/>
  <c r="AQ810" i="1"/>
  <c r="AP810" i="1"/>
  <c r="AQ1057" i="1"/>
  <c r="AP1057" i="1"/>
  <c r="AS939" i="1"/>
  <c r="AU939" i="1" s="1"/>
  <c r="AS220" i="1"/>
  <c r="AU220" i="1" s="1"/>
  <c r="AR650" i="1"/>
  <c r="AT650" i="1" s="1"/>
  <c r="AS375" i="1"/>
  <c r="AU375" i="1" s="1"/>
  <c r="AR302" i="1"/>
  <c r="AT302" i="1" s="1"/>
  <c r="AQ482" i="1"/>
  <c r="AP482" i="1"/>
  <c r="AQ293" i="1"/>
  <c r="AS293" i="1" s="1"/>
  <c r="AU293" i="1" s="1"/>
  <c r="AP293" i="1"/>
  <c r="AR293" i="1" s="1"/>
  <c r="AT293" i="1" s="1"/>
  <c r="AS239" i="1"/>
  <c r="AU239" i="1" s="1"/>
  <c r="AQ657" i="1"/>
  <c r="AP657" i="1"/>
  <c r="AP1204" i="1"/>
  <c r="AR1204" i="1" s="1"/>
  <c r="AT1204" i="1" s="1"/>
  <c r="AQ1204" i="1"/>
  <c r="AS1533" i="1"/>
  <c r="AU1533" i="1" s="1"/>
  <c r="AR2029" i="1"/>
  <c r="AT2029" i="1" s="1"/>
  <c r="AP1031" i="1"/>
  <c r="AQ1031" i="1"/>
  <c r="AS1031" i="1" s="1"/>
  <c r="AU1031" i="1" s="1"/>
  <c r="AR1872" i="1"/>
  <c r="AT1872" i="1" s="1"/>
  <c r="AR1873" i="1"/>
  <c r="AT1873" i="1" s="1"/>
  <c r="AS1517" i="1"/>
  <c r="AU1517" i="1" s="1"/>
  <c r="AR906" i="1"/>
  <c r="AT906" i="1" s="1"/>
  <c r="AS2138" i="1"/>
  <c r="AU2138" i="1" s="1"/>
  <c r="AS395" i="1"/>
  <c r="AU395" i="1" s="1"/>
  <c r="AQ464" i="1"/>
  <c r="AP464" i="1"/>
  <c r="AQ488" i="1"/>
  <c r="AP488" i="1"/>
  <c r="AP920" i="1"/>
  <c r="AR920" i="1" s="1"/>
  <c r="AT920" i="1" s="1"/>
  <c r="AQ920" i="1"/>
  <c r="AS920" i="1" s="1"/>
  <c r="AU920" i="1" s="1"/>
  <c r="AQ1278" i="1"/>
  <c r="AS1278" i="1" s="1"/>
  <c r="AU1278" i="1" s="1"/>
  <c r="AP1278" i="1"/>
  <c r="AR1278" i="1" s="1"/>
  <c r="AT1278" i="1" s="1"/>
  <c r="AR1540" i="1"/>
  <c r="AT1540" i="1" s="1"/>
  <c r="AR2145" i="1"/>
  <c r="AT2145" i="1" s="1"/>
  <c r="AS2233" i="1"/>
  <c r="AU2233" i="1" s="1"/>
  <c r="AR2512" i="1"/>
  <c r="AT2512" i="1" s="1"/>
  <c r="AS2212" i="1"/>
  <c r="AU2212" i="1" s="1"/>
  <c r="AS2213" i="1"/>
  <c r="AU2213" i="1" s="1"/>
  <c r="AS1649" i="1"/>
  <c r="AU1649" i="1" s="1"/>
  <c r="AR1610" i="1"/>
  <c r="AT1610" i="1" s="1"/>
  <c r="AR2126" i="1"/>
  <c r="AT2126" i="1" s="1"/>
  <c r="AP1264" i="1"/>
  <c r="AR1264" i="1" s="1"/>
  <c r="AT1264" i="1" s="1"/>
  <c r="AQ1264" i="1"/>
  <c r="AS1264" i="1" s="1"/>
  <c r="AU1264" i="1" s="1"/>
  <c r="AR1605" i="1"/>
  <c r="AT1605" i="1" s="1"/>
  <c r="AR1527" i="1"/>
  <c r="AT1527" i="1" s="1"/>
  <c r="AR1994" i="1"/>
  <c r="AT1994" i="1" s="1"/>
  <c r="AR1928" i="1"/>
  <c r="AT1928" i="1" s="1"/>
  <c r="AS2317" i="1"/>
  <c r="AU2317" i="1" s="1"/>
  <c r="AP831" i="1"/>
  <c r="AR831" i="1" s="1"/>
  <c r="AT831" i="1" s="1"/>
  <c r="AQ831" i="1"/>
  <c r="AS831" i="1" s="1"/>
  <c r="AU831" i="1" s="1"/>
  <c r="AQ20" i="1"/>
  <c r="AS20" i="1" s="1"/>
  <c r="AU20" i="1" s="1"/>
  <c r="AP20" i="1"/>
  <c r="AP62" i="1"/>
  <c r="AR62" i="1" s="1"/>
  <c r="AT62" i="1" s="1"/>
  <c r="AQ62" i="1"/>
  <c r="AS62" i="1" s="1"/>
  <c r="AU62" i="1" s="1"/>
  <c r="AQ209" i="1"/>
  <c r="AS209" i="1" s="1"/>
  <c r="AU209" i="1" s="1"/>
  <c r="AP209" i="1"/>
  <c r="AR209" i="1" s="1"/>
  <c r="AT209" i="1" s="1"/>
  <c r="AQ610" i="1"/>
  <c r="AS610" i="1" s="1"/>
  <c r="AU610" i="1" s="1"/>
  <c r="AP610" i="1"/>
  <c r="AR610" i="1" s="1"/>
  <c r="AT610" i="1" s="1"/>
  <c r="AQ296" i="1"/>
  <c r="AS296" i="1" s="1"/>
  <c r="AU296" i="1" s="1"/>
  <c r="AP296" i="1"/>
  <c r="AR296" i="1" s="1"/>
  <c r="AT296" i="1" s="1"/>
  <c r="AP571" i="1"/>
  <c r="AR571" i="1" s="1"/>
  <c r="AT571" i="1" s="1"/>
  <c r="AQ571" i="1"/>
  <c r="AP674" i="1"/>
  <c r="AR674" i="1" s="1"/>
  <c r="AT674" i="1" s="1"/>
  <c r="AQ674" i="1"/>
  <c r="AS674" i="1" s="1"/>
  <c r="AU674" i="1" s="1"/>
  <c r="AQ647" i="1"/>
  <c r="AS647" i="1" s="1"/>
  <c r="AU647" i="1" s="1"/>
  <c r="AP647" i="1"/>
  <c r="AR647" i="1" s="1"/>
  <c r="AT647" i="1" s="1"/>
  <c r="AQ1053" i="1"/>
  <c r="AS1053" i="1" s="1"/>
  <c r="AU1053" i="1" s="1"/>
  <c r="AP1053" i="1"/>
  <c r="AR1053" i="1" s="1"/>
  <c r="AT1053" i="1" s="1"/>
  <c r="AR926" i="1"/>
  <c r="AT926" i="1" s="1"/>
  <c r="AQ1313" i="1"/>
  <c r="AS1313" i="1" s="1"/>
  <c r="AU1313" i="1" s="1"/>
  <c r="AP1313" i="1"/>
  <c r="AQ740" i="1"/>
  <c r="AS740" i="1" s="1"/>
  <c r="AU740" i="1" s="1"/>
  <c r="AP740" i="1"/>
  <c r="AR740" i="1" s="1"/>
  <c r="AT740" i="1" s="1"/>
  <c r="AP1259" i="1"/>
  <c r="AQ1259" i="1"/>
  <c r="AS1613" i="1"/>
  <c r="AU1613" i="1" s="1"/>
  <c r="AS1539" i="1"/>
  <c r="AU1539" i="1" s="1"/>
  <c r="AP1433" i="1"/>
  <c r="AR1433" i="1" s="1"/>
  <c r="AT1433" i="1" s="1"/>
  <c r="AQ1433" i="1"/>
  <c r="AS1433" i="1" s="1"/>
  <c r="AU1433" i="1" s="1"/>
  <c r="AS1925" i="1"/>
  <c r="AU1925" i="1" s="1"/>
  <c r="AS1926" i="1"/>
  <c r="AU1926" i="1" s="1"/>
  <c r="AR1395" i="1"/>
  <c r="AT1395" i="1" s="1"/>
  <c r="AR1464" i="1"/>
  <c r="AT1464" i="1" s="1"/>
  <c r="AS2328" i="1"/>
  <c r="AU2328" i="1" s="1"/>
  <c r="AS2237" i="1"/>
  <c r="AU2237" i="1" s="1"/>
  <c r="AS2238" i="1"/>
  <c r="AU2238" i="1" s="1"/>
  <c r="AR1085" i="1"/>
  <c r="AT1085" i="1" s="1"/>
  <c r="AS1897" i="1"/>
  <c r="AU1897" i="1" s="1"/>
  <c r="AS2116" i="1"/>
  <c r="AU2116" i="1" s="1"/>
  <c r="AS1935" i="1"/>
  <c r="AU1935" i="1" s="1"/>
  <c r="AS2310" i="1"/>
  <c r="AU2310" i="1" s="1"/>
  <c r="AQ1185" i="1"/>
  <c r="AP1185" i="1"/>
  <c r="AS8" i="1"/>
  <c r="AU8" i="1" s="1"/>
  <c r="AP520" i="1"/>
  <c r="AR520" i="1" s="1"/>
  <c r="AT520" i="1" s="1"/>
  <c r="AQ520" i="1"/>
  <c r="AS520" i="1" s="1"/>
  <c r="AU520" i="1" s="1"/>
  <c r="AS486" i="1"/>
  <c r="AU486" i="1" s="1"/>
  <c r="AS222" i="1"/>
  <c r="AU222" i="1" s="1"/>
  <c r="AP572" i="1"/>
  <c r="AQ572" i="1"/>
  <c r="AS572" i="1" s="1"/>
  <c r="AU572" i="1" s="1"/>
  <c r="AQ903" i="1"/>
  <c r="AP903" i="1"/>
  <c r="AP833" i="1"/>
  <c r="AR833" i="1" s="1"/>
  <c r="AT833" i="1" s="1"/>
  <c r="AQ833" i="1"/>
  <c r="AS833" i="1" s="1"/>
  <c r="AU833" i="1" s="1"/>
  <c r="AP911" i="1"/>
  <c r="AR911" i="1" s="1"/>
  <c r="AT911" i="1" s="1"/>
  <c r="AQ911" i="1"/>
  <c r="AS911" i="1" s="1"/>
  <c r="AU911" i="1" s="1"/>
  <c r="AP1121" i="1"/>
  <c r="AR1121" i="1" s="1"/>
  <c r="AT1121" i="1" s="1"/>
  <c r="AQ1121" i="1"/>
  <c r="AS1121" i="1" s="1"/>
  <c r="AU1121" i="1" s="1"/>
  <c r="AR689" i="1"/>
  <c r="AT689" i="1" s="1"/>
  <c r="AR81" i="1"/>
  <c r="AT81" i="1" s="1"/>
  <c r="AR61" i="1"/>
  <c r="AT61" i="1" s="1"/>
  <c r="AS86" i="1"/>
  <c r="AU86" i="1" s="1"/>
  <c r="AQ228" i="1"/>
  <c r="AS228" i="1" s="1"/>
  <c r="AU228" i="1" s="1"/>
  <c r="AP228" i="1"/>
  <c r="AR228" i="1" s="1"/>
  <c r="AT228" i="1" s="1"/>
  <c r="AR452" i="1"/>
  <c r="AT452" i="1" s="1"/>
  <c r="AQ635" i="1"/>
  <c r="AS635" i="1" s="1"/>
  <c r="AU635" i="1" s="1"/>
  <c r="AP635" i="1"/>
  <c r="AR635" i="1" s="1"/>
  <c r="AT635" i="1" s="1"/>
  <c r="AR892" i="1"/>
  <c r="AT892" i="1" s="1"/>
  <c r="AP744" i="1"/>
  <c r="AQ744" i="1"/>
  <c r="AQ825" i="1"/>
  <c r="AP825" i="1"/>
  <c r="AR825" i="1" s="1"/>
  <c r="AT825" i="1" s="1"/>
  <c r="AS891" i="1"/>
  <c r="AU891" i="1" s="1"/>
  <c r="AR1250" i="1"/>
  <c r="AT1250" i="1" s="1"/>
  <c r="AQ136" i="1"/>
  <c r="AS136" i="1" s="1"/>
  <c r="AU136" i="1" s="1"/>
  <c r="AP136" i="1"/>
  <c r="AR136" i="1" s="1"/>
  <c r="AT136" i="1" s="1"/>
  <c r="AP161" i="1"/>
  <c r="AR161" i="1" s="1"/>
  <c r="AT161" i="1" s="1"/>
  <c r="AQ161" i="1"/>
  <c r="AS161" i="1" s="1"/>
  <c r="AU161" i="1" s="1"/>
  <c r="AP195" i="1"/>
  <c r="AR195" i="1" s="1"/>
  <c r="AT195" i="1" s="1"/>
  <c r="AQ195" i="1"/>
  <c r="AS195" i="1" s="1"/>
  <c r="AU195" i="1" s="1"/>
  <c r="AS160" i="1"/>
  <c r="AU160" i="1" s="1"/>
  <c r="AP102" i="1"/>
  <c r="AQ102" i="1"/>
  <c r="AP566" i="1"/>
  <c r="AR566" i="1" s="1"/>
  <c r="AT566" i="1" s="1"/>
  <c r="AQ566" i="1"/>
  <c r="AS566" i="1" s="1"/>
  <c r="AU566" i="1" s="1"/>
  <c r="AS558" i="1"/>
  <c r="AU558" i="1" s="1"/>
  <c r="AR310" i="1"/>
  <c r="AT310" i="1" s="1"/>
  <c r="AQ818" i="1"/>
  <c r="AS818" i="1" s="1"/>
  <c r="AU818" i="1" s="1"/>
  <c r="AP818" i="1"/>
  <c r="AR818" i="1" s="1"/>
  <c r="AT818" i="1" s="1"/>
  <c r="AR1117" i="1"/>
  <c r="AT1117" i="1" s="1"/>
  <c r="AP576" i="1"/>
  <c r="AR576" i="1" s="1"/>
  <c r="AT576" i="1" s="1"/>
  <c r="AQ576" i="1"/>
  <c r="AS576" i="1" s="1"/>
  <c r="AU576" i="1" s="1"/>
  <c r="AR852" i="1"/>
  <c r="AT852" i="1" s="1"/>
  <c r="AQ1146" i="1"/>
  <c r="AS1146" i="1" s="1"/>
  <c r="AU1146" i="1" s="1"/>
  <c r="AP1146" i="1"/>
  <c r="AR1146" i="1" s="1"/>
  <c r="AT1146" i="1" s="1"/>
  <c r="AR877" i="1"/>
  <c r="AT877" i="1" s="1"/>
  <c r="AP32" i="1"/>
  <c r="AR32" i="1" s="1"/>
  <c r="AT32" i="1" s="1"/>
  <c r="AQ32" i="1"/>
  <c r="AS32" i="1" s="1"/>
  <c r="AU32" i="1" s="1"/>
  <c r="AR220" i="1"/>
  <c r="AT220" i="1" s="1"/>
  <c r="AS260" i="1"/>
  <c r="AU260" i="1" s="1"/>
  <c r="AS494" i="1"/>
  <c r="AU494" i="1" s="1"/>
  <c r="AR432" i="1"/>
  <c r="AT432" i="1" s="1"/>
  <c r="AS340" i="1"/>
  <c r="AU340" i="1" s="1"/>
  <c r="AQ805" i="1"/>
  <c r="AS805" i="1" s="1"/>
  <c r="AU805" i="1" s="1"/>
  <c r="AP805" i="1"/>
  <c r="AR805" i="1" s="1"/>
  <c r="AT805" i="1" s="1"/>
  <c r="AQ1153" i="1"/>
  <c r="AS1153" i="1" s="1"/>
  <c r="AU1153" i="1" s="1"/>
  <c r="AP1153" i="1"/>
  <c r="AR1153" i="1" s="1"/>
  <c r="AT1153" i="1" s="1"/>
  <c r="AQ1240" i="1"/>
  <c r="AS1240" i="1" s="1"/>
  <c r="AU1240" i="1" s="1"/>
  <c r="AP1240" i="1"/>
  <c r="AR1240" i="1" s="1"/>
  <c r="AT1240" i="1" s="1"/>
  <c r="AR1021" i="1"/>
  <c r="AT1021" i="1" s="1"/>
  <c r="AP129" i="1"/>
  <c r="AQ129" i="1"/>
  <c r="AQ182" i="1"/>
  <c r="AP182" i="1"/>
  <c r="AR182" i="1" s="1"/>
  <c r="AT182" i="1" s="1"/>
  <c r="AQ360" i="1"/>
  <c r="AS361" i="1" s="1"/>
  <c r="AU361" i="1" s="1"/>
  <c r="AP360" i="1"/>
  <c r="AP700" i="1"/>
  <c r="AR700" i="1" s="1"/>
  <c r="AT700" i="1" s="1"/>
  <c r="AQ700" i="1"/>
  <c r="AS700" i="1" s="1"/>
  <c r="AU700" i="1" s="1"/>
  <c r="AS495" i="1"/>
  <c r="AU495" i="1" s="1"/>
  <c r="AQ405" i="1"/>
  <c r="AP405" i="1"/>
  <c r="AS680" i="1"/>
  <c r="AU680" i="1" s="1"/>
  <c r="AP986" i="1"/>
  <c r="AR986" i="1" s="1"/>
  <c r="AT986" i="1" s="1"/>
  <c r="AQ986" i="1"/>
  <c r="AS986" i="1" s="1"/>
  <c r="AU986" i="1" s="1"/>
  <c r="AS1093" i="1"/>
  <c r="AU1093" i="1" s="1"/>
  <c r="AS1068" i="1"/>
  <c r="AU1068" i="1" s="1"/>
  <c r="AS983" i="1"/>
  <c r="AU983" i="1" s="1"/>
  <c r="AS212" i="1"/>
  <c r="AU212" i="1" s="1"/>
  <c r="AS237" i="1"/>
  <c r="AU237" i="1" s="1"/>
  <c r="AS318" i="1"/>
  <c r="AU318" i="1" s="1"/>
  <c r="AR77" i="1"/>
  <c r="AT77" i="1" s="1"/>
  <c r="AS113" i="1"/>
  <c r="AU113" i="1" s="1"/>
  <c r="AR703" i="1"/>
  <c r="AT703" i="1" s="1"/>
  <c r="AR455" i="1"/>
  <c r="AT455" i="1" s="1"/>
  <c r="AR968" i="1"/>
  <c r="AT968" i="1" s="1"/>
  <c r="AS565" i="1"/>
  <c r="AU565" i="1" s="1"/>
  <c r="AS880" i="1"/>
  <c r="AU880" i="1" s="1"/>
  <c r="AQ189" i="1"/>
  <c r="AP189" i="1"/>
  <c r="AP1167" i="1"/>
  <c r="AR1167" i="1" s="1"/>
  <c r="AT1167" i="1" s="1"/>
  <c r="AQ1167" i="1"/>
  <c r="AS1167" i="1" s="1"/>
  <c r="AU1167" i="1" s="1"/>
  <c r="AS1206" i="1"/>
  <c r="AU1206" i="1" s="1"/>
  <c r="AP995" i="1"/>
  <c r="AR995" i="1" s="1"/>
  <c r="AT995" i="1" s="1"/>
  <c r="AQ995" i="1"/>
  <c r="AS995" i="1" s="1"/>
  <c r="AU995" i="1" s="1"/>
  <c r="AP49" i="1"/>
  <c r="AR49" i="1" s="1"/>
  <c r="AT49" i="1" s="1"/>
  <c r="AQ49" i="1"/>
  <c r="AS49" i="1" s="1"/>
  <c r="AU49" i="1" s="1"/>
  <c r="AP78" i="1"/>
  <c r="AR78" i="1" s="1"/>
  <c r="AT78" i="1" s="1"/>
  <c r="AQ78" i="1"/>
  <c r="AS78" i="1" s="1"/>
  <c r="AU78" i="1" s="1"/>
  <c r="AQ457" i="1"/>
  <c r="AS457" i="1" s="1"/>
  <c r="AU457" i="1" s="1"/>
  <c r="AP457" i="1"/>
  <c r="AR457" i="1" s="1"/>
  <c r="AT457" i="1" s="1"/>
  <c r="AQ303" i="1"/>
  <c r="AS303" i="1" s="1"/>
  <c r="AU303" i="1" s="1"/>
  <c r="AP303" i="1"/>
  <c r="AR303" i="1" s="1"/>
  <c r="AT303" i="1" s="1"/>
  <c r="AP879" i="1"/>
  <c r="AR879" i="1" s="1"/>
  <c r="AT879" i="1" s="1"/>
  <c r="AQ879" i="1"/>
  <c r="AS879" i="1" s="1"/>
  <c r="AU879" i="1" s="1"/>
  <c r="AQ450" i="1"/>
  <c r="AS450" i="1" s="1"/>
  <c r="AU450" i="1" s="1"/>
  <c r="AP450" i="1"/>
  <c r="AR450" i="1" s="1"/>
  <c r="AT450" i="1" s="1"/>
  <c r="AQ1090" i="1"/>
  <c r="AP1090" i="1"/>
  <c r="AQ1141" i="1"/>
  <c r="AS1141" i="1" s="1"/>
  <c r="AU1141" i="1" s="1"/>
  <c r="AP1141" i="1"/>
  <c r="AR1141" i="1" s="1"/>
  <c r="AT1141" i="1" s="1"/>
  <c r="AQ1205" i="1"/>
  <c r="AS1205" i="1" s="1"/>
  <c r="AU1205" i="1" s="1"/>
  <c r="AP1205" i="1"/>
  <c r="AP1418" i="1"/>
  <c r="AR1418" i="1" s="1"/>
  <c r="AT1418" i="1" s="1"/>
  <c r="AQ1418" i="1"/>
  <c r="AS1418" i="1" s="1"/>
  <c r="AU1418" i="1" s="1"/>
  <c r="AQ1236" i="1"/>
  <c r="AS1236" i="1" s="1"/>
  <c r="AU1236" i="1" s="1"/>
  <c r="AP1236" i="1"/>
  <c r="AR1236" i="1" s="1"/>
  <c r="AT1236" i="1" s="1"/>
  <c r="AS1568" i="1"/>
  <c r="AU1568" i="1" s="1"/>
  <c r="AR1528" i="1"/>
  <c r="AT1528" i="1" s="1"/>
  <c r="AS1890" i="1"/>
  <c r="AU1890" i="1" s="1"/>
  <c r="AR1964" i="1"/>
  <c r="AT1964" i="1" s="1"/>
  <c r="AR2269" i="1"/>
  <c r="AT2269" i="1" s="1"/>
  <c r="AR2170" i="1"/>
  <c r="AT2170" i="1" s="1"/>
  <c r="AS2303" i="1"/>
  <c r="AU2303" i="1" s="1"/>
  <c r="AR2467" i="1"/>
  <c r="AT2467" i="1" s="1"/>
  <c r="AR2494" i="1"/>
  <c r="AT2494" i="1" s="1"/>
  <c r="AR2486" i="1"/>
  <c r="AT2486" i="1" s="1"/>
  <c r="AR1880" i="1"/>
  <c r="AT1880" i="1" s="1"/>
  <c r="AR2203" i="1"/>
  <c r="AT2203" i="1" s="1"/>
  <c r="AR2204" i="1"/>
  <c r="AT2204" i="1" s="1"/>
  <c r="AQ1411" i="1"/>
  <c r="AS1411" i="1" s="1"/>
  <c r="AU1411" i="1" s="1"/>
  <c r="AP1411" i="1"/>
  <c r="AR1411" i="1" s="1"/>
  <c r="AT1411" i="1" s="1"/>
  <c r="AR1932" i="1"/>
  <c r="AT1932" i="1" s="1"/>
  <c r="AS2217" i="1"/>
  <c r="AU2217" i="1" s="1"/>
  <c r="AR2483" i="1"/>
  <c r="AT2483" i="1" s="1"/>
  <c r="AR1668" i="1"/>
  <c r="AT1668" i="1" s="1"/>
  <c r="AR1581" i="1"/>
  <c r="AT1581" i="1" s="1"/>
  <c r="AR1607" i="1"/>
  <c r="AT1607" i="1" s="1"/>
  <c r="AR1608" i="1"/>
  <c r="AT1608" i="1" s="1"/>
  <c r="AS2300" i="1"/>
  <c r="AU2300" i="1" s="1"/>
  <c r="AS1219" i="1"/>
  <c r="AU1219" i="1" s="1"/>
  <c r="AS2261" i="1"/>
  <c r="AU2261" i="1" s="1"/>
  <c r="AS2443" i="1"/>
  <c r="AU2443" i="1" s="1"/>
  <c r="AS2444" i="1"/>
  <c r="AU2444" i="1" s="1"/>
  <c r="AS1083" i="1"/>
  <c r="AU1083" i="1" s="1"/>
  <c r="AS435" i="1"/>
  <c r="AU435" i="1" s="1"/>
  <c r="AR2017" i="1"/>
  <c r="AT2017" i="1" s="1"/>
  <c r="AS1984" i="1"/>
  <c r="AU1984" i="1" s="1"/>
  <c r="AR1440" i="1"/>
  <c r="AT1440" i="1" s="1"/>
  <c r="AS1166" i="1"/>
  <c r="AU1166" i="1" s="1"/>
  <c r="AR1513" i="1"/>
  <c r="AT1513" i="1" s="1"/>
  <c r="AR1514" i="1"/>
  <c r="AT1514" i="1" s="1"/>
  <c r="AS1916" i="1"/>
  <c r="AU1916" i="1" s="1"/>
  <c r="AR1450" i="1"/>
  <c r="AT1450" i="1" s="1"/>
  <c r="AQ1380" i="1"/>
  <c r="AS1380" i="1" s="1"/>
  <c r="AU1380" i="1" s="1"/>
  <c r="AP1380" i="1"/>
  <c r="AR1380" i="1" s="1"/>
  <c r="AT1380" i="1" s="1"/>
  <c r="AS2159" i="1"/>
  <c r="AU2159" i="1" s="1"/>
  <c r="AS1906" i="1"/>
  <c r="AU1906" i="1" s="1"/>
  <c r="AP1162" i="1"/>
  <c r="AR1162" i="1" s="1"/>
  <c r="AT1162" i="1" s="1"/>
  <c r="AQ1162" i="1"/>
  <c r="AS1162" i="1" s="1"/>
  <c r="AU1162" i="1" s="1"/>
  <c r="AP1189" i="1"/>
  <c r="AR1189" i="1" s="1"/>
  <c r="AT1189" i="1" s="1"/>
  <c r="AQ1189" i="1"/>
  <c r="AS1189" i="1" s="1"/>
  <c r="AU1189" i="1" s="1"/>
  <c r="AR2024" i="1"/>
  <c r="AT2024" i="1" s="1"/>
  <c r="AR1966" i="1"/>
  <c r="AT1966" i="1" s="1"/>
  <c r="AS326" i="1"/>
  <c r="AU326" i="1" s="1"/>
  <c r="AS1342" i="1"/>
  <c r="AU1342" i="1" s="1"/>
  <c r="AS1895" i="1"/>
  <c r="AU1895" i="1" s="1"/>
  <c r="AS1931" i="1"/>
  <c r="AU1931" i="1" s="1"/>
  <c r="AS2035" i="1"/>
  <c r="AU2035" i="1" s="1"/>
  <c r="AR1009" i="1"/>
  <c r="AT1009" i="1" s="1"/>
  <c r="AP1273" i="1"/>
  <c r="AR1273" i="1" s="1"/>
  <c r="AT1273" i="1" s="1"/>
  <c r="AQ1273" i="1"/>
  <c r="AR2136" i="1"/>
  <c r="AT2136" i="1" s="1"/>
  <c r="AR453" i="1"/>
  <c r="AT453" i="1" s="1"/>
  <c r="AR1181" i="1"/>
  <c r="AT1181" i="1" s="1"/>
  <c r="AS1038" i="1"/>
  <c r="AU1038" i="1" s="1"/>
  <c r="AS1385" i="1"/>
  <c r="AU1385" i="1" s="1"/>
  <c r="AS1660" i="1"/>
  <c r="AU1660" i="1" s="1"/>
  <c r="AS1046" i="1"/>
  <c r="AU1046" i="1" s="1"/>
  <c r="AQ1370" i="1"/>
  <c r="AS1370" i="1" s="1"/>
  <c r="AU1370" i="1" s="1"/>
  <c r="AP1370" i="1"/>
  <c r="AR1370" i="1" s="1"/>
  <c r="AT1370" i="1" s="1"/>
  <c r="AR154" i="1"/>
  <c r="AT154" i="1" s="1"/>
  <c r="AR1393" i="1"/>
  <c r="AT1393" i="1" s="1"/>
  <c r="AQ1197" i="1"/>
  <c r="AS1197" i="1" s="1"/>
  <c r="AU1197" i="1" s="1"/>
  <c r="AP1197" i="1"/>
  <c r="AR1197" i="1" s="1"/>
  <c r="AT1197" i="1" s="1"/>
  <c r="AS2101" i="1"/>
  <c r="AU2101" i="1" s="1"/>
  <c r="AR2011" i="1"/>
  <c r="AT2011" i="1" s="1"/>
  <c r="AS2505" i="1"/>
  <c r="AU2505" i="1" s="1"/>
  <c r="AS2060" i="1"/>
  <c r="AU2060" i="1" s="1"/>
  <c r="AS2173" i="1"/>
  <c r="AU2173" i="1" s="1"/>
  <c r="AR2471" i="1"/>
  <c r="AT2471" i="1" s="1"/>
  <c r="AS2275" i="1"/>
  <c r="AU2275" i="1" s="1"/>
  <c r="AS2164" i="1"/>
  <c r="AU2164" i="1" s="1"/>
  <c r="AS1893" i="1"/>
  <c r="AU1893" i="1" s="1"/>
  <c r="AP889" i="1"/>
  <c r="AQ889" i="1"/>
  <c r="AS2205" i="1"/>
  <c r="AU2205" i="1" s="1"/>
  <c r="AS2206" i="1"/>
  <c r="AU2206" i="1" s="1"/>
  <c r="AS1058" i="1"/>
  <c r="AU1058" i="1" s="1"/>
  <c r="AQ343" i="1"/>
  <c r="AS343" i="1" s="1"/>
  <c r="AU343" i="1" s="1"/>
  <c r="AP343" i="1"/>
  <c r="AR343" i="1" s="1"/>
  <c r="AT343" i="1" s="1"/>
  <c r="AP884" i="1"/>
  <c r="AR884" i="1" s="1"/>
  <c r="AT884" i="1" s="1"/>
  <c r="AQ884" i="1"/>
  <c r="AS884" i="1" s="1"/>
  <c r="AU884" i="1" s="1"/>
  <c r="AP97" i="1"/>
  <c r="AR97" i="1" s="1"/>
  <c r="AT97" i="1" s="1"/>
  <c r="AQ97" i="1"/>
  <c r="AS97" i="1" s="1"/>
  <c r="AU97" i="1" s="1"/>
  <c r="AP902" i="1"/>
  <c r="AR902" i="1" s="1"/>
  <c r="AT902" i="1" s="1"/>
  <c r="AQ902" i="1"/>
  <c r="AQ768" i="1"/>
  <c r="AS768" i="1" s="1"/>
  <c r="AU768" i="1" s="1"/>
  <c r="AP768" i="1"/>
  <c r="AR768" i="1" s="1"/>
  <c r="AT768" i="1" s="1"/>
  <c r="AR2501" i="1"/>
  <c r="AT2501" i="1" s="1"/>
  <c r="AR2502" i="1"/>
  <c r="AT2502" i="1" s="1"/>
  <c r="AQ21" i="1"/>
  <c r="AP21" i="1"/>
  <c r="AR21" i="1" s="1"/>
  <c r="AT21" i="1" s="1"/>
  <c r="AS1997" i="1"/>
  <c r="AU1997" i="1" s="1"/>
  <c r="AP53" i="1"/>
  <c r="AR53" i="1" s="1"/>
  <c r="AT53" i="1" s="1"/>
  <c r="AQ53" i="1"/>
  <c r="AS53" i="1" s="1"/>
  <c r="AU53" i="1" s="1"/>
  <c r="AP581" i="1"/>
  <c r="AR581" i="1" s="1"/>
  <c r="AT581" i="1" s="1"/>
  <c r="AQ581" i="1"/>
  <c r="AS581" i="1" s="1"/>
  <c r="AU581" i="1" s="1"/>
  <c r="AQ865" i="1"/>
  <c r="AP865" i="1"/>
  <c r="AR865" i="1" s="1"/>
  <c r="AT865" i="1" s="1"/>
  <c r="AQ1235" i="1"/>
  <c r="AP1235" i="1"/>
  <c r="AR1235" i="1" s="1"/>
  <c r="AT1235" i="1" s="1"/>
  <c r="AP192" i="1"/>
  <c r="AR192" i="1" s="1"/>
  <c r="AT192" i="1" s="1"/>
  <c r="AQ192" i="1"/>
  <c r="AS192" i="1" s="1"/>
  <c r="AU192" i="1" s="1"/>
  <c r="AQ286" i="1"/>
  <c r="AS286" i="1" s="1"/>
  <c r="AU286" i="1" s="1"/>
  <c r="AP286" i="1"/>
  <c r="AR286" i="1" s="1"/>
  <c r="AT286" i="1" s="1"/>
  <c r="AP836" i="1"/>
  <c r="AR836" i="1" s="1"/>
  <c r="AT836" i="1" s="1"/>
  <c r="AQ836" i="1"/>
  <c r="AS836" i="1" s="1"/>
  <c r="AU836" i="1" s="1"/>
  <c r="AP1074" i="1"/>
  <c r="AR1074" i="1" s="1"/>
  <c r="AT1074" i="1" s="1"/>
  <c r="AQ1074" i="1"/>
  <c r="AS1074" i="1" s="1"/>
  <c r="AU1074" i="1" s="1"/>
  <c r="AR783" i="1"/>
  <c r="AT783" i="1" s="1"/>
  <c r="AP544" i="1"/>
  <c r="AR544" i="1" s="1"/>
  <c r="AT544" i="1" s="1"/>
  <c r="AQ544" i="1"/>
  <c r="AS544" i="1" s="1"/>
  <c r="AU544" i="1" s="1"/>
  <c r="AQ178" i="1"/>
  <c r="AP178" i="1"/>
  <c r="AR179" i="1" s="1"/>
  <c r="AT179" i="1" s="1"/>
  <c r="AP651" i="1"/>
  <c r="AR651" i="1" s="1"/>
  <c r="AT651" i="1" s="1"/>
  <c r="AQ651" i="1"/>
  <c r="AS651" i="1" s="1"/>
  <c r="AU651" i="1" s="1"/>
  <c r="AQ802" i="1"/>
  <c r="AS802" i="1" s="1"/>
  <c r="AU802" i="1" s="1"/>
  <c r="AP802" i="1"/>
  <c r="AR803" i="1" s="1"/>
  <c r="AT803" i="1" s="1"/>
  <c r="AQ1281" i="1"/>
  <c r="AS1281" i="1" s="1"/>
  <c r="AU1281" i="1" s="1"/>
  <c r="AP1281" i="1"/>
  <c r="AR1281" i="1" s="1"/>
  <c r="AT1281" i="1" s="1"/>
  <c r="AP1034" i="1"/>
  <c r="AQ1034" i="1"/>
  <c r="AQ548" i="1"/>
  <c r="AP548" i="1"/>
  <c r="AP945" i="1"/>
  <c r="AR945" i="1" s="1"/>
  <c r="AT945" i="1" s="1"/>
  <c r="AQ945" i="1"/>
  <c r="AS945" i="1" s="1"/>
  <c r="AU945" i="1" s="1"/>
  <c r="AQ1266" i="1"/>
  <c r="AS1266" i="1" s="1"/>
  <c r="AU1266" i="1" s="1"/>
  <c r="AP1266" i="1"/>
  <c r="AR1266" i="1" s="1"/>
  <c r="AT1266" i="1" s="1"/>
  <c r="AQ1125" i="1"/>
  <c r="AP1125" i="1"/>
  <c r="AP1496" i="1"/>
  <c r="AR1496" i="1" s="1"/>
  <c r="AT1496" i="1" s="1"/>
  <c r="AQ1496" i="1"/>
  <c r="AQ176" i="1"/>
  <c r="AS176" i="1" s="1"/>
  <c r="AU176" i="1" s="1"/>
  <c r="AP176" i="1"/>
  <c r="AR176" i="1" s="1"/>
  <c r="AT176" i="1" s="1"/>
  <c r="AQ921" i="1"/>
  <c r="AS921" i="1" s="1"/>
  <c r="AU921" i="1" s="1"/>
  <c r="AP921" i="1"/>
  <c r="AR921" i="1" s="1"/>
  <c r="AT921" i="1" s="1"/>
  <c r="AQ1479" i="1"/>
  <c r="AS1479" i="1" s="1"/>
  <c r="AU1479" i="1" s="1"/>
  <c r="AP1479" i="1"/>
  <c r="AP809" i="1"/>
  <c r="AQ809" i="1"/>
  <c r="AQ940" i="1"/>
  <c r="AS940" i="1" s="1"/>
  <c r="AU940" i="1" s="1"/>
  <c r="AP940" i="1"/>
  <c r="AR940" i="1" s="1"/>
  <c r="AT940" i="1" s="1"/>
  <c r="AR1291" i="1"/>
  <c r="AT1291" i="1" s="1"/>
  <c r="AQ443" i="1"/>
  <c r="AP443" i="1"/>
  <c r="AR443" i="1" s="1"/>
  <c r="AT443" i="1" s="1"/>
  <c r="AQ276" i="1"/>
  <c r="AS276" i="1" s="1"/>
  <c r="AU276" i="1" s="1"/>
  <c r="AP276" i="1"/>
  <c r="AP588" i="1"/>
  <c r="AQ588" i="1"/>
  <c r="AQ1391" i="1"/>
  <c r="AS1391" i="1" s="1"/>
  <c r="AU1391" i="1" s="1"/>
  <c r="AP1391" i="1"/>
  <c r="AR1391" i="1" s="1"/>
  <c r="AT1391" i="1" s="1"/>
  <c r="AR394" i="1"/>
  <c r="AT394" i="1" s="1"/>
  <c r="AR1466" i="1"/>
  <c r="AT1466" i="1" s="1"/>
  <c r="AR1467" i="1"/>
  <c r="AT1467" i="1" s="1"/>
  <c r="AS2021" i="1"/>
  <c r="AU2021" i="1" s="1"/>
  <c r="AS2022" i="1"/>
  <c r="AU2022" i="1" s="1"/>
  <c r="AR2019" i="1"/>
  <c r="AT2019" i="1" s="1"/>
  <c r="AQ270" i="1"/>
  <c r="AS270" i="1" s="1"/>
  <c r="AU270" i="1" s="1"/>
  <c r="AP270" i="1"/>
  <c r="AR270" i="1" s="1"/>
  <c r="AT270" i="1" s="1"/>
  <c r="AP397" i="1"/>
  <c r="AR397" i="1" s="1"/>
  <c r="AT397" i="1" s="1"/>
  <c r="AQ397" i="1"/>
  <c r="AS397" i="1" s="1"/>
  <c r="AU397" i="1" s="1"/>
  <c r="AQ857" i="1"/>
  <c r="AS857" i="1" s="1"/>
  <c r="AU857" i="1" s="1"/>
  <c r="AP857" i="1"/>
  <c r="AR857" i="1" s="1"/>
  <c r="AT857" i="1" s="1"/>
  <c r="AP1428" i="1"/>
  <c r="AR1428" i="1" s="1"/>
  <c r="AT1428" i="1" s="1"/>
  <c r="AQ1428" i="1"/>
  <c r="AS1428" i="1" s="1"/>
  <c r="AU1428" i="1" s="1"/>
  <c r="AQ1481" i="1"/>
  <c r="AS1481" i="1" s="1"/>
  <c r="AU1481" i="1" s="1"/>
  <c r="AP1481" i="1"/>
  <c r="AR1481" i="1" s="1"/>
  <c r="AT1481" i="1" s="1"/>
  <c r="AQ498" i="1"/>
  <c r="AP498" i="1"/>
  <c r="AR498" i="1" s="1"/>
  <c r="AT498" i="1" s="1"/>
  <c r="AQ897" i="1"/>
  <c r="AS897" i="1" s="1"/>
  <c r="AU897" i="1" s="1"/>
  <c r="AP897" i="1"/>
  <c r="AR897" i="1" s="1"/>
  <c r="AT897" i="1" s="1"/>
  <c r="AQ1300" i="1"/>
  <c r="AS1300" i="1" s="1"/>
  <c r="AU1300" i="1" s="1"/>
  <c r="AP1300" i="1"/>
  <c r="AR1300" i="1" s="1"/>
  <c r="AT1300" i="1" s="1"/>
  <c r="AS2507" i="1"/>
  <c r="AU2507" i="1" s="1"/>
  <c r="AS1875" i="1"/>
  <c r="AU1875" i="1" s="1"/>
  <c r="AS1876" i="1"/>
  <c r="AU1876" i="1" s="1"/>
  <c r="AQ507" i="1"/>
  <c r="AS507" i="1" s="1"/>
  <c r="AU507" i="1" s="1"/>
  <c r="AP507" i="1"/>
  <c r="AR507" i="1" s="1"/>
  <c r="AT507" i="1" s="1"/>
  <c r="AP481" i="1"/>
  <c r="AR481" i="1" s="1"/>
  <c r="AT481" i="1" s="1"/>
  <c r="AQ481" i="1"/>
  <c r="AS481" i="1" s="1"/>
  <c r="AU481" i="1" s="1"/>
  <c r="AS539" i="1"/>
  <c r="AU539" i="1" s="1"/>
  <c r="AQ505" i="1"/>
  <c r="AP505" i="1"/>
  <c r="AP685" i="1"/>
  <c r="AQ685" i="1"/>
  <c r="AS1157" i="1"/>
  <c r="AU1157" i="1" s="1"/>
  <c r="AQ355" i="1"/>
  <c r="AP355" i="1"/>
  <c r="AS458" i="1"/>
  <c r="AU458" i="1" s="1"/>
  <c r="AP943" i="1"/>
  <c r="AR943" i="1" s="1"/>
  <c r="AT943" i="1" s="1"/>
  <c r="AQ943" i="1"/>
  <c r="AS943" i="1" s="1"/>
  <c r="AU943" i="1" s="1"/>
  <c r="AQ965" i="1"/>
  <c r="AS965" i="1" s="1"/>
  <c r="AU965" i="1" s="1"/>
  <c r="AP965" i="1"/>
  <c r="AR965" i="1" s="1"/>
  <c r="AT965" i="1" s="1"/>
  <c r="AP142" i="1"/>
  <c r="AQ142" i="1"/>
  <c r="AS142" i="1" s="1"/>
  <c r="AU142" i="1" s="1"/>
  <c r="AP68" i="1"/>
  <c r="AQ68" i="1"/>
  <c r="AQ584" i="1"/>
  <c r="AS584" i="1" s="1"/>
  <c r="AU584" i="1" s="1"/>
  <c r="AP584" i="1"/>
  <c r="AR584" i="1" s="1"/>
  <c r="AT584" i="1" s="1"/>
  <c r="AS660" i="1"/>
  <c r="AU660" i="1" s="1"/>
  <c r="AR350" i="1"/>
  <c r="AT350" i="1" s="1"/>
  <c r="AS688" i="1"/>
  <c r="AU688" i="1" s="1"/>
  <c r="AQ410" i="1"/>
  <c r="AP410" i="1"/>
  <c r="AQ1150" i="1"/>
  <c r="AS1150" i="1" s="1"/>
  <c r="AU1150" i="1" s="1"/>
  <c r="AP1150" i="1"/>
  <c r="AR1150" i="1" s="1"/>
  <c r="AT1150" i="1" s="1"/>
  <c r="AP242" i="1"/>
  <c r="AR242" i="1" s="1"/>
  <c r="AT242" i="1" s="1"/>
  <c r="AQ242" i="1"/>
  <c r="AS242" i="1" s="1"/>
  <c r="AU242" i="1" s="1"/>
  <c r="AQ390" i="1"/>
  <c r="AS390" i="1" s="1"/>
  <c r="AU390" i="1" s="1"/>
  <c r="AP390" i="1"/>
  <c r="AR390" i="1" s="1"/>
  <c r="AT390" i="1" s="1"/>
  <c r="AP329" i="1"/>
  <c r="AR329" i="1" s="1"/>
  <c r="AT329" i="1" s="1"/>
  <c r="AQ329" i="1"/>
  <c r="AS329" i="1" s="1"/>
  <c r="AU329" i="1" s="1"/>
  <c r="AS1910" i="1"/>
  <c r="AU1910" i="1" s="1"/>
  <c r="AR645" i="1"/>
  <c r="AT645" i="1" s="1"/>
  <c r="AR966" i="1"/>
  <c r="AT966" i="1" s="1"/>
  <c r="AQ357" i="1"/>
  <c r="AP357" i="1"/>
  <c r="AP471" i="1"/>
  <c r="AR471" i="1" s="1"/>
  <c r="AT471" i="1" s="1"/>
  <c r="AQ471" i="1"/>
  <c r="AS471" i="1" s="1"/>
  <c r="AU471" i="1" s="1"/>
  <c r="AQ653" i="1"/>
  <c r="AS653" i="1" s="1"/>
  <c r="AU653" i="1" s="1"/>
  <c r="AP653" i="1"/>
  <c r="AQ1131" i="1"/>
  <c r="AP1131" i="1"/>
  <c r="AQ1202" i="1"/>
  <c r="AS1202" i="1" s="1"/>
  <c r="AU1202" i="1" s="1"/>
  <c r="AP1202" i="1"/>
  <c r="AR1202" i="1" s="1"/>
  <c r="AT1202" i="1" s="1"/>
  <c r="AR2507" i="1"/>
  <c r="AT2507" i="1" s="1"/>
  <c r="AS2107" i="1"/>
  <c r="AU2107" i="1" s="1"/>
  <c r="AQ1328" i="1"/>
  <c r="AS1328" i="1" s="1"/>
  <c r="AU1328" i="1" s="1"/>
  <c r="AP1328" i="1"/>
  <c r="AR1328" i="1" s="1"/>
  <c r="AT1328" i="1" s="1"/>
  <c r="AQ1359" i="1"/>
  <c r="AS1359" i="1" s="1"/>
  <c r="AU1359" i="1" s="1"/>
  <c r="AP1359" i="1"/>
  <c r="AR1359" i="1" s="1"/>
  <c r="AT1359" i="1" s="1"/>
  <c r="AS1482" i="1"/>
  <c r="AU1482" i="1" s="1"/>
  <c r="AS533" i="1"/>
  <c r="AU533" i="1" s="1"/>
  <c r="AP989" i="1"/>
  <c r="AR989" i="1" s="1"/>
  <c r="AT989" i="1" s="1"/>
  <c r="AQ989" i="1"/>
  <c r="AS989" i="1" s="1"/>
  <c r="AU989" i="1" s="1"/>
  <c r="AQ1283" i="1"/>
  <c r="AP1283" i="1"/>
  <c r="AR1283" i="1" s="1"/>
  <c r="AT1283" i="1" s="1"/>
  <c r="AR2227" i="1"/>
  <c r="AT2227" i="1" s="1"/>
  <c r="AR2228" i="1"/>
  <c r="AT2228" i="1" s="1"/>
  <c r="AS1099" i="1"/>
  <c r="AU1099" i="1" s="1"/>
  <c r="AP24" i="1"/>
  <c r="AR24" i="1" s="1"/>
  <c r="AT24" i="1" s="1"/>
  <c r="AQ24" i="1"/>
  <c r="AS24" i="1" s="1"/>
  <c r="AU24" i="1" s="1"/>
  <c r="AR614" i="1"/>
  <c r="AT614" i="1" s="1"/>
  <c r="AP874" i="1"/>
  <c r="AQ874" i="1"/>
  <c r="AS40" i="1"/>
  <c r="AU40" i="1" s="1"/>
  <c r="AR367" i="1"/>
  <c r="AT367" i="1" s="1"/>
  <c r="AS196" i="1"/>
  <c r="AU196" i="1" s="1"/>
  <c r="AS760" i="1"/>
  <c r="AU760" i="1" s="1"/>
  <c r="AP563" i="1"/>
  <c r="AR563" i="1" s="1"/>
  <c r="AT563" i="1" s="1"/>
  <c r="AQ563" i="1"/>
  <c r="AS563" i="1" s="1"/>
  <c r="AU563" i="1" s="1"/>
  <c r="AP74" i="1"/>
  <c r="AR74" i="1" s="1"/>
  <c r="AT74" i="1" s="1"/>
  <c r="AQ74" i="1"/>
  <c r="AS74" i="1" s="1"/>
  <c r="AU74" i="1" s="1"/>
  <c r="AP603" i="1"/>
  <c r="AQ603" i="1"/>
  <c r="AS603" i="1" s="1"/>
  <c r="AU603" i="1" s="1"/>
  <c r="AQ774" i="1"/>
  <c r="AS774" i="1" s="1"/>
  <c r="AU774" i="1" s="1"/>
  <c r="AP774" i="1"/>
  <c r="AR774" i="1" s="1"/>
  <c r="AT774" i="1" s="1"/>
  <c r="AP331" i="1"/>
  <c r="AQ331" i="1"/>
  <c r="AS331" i="1" s="1"/>
  <c r="AU331" i="1" s="1"/>
  <c r="AS364" i="1"/>
  <c r="AU364" i="1" s="1"/>
  <c r="AP812" i="1"/>
  <c r="AQ812" i="1"/>
  <c r="AP979" i="1"/>
  <c r="AR979" i="1" s="1"/>
  <c r="AT979" i="1" s="1"/>
  <c r="AQ979" i="1"/>
  <c r="AS979" i="1" s="1"/>
  <c r="AU979" i="1" s="1"/>
  <c r="AS121" i="1"/>
  <c r="AU121" i="1" s="1"/>
  <c r="AQ193" i="1"/>
  <c r="AS193" i="1" s="1"/>
  <c r="AU193" i="1" s="1"/>
  <c r="AP193" i="1"/>
  <c r="AR193" i="1" s="1"/>
  <c r="AT193" i="1" s="1"/>
  <c r="AP859" i="1"/>
  <c r="AR859" i="1" s="1"/>
  <c r="AT859" i="1" s="1"/>
  <c r="AQ859" i="1"/>
  <c r="AS859" i="1" s="1"/>
  <c r="AU859" i="1" s="1"/>
  <c r="AR1078" i="1"/>
  <c r="AT1078" i="1" s="1"/>
  <c r="AQ338" i="1"/>
  <c r="AP338" i="1"/>
  <c r="AQ474" i="1"/>
  <c r="AS474" i="1" s="1"/>
  <c r="AU474" i="1" s="1"/>
  <c r="AP474" i="1"/>
  <c r="AR474" i="1" s="1"/>
  <c r="AT474" i="1" s="1"/>
  <c r="AR706" i="1"/>
  <c r="AT706" i="1" s="1"/>
  <c r="AQ1284" i="1"/>
  <c r="AS1284" i="1" s="1"/>
  <c r="AU1284" i="1" s="1"/>
  <c r="AP1284" i="1"/>
  <c r="AR1284" i="1" s="1"/>
  <c r="AT1284" i="1" s="1"/>
  <c r="AS2068" i="1"/>
  <c r="AU2068" i="1" s="1"/>
  <c r="AS2480" i="1"/>
  <c r="AU2480" i="1" s="1"/>
  <c r="AQ1477" i="1"/>
  <c r="AP1477" i="1"/>
  <c r="AQ1387" i="1"/>
  <c r="AS1387" i="1" s="1"/>
  <c r="AU1387" i="1" s="1"/>
  <c r="AP1387" i="1"/>
  <c r="AR1387" i="1" s="1"/>
  <c r="AT1387" i="1" s="1"/>
  <c r="AQ56" i="1"/>
  <c r="AP56" i="1"/>
  <c r="AR56" i="1" s="1"/>
  <c r="AT56" i="1" s="1"/>
  <c r="AR239" i="1"/>
  <c r="AT239" i="1" s="1"/>
  <c r="AP1451" i="1"/>
  <c r="AR1451" i="1" s="1"/>
  <c r="AT1451" i="1" s="1"/>
  <c r="AQ1451" i="1"/>
  <c r="AS1451" i="1" s="1"/>
  <c r="AU1451" i="1" s="1"/>
  <c r="AQ1456" i="1"/>
  <c r="AP1456" i="1"/>
  <c r="AS645" i="1"/>
  <c r="AU645" i="1" s="1"/>
  <c r="AS1339" i="1"/>
  <c r="AU1339" i="1" s="1"/>
  <c r="AQ198" i="1"/>
  <c r="AS198" i="1" s="1"/>
  <c r="AU198" i="1" s="1"/>
  <c r="AP198" i="1"/>
  <c r="AR198" i="1" s="1"/>
  <c r="AT198" i="1" s="1"/>
  <c r="AQ669" i="1"/>
  <c r="AS669" i="1" s="1"/>
  <c r="AU669" i="1" s="1"/>
  <c r="AP669" i="1"/>
  <c r="AR669" i="1" s="1"/>
  <c r="AT669" i="1" s="1"/>
  <c r="AQ1203" i="1"/>
  <c r="AP1203" i="1"/>
  <c r="AP1119" i="1"/>
  <c r="AR1119" i="1" s="1"/>
  <c r="AT1119" i="1" s="1"/>
  <c r="AQ1119" i="1"/>
  <c r="AS1119" i="1" s="1"/>
  <c r="AU1119" i="1" s="1"/>
  <c r="AS1991" i="1"/>
  <c r="AU1991" i="1" s="1"/>
  <c r="AR54" i="1"/>
  <c r="AT54" i="1" s="1"/>
  <c r="AS339" i="1"/>
  <c r="AU339" i="1" s="1"/>
  <c r="AR1463" i="1"/>
  <c r="AT1463" i="1" s="1"/>
  <c r="AQ258" i="1"/>
  <c r="AS258" i="1" s="1"/>
  <c r="AU258" i="1" s="1"/>
  <c r="AP258" i="1"/>
  <c r="AP597" i="1"/>
  <c r="AR597" i="1" s="1"/>
  <c r="AT597" i="1" s="1"/>
  <c r="AQ597" i="1"/>
  <c r="AS597" i="1" s="1"/>
  <c r="AU597" i="1" s="1"/>
  <c r="AP1180" i="1"/>
  <c r="AR1180" i="1" s="1"/>
  <c r="AT1180" i="1" s="1"/>
  <c r="AQ1180" i="1"/>
  <c r="AS1180" i="1" s="1"/>
  <c r="AU1180" i="1" s="1"/>
  <c r="AS320" i="1"/>
  <c r="AU320" i="1" s="1"/>
  <c r="AR260" i="1"/>
  <c r="AT260" i="1" s="1"/>
  <c r="AP280" i="1"/>
  <c r="AR280" i="1" s="1"/>
  <c r="AT280" i="1" s="1"/>
  <c r="AQ280" i="1"/>
  <c r="AS280" i="1" s="1"/>
  <c r="AU280" i="1" s="1"/>
  <c r="AS236" i="1"/>
  <c r="AU236" i="1" s="1"/>
  <c r="AQ643" i="1"/>
  <c r="AS643" i="1" s="1"/>
  <c r="AU643" i="1" s="1"/>
  <c r="AP643" i="1"/>
  <c r="AR643" i="1" s="1"/>
  <c r="AT643" i="1" s="1"/>
  <c r="AQ1135" i="1"/>
  <c r="AS1135" i="1" s="1"/>
  <c r="AU1135" i="1" s="1"/>
  <c r="AP1135" i="1"/>
  <c r="AR1135" i="1" s="1"/>
  <c r="AT1135" i="1" s="1"/>
  <c r="AS295" i="1"/>
  <c r="AU295" i="1" s="1"/>
  <c r="AS273" i="1"/>
  <c r="AU273" i="1" s="1"/>
  <c r="AQ188" i="1"/>
  <c r="AS188" i="1" s="1"/>
  <c r="AU188" i="1" s="1"/>
  <c r="AP188" i="1"/>
  <c r="AR188" i="1" s="1"/>
  <c r="AT188" i="1" s="1"/>
  <c r="AP130" i="1"/>
  <c r="AR130" i="1" s="1"/>
  <c r="AT130" i="1" s="1"/>
  <c r="AQ130" i="1"/>
  <c r="AS130" i="1" s="1"/>
  <c r="AU130" i="1" s="1"/>
  <c r="AQ253" i="1"/>
  <c r="AP253" i="1"/>
  <c r="AQ224" i="1"/>
  <c r="AS224" i="1" s="1"/>
  <c r="AU224" i="1" s="1"/>
  <c r="AP224" i="1"/>
  <c r="AR224" i="1" s="1"/>
  <c r="AT224" i="1" s="1"/>
  <c r="AP611" i="1"/>
  <c r="AQ611" i="1"/>
  <c r="AS611" i="1" s="1"/>
  <c r="AU611" i="1" s="1"/>
  <c r="AR468" i="1"/>
  <c r="AT468" i="1" s="1"/>
  <c r="AP675" i="1"/>
  <c r="AR675" i="1" s="1"/>
  <c r="AT675" i="1" s="1"/>
  <c r="AQ675" i="1"/>
  <c r="AS675" i="1" s="1"/>
  <c r="AU675" i="1" s="1"/>
  <c r="AQ901" i="1"/>
  <c r="AS901" i="1" s="1"/>
  <c r="AU901" i="1" s="1"/>
  <c r="AP901" i="1"/>
  <c r="AR707" i="1"/>
  <c r="AT707" i="1" s="1"/>
  <c r="AP923" i="1"/>
  <c r="AR923" i="1" s="1"/>
  <c r="AT923" i="1" s="1"/>
  <c r="AQ923" i="1"/>
  <c r="AS923" i="1" s="1"/>
  <c r="AU923" i="1" s="1"/>
  <c r="AQ1147" i="1"/>
  <c r="AP1147" i="1"/>
  <c r="AQ734" i="1"/>
  <c r="AP734" i="1"/>
  <c r="AR2063" i="1"/>
  <c r="AT2063" i="1" s="1"/>
  <c r="AS2115" i="1"/>
  <c r="AU2115" i="1" s="1"/>
  <c r="AS2069" i="1"/>
  <c r="AU2069" i="1" s="1"/>
  <c r="AR2272" i="1"/>
  <c r="AT2272" i="1" s="1"/>
  <c r="AS2147" i="1"/>
  <c r="AU2147" i="1" s="1"/>
  <c r="AS2148" i="1"/>
  <c r="AU2148" i="1" s="1"/>
  <c r="AS2325" i="1"/>
  <c r="AU2325" i="1" s="1"/>
  <c r="AR1549" i="1"/>
  <c r="AT1549" i="1" s="1"/>
  <c r="AR1665" i="1"/>
  <c r="AT1665" i="1" s="1"/>
  <c r="AQ1065" i="1"/>
  <c r="AP1065" i="1"/>
  <c r="AP1214" i="1"/>
  <c r="AR1214" i="1" s="1"/>
  <c r="AT1214" i="1" s="1"/>
  <c r="AQ1214" i="1"/>
  <c r="AS1214" i="1" s="1"/>
  <c r="AU1214" i="1" s="1"/>
  <c r="AR1213" i="1"/>
  <c r="AT1213" i="1" s="1"/>
  <c r="AS1922" i="1"/>
  <c r="AU1922" i="1" s="1"/>
  <c r="AQ1501" i="1"/>
  <c r="AS1502" i="1" s="1"/>
  <c r="AU1502" i="1" s="1"/>
  <c r="AP1501" i="1"/>
  <c r="AR1501" i="1" s="1"/>
  <c r="AT1501" i="1" s="1"/>
  <c r="AS1638" i="1"/>
  <c r="AU1638" i="1" s="1"/>
  <c r="AS1344" i="1"/>
  <c r="AU1344" i="1" s="1"/>
  <c r="AQ51" i="1"/>
  <c r="AS51" i="1" s="1"/>
  <c r="AU51" i="1" s="1"/>
  <c r="AP51" i="1"/>
  <c r="AR51" i="1" s="1"/>
  <c r="AT51" i="1" s="1"/>
  <c r="AP138" i="1"/>
  <c r="AR138" i="1" s="1"/>
  <c r="AT138" i="1" s="1"/>
  <c r="AQ138" i="1"/>
  <c r="AS138" i="1" s="1"/>
  <c r="AU138" i="1" s="1"/>
  <c r="AR533" i="1"/>
  <c r="AT533" i="1" s="1"/>
  <c r="AP899" i="1"/>
  <c r="AR899" i="1" s="1"/>
  <c r="AT899" i="1" s="1"/>
  <c r="AQ899" i="1"/>
  <c r="AS899" i="1" s="1"/>
  <c r="AU899" i="1" s="1"/>
  <c r="AQ1151" i="1"/>
  <c r="AS1151" i="1" s="1"/>
  <c r="AU1151" i="1" s="1"/>
  <c r="AP1151" i="1"/>
  <c r="AR1151" i="1" s="1"/>
  <c r="AT1151" i="1" s="1"/>
  <c r="AQ1294" i="1"/>
  <c r="AS1294" i="1" s="1"/>
  <c r="AU1294" i="1" s="1"/>
  <c r="AP1294" i="1"/>
  <c r="AR1294" i="1" s="1"/>
  <c r="AT1294" i="1" s="1"/>
  <c r="AQ1227" i="1"/>
  <c r="AS1227" i="1" s="1"/>
  <c r="AU1227" i="1" s="1"/>
  <c r="AP1227" i="1"/>
  <c r="AR1227" i="1" s="1"/>
  <c r="AT1227" i="1" s="1"/>
  <c r="AR2038" i="1"/>
  <c r="AT2038" i="1" s="1"/>
  <c r="AS1911" i="1"/>
  <c r="AU1911" i="1" s="1"/>
  <c r="AQ65" i="1"/>
  <c r="AS65" i="1" s="1"/>
  <c r="AU65" i="1" s="1"/>
  <c r="AP65" i="1"/>
  <c r="AR65" i="1" s="1"/>
  <c r="AT65" i="1" s="1"/>
  <c r="AP59" i="1"/>
  <c r="AR59" i="1" s="1"/>
  <c r="AT59" i="1" s="1"/>
  <c r="AQ59" i="1"/>
  <c r="AS59" i="1" s="1"/>
  <c r="AU59" i="1" s="1"/>
  <c r="AS52" i="1"/>
  <c r="AU52" i="1" s="1"/>
  <c r="AP330" i="1"/>
  <c r="AR330" i="1" s="1"/>
  <c r="AT330" i="1" s="1"/>
  <c r="AQ330" i="1"/>
  <c r="AQ417" i="1"/>
  <c r="AP417" i="1"/>
  <c r="AR417" i="1" s="1"/>
  <c r="AT417" i="1" s="1"/>
  <c r="AS468" i="1"/>
  <c r="AU468" i="1" s="1"/>
  <c r="AP321" i="1"/>
  <c r="AR321" i="1" s="1"/>
  <c r="AT321" i="1" s="1"/>
  <c r="AQ321" i="1"/>
  <c r="AS321" i="1" s="1"/>
  <c r="AU321" i="1" s="1"/>
  <c r="AP670" i="1"/>
  <c r="AQ670" i="1"/>
  <c r="AP654" i="1"/>
  <c r="AR654" i="1" s="1"/>
  <c r="AT654" i="1" s="1"/>
  <c r="AQ654" i="1"/>
  <c r="AS654" i="1" s="1"/>
  <c r="AU654" i="1" s="1"/>
  <c r="AS707" i="1"/>
  <c r="AU707" i="1" s="1"/>
  <c r="AQ1030" i="1"/>
  <c r="AS1030" i="1" s="1"/>
  <c r="AU1030" i="1" s="1"/>
  <c r="AP1030" i="1"/>
  <c r="AQ794" i="1"/>
  <c r="AP794" i="1"/>
  <c r="AR794" i="1" s="1"/>
  <c r="AT794" i="1" s="1"/>
  <c r="AQ867" i="1"/>
  <c r="AP867" i="1"/>
  <c r="AR867" i="1" s="1"/>
  <c r="AT867" i="1" s="1"/>
  <c r="AP733" i="1"/>
  <c r="AR733" i="1" s="1"/>
  <c r="AT733" i="1" s="1"/>
  <c r="AQ733" i="1"/>
  <c r="AS733" i="1" s="1"/>
  <c r="AU733" i="1" s="1"/>
  <c r="AP1229" i="1"/>
  <c r="AR1229" i="1" s="1"/>
  <c r="AT1229" i="1" s="1"/>
  <c r="AQ1229" i="1"/>
  <c r="AR1574" i="1"/>
  <c r="AT1574" i="1" s="1"/>
  <c r="AS1565" i="1"/>
  <c r="AU1565" i="1" s="1"/>
  <c r="AR1954" i="1"/>
  <c r="AT1954" i="1" s="1"/>
  <c r="AR2115" i="1"/>
  <c r="AT2115" i="1" s="1"/>
  <c r="AR1904" i="1"/>
  <c r="AT1904" i="1" s="1"/>
  <c r="AS2272" i="1"/>
  <c r="AU2272" i="1" s="1"/>
  <c r="AS2209" i="1"/>
  <c r="AU2209" i="1" s="1"/>
  <c r="AR2339" i="1"/>
  <c r="AT2339" i="1" s="1"/>
  <c r="AR2481" i="1"/>
  <c r="AT2481" i="1" s="1"/>
  <c r="AS1549" i="1"/>
  <c r="AU1549" i="1" s="1"/>
  <c r="AR2076" i="1"/>
  <c r="AT2076" i="1" s="1"/>
  <c r="AR2224" i="1"/>
  <c r="AT2224" i="1" s="1"/>
  <c r="AQ1242" i="1"/>
  <c r="AS1242" i="1" s="1"/>
  <c r="AU1242" i="1" s="1"/>
  <c r="AP1242" i="1"/>
  <c r="AR1242" i="1" s="1"/>
  <c r="AT1242" i="1" s="1"/>
  <c r="AS1621" i="1"/>
  <c r="AU1621" i="1" s="1"/>
  <c r="AP1461" i="1"/>
  <c r="AR1461" i="1" s="1"/>
  <c r="AT1461" i="1" s="1"/>
  <c r="AQ1461" i="1"/>
  <c r="AS1461" i="1" s="1"/>
  <c r="AU1461" i="1" s="1"/>
  <c r="AR1944" i="1"/>
  <c r="AT1944" i="1" s="1"/>
  <c r="AS1213" i="1"/>
  <c r="AU1213" i="1" s="1"/>
  <c r="AR2022" i="1"/>
  <c r="AT2022" i="1" s="1"/>
  <c r="AS2440" i="1"/>
  <c r="AU2440" i="1" s="1"/>
  <c r="AS906" i="1"/>
  <c r="AU906" i="1" s="1"/>
  <c r="AP1504" i="1"/>
  <c r="AQ1504" i="1"/>
  <c r="AR2173" i="1"/>
  <c r="AT2173" i="1" s="1"/>
  <c r="AS2457" i="1"/>
  <c r="AU2457" i="1" s="1"/>
  <c r="AR1243" i="1"/>
  <c r="AT1243" i="1" s="1"/>
  <c r="AQ262" i="1"/>
  <c r="AP262" i="1"/>
  <c r="AR395" i="1"/>
  <c r="AT395" i="1" s="1"/>
  <c r="AP241" i="1"/>
  <c r="AQ241" i="1"/>
  <c r="AP476" i="1"/>
  <c r="AQ476" i="1"/>
  <c r="AP864" i="1"/>
  <c r="AR864" i="1" s="1"/>
  <c r="AT864" i="1" s="1"/>
  <c r="AQ864" i="1"/>
  <c r="AS864" i="1" s="1"/>
  <c r="AU864" i="1" s="1"/>
  <c r="AS324" i="1"/>
  <c r="AU324" i="1" s="1"/>
  <c r="AR663" i="1"/>
  <c r="AT663" i="1" s="1"/>
  <c r="AP625" i="1"/>
  <c r="AR625" i="1" s="1"/>
  <c r="AT625" i="1" s="1"/>
  <c r="AQ625" i="1"/>
  <c r="AS625" i="1" s="1"/>
  <c r="AU625" i="1" s="1"/>
  <c r="AP1087" i="1"/>
  <c r="AR1087" i="1" s="1"/>
  <c r="AT1087" i="1" s="1"/>
  <c r="AQ1087" i="1"/>
  <c r="AS1087" i="1" s="1"/>
  <c r="AU1087" i="1" s="1"/>
  <c r="AP934" i="1"/>
  <c r="AQ934" i="1"/>
  <c r="AQ1081" i="1"/>
  <c r="AS1081" i="1" s="1"/>
  <c r="AU1081" i="1" s="1"/>
  <c r="AP1081" i="1"/>
  <c r="AR1081" i="1" s="1"/>
  <c r="AT1081" i="1" s="1"/>
  <c r="AP1402" i="1"/>
  <c r="AR1402" i="1" s="1"/>
  <c r="AT1402" i="1" s="1"/>
  <c r="AQ1402" i="1"/>
  <c r="AQ1228" i="1"/>
  <c r="AS1228" i="1" s="1"/>
  <c r="AU1228" i="1" s="1"/>
  <c r="AP1228" i="1"/>
  <c r="AR1228" i="1" s="1"/>
  <c r="AT1228" i="1" s="1"/>
  <c r="AQ1330" i="1"/>
  <c r="AP1330" i="1"/>
  <c r="AR1330" i="1" s="1"/>
  <c r="AT1330" i="1" s="1"/>
  <c r="AS1540" i="1"/>
  <c r="AU1540" i="1" s="1"/>
  <c r="AR1968" i="1"/>
  <c r="AT1968" i="1" s="1"/>
  <c r="AR2118" i="1"/>
  <c r="AT2118" i="1" s="1"/>
  <c r="AR2233" i="1"/>
  <c r="AT2233" i="1" s="1"/>
  <c r="AR2312" i="1"/>
  <c r="AT2312" i="1" s="1"/>
  <c r="AS2128" i="1"/>
  <c r="AU2128" i="1" s="1"/>
  <c r="AS2050" i="1"/>
  <c r="AU2050" i="1" s="1"/>
  <c r="AR2490" i="1"/>
  <c r="AT2490" i="1" s="1"/>
  <c r="AR1447" i="1"/>
  <c r="AT1447" i="1" s="1"/>
  <c r="AP1503" i="1"/>
  <c r="AR1503" i="1" s="1"/>
  <c r="AT1503" i="1" s="1"/>
  <c r="AQ1503" i="1"/>
  <c r="AS1503" i="1" s="1"/>
  <c r="AU1503" i="1" s="1"/>
  <c r="AR2258" i="1"/>
  <c r="AT2258" i="1" s="1"/>
  <c r="AR807" i="1"/>
  <c r="AT807" i="1" s="1"/>
  <c r="AS1527" i="1"/>
  <c r="AU1527" i="1" s="1"/>
  <c r="AS1994" i="1"/>
  <c r="AU1994" i="1" s="1"/>
  <c r="AS1928" i="1"/>
  <c r="AU1928" i="1" s="1"/>
  <c r="AP18" i="1"/>
  <c r="AR18" i="1" s="1"/>
  <c r="AT18" i="1" s="1"/>
  <c r="AQ18" i="1"/>
  <c r="AS18" i="1" s="1"/>
  <c r="AU18" i="1" s="1"/>
  <c r="AQ66" i="1"/>
  <c r="AS66" i="1" s="1"/>
  <c r="AU66" i="1" s="1"/>
  <c r="AP66" i="1"/>
  <c r="AR66" i="1" s="1"/>
  <c r="AT66" i="1" s="1"/>
  <c r="AP356" i="1"/>
  <c r="AR356" i="1" s="1"/>
  <c r="AT356" i="1" s="1"/>
  <c r="AQ356" i="1"/>
  <c r="AS356" i="1" s="1"/>
  <c r="AU356" i="1" s="1"/>
  <c r="AQ414" i="1"/>
  <c r="AS414" i="1" s="1"/>
  <c r="AU414" i="1" s="1"/>
  <c r="AP414" i="1"/>
  <c r="AR414" i="1" s="1"/>
  <c r="AT414" i="1" s="1"/>
  <c r="AP511" i="1"/>
  <c r="AR511" i="1" s="1"/>
  <c r="AT511" i="1" s="1"/>
  <c r="AQ511" i="1"/>
  <c r="AS511" i="1" s="1"/>
  <c r="AU511" i="1" s="1"/>
  <c r="AP743" i="1"/>
  <c r="AQ743" i="1"/>
  <c r="AS743" i="1" s="1"/>
  <c r="AU743" i="1" s="1"/>
  <c r="AQ997" i="1"/>
  <c r="AS997" i="1" s="1"/>
  <c r="AU997" i="1" s="1"/>
  <c r="AP997" i="1"/>
  <c r="AR997" i="1" s="1"/>
  <c r="AT997" i="1" s="1"/>
  <c r="AQ1183" i="1"/>
  <c r="AS1183" i="1" s="1"/>
  <c r="AU1183" i="1" s="1"/>
  <c r="AP1183" i="1"/>
  <c r="AR1183" i="1" s="1"/>
  <c r="AT1183" i="1" s="1"/>
  <c r="AS926" i="1"/>
  <c r="AU926" i="1" s="1"/>
  <c r="AP1462" i="1"/>
  <c r="AQ1462" i="1"/>
  <c r="AS1463" i="1" s="1"/>
  <c r="AU1463" i="1" s="1"/>
  <c r="AQ742" i="1"/>
  <c r="AS742" i="1" s="1"/>
  <c r="AU742" i="1" s="1"/>
  <c r="AP742" i="1"/>
  <c r="AQ1452" i="1"/>
  <c r="AS1452" i="1" s="1"/>
  <c r="AU1452" i="1" s="1"/>
  <c r="AP1452" i="1"/>
  <c r="AQ1305" i="1"/>
  <c r="AS1305" i="1" s="1"/>
  <c r="AU1305" i="1" s="1"/>
  <c r="AP1305" i="1"/>
  <c r="AR1305" i="1" s="1"/>
  <c r="AT1305" i="1" s="1"/>
  <c r="AQ1432" i="1"/>
  <c r="AP1432" i="1"/>
  <c r="AR2289" i="1"/>
  <c r="AT2289" i="1" s="1"/>
  <c r="AR1871" i="1"/>
  <c r="AT1871" i="1" s="1"/>
  <c r="AR1598" i="1"/>
  <c r="AT1598" i="1" s="1"/>
  <c r="AR1599" i="1"/>
  <c r="AT1599" i="1" s="1"/>
  <c r="AS2140" i="1"/>
  <c r="AU2140" i="1" s="1"/>
  <c r="AR2307" i="1"/>
  <c r="AT2307" i="1" s="1"/>
  <c r="AS1395" i="1"/>
  <c r="AU1395" i="1" s="1"/>
  <c r="AR2047" i="1"/>
  <c r="AT2047" i="1" s="1"/>
  <c r="AR2328" i="1"/>
  <c r="AT2328" i="1" s="1"/>
  <c r="AR2491" i="1"/>
  <c r="AT2491" i="1" s="1"/>
  <c r="AR1649" i="1"/>
  <c r="AT1649" i="1" s="1"/>
  <c r="AR1580" i="1"/>
  <c r="AT1580" i="1" s="1"/>
  <c r="AR1897" i="1"/>
  <c r="AT1897" i="1" s="1"/>
  <c r="AS2281" i="1"/>
  <c r="AU2281" i="1" s="1"/>
  <c r="AR1992" i="1"/>
  <c r="AT1992" i="1" s="1"/>
  <c r="AQ55" i="1"/>
  <c r="AS55" i="1" s="1"/>
  <c r="AU55" i="1" s="1"/>
  <c r="AP55" i="1"/>
  <c r="AR55" i="1" s="1"/>
  <c r="AT55" i="1" s="1"/>
  <c r="AR8" i="1"/>
  <c r="AT8" i="1" s="1"/>
  <c r="AP44" i="1"/>
  <c r="AQ44" i="1"/>
  <c r="AR486" i="1"/>
  <c r="AT486" i="1" s="1"/>
  <c r="AQ723" i="1"/>
  <c r="AS723" i="1" s="1"/>
  <c r="AU723" i="1" s="1"/>
  <c r="AP723" i="1"/>
  <c r="AR723" i="1" s="1"/>
  <c r="AT723" i="1" s="1"/>
  <c r="AR222" i="1"/>
  <c r="AT222" i="1" s="1"/>
  <c r="AP686" i="1"/>
  <c r="AR686" i="1" s="1"/>
  <c r="AT686" i="1" s="1"/>
  <c r="AQ686" i="1"/>
  <c r="AS686" i="1" s="1"/>
  <c r="AU686" i="1" s="1"/>
  <c r="AQ1001" i="1"/>
  <c r="AS1001" i="1" s="1"/>
  <c r="AU1001" i="1" s="1"/>
  <c r="AP1001" i="1"/>
  <c r="AR1001" i="1" s="1"/>
  <c r="AT1001" i="1" s="1"/>
  <c r="AR1171" i="1"/>
  <c r="AT1171" i="1" s="1"/>
  <c r="AQ1237" i="1"/>
  <c r="AP1237" i="1"/>
  <c r="AR1238" i="1" s="1"/>
  <c r="AT1238" i="1" s="1"/>
  <c r="AS689" i="1"/>
  <c r="AU689" i="1" s="1"/>
  <c r="AR2234" i="1"/>
  <c r="AT2234" i="1" s="1"/>
  <c r="AS81" i="1"/>
  <c r="AU81" i="1" s="1"/>
  <c r="AS61" i="1"/>
  <c r="AU61" i="1" s="1"/>
  <c r="AQ140" i="1"/>
  <c r="AP140" i="1"/>
  <c r="AR615" i="1"/>
  <c r="AT615" i="1" s="1"/>
  <c r="AP406" i="1"/>
  <c r="AR406" i="1" s="1"/>
  <c r="AT406" i="1" s="1"/>
  <c r="AQ406" i="1"/>
  <c r="AS406" i="1" s="1"/>
  <c r="AU406" i="1" s="1"/>
  <c r="AS333" i="1"/>
  <c r="AU333" i="1" s="1"/>
  <c r="AS383" i="1"/>
  <c r="AU383" i="1" s="1"/>
  <c r="AS384" i="1"/>
  <c r="AU384" i="1" s="1"/>
  <c r="AQ773" i="1"/>
  <c r="AS773" i="1" s="1"/>
  <c r="AU773" i="1" s="1"/>
  <c r="AP773" i="1"/>
  <c r="AR773" i="1" s="1"/>
  <c r="AT773" i="1" s="1"/>
  <c r="AP1070" i="1"/>
  <c r="AR1070" i="1" s="1"/>
  <c r="AT1070" i="1" s="1"/>
  <c r="AQ1070" i="1"/>
  <c r="AS1070" i="1" s="1"/>
  <c r="AU1070" i="1" s="1"/>
  <c r="AS179" i="1"/>
  <c r="AU179" i="1" s="1"/>
  <c r="AS851" i="1"/>
  <c r="AU851" i="1" s="1"/>
  <c r="AS1250" i="1"/>
  <c r="AU1250" i="1" s="1"/>
  <c r="AR300" i="1"/>
  <c r="AT300" i="1" s="1"/>
  <c r="AQ26" i="1"/>
  <c r="AS26" i="1" s="1"/>
  <c r="AU26" i="1" s="1"/>
  <c r="AP26" i="1"/>
  <c r="AR26" i="1" s="1"/>
  <c r="AT26" i="1" s="1"/>
  <c r="AS274" i="1"/>
  <c r="AU274" i="1" s="1"/>
  <c r="AP114" i="1"/>
  <c r="AR114" i="1" s="1"/>
  <c r="AT114" i="1" s="1"/>
  <c r="AQ114" i="1"/>
  <c r="AS114" i="1" s="1"/>
  <c r="AU114" i="1" s="1"/>
  <c r="AQ527" i="1"/>
  <c r="AS527" i="1" s="1"/>
  <c r="AU527" i="1" s="1"/>
  <c r="AP527" i="1"/>
  <c r="AR527" i="1" s="1"/>
  <c r="AT527" i="1" s="1"/>
  <c r="AR558" i="1"/>
  <c r="AT558" i="1" s="1"/>
  <c r="AP442" i="1"/>
  <c r="AR442" i="1" s="1"/>
  <c r="AT442" i="1" s="1"/>
  <c r="AQ442" i="1"/>
  <c r="AS442" i="1" s="1"/>
  <c r="AU442" i="1" s="1"/>
  <c r="AQ745" i="1"/>
  <c r="AS745" i="1" s="1"/>
  <c r="AU745" i="1" s="1"/>
  <c r="AP745" i="1"/>
  <c r="AR745" i="1" s="1"/>
  <c r="AT745" i="1" s="1"/>
  <c r="AS1117" i="1"/>
  <c r="AU1117" i="1" s="1"/>
  <c r="AP658" i="1"/>
  <c r="AQ658" i="1"/>
  <c r="AS852" i="1"/>
  <c r="AU852" i="1" s="1"/>
  <c r="AQ1262" i="1"/>
  <c r="AS1262" i="1" s="1"/>
  <c r="AU1262" i="1" s="1"/>
  <c r="AP1262" i="1"/>
  <c r="AR1262" i="1" s="1"/>
  <c r="AT1262" i="1" s="1"/>
  <c r="AS1045" i="1"/>
  <c r="AU1045" i="1" s="1"/>
  <c r="AQ795" i="1"/>
  <c r="AS795" i="1" s="1"/>
  <c r="AU795" i="1" s="1"/>
  <c r="AP795" i="1"/>
  <c r="AR795" i="1" s="1"/>
  <c r="AT795" i="1" s="1"/>
  <c r="AP267" i="1"/>
  <c r="AQ267" i="1"/>
  <c r="AS268" i="1" s="1"/>
  <c r="AU268" i="1" s="1"/>
  <c r="AP206" i="1"/>
  <c r="AQ206" i="1"/>
  <c r="AP67" i="1"/>
  <c r="AQ67" i="1"/>
  <c r="AR494" i="1"/>
  <c r="AT494" i="1" s="1"/>
  <c r="AS432" i="1"/>
  <c r="AU432" i="1" s="1"/>
  <c r="AQ600" i="1"/>
  <c r="AS600" i="1" s="1"/>
  <c r="AU600" i="1" s="1"/>
  <c r="AP600" i="1"/>
  <c r="AR600" i="1" s="1"/>
  <c r="AT600" i="1" s="1"/>
  <c r="AQ858" i="1"/>
  <c r="AP858" i="1"/>
  <c r="AP577" i="1"/>
  <c r="AQ577" i="1"/>
  <c r="AQ888" i="1"/>
  <c r="AP888" i="1"/>
  <c r="AR888" i="1" s="1"/>
  <c r="AT888" i="1" s="1"/>
  <c r="AQ963" i="1"/>
  <c r="AS963" i="1" s="1"/>
  <c r="AU963" i="1" s="1"/>
  <c r="AP963" i="1"/>
  <c r="AR963" i="1" s="1"/>
  <c r="AT963" i="1" s="1"/>
  <c r="AR785" i="1"/>
  <c r="AT785" i="1" s="1"/>
  <c r="AR151" i="1"/>
  <c r="AT151" i="1" s="1"/>
  <c r="AQ332" i="1"/>
  <c r="AP332" i="1"/>
  <c r="AR333" i="1" s="1"/>
  <c r="AT333" i="1" s="1"/>
  <c r="AQ363" i="1"/>
  <c r="AS363" i="1" s="1"/>
  <c r="AU363" i="1" s="1"/>
  <c r="AP363" i="1"/>
  <c r="AR363" i="1" s="1"/>
  <c r="AT363" i="1" s="1"/>
  <c r="AQ430" i="1"/>
  <c r="AS430" i="1" s="1"/>
  <c r="AU430" i="1" s="1"/>
  <c r="AP430" i="1"/>
  <c r="AR495" i="1"/>
  <c r="AT495" i="1" s="1"/>
  <c r="AP621" i="1"/>
  <c r="AQ621" i="1"/>
  <c r="AR843" i="1"/>
  <c r="AT843" i="1" s="1"/>
  <c r="AR855" i="1"/>
  <c r="AT855" i="1" s="1"/>
  <c r="AQ695" i="1"/>
  <c r="AS695" i="1" s="1"/>
  <c r="AU695" i="1" s="1"/>
  <c r="AP695" i="1"/>
  <c r="AR695" i="1" s="1"/>
  <c r="AT695" i="1" s="1"/>
  <c r="AR862" i="1"/>
  <c r="AT862" i="1" s="1"/>
  <c r="AR1093" i="1"/>
  <c r="AT1093" i="1" s="1"/>
  <c r="AR1068" i="1"/>
  <c r="AT1068" i="1" s="1"/>
  <c r="AP821" i="1"/>
  <c r="AR821" i="1" s="1"/>
  <c r="AT821" i="1" s="1"/>
  <c r="AQ821" i="1"/>
  <c r="AS821" i="1" s="1"/>
  <c r="AU821" i="1" s="1"/>
  <c r="AS34" i="1"/>
  <c r="AU34" i="1" s="1"/>
  <c r="AS127" i="1"/>
  <c r="AU127" i="1" s="1"/>
  <c r="AR113" i="1"/>
  <c r="AT113" i="1" s="1"/>
  <c r="AS703" i="1"/>
  <c r="AU703" i="1" s="1"/>
  <c r="AS591" i="1"/>
  <c r="AU591" i="1" s="1"/>
  <c r="AS386" i="1"/>
  <c r="AU386" i="1" s="1"/>
  <c r="AR549" i="1"/>
  <c r="AT549" i="1" s="1"/>
  <c r="AR853" i="1"/>
  <c r="AT853" i="1" s="1"/>
  <c r="AP931" i="1"/>
  <c r="AR931" i="1" s="1"/>
  <c r="AT931" i="1" s="1"/>
  <c r="AQ931" i="1"/>
  <c r="AS931" i="1" s="1"/>
  <c r="AU931" i="1" s="1"/>
  <c r="AQ1032" i="1"/>
  <c r="AS1032" i="1" s="1"/>
  <c r="AU1032" i="1" s="1"/>
  <c r="AP1032" i="1"/>
  <c r="AR1032" i="1" s="1"/>
  <c r="AT1032" i="1" s="1"/>
  <c r="AQ1132" i="1"/>
  <c r="AS1132" i="1" s="1"/>
  <c r="AU1132" i="1" s="1"/>
  <c r="AP1132" i="1"/>
  <c r="AR1132" i="1" s="1"/>
  <c r="AT1132" i="1" s="1"/>
  <c r="AR1035" i="1"/>
  <c r="AT1035" i="1" s="1"/>
  <c r="AP149" i="1"/>
  <c r="AR149" i="1" s="1"/>
  <c r="AT149" i="1" s="1"/>
  <c r="AQ149" i="1"/>
  <c r="AS149" i="1" s="1"/>
  <c r="AU149" i="1" s="1"/>
  <c r="AP128" i="1"/>
  <c r="AR128" i="1" s="1"/>
  <c r="AT128" i="1" s="1"/>
  <c r="AQ128" i="1"/>
  <c r="AS128" i="1" s="1"/>
  <c r="AU128" i="1" s="1"/>
  <c r="AQ595" i="1"/>
  <c r="AS595" i="1" s="1"/>
  <c r="AU595" i="1" s="1"/>
  <c r="AP595" i="1"/>
  <c r="AR595" i="1" s="1"/>
  <c r="AT595" i="1" s="1"/>
  <c r="AQ652" i="1"/>
  <c r="AP652" i="1"/>
  <c r="AR652" i="1" s="1"/>
  <c r="AT652" i="1" s="1"/>
  <c r="AP428" i="1"/>
  <c r="AQ428" i="1"/>
  <c r="AS428" i="1" s="1"/>
  <c r="AU428" i="1" s="1"/>
  <c r="AP849" i="1"/>
  <c r="AR849" i="1" s="1"/>
  <c r="AT849" i="1" s="1"/>
  <c r="AQ849" i="1"/>
  <c r="AS849" i="1" s="1"/>
  <c r="AU849" i="1" s="1"/>
  <c r="AP602" i="1"/>
  <c r="AR602" i="1" s="1"/>
  <c r="AT602" i="1" s="1"/>
  <c r="AQ602" i="1"/>
  <c r="AS602" i="1" s="1"/>
  <c r="AU602" i="1" s="1"/>
  <c r="AQ1425" i="1"/>
  <c r="AS1425" i="1" s="1"/>
  <c r="AU1425" i="1" s="1"/>
  <c r="AP1425" i="1"/>
  <c r="AR1425" i="1" s="1"/>
  <c r="AT1425" i="1" s="1"/>
  <c r="AQ882" i="1"/>
  <c r="AS882" i="1" s="1"/>
  <c r="AU882" i="1" s="1"/>
  <c r="AP882" i="1"/>
  <c r="AR882" i="1" s="1"/>
  <c r="AT882" i="1" s="1"/>
  <c r="AP656" i="1"/>
  <c r="AR656" i="1" s="1"/>
  <c r="AT656" i="1" s="1"/>
  <c r="AQ656" i="1"/>
  <c r="AS656" i="1" s="1"/>
  <c r="AU656" i="1" s="1"/>
  <c r="AQ1110" i="1"/>
  <c r="AP1110" i="1"/>
  <c r="AR1341" i="1"/>
  <c r="AT1341" i="1" s="1"/>
  <c r="AR1975" i="1"/>
  <c r="AT1975" i="1" s="1"/>
  <c r="AS1528" i="1"/>
  <c r="AU1528" i="1" s="1"/>
  <c r="AQ1356" i="1"/>
  <c r="AS1356" i="1" s="1"/>
  <c r="AU1356" i="1" s="1"/>
  <c r="AP1356" i="1"/>
  <c r="AR1356" i="1" s="1"/>
  <c r="AT1356" i="1" s="1"/>
  <c r="AR2185" i="1"/>
  <c r="AT2185" i="1" s="1"/>
  <c r="AR2177" i="1"/>
  <c r="AT2177" i="1" s="1"/>
  <c r="AS1964" i="1"/>
  <c r="AU1964" i="1" s="1"/>
  <c r="AR2034" i="1"/>
  <c r="AT2034" i="1" s="1"/>
  <c r="AR1987" i="1"/>
  <c r="AT1987" i="1" s="1"/>
  <c r="AS2170" i="1"/>
  <c r="AU2170" i="1" s="1"/>
  <c r="AR2303" i="1"/>
  <c r="AT2303" i="1" s="1"/>
  <c r="AR2315" i="1"/>
  <c r="AT2315" i="1" s="1"/>
  <c r="AR2449" i="1"/>
  <c r="AT2449" i="1" s="1"/>
  <c r="AS2486" i="1"/>
  <c r="AU2486" i="1" s="1"/>
  <c r="AS2005" i="1"/>
  <c r="AU2005" i="1" s="1"/>
  <c r="AS2287" i="1"/>
  <c r="AU2287" i="1" s="1"/>
  <c r="AR1041" i="1"/>
  <c r="AT1041" i="1" s="1"/>
  <c r="AS1937" i="1"/>
  <c r="AU1937" i="1" s="1"/>
  <c r="AS2483" i="1"/>
  <c r="AU2483" i="1" s="1"/>
  <c r="AR2342" i="1"/>
  <c r="AT2342" i="1" s="1"/>
  <c r="AQ1327" i="1"/>
  <c r="AS1327" i="1" s="1"/>
  <c r="AU1327" i="1" s="1"/>
  <c r="AP1327" i="1"/>
  <c r="AR1327" i="1" s="1"/>
  <c r="AT1327" i="1" s="1"/>
  <c r="AS1581" i="1"/>
  <c r="AU1581" i="1" s="1"/>
  <c r="AS1607" i="1"/>
  <c r="AU1607" i="1" s="1"/>
  <c r="AS1608" i="1"/>
  <c r="AU1608" i="1" s="1"/>
  <c r="AR2433" i="1"/>
  <c r="AT2433" i="1" s="1"/>
  <c r="AR1219" i="1"/>
  <c r="AT1219" i="1" s="1"/>
  <c r="AS1923" i="1"/>
  <c r="AU1923" i="1" s="1"/>
  <c r="AS1924" i="1"/>
  <c r="AU1924" i="1" s="1"/>
  <c r="AR2261" i="1"/>
  <c r="AT2261" i="1" s="1"/>
  <c r="AS2487" i="1"/>
  <c r="AU2487" i="1" s="1"/>
  <c r="AS2488" i="1"/>
  <c r="AU2488" i="1" s="1"/>
  <c r="AR313" i="1"/>
  <c r="AT313" i="1" s="1"/>
  <c r="AQ1320" i="1"/>
  <c r="AS1320" i="1" s="1"/>
  <c r="AU1320" i="1" s="1"/>
  <c r="AP1320" i="1"/>
  <c r="AR1320" i="1" s="1"/>
  <c r="AT1320" i="1" s="1"/>
  <c r="AR1984" i="1"/>
  <c r="AT1984" i="1" s="1"/>
  <c r="AS1440" i="1"/>
  <c r="AU1440" i="1" s="1"/>
  <c r="AS736" i="1"/>
  <c r="AU736" i="1" s="1"/>
  <c r="AS1514" i="1"/>
  <c r="AU1514" i="1" s="1"/>
  <c r="AS1987" i="1"/>
  <c r="AU1987" i="1" s="1"/>
  <c r="AS1450" i="1"/>
  <c r="AU1450" i="1" s="1"/>
  <c r="AQ1381" i="1"/>
  <c r="AP1381" i="1"/>
  <c r="AR2162" i="1"/>
  <c r="AT2162" i="1" s="1"/>
  <c r="AR2178" i="1"/>
  <c r="AT2178" i="1" s="1"/>
  <c r="AQ730" i="1"/>
  <c r="AP730" i="1"/>
  <c r="AP1164" i="1"/>
  <c r="AQ1164" i="1"/>
  <c r="AR2119" i="1"/>
  <c r="AT2119" i="1" s="1"/>
  <c r="AS2015" i="1"/>
  <c r="AU2015" i="1" s="1"/>
  <c r="AS936" i="1"/>
  <c r="AU936" i="1" s="1"/>
  <c r="AR1342" i="1"/>
  <c r="AT1342" i="1" s="1"/>
  <c r="AS1948" i="1"/>
  <c r="AU1948" i="1" s="1"/>
  <c r="AS2179" i="1"/>
  <c r="AU2179" i="1" s="1"/>
  <c r="AR2035" i="1"/>
  <c r="AT2035" i="1" s="1"/>
  <c r="AQ1275" i="1"/>
  <c r="AS1275" i="1" s="1"/>
  <c r="AU1275" i="1" s="1"/>
  <c r="AP1275" i="1"/>
  <c r="AS2291" i="1"/>
  <c r="AU2291" i="1" s="1"/>
  <c r="AS568" i="1"/>
  <c r="AU568" i="1" s="1"/>
  <c r="AS641" i="1"/>
  <c r="AU641" i="1" s="1"/>
  <c r="AS1376" i="1"/>
  <c r="AU1376" i="1" s="1"/>
  <c r="AS618" i="1"/>
  <c r="AU618" i="1" s="1"/>
  <c r="AR1385" i="1"/>
  <c r="AT1385" i="1" s="1"/>
  <c r="AS1490" i="1"/>
  <c r="AU1490" i="1" s="1"/>
  <c r="AR1140" i="1"/>
  <c r="AT1140" i="1" s="1"/>
  <c r="AS1111" i="1"/>
  <c r="AU1111" i="1" s="1"/>
  <c r="AP1199" i="1"/>
  <c r="AR1199" i="1" s="1"/>
  <c r="AT1199" i="1" s="1"/>
  <c r="AQ1199" i="1"/>
  <c r="AS1199" i="1" s="1"/>
  <c r="AU1199" i="1" s="1"/>
  <c r="AS1561" i="1"/>
  <c r="AU1561" i="1" s="1"/>
  <c r="AS1562" i="1"/>
  <c r="AU1562" i="1" s="1"/>
  <c r="AR2101" i="1"/>
  <c r="AT2101" i="1" s="1"/>
  <c r="AS2011" i="1"/>
  <c r="AU2011" i="1" s="1"/>
  <c r="AR2505" i="1"/>
  <c r="AT2505" i="1" s="1"/>
  <c r="AR2060" i="1"/>
  <c r="AT2060" i="1" s="1"/>
  <c r="AR2150" i="1"/>
  <c r="AT2150" i="1" s="1"/>
  <c r="AS2471" i="1"/>
  <c r="AU2471" i="1" s="1"/>
  <c r="AS2430" i="1"/>
  <c r="AU2430" i="1" s="1"/>
  <c r="AS2024" i="1"/>
  <c r="AU2024" i="1" s="1"/>
  <c r="AR2057" i="1"/>
  <c r="AT2057" i="1" s="1"/>
  <c r="AR2244" i="1"/>
  <c r="AT2244" i="1" s="1"/>
  <c r="AR2245" i="1"/>
  <c r="AT2245" i="1" s="1"/>
  <c r="AQ271" i="1"/>
  <c r="AS271" i="1" s="1"/>
  <c r="AU271" i="1" s="1"/>
  <c r="AP271" i="1"/>
  <c r="AS2167" i="1"/>
  <c r="AU2167" i="1" s="1"/>
  <c r="AS2168" i="1"/>
  <c r="AU2168" i="1" s="1"/>
  <c r="AP69" i="1"/>
  <c r="AR69" i="1" s="1"/>
  <c r="AT69" i="1" s="1"/>
  <c r="AQ69" i="1"/>
  <c r="AS69" i="1" s="1"/>
  <c r="AU69" i="1" s="1"/>
  <c r="AP550" i="1"/>
  <c r="AR550" i="1" s="1"/>
  <c r="AT550" i="1" s="1"/>
  <c r="AQ550" i="1"/>
  <c r="AS550" i="1" s="1"/>
  <c r="AU550" i="1" s="1"/>
  <c r="AS665" i="1"/>
  <c r="AU665" i="1" s="1"/>
  <c r="AP1498" i="1"/>
  <c r="AR1498" i="1" s="1"/>
  <c r="AT1498" i="1" s="1"/>
  <c r="AQ1498" i="1"/>
  <c r="AS1498" i="1" s="1"/>
  <c r="AU1498" i="1" s="1"/>
  <c r="AP681" i="1"/>
  <c r="AR681" i="1" s="1"/>
  <c r="AT681" i="1" s="1"/>
  <c r="AQ681" i="1"/>
  <c r="AS681" i="1" s="1"/>
  <c r="AU681" i="1" s="1"/>
  <c r="AS783" i="1"/>
  <c r="AU783" i="1" s="1"/>
  <c r="AQ1349" i="1"/>
  <c r="AS1349" i="1" s="1"/>
  <c r="AU1349" i="1" s="1"/>
  <c r="AP1349" i="1"/>
  <c r="AR1349" i="1" s="1"/>
  <c r="AT1349" i="1" s="1"/>
  <c r="AQ11" i="1"/>
  <c r="AS11" i="1" s="1"/>
  <c r="AU11" i="1" s="1"/>
  <c r="AP11" i="1"/>
  <c r="AR11" i="1" s="1"/>
  <c r="AT11" i="1" s="1"/>
  <c r="AP87" i="1"/>
  <c r="AR87" i="1" s="1"/>
  <c r="AT87" i="1" s="1"/>
  <c r="AQ87" i="1"/>
  <c r="AS87" i="1" s="1"/>
  <c r="AU87" i="1" s="1"/>
  <c r="AQ1158" i="1"/>
  <c r="AS1158" i="1" s="1"/>
  <c r="AU1158" i="1" s="1"/>
  <c r="AP1158" i="1"/>
  <c r="AR1158" i="1" s="1"/>
  <c r="AT1158" i="1" s="1"/>
  <c r="AR2347" i="1"/>
  <c r="AT2347" i="1" s="1"/>
  <c r="AR2348" i="1"/>
  <c r="AT2348" i="1" s="1"/>
  <c r="AP1455" i="1"/>
  <c r="AR1455" i="1" s="1"/>
  <c r="AT1455" i="1" s="1"/>
  <c r="AQ1455" i="1"/>
  <c r="AS1455" i="1" s="1"/>
  <c r="AU1455" i="1" s="1"/>
  <c r="AR1139" i="1"/>
  <c r="AT1139" i="1" s="1"/>
  <c r="AQ156" i="1"/>
  <c r="AS156" i="1" s="1"/>
  <c r="AU156" i="1" s="1"/>
  <c r="AP156" i="1"/>
  <c r="AR156" i="1" s="1"/>
  <c r="AT156" i="1" s="1"/>
  <c r="AP709" i="1"/>
  <c r="AR709" i="1" s="1"/>
  <c r="AT709" i="1" s="1"/>
  <c r="AQ709" i="1"/>
  <c r="AS709" i="1" s="1"/>
  <c r="AU709" i="1" s="1"/>
  <c r="AQ483" i="1"/>
  <c r="AS483" i="1" s="1"/>
  <c r="AU483" i="1" s="1"/>
  <c r="AP483" i="1"/>
  <c r="AR483" i="1" s="1"/>
  <c r="AT483" i="1" s="1"/>
  <c r="AS2437" i="1"/>
  <c r="AU2437" i="1" s="1"/>
  <c r="AS2438" i="1"/>
  <c r="AU2438" i="1" s="1"/>
  <c r="AR698" i="1"/>
  <c r="AT698" i="1" s="1"/>
  <c r="AQ301" i="1"/>
  <c r="AS301" i="1" s="1"/>
  <c r="AU301" i="1" s="1"/>
  <c r="AP301" i="1"/>
  <c r="AR301" i="1" s="1"/>
  <c r="AT301" i="1" s="1"/>
  <c r="AP399" i="1"/>
  <c r="AQ399" i="1"/>
  <c r="AS400" i="1" s="1"/>
  <c r="AU400" i="1" s="1"/>
  <c r="AP1112" i="1"/>
  <c r="AR1112" i="1" s="1"/>
  <c r="AT1112" i="1" s="1"/>
  <c r="AQ1112" i="1"/>
  <c r="AS1112" i="1" s="1"/>
  <c r="AU1112" i="1" s="1"/>
  <c r="AS2501" i="1"/>
  <c r="AU2501" i="1" s="1"/>
  <c r="AS2502" i="1"/>
  <c r="AU2502" i="1" s="1"/>
  <c r="AP1377" i="1"/>
  <c r="AR1377" i="1" s="1"/>
  <c r="AT1377" i="1" s="1"/>
  <c r="AQ1377" i="1"/>
  <c r="AS1377" i="1" s="1"/>
  <c r="AU1377" i="1" s="1"/>
  <c r="AP158" i="1"/>
  <c r="AR158" i="1" s="1"/>
  <c r="AT158" i="1" s="1"/>
  <c r="AQ158" i="1"/>
  <c r="AS158" i="1" s="1"/>
  <c r="AU158" i="1" s="1"/>
  <c r="AP401" i="1"/>
  <c r="AR401" i="1" s="1"/>
  <c r="AT401" i="1" s="1"/>
  <c r="AQ401" i="1"/>
  <c r="AS401" i="1" s="1"/>
  <c r="AU401" i="1" s="1"/>
  <c r="AP667" i="1"/>
  <c r="AR667" i="1" s="1"/>
  <c r="AT667" i="1" s="1"/>
  <c r="AQ667" i="1"/>
  <c r="AS667" i="1" s="1"/>
  <c r="AU667" i="1" s="1"/>
  <c r="AQ1270" i="1"/>
  <c r="AS1270" i="1" s="1"/>
  <c r="AU1270" i="1" s="1"/>
  <c r="AP1270" i="1"/>
  <c r="AR1270" i="1" s="1"/>
  <c r="AT1270" i="1" s="1"/>
  <c r="AS1651" i="1"/>
  <c r="AU1651" i="1" s="1"/>
  <c r="AR2329" i="1"/>
  <c r="AT2329" i="1" s="1"/>
  <c r="AR2330" i="1"/>
  <c r="AT2330" i="1" s="1"/>
  <c r="AP64" i="1"/>
  <c r="AR64" i="1" s="1"/>
  <c r="AT64" i="1" s="1"/>
  <c r="AQ64" i="1"/>
  <c r="AS64" i="1" s="1"/>
  <c r="AU64" i="1" s="1"/>
  <c r="AP1172" i="1"/>
  <c r="AR1172" i="1" s="1"/>
  <c r="AT1172" i="1" s="1"/>
  <c r="AQ1172" i="1"/>
  <c r="AS1172" i="1" s="1"/>
  <c r="AU1172" i="1" s="1"/>
  <c r="AQ718" i="1"/>
  <c r="AS718" i="1" s="1"/>
  <c r="AU718" i="1" s="1"/>
  <c r="AP718" i="1"/>
  <c r="AR718" i="1" s="1"/>
  <c r="AT718" i="1" s="1"/>
  <c r="AQ933" i="1"/>
  <c r="AS933" i="1" s="1"/>
  <c r="AU933" i="1" s="1"/>
  <c r="AP933" i="1"/>
  <c r="AR933" i="1" s="1"/>
  <c r="AT933" i="1" s="1"/>
  <c r="AQ1272" i="1"/>
  <c r="AS1272" i="1" s="1"/>
  <c r="AU1272" i="1" s="1"/>
  <c r="AP1272" i="1"/>
  <c r="AR1272" i="1" s="1"/>
  <c r="AT1272" i="1" s="1"/>
  <c r="AS1630" i="1"/>
  <c r="AU1630" i="1" s="1"/>
  <c r="AS1631" i="1"/>
  <c r="AU1631" i="1" s="1"/>
  <c r="AR2176" i="1"/>
  <c r="AT2176" i="1" s="1"/>
  <c r="AR1469" i="1"/>
  <c r="AT1469" i="1" s="1"/>
  <c r="AR1470" i="1"/>
  <c r="AT1470" i="1" s="1"/>
  <c r="AS1331" i="1"/>
  <c r="AU1331" i="1" s="1"/>
  <c r="AQ509" i="1"/>
  <c r="AS509" i="1" s="1"/>
  <c r="AU509" i="1" s="1"/>
  <c r="AP509" i="1"/>
  <c r="AR509" i="1" s="1"/>
  <c r="AT509" i="1" s="1"/>
  <c r="AQ710" i="1"/>
  <c r="AS710" i="1" s="1"/>
  <c r="AU710" i="1" s="1"/>
  <c r="AP710" i="1"/>
  <c r="AP1289" i="1"/>
  <c r="AQ1289" i="1"/>
  <c r="AQ514" i="1"/>
  <c r="AS514" i="1" s="1"/>
  <c r="AU514" i="1" s="1"/>
  <c r="AP514" i="1"/>
  <c r="AR514" i="1" s="1"/>
  <c r="AT514" i="1" s="1"/>
  <c r="AP378" i="1"/>
  <c r="AR379" i="1" s="1"/>
  <c r="AT379" i="1" s="1"/>
  <c r="AQ378" i="1"/>
  <c r="AQ203" i="1"/>
  <c r="AS203" i="1" s="1"/>
  <c r="AU203" i="1" s="1"/>
  <c r="AP203" i="1"/>
  <c r="AR203" i="1" s="1"/>
  <c r="AT203" i="1" s="1"/>
  <c r="AR512" i="1"/>
  <c r="AT512" i="1" s="1"/>
  <c r="AS492" i="1"/>
  <c r="AU492" i="1" s="1"/>
  <c r="AQ985" i="1"/>
  <c r="AS985" i="1" s="1"/>
  <c r="AU985" i="1" s="1"/>
  <c r="AP985" i="1"/>
  <c r="AR985" i="1" s="1"/>
  <c r="AT985" i="1" s="1"/>
  <c r="AP684" i="1"/>
  <c r="AR684" i="1" s="1"/>
  <c r="AT684" i="1" s="1"/>
  <c r="AQ684" i="1"/>
  <c r="AS684" i="1" s="1"/>
  <c r="AU684" i="1" s="1"/>
  <c r="AR1027" i="1"/>
  <c r="AT1027" i="1" s="1"/>
  <c r="AQ10" i="1"/>
  <c r="AP10" i="1"/>
  <c r="AR10" i="1" s="1"/>
  <c r="AT10" i="1" s="1"/>
  <c r="AQ928" i="1"/>
  <c r="AS928" i="1" s="1"/>
  <c r="AU928" i="1" s="1"/>
  <c r="AP928" i="1"/>
  <c r="AR928" i="1" s="1"/>
  <c r="AT928" i="1" s="1"/>
  <c r="AQ1288" i="1"/>
  <c r="AS1288" i="1" s="1"/>
  <c r="AU1288" i="1" s="1"/>
  <c r="AP1288" i="1"/>
  <c r="AR1288" i="1" s="1"/>
  <c r="AT1288" i="1" s="1"/>
  <c r="AP345" i="1"/>
  <c r="AR345" i="1" s="1"/>
  <c r="AT345" i="1" s="1"/>
  <c r="AQ345" i="1"/>
  <c r="AS345" i="1" s="1"/>
  <c r="AU345" i="1" s="1"/>
  <c r="AQ264" i="1"/>
  <c r="AP264" i="1"/>
  <c r="AR264" i="1" s="1"/>
  <c r="AT264" i="1" s="1"/>
  <c r="AQ1258" i="1"/>
  <c r="AS1258" i="1" s="1"/>
  <c r="AU1258" i="1" s="1"/>
  <c r="AP1258" i="1"/>
  <c r="AR1258" i="1" s="1"/>
  <c r="AT1258" i="1" s="1"/>
  <c r="AR1427" i="1"/>
  <c r="AT1427" i="1" s="1"/>
  <c r="AP25" i="1"/>
  <c r="AR25" i="1" s="1"/>
  <c r="AT25" i="1" s="1"/>
  <c r="AQ25" i="1"/>
  <c r="AS25" i="1" s="1"/>
  <c r="AU25" i="1" s="1"/>
  <c r="AP711" i="1"/>
  <c r="AR711" i="1" s="1"/>
  <c r="AT711" i="1" s="1"/>
  <c r="AQ711" i="1"/>
  <c r="AQ873" i="1"/>
  <c r="AS873" i="1" s="1"/>
  <c r="AU873" i="1" s="1"/>
  <c r="AP873" i="1"/>
  <c r="AR873" i="1" s="1"/>
  <c r="AT873" i="1" s="1"/>
  <c r="AQ1047" i="1"/>
  <c r="AS1047" i="1" s="1"/>
  <c r="AU1047" i="1" s="1"/>
  <c r="AP1047" i="1"/>
  <c r="AR1047" i="1" s="1"/>
  <c r="AT1047" i="1" s="1"/>
  <c r="AQ1352" i="1"/>
  <c r="AS1352" i="1" s="1"/>
  <c r="AU1352" i="1" s="1"/>
  <c r="AP1352" i="1"/>
  <c r="AR1352" i="1" s="1"/>
  <c r="AT1352" i="1" s="1"/>
  <c r="AQ1080" i="1"/>
  <c r="AP1080" i="1"/>
  <c r="AS1615" i="1"/>
  <c r="AU1615" i="1" s="1"/>
  <c r="AP806" i="1"/>
  <c r="AR806" i="1" s="1"/>
  <c r="AT806" i="1" s="1"/>
  <c r="AQ806" i="1"/>
  <c r="AS806" i="1" s="1"/>
  <c r="AU806" i="1" s="1"/>
  <c r="AQ298" i="1"/>
  <c r="AS298" i="1" s="1"/>
  <c r="AU298" i="1" s="1"/>
  <c r="AP298" i="1"/>
  <c r="AR298" i="1" s="1"/>
  <c r="AT298" i="1" s="1"/>
  <c r="AP638" i="1"/>
  <c r="AR638" i="1" s="1"/>
  <c r="AT638" i="1" s="1"/>
  <c r="AQ638" i="1"/>
  <c r="AS638" i="1" s="1"/>
  <c r="AU638" i="1" s="1"/>
  <c r="AR586" i="1"/>
  <c r="AT586" i="1" s="1"/>
  <c r="AR760" i="1"/>
  <c r="AT760" i="1" s="1"/>
  <c r="AR492" i="1"/>
  <c r="AT492" i="1" s="1"/>
  <c r="AP115" i="1"/>
  <c r="AR115" i="1" s="1"/>
  <c r="AT115" i="1" s="1"/>
  <c r="AQ115" i="1"/>
  <c r="AS115" i="1" s="1"/>
  <c r="AU115" i="1" s="1"/>
  <c r="AP366" i="1"/>
  <c r="AR366" i="1" s="1"/>
  <c r="AT366" i="1" s="1"/>
  <c r="AQ366" i="1"/>
  <c r="AS366" i="1" s="1"/>
  <c r="AU366" i="1" s="1"/>
  <c r="AR208" i="1"/>
  <c r="AT208" i="1" s="1"/>
  <c r="AR449" i="1"/>
  <c r="AT449" i="1" s="1"/>
  <c r="AR121" i="1"/>
  <c r="AT121" i="1" s="1"/>
  <c r="AP112" i="1"/>
  <c r="AQ112" i="1"/>
  <c r="AS112" i="1" s="1"/>
  <c r="AU112" i="1" s="1"/>
  <c r="AQ620" i="1"/>
  <c r="AS620" i="1" s="1"/>
  <c r="AU620" i="1" s="1"/>
  <c r="AP620" i="1"/>
  <c r="AR620" i="1" s="1"/>
  <c r="AT620" i="1" s="1"/>
  <c r="AQ1193" i="1"/>
  <c r="AS1193" i="1" s="1"/>
  <c r="AU1193" i="1" s="1"/>
  <c r="AP1193" i="1"/>
  <c r="AR1193" i="1" s="1"/>
  <c r="AT1193" i="1" s="1"/>
  <c r="AQ337" i="1"/>
  <c r="AS337" i="1" s="1"/>
  <c r="AU337" i="1" s="1"/>
  <c r="AP337" i="1"/>
  <c r="AR337" i="1" s="1"/>
  <c r="AT337" i="1" s="1"/>
  <c r="AS27" i="1"/>
  <c r="AU27" i="1" s="1"/>
  <c r="AQ502" i="1"/>
  <c r="AS502" i="1" s="1"/>
  <c r="AU502" i="1" s="1"/>
  <c r="AP502" i="1"/>
  <c r="AR502" i="1" s="1"/>
  <c r="AT502" i="1" s="1"/>
  <c r="AQ497" i="1"/>
  <c r="AS497" i="1" s="1"/>
  <c r="AU497" i="1" s="1"/>
  <c r="AP497" i="1"/>
  <c r="AR497" i="1" s="1"/>
  <c r="AT497" i="1" s="1"/>
  <c r="AQ377" i="1"/>
  <c r="AS377" i="1" s="1"/>
  <c r="AU377" i="1" s="1"/>
  <c r="AP377" i="1"/>
  <c r="AR377" i="1" s="1"/>
  <c r="AT377" i="1" s="1"/>
  <c r="AQ214" i="1"/>
  <c r="AS214" i="1" s="1"/>
  <c r="AU214" i="1" s="1"/>
  <c r="AP214" i="1"/>
  <c r="AR214" i="1" s="1"/>
  <c r="AT214" i="1" s="1"/>
  <c r="AQ1248" i="1"/>
  <c r="AS1248" i="1" s="1"/>
  <c r="AU1248" i="1" s="1"/>
  <c r="AP1248" i="1"/>
  <c r="AR1248" i="1" s="1"/>
  <c r="AT1248" i="1" s="1"/>
  <c r="AQ1434" i="1"/>
  <c r="AP1434" i="1"/>
  <c r="AS1573" i="1"/>
  <c r="AU1573" i="1" s="1"/>
  <c r="AP429" i="1"/>
  <c r="AQ429" i="1"/>
  <c r="AP1361" i="1"/>
  <c r="AR1361" i="1" s="1"/>
  <c r="AT1361" i="1" s="1"/>
  <c r="AQ1361" i="1"/>
  <c r="AS1361" i="1" s="1"/>
  <c r="AU1361" i="1" s="1"/>
  <c r="AS1612" i="1"/>
  <c r="AU1612" i="1" s="1"/>
  <c r="AP398" i="1"/>
  <c r="AQ398" i="1"/>
  <c r="AR536" i="1"/>
  <c r="AT536" i="1" s="1"/>
  <c r="AQ1215" i="1"/>
  <c r="AS1215" i="1" s="1"/>
  <c r="AU1215" i="1" s="1"/>
  <c r="AP1215" i="1"/>
  <c r="AQ941" i="1"/>
  <c r="AS941" i="1" s="1"/>
  <c r="AU941" i="1" s="1"/>
  <c r="AP941" i="1"/>
  <c r="AR941" i="1" s="1"/>
  <c r="AT941" i="1" s="1"/>
  <c r="AP1438" i="1"/>
  <c r="AR1438" i="1" s="1"/>
  <c r="AT1438" i="1" s="1"/>
  <c r="AQ1438" i="1"/>
  <c r="AS1438" i="1" s="1"/>
  <c r="AU1438" i="1" s="1"/>
  <c r="AS2184" i="1"/>
  <c r="AU2184" i="1" s="1"/>
  <c r="AS1427" i="1"/>
  <c r="AU1427" i="1" s="1"/>
  <c r="AR1040" i="1"/>
  <c r="AT1040" i="1" s="1"/>
  <c r="AP1512" i="1"/>
  <c r="AR1512" i="1" s="1"/>
  <c r="AT1512" i="1" s="1"/>
  <c r="AQ1512" i="1"/>
  <c r="AS1512" i="1" s="1"/>
  <c r="AU1512" i="1" s="1"/>
  <c r="AS153" i="1"/>
  <c r="AU153" i="1" s="1"/>
  <c r="AQ438" i="1"/>
  <c r="AP438" i="1"/>
  <c r="AR438" i="1" s="1"/>
  <c r="AT438" i="1" s="1"/>
  <c r="AQ1178" i="1"/>
  <c r="AS1178" i="1" s="1"/>
  <c r="AU1178" i="1" s="1"/>
  <c r="AP1178" i="1"/>
  <c r="AR1178" i="1" s="1"/>
  <c r="AT1178" i="1" s="1"/>
  <c r="AR1991" i="1"/>
  <c r="AT1991" i="1" s="1"/>
  <c r="AQ1409" i="1"/>
  <c r="AP1409" i="1"/>
  <c r="AP826" i="1"/>
  <c r="AQ826" i="1"/>
  <c r="AS826" i="1" s="1"/>
  <c r="AU826" i="1" s="1"/>
  <c r="AP1353" i="1"/>
  <c r="AR1353" i="1" s="1"/>
  <c r="AT1353" i="1" s="1"/>
  <c r="AQ1353" i="1"/>
  <c r="AP92" i="1"/>
  <c r="AR92" i="1" s="1"/>
  <c r="AT92" i="1" s="1"/>
  <c r="AQ92" i="1"/>
  <c r="AS92" i="1" s="1"/>
  <c r="AU92" i="1" s="1"/>
  <c r="AR473" i="1"/>
  <c r="AT473" i="1" s="1"/>
  <c r="AR955" i="1"/>
  <c r="AT955" i="1" s="1"/>
  <c r="AR1157" i="1"/>
  <c r="AT1157" i="1" s="1"/>
  <c r="AP104" i="1"/>
  <c r="AR104" i="1" s="1"/>
  <c r="AT104" i="1" s="1"/>
  <c r="AQ104" i="1"/>
  <c r="AS104" i="1" s="1"/>
  <c r="AU104" i="1" s="1"/>
  <c r="AS738" i="1"/>
  <c r="AU738" i="1" s="1"/>
  <c r="AP1063" i="1"/>
  <c r="AR1063" i="1" s="1"/>
  <c r="AT1063" i="1" s="1"/>
  <c r="AQ1063" i="1"/>
  <c r="AS1063" i="1" s="1"/>
  <c r="AU1063" i="1" s="1"/>
  <c r="AP132" i="1"/>
  <c r="AR132" i="1" s="1"/>
  <c r="AT132" i="1" s="1"/>
  <c r="AQ132" i="1"/>
  <c r="AS132" i="1" s="1"/>
  <c r="AU132" i="1" s="1"/>
  <c r="AS650" i="1"/>
  <c r="AU650" i="1" s="1"/>
  <c r="AS925" i="1"/>
  <c r="AU925" i="1" s="1"/>
  <c r="AR872" i="1"/>
  <c r="AT872" i="1" s="1"/>
  <c r="AR273" i="1"/>
  <c r="AT273" i="1" s="1"/>
  <c r="AR400" i="1"/>
  <c r="AT400" i="1" s="1"/>
  <c r="AQ819" i="1"/>
  <c r="AS819" i="1" s="1"/>
  <c r="AU819" i="1" s="1"/>
  <c r="AP819" i="1"/>
  <c r="AR819" i="1" s="1"/>
  <c r="AT819" i="1" s="1"/>
  <c r="AR412" i="1"/>
  <c r="AT412" i="1" s="1"/>
  <c r="AQ249" i="1"/>
  <c r="AS249" i="1" s="1"/>
  <c r="AU249" i="1" s="1"/>
  <c r="AP249" i="1"/>
  <c r="AR249" i="1" s="1"/>
  <c r="AT249" i="1" s="1"/>
  <c r="AP519" i="1"/>
  <c r="AR519" i="1" s="1"/>
  <c r="AT519" i="1" s="1"/>
  <c r="AQ519" i="1"/>
  <c r="AS519" i="1" s="1"/>
  <c r="AU519" i="1" s="1"/>
  <c r="AS1938" i="1"/>
  <c r="AU1938" i="1" s="1"/>
  <c r="AS1939" i="1"/>
  <c r="AU1939" i="1" s="1"/>
  <c r="AP83" i="1"/>
  <c r="AR83" i="1" s="1"/>
  <c r="AT83" i="1" s="1"/>
  <c r="AQ83" i="1"/>
  <c r="AS83" i="1" s="1"/>
  <c r="AU83" i="1" s="1"/>
  <c r="AQ475" i="1"/>
  <c r="AS475" i="1" s="1"/>
  <c r="AU475" i="1" s="1"/>
  <c r="AP475" i="1"/>
  <c r="AR475" i="1" s="1"/>
  <c r="AT475" i="1" s="1"/>
  <c r="AR1910" i="1"/>
  <c r="AT1910" i="1" s="1"/>
  <c r="AR2325" i="1"/>
  <c r="AT2325" i="1" s="1"/>
  <c r="AR1316" i="1"/>
  <c r="AT1316" i="1" s="1"/>
  <c r="AR1517" i="1"/>
  <c r="AT1517" i="1" s="1"/>
  <c r="AP88" i="1"/>
  <c r="AR88" i="1" s="1"/>
  <c r="AT88" i="1" s="1"/>
  <c r="AQ88" i="1"/>
  <c r="AS88" i="1" s="1"/>
  <c r="AU88" i="1" s="1"/>
  <c r="AQ972" i="1"/>
  <c r="AS972" i="1" s="1"/>
  <c r="AU972" i="1" s="1"/>
  <c r="AP972" i="1"/>
  <c r="AR972" i="1" s="1"/>
  <c r="AT972" i="1" s="1"/>
  <c r="AS2339" i="1"/>
  <c r="AU2339" i="1" s="1"/>
  <c r="AQ1371" i="1"/>
  <c r="AS1371" i="1" s="1"/>
  <c r="AU1371" i="1" s="1"/>
  <c r="AP1371" i="1"/>
  <c r="AP617" i="1"/>
  <c r="AR617" i="1" s="1"/>
  <c r="AT617" i="1" s="1"/>
  <c r="AQ617" i="1"/>
  <c r="AS617" i="1" s="1"/>
  <c r="AU617" i="1" s="1"/>
  <c r="AQ790" i="1"/>
  <c r="AS790" i="1" s="1"/>
  <c r="AU790" i="1" s="1"/>
  <c r="AP790" i="1"/>
  <c r="AR790" i="1" s="1"/>
  <c r="AT790" i="1" s="1"/>
  <c r="AR1613" i="1"/>
  <c r="AT1613" i="1" s="1"/>
  <c r="AP1311" i="1"/>
  <c r="AR1311" i="1" s="1"/>
  <c r="AT1311" i="1" s="1"/>
  <c r="AQ1311" i="1"/>
  <c r="AS1311" i="1" s="1"/>
  <c r="AU1311" i="1" s="1"/>
  <c r="AS1464" i="1"/>
  <c r="AU1464" i="1" s="1"/>
  <c r="AQ1138" i="1"/>
  <c r="AS1138" i="1" s="1"/>
  <c r="AU1138" i="1" s="1"/>
  <c r="AP1138" i="1"/>
  <c r="AR1138" i="1" s="1"/>
  <c r="AT1138" i="1" s="1"/>
  <c r="AQ1476" i="1"/>
  <c r="AS1476" i="1" s="1"/>
  <c r="AU1476" i="1" s="1"/>
  <c r="AP1476" i="1"/>
  <c r="AR1476" i="1" s="1"/>
  <c r="AT1476" i="1" s="1"/>
  <c r="AQ207" i="1"/>
  <c r="AS207" i="1" s="1"/>
  <c r="AU207" i="1" s="1"/>
  <c r="AP207" i="1"/>
  <c r="AR207" i="1" s="1"/>
  <c r="AT207" i="1" s="1"/>
  <c r="AP808" i="1"/>
  <c r="AR808" i="1" s="1"/>
  <c r="AT808" i="1" s="1"/>
  <c r="AQ808" i="1"/>
  <c r="AS808" i="1" s="1"/>
  <c r="AU808" i="1" s="1"/>
  <c r="AP937" i="1"/>
  <c r="AR937" i="1" s="1"/>
  <c r="AT937" i="1" s="1"/>
  <c r="AQ937" i="1"/>
  <c r="AS937" i="1" s="1"/>
  <c r="AU937" i="1" s="1"/>
  <c r="AQ346" i="1"/>
  <c r="AS346" i="1" s="1"/>
  <c r="AU346" i="1" s="1"/>
  <c r="AP346" i="1"/>
  <c r="AS473" i="1"/>
  <c r="AU473" i="1" s="1"/>
  <c r="AS955" i="1"/>
  <c r="AU955" i="1" s="1"/>
  <c r="AP938" i="1"/>
  <c r="AQ938" i="1"/>
  <c r="AQ288" i="1"/>
  <c r="AS288" i="1" s="1"/>
  <c r="AU288" i="1" s="1"/>
  <c r="AP288" i="1"/>
  <c r="AR288" i="1" s="1"/>
  <c r="AT288" i="1" s="1"/>
  <c r="AQ427" i="1"/>
  <c r="AS427" i="1" s="1"/>
  <c r="AU427" i="1" s="1"/>
  <c r="AP427" i="1"/>
  <c r="AR427" i="1" s="1"/>
  <c r="AT427" i="1" s="1"/>
  <c r="AQ887" i="1"/>
  <c r="AS887" i="1" s="1"/>
  <c r="AU887" i="1" s="1"/>
  <c r="AP887" i="1"/>
  <c r="AR887" i="1" s="1"/>
  <c r="AT887" i="1" s="1"/>
  <c r="AQ213" i="1"/>
  <c r="AS213" i="1" s="1"/>
  <c r="AU213" i="1" s="1"/>
  <c r="AP213" i="1"/>
  <c r="AR213" i="1" s="1"/>
  <c r="AT213" i="1" s="1"/>
  <c r="AS872" i="1"/>
  <c r="AU872" i="1" s="1"/>
  <c r="AR118" i="1"/>
  <c r="AT118" i="1" s="1"/>
  <c r="AR237" i="1"/>
  <c r="AT237" i="1" s="1"/>
  <c r="AQ101" i="1"/>
  <c r="AS101" i="1" s="1"/>
  <c r="AU101" i="1" s="1"/>
  <c r="AP101" i="1"/>
  <c r="AR101" i="1" s="1"/>
  <c r="AT101" i="1" s="1"/>
  <c r="AP159" i="1"/>
  <c r="AR159" i="1" s="1"/>
  <c r="AT159" i="1" s="1"/>
  <c r="AQ159" i="1"/>
  <c r="AS159" i="1" s="1"/>
  <c r="AU159" i="1" s="1"/>
  <c r="AP123" i="1"/>
  <c r="AR123" i="1" s="1"/>
  <c r="AT123" i="1" s="1"/>
  <c r="AQ123" i="1"/>
  <c r="AQ590" i="1"/>
  <c r="AS590" i="1" s="1"/>
  <c r="AU590" i="1" s="1"/>
  <c r="AP590" i="1"/>
  <c r="AR590" i="1" s="1"/>
  <c r="AT590" i="1" s="1"/>
  <c r="AQ719" i="1"/>
  <c r="AS719" i="1" s="1"/>
  <c r="AU719" i="1" s="1"/>
  <c r="AP719" i="1"/>
  <c r="AR719" i="1" s="1"/>
  <c r="AT719" i="1" s="1"/>
  <c r="AQ900" i="1"/>
  <c r="AS900" i="1" s="1"/>
  <c r="AU900" i="1" s="1"/>
  <c r="AP900" i="1"/>
  <c r="AR900" i="1" s="1"/>
  <c r="AT900" i="1" s="1"/>
  <c r="AP961" i="1"/>
  <c r="AR961" i="1" s="1"/>
  <c r="AT961" i="1" s="1"/>
  <c r="AQ961" i="1"/>
  <c r="AS961" i="1" s="1"/>
  <c r="AU961" i="1" s="1"/>
  <c r="AP856" i="1"/>
  <c r="AR856" i="1" s="1"/>
  <c r="AT856" i="1" s="1"/>
  <c r="AQ856" i="1"/>
  <c r="AS856" i="1" s="1"/>
  <c r="AU856" i="1" s="1"/>
  <c r="AQ1295" i="1"/>
  <c r="AS1296" i="1" s="1"/>
  <c r="AU1296" i="1" s="1"/>
  <c r="AP1295" i="1"/>
  <c r="AP1014" i="1"/>
  <c r="AR1014" i="1" s="1"/>
  <c r="AT1014" i="1" s="1"/>
  <c r="AQ1014" i="1"/>
  <c r="AS1014" i="1" s="1"/>
  <c r="AU1014" i="1" s="1"/>
  <c r="AQ1060" i="1"/>
  <c r="AS1060" i="1" s="1"/>
  <c r="AU1060" i="1" s="1"/>
  <c r="AP1060" i="1"/>
  <c r="AR1060" i="1" s="1"/>
  <c r="AT1060" i="1" s="1"/>
  <c r="AP1392" i="1"/>
  <c r="AQ1392" i="1"/>
  <c r="AQ737" i="1"/>
  <c r="AS737" i="1" s="1"/>
  <c r="AU737" i="1" s="1"/>
  <c r="AP737" i="1"/>
  <c r="AR737" i="1" s="1"/>
  <c r="AT737" i="1" s="1"/>
  <c r="AP1254" i="1"/>
  <c r="AR1254" i="1" s="1"/>
  <c r="AT1254" i="1" s="1"/>
  <c r="AQ1254" i="1"/>
  <c r="AS1254" i="1" s="1"/>
  <c r="AU1254" i="1" s="1"/>
  <c r="AS1670" i="1"/>
  <c r="AU1670" i="1" s="1"/>
  <c r="AS1671" i="1"/>
  <c r="AU1671" i="1" s="1"/>
  <c r="AR2112" i="1"/>
  <c r="AT2112" i="1" s="1"/>
  <c r="AS2020" i="1"/>
  <c r="AU2020" i="1" s="1"/>
  <c r="AR2193" i="1"/>
  <c r="AT2193" i="1" s="1"/>
  <c r="AR2337" i="1"/>
  <c r="AT2337" i="1" s="1"/>
  <c r="AS2481" i="1"/>
  <c r="AU2481" i="1" s="1"/>
  <c r="AS1919" i="1"/>
  <c r="AU1919" i="1" s="1"/>
  <c r="AS2500" i="1"/>
  <c r="AU2500" i="1" s="1"/>
  <c r="AQ827" i="1"/>
  <c r="AS827" i="1" s="1"/>
  <c r="AU827" i="1" s="1"/>
  <c r="AP827" i="1"/>
  <c r="AR827" i="1" s="1"/>
  <c r="AT827" i="1" s="1"/>
  <c r="AR1621" i="1"/>
  <c r="AT1621" i="1" s="1"/>
  <c r="AS1665" i="1"/>
  <c r="AU1665" i="1" s="1"/>
  <c r="AS1944" i="1"/>
  <c r="AU1944" i="1" s="1"/>
  <c r="AR1067" i="1"/>
  <c r="AT1067" i="1" s="1"/>
  <c r="AS1129" i="1"/>
  <c r="AU1129" i="1" s="1"/>
  <c r="AP144" i="1"/>
  <c r="AR144" i="1" s="1"/>
  <c r="AT144" i="1" s="1"/>
  <c r="AQ144" i="1"/>
  <c r="AS144" i="1" s="1"/>
  <c r="AU144" i="1" s="1"/>
  <c r="AP316" i="1"/>
  <c r="AR316" i="1" s="1"/>
  <c r="AT316" i="1" s="1"/>
  <c r="AQ316" i="1"/>
  <c r="AS316" i="1" s="1"/>
  <c r="AU316" i="1" s="1"/>
  <c r="AQ490" i="1"/>
  <c r="AS490" i="1" s="1"/>
  <c r="AU490" i="1" s="1"/>
  <c r="AP490" i="1"/>
  <c r="AP612" i="1"/>
  <c r="AQ612" i="1"/>
  <c r="AQ278" i="1"/>
  <c r="AS278" i="1" s="1"/>
  <c r="AU278" i="1" s="1"/>
  <c r="AP278" i="1"/>
  <c r="AR278" i="1" s="1"/>
  <c r="AT278" i="1" s="1"/>
  <c r="AP431" i="1"/>
  <c r="AR431" i="1" s="1"/>
  <c r="AT431" i="1" s="1"/>
  <c r="AQ431" i="1"/>
  <c r="AQ913" i="1"/>
  <c r="AS913" i="1" s="1"/>
  <c r="AU913" i="1" s="1"/>
  <c r="AP913" i="1"/>
  <c r="AR913" i="1" s="1"/>
  <c r="AT913" i="1" s="1"/>
  <c r="AQ800" i="1"/>
  <c r="AS800" i="1" s="1"/>
  <c r="AU800" i="1" s="1"/>
  <c r="AP800" i="1"/>
  <c r="AR800" i="1" s="1"/>
  <c r="AT800" i="1" s="1"/>
  <c r="AQ1128" i="1"/>
  <c r="AS1128" i="1" s="1"/>
  <c r="AU1128" i="1" s="1"/>
  <c r="AP1128" i="1"/>
  <c r="AR1129" i="1" s="1"/>
  <c r="AT1129" i="1" s="1"/>
  <c r="AQ1051" i="1"/>
  <c r="AS1051" i="1" s="1"/>
  <c r="AU1051" i="1" s="1"/>
  <c r="AP1051" i="1"/>
  <c r="AR1051" i="1" s="1"/>
  <c r="AT1051" i="1" s="1"/>
  <c r="AQ1251" i="1"/>
  <c r="AS1251" i="1" s="1"/>
  <c r="AU1251" i="1" s="1"/>
  <c r="AP1251" i="1"/>
  <c r="AR1251" i="1" s="1"/>
  <c r="AT1251" i="1" s="1"/>
  <c r="AQ1492" i="1"/>
  <c r="AS1492" i="1" s="1"/>
  <c r="AU1492" i="1" s="1"/>
  <c r="AP1492" i="1"/>
  <c r="AR1492" i="1" s="1"/>
  <c r="AT1492" i="1" s="1"/>
  <c r="AP741" i="1"/>
  <c r="AR741" i="1" s="1"/>
  <c r="AT741" i="1" s="1"/>
  <c r="AQ741" i="1"/>
  <c r="AS741" i="1" s="1"/>
  <c r="AU741" i="1" s="1"/>
  <c r="AQ1252" i="1"/>
  <c r="AP1252" i="1"/>
  <c r="AQ1454" i="1"/>
  <c r="AS1454" i="1" s="1"/>
  <c r="AU1454" i="1" s="1"/>
  <c r="AP1454" i="1"/>
  <c r="AR1454" i="1" s="1"/>
  <c r="AT1454" i="1" s="1"/>
  <c r="AQ1177" i="1"/>
  <c r="AS1177" i="1" s="1"/>
  <c r="AU1177" i="1" s="1"/>
  <c r="AP1177" i="1"/>
  <c r="AR1177" i="1" s="1"/>
  <c r="AT1177" i="1" s="1"/>
  <c r="AS1879" i="1"/>
  <c r="AU1879" i="1" s="1"/>
  <c r="AS1880" i="1"/>
  <c r="AU1880" i="1" s="1"/>
  <c r="AS1968" i="1"/>
  <c r="AU1968" i="1" s="1"/>
  <c r="AS2118" i="1"/>
  <c r="AU2118" i="1" s="1"/>
  <c r="AS2312" i="1"/>
  <c r="AU2312" i="1" s="1"/>
  <c r="AS2313" i="1"/>
  <c r="AU2313" i="1" s="1"/>
  <c r="AR2478" i="1"/>
  <c r="AT2478" i="1" s="1"/>
  <c r="AR2031" i="1"/>
  <c r="AT2031" i="1" s="1"/>
  <c r="AR2196" i="1"/>
  <c r="AT2196" i="1" s="1"/>
  <c r="AR2335" i="1"/>
  <c r="AT2335" i="1" s="1"/>
  <c r="AS2490" i="1"/>
  <c r="AU2490" i="1" s="1"/>
  <c r="AQ1066" i="1"/>
  <c r="AS1066" i="1" s="1"/>
  <c r="AU1066" i="1" s="1"/>
  <c r="AP1066" i="1"/>
  <c r="AR2049" i="1"/>
  <c r="AT2049" i="1" s="1"/>
  <c r="AS1447" i="1"/>
  <c r="AU1447" i="1" s="1"/>
  <c r="AR2452" i="1"/>
  <c r="AT2452" i="1" s="1"/>
  <c r="AS1238" i="1"/>
  <c r="AU1238" i="1" s="1"/>
  <c r="AQ750" i="1"/>
  <c r="AS750" i="1" s="1"/>
  <c r="AU750" i="1" s="1"/>
  <c r="AP750" i="1"/>
  <c r="AR750" i="1" s="1"/>
  <c r="AT750" i="1" s="1"/>
  <c r="AR1982" i="1"/>
  <c r="AT1982" i="1" s="1"/>
  <c r="AS1218" i="1"/>
  <c r="AU1218" i="1" s="1"/>
  <c r="AP79" i="1"/>
  <c r="AR79" i="1" s="1"/>
  <c r="AT79" i="1" s="1"/>
  <c r="AQ79" i="1"/>
  <c r="AS79" i="1" s="1"/>
  <c r="AU79" i="1" s="1"/>
  <c r="AP353" i="1"/>
  <c r="AQ353" i="1"/>
  <c r="AS353" i="1" s="1"/>
  <c r="AU353" i="1" s="1"/>
  <c r="AQ16" i="1"/>
  <c r="AS16" i="1" s="1"/>
  <c r="AU16" i="1" s="1"/>
  <c r="AP16" i="1"/>
  <c r="AR16" i="1" s="1"/>
  <c r="AT16" i="1" s="1"/>
  <c r="AQ623" i="1"/>
  <c r="AS623" i="1" s="1"/>
  <c r="AU623" i="1" s="1"/>
  <c r="AP623" i="1"/>
  <c r="AR623" i="1" s="1"/>
  <c r="AT623" i="1" s="1"/>
  <c r="AP678" i="1"/>
  <c r="AR678" i="1" s="1"/>
  <c r="AT678" i="1" s="1"/>
  <c r="AQ678" i="1"/>
  <c r="AS678" i="1" s="1"/>
  <c r="AU678" i="1" s="1"/>
  <c r="AQ885" i="1"/>
  <c r="AS885" i="1" s="1"/>
  <c r="AU885" i="1" s="1"/>
  <c r="AP885" i="1"/>
  <c r="AP582" i="1"/>
  <c r="AR583" i="1" s="1"/>
  <c r="AT583" i="1" s="1"/>
  <c r="AQ582" i="1"/>
  <c r="AS583" i="1" s="1"/>
  <c r="AU583" i="1" s="1"/>
  <c r="AQ1168" i="1"/>
  <c r="AP1168" i="1"/>
  <c r="AR1168" i="1" s="1"/>
  <c r="AT1168" i="1" s="1"/>
  <c r="AQ956" i="1"/>
  <c r="AS956" i="1" s="1"/>
  <c r="AU956" i="1" s="1"/>
  <c r="AP956" i="1"/>
  <c r="AR956" i="1" s="1"/>
  <c r="AT956" i="1" s="1"/>
  <c r="AP1079" i="1"/>
  <c r="AR1079" i="1" s="1"/>
  <c r="AT1079" i="1" s="1"/>
  <c r="AQ1079" i="1"/>
  <c r="AS1079" i="1" s="1"/>
  <c r="AU1079" i="1" s="1"/>
  <c r="AR1173" i="1"/>
  <c r="AT1173" i="1" s="1"/>
  <c r="AR767" i="1"/>
  <c r="AT767" i="1" s="1"/>
  <c r="AP1444" i="1"/>
  <c r="AR1444" i="1" s="1"/>
  <c r="AT1444" i="1" s="1"/>
  <c r="AQ1444" i="1"/>
  <c r="AS2289" i="1"/>
  <c r="AU2289" i="1" s="1"/>
  <c r="AR2267" i="1"/>
  <c r="AT2267" i="1" s="1"/>
  <c r="AR1891" i="1"/>
  <c r="AT1891" i="1" s="1"/>
  <c r="AS2307" i="1"/>
  <c r="AU2307" i="1" s="1"/>
  <c r="AS1560" i="1"/>
  <c r="AU1560" i="1" s="1"/>
  <c r="AS2047" i="1"/>
  <c r="AU2047" i="1" s="1"/>
  <c r="AQ1431" i="1"/>
  <c r="AS1431" i="1" s="1"/>
  <c r="AU1431" i="1" s="1"/>
  <c r="AP1431" i="1"/>
  <c r="AR1431" i="1" s="1"/>
  <c r="AT1431" i="1" s="1"/>
  <c r="AS2045" i="1"/>
  <c r="AU2045" i="1" s="1"/>
  <c r="AS2491" i="1"/>
  <c r="AU2491" i="1" s="1"/>
  <c r="AQ770" i="1"/>
  <c r="AS770" i="1" s="1"/>
  <c r="AU770" i="1" s="1"/>
  <c r="AP770" i="1"/>
  <c r="AR770" i="1" s="1"/>
  <c r="AT770" i="1" s="1"/>
  <c r="AS1580" i="1"/>
  <c r="AU1580" i="1" s="1"/>
  <c r="AR1655" i="1"/>
  <c r="AT1655" i="1" s="1"/>
  <c r="AP1494" i="1"/>
  <c r="AR1494" i="1" s="1"/>
  <c r="AT1494" i="1" s="1"/>
  <c r="AQ1494" i="1"/>
  <c r="AS1494" i="1" s="1"/>
  <c r="AU1494" i="1" s="1"/>
  <c r="AR2281" i="1"/>
  <c r="AT2281" i="1" s="1"/>
  <c r="AP1386" i="1"/>
  <c r="AR1386" i="1" s="1"/>
  <c r="AT1386" i="1" s="1"/>
  <c r="AQ1386" i="1"/>
  <c r="AS1386" i="1" s="1"/>
  <c r="AU1386" i="1" s="1"/>
  <c r="AR1588" i="1"/>
  <c r="AT1588" i="1" s="1"/>
  <c r="AS1992" i="1"/>
  <c r="AU1992" i="1" s="1"/>
  <c r="AQ225" i="1"/>
  <c r="AS225" i="1" s="1"/>
  <c r="AU225" i="1" s="1"/>
  <c r="AP225" i="1"/>
  <c r="AR225" i="1" s="1"/>
  <c r="AT225" i="1" s="1"/>
  <c r="AP89" i="1"/>
  <c r="AR89" i="1" s="1"/>
  <c r="AT89" i="1" s="1"/>
  <c r="AQ89" i="1"/>
  <c r="AS89" i="1" s="1"/>
  <c r="AU89" i="1" s="1"/>
  <c r="AS48" i="1"/>
  <c r="AU48" i="1" s="1"/>
  <c r="AS148" i="1"/>
  <c r="AU148" i="1" s="1"/>
  <c r="AP503" i="1"/>
  <c r="AR503" i="1" s="1"/>
  <c r="AT503" i="1" s="1"/>
  <c r="AQ503" i="1"/>
  <c r="AS503" i="1" s="1"/>
  <c r="AU503" i="1" s="1"/>
  <c r="AQ409" i="1"/>
  <c r="AP409" i="1"/>
  <c r="AS765" i="1"/>
  <c r="AU765" i="1" s="1"/>
  <c r="AQ957" i="1"/>
  <c r="AS957" i="1" s="1"/>
  <c r="AU957" i="1" s="1"/>
  <c r="AP957" i="1"/>
  <c r="AR957" i="1" s="1"/>
  <c r="AT957" i="1" s="1"/>
  <c r="AQ504" i="1"/>
  <c r="AS504" i="1" s="1"/>
  <c r="AU504" i="1" s="1"/>
  <c r="AP504" i="1"/>
  <c r="AS1171" i="1"/>
  <c r="AU1171" i="1" s="1"/>
  <c r="AR1102" i="1"/>
  <c r="AT1102" i="1" s="1"/>
  <c r="AS1663" i="1"/>
  <c r="AU1663" i="1" s="1"/>
  <c r="AS2234" i="1"/>
  <c r="AU2234" i="1" s="1"/>
  <c r="AP291" i="1"/>
  <c r="AR291" i="1" s="1"/>
  <c r="AT291" i="1" s="1"/>
  <c r="AQ291" i="1"/>
  <c r="AS291" i="1" s="1"/>
  <c r="AU291" i="1" s="1"/>
  <c r="AQ177" i="1"/>
  <c r="AS177" i="1" s="1"/>
  <c r="AU177" i="1" s="1"/>
  <c r="AP177" i="1"/>
  <c r="AR177" i="1" s="1"/>
  <c r="AT177" i="1" s="1"/>
  <c r="AQ263" i="1"/>
  <c r="AS263" i="1" s="1"/>
  <c r="AU263" i="1" s="1"/>
  <c r="AP263" i="1"/>
  <c r="AR263" i="1" s="1"/>
  <c r="AT263" i="1" s="1"/>
  <c r="AP57" i="1"/>
  <c r="AR58" i="1" s="1"/>
  <c r="AT58" i="1" s="1"/>
  <c r="AQ57" i="1"/>
  <c r="AS615" i="1"/>
  <c r="AU615" i="1" s="1"/>
  <c r="AS708" i="1"/>
  <c r="AU708" i="1" s="1"/>
  <c r="AQ560" i="1"/>
  <c r="AS560" i="1" s="1"/>
  <c r="AU560" i="1" s="1"/>
  <c r="AP560" i="1"/>
  <c r="AR560" i="1" s="1"/>
  <c r="AT560" i="1" s="1"/>
  <c r="AP547" i="1"/>
  <c r="AR547" i="1" s="1"/>
  <c r="AT547" i="1" s="1"/>
  <c r="AQ547" i="1"/>
  <c r="AS547" i="1" s="1"/>
  <c r="AU547" i="1" s="1"/>
  <c r="AP487" i="1"/>
  <c r="AR487" i="1" s="1"/>
  <c r="AT487" i="1" s="1"/>
  <c r="AQ487" i="1"/>
  <c r="AS487" i="1" s="1"/>
  <c r="AU487" i="1" s="1"/>
  <c r="AR967" i="1"/>
  <c r="AT967" i="1" s="1"/>
  <c r="AS607" i="1"/>
  <c r="AU607" i="1" s="1"/>
  <c r="AR851" i="1"/>
  <c r="AT851" i="1" s="1"/>
  <c r="AR876" i="1"/>
  <c r="AT876" i="1" s="1"/>
  <c r="AS300" i="1"/>
  <c r="AU300" i="1" s="1"/>
  <c r="AP266" i="1"/>
  <c r="AR266" i="1" s="1"/>
  <c r="AT266" i="1" s="1"/>
  <c r="AQ266" i="1"/>
  <c r="AS266" i="1" s="1"/>
  <c r="AU266" i="1" s="1"/>
  <c r="AR274" i="1"/>
  <c r="AT274" i="1" s="1"/>
  <c r="AQ169" i="1"/>
  <c r="AP169" i="1"/>
  <c r="AP636" i="1"/>
  <c r="AQ636" i="1"/>
  <c r="AP371" i="1"/>
  <c r="AR371" i="1" s="1"/>
  <c r="AT371" i="1" s="1"/>
  <c r="AQ371" i="1"/>
  <c r="AS371" i="1" s="1"/>
  <c r="AU371" i="1" s="1"/>
  <c r="AP587" i="1"/>
  <c r="AR587" i="1" s="1"/>
  <c r="AT587" i="1" s="1"/>
  <c r="AQ587" i="1"/>
  <c r="AS587" i="1" s="1"/>
  <c r="AU587" i="1" s="1"/>
  <c r="AP1002" i="1"/>
  <c r="AR1002" i="1" s="1"/>
  <c r="AT1002" i="1" s="1"/>
  <c r="AQ1002" i="1"/>
  <c r="AS1002" i="1" s="1"/>
  <c r="AU1002" i="1" s="1"/>
  <c r="AQ630" i="1"/>
  <c r="AS630" i="1" s="1"/>
  <c r="AU630" i="1" s="1"/>
  <c r="AP630" i="1"/>
  <c r="AR630" i="1" s="1"/>
  <c r="AT630" i="1" s="1"/>
  <c r="AR878" i="1"/>
  <c r="AT878" i="1" s="1"/>
  <c r="AP1049" i="1"/>
  <c r="AR1049" i="1" s="1"/>
  <c r="AT1049" i="1" s="1"/>
  <c r="AQ1049" i="1"/>
  <c r="AS1049" i="1" s="1"/>
  <c r="AU1049" i="1" s="1"/>
  <c r="AQ1113" i="1"/>
  <c r="AS1113" i="1" s="1"/>
  <c r="AU1113" i="1" s="1"/>
  <c r="AP1113" i="1"/>
  <c r="AR1113" i="1" s="1"/>
  <c r="AT1113" i="1" s="1"/>
  <c r="AR1045" i="1"/>
  <c r="AT1045" i="1" s="1"/>
  <c r="AP796" i="1"/>
  <c r="AR796" i="1" s="1"/>
  <c r="AT796" i="1" s="1"/>
  <c r="AQ796" i="1"/>
  <c r="AP29" i="1"/>
  <c r="AQ29" i="1"/>
  <c r="AP117" i="1"/>
  <c r="AQ117" i="1"/>
  <c r="AS117" i="1" s="1"/>
  <c r="AU117" i="1" s="1"/>
  <c r="AR103" i="1"/>
  <c r="AT103" i="1" s="1"/>
  <c r="AS799" i="1"/>
  <c r="AU799" i="1" s="1"/>
  <c r="AQ574" i="1"/>
  <c r="AS574" i="1" s="1"/>
  <c r="AU574" i="1" s="1"/>
  <c r="AP574" i="1"/>
  <c r="AR574" i="1" s="1"/>
  <c r="AT574" i="1" s="1"/>
  <c r="AQ690" i="1"/>
  <c r="AS690" i="1" s="1"/>
  <c r="AU690" i="1" s="1"/>
  <c r="AP690" i="1"/>
  <c r="AR690" i="1" s="1"/>
  <c r="AT690" i="1" s="1"/>
  <c r="AQ524" i="1"/>
  <c r="AS524" i="1" s="1"/>
  <c r="AU524" i="1" s="1"/>
  <c r="AP524" i="1"/>
  <c r="AR524" i="1" s="1"/>
  <c r="AT524" i="1" s="1"/>
  <c r="AP626" i="1"/>
  <c r="AR626" i="1" s="1"/>
  <c r="AT626" i="1" s="1"/>
  <c r="AQ626" i="1"/>
  <c r="AS626" i="1" s="1"/>
  <c r="AU626" i="1" s="1"/>
  <c r="AP693" i="1"/>
  <c r="AR693" i="1" s="1"/>
  <c r="AT693" i="1" s="1"/>
  <c r="AQ693" i="1"/>
  <c r="AS693" i="1" s="1"/>
  <c r="AU693" i="1" s="1"/>
  <c r="AP1064" i="1"/>
  <c r="AR1064" i="1" s="1"/>
  <c r="AT1064" i="1" s="1"/>
  <c r="AQ1064" i="1"/>
  <c r="AS1064" i="1" s="1"/>
  <c r="AU1064" i="1" s="1"/>
  <c r="AS785" i="1"/>
  <c r="AU785" i="1" s="1"/>
  <c r="AQ1195" i="1"/>
  <c r="AP1195" i="1"/>
  <c r="AQ579" i="1"/>
  <c r="AP579" i="1"/>
  <c r="AR580" i="1" s="1"/>
  <c r="AT580" i="1" s="1"/>
  <c r="AS72" i="1"/>
  <c r="AU72" i="1" s="1"/>
  <c r="AR637" i="1"/>
  <c r="AT637" i="1" s="1"/>
  <c r="AP631" i="1"/>
  <c r="AR631" i="1" s="1"/>
  <c r="AT631" i="1" s="1"/>
  <c r="AQ631" i="1"/>
  <c r="AP895" i="1"/>
  <c r="AQ895" i="1"/>
  <c r="AS895" i="1" s="1"/>
  <c r="AU895" i="1" s="1"/>
  <c r="AS843" i="1"/>
  <c r="AU843" i="1" s="1"/>
  <c r="AS855" i="1"/>
  <c r="AU855" i="1" s="1"/>
  <c r="AR908" i="1"/>
  <c r="AT908" i="1" s="1"/>
  <c r="AS862" i="1"/>
  <c r="AU862" i="1" s="1"/>
  <c r="AR1337" i="1"/>
  <c r="AT1337" i="1" s="1"/>
  <c r="AR629" i="1"/>
  <c r="AT629" i="1" s="1"/>
  <c r="AQ1123" i="1"/>
  <c r="AS1123" i="1" s="1"/>
  <c r="AU1123" i="1" s="1"/>
  <c r="AP1123" i="1"/>
  <c r="AR1123" i="1" s="1"/>
  <c r="AT1123" i="1" s="1"/>
  <c r="AR34" i="1"/>
  <c r="AT34" i="1" s="1"/>
  <c r="AS542" i="1"/>
  <c r="AU542" i="1" s="1"/>
  <c r="AR127" i="1"/>
  <c r="AT127" i="1" s="1"/>
  <c r="AR268" i="1"/>
  <c r="AT268" i="1" s="1"/>
  <c r="AP578" i="1"/>
  <c r="AR578" i="1" s="1"/>
  <c r="AT578" i="1" s="1"/>
  <c r="AQ578" i="1"/>
  <c r="AS578" i="1" s="1"/>
  <c r="AU578" i="1" s="1"/>
  <c r="AR591" i="1"/>
  <c r="AT591" i="1" s="1"/>
  <c r="AS549" i="1"/>
  <c r="AU549" i="1" s="1"/>
  <c r="AS853" i="1"/>
  <c r="AU853" i="1" s="1"/>
  <c r="AS279" i="1"/>
  <c r="AU279" i="1" s="1"/>
  <c r="AP1109" i="1"/>
  <c r="AQ1109" i="1"/>
  <c r="AQ1314" i="1"/>
  <c r="AP1314" i="1"/>
  <c r="AR1314" i="1" s="1"/>
  <c r="AT1314" i="1" s="1"/>
  <c r="AS1035" i="1"/>
  <c r="AU1035" i="1" s="1"/>
  <c r="AR163" i="1"/>
  <c r="AT163" i="1" s="1"/>
  <c r="AP232" i="1"/>
  <c r="AR232" i="1" s="1"/>
  <c r="AT232" i="1" s="1"/>
  <c r="AQ232" i="1"/>
  <c r="AS232" i="1" s="1"/>
  <c r="AU232" i="1" s="1"/>
  <c r="AP411" i="1"/>
  <c r="AR411" i="1" s="1"/>
  <c r="AT411" i="1" s="1"/>
  <c r="AQ411" i="1"/>
  <c r="AS411" i="1" s="1"/>
  <c r="AU411" i="1" s="1"/>
  <c r="AQ252" i="1"/>
  <c r="AS252" i="1" s="1"/>
  <c r="AU252" i="1" s="1"/>
  <c r="AP252" i="1"/>
  <c r="AR252" i="1" s="1"/>
  <c r="AT252" i="1" s="1"/>
  <c r="AP598" i="1"/>
  <c r="AR598" i="1" s="1"/>
  <c r="AT598" i="1" s="1"/>
  <c r="AQ598" i="1"/>
  <c r="AS598" i="1" s="1"/>
  <c r="AU598" i="1" s="1"/>
  <c r="AP1089" i="1"/>
  <c r="AR1089" i="1" s="1"/>
  <c r="AT1089" i="1" s="1"/>
  <c r="AQ1089" i="1"/>
  <c r="AS1089" i="1" s="1"/>
  <c r="AU1089" i="1" s="1"/>
  <c r="AP801" i="1"/>
  <c r="AR801" i="1" s="1"/>
  <c r="AT801" i="1" s="1"/>
  <c r="AQ801" i="1"/>
  <c r="AQ1245" i="1"/>
  <c r="AS1245" i="1" s="1"/>
  <c r="AU1245" i="1" s="1"/>
  <c r="AP1245" i="1"/>
  <c r="AR1245" i="1" s="1"/>
  <c r="AT1245" i="1" s="1"/>
  <c r="AQ1013" i="1"/>
  <c r="AS1013" i="1" s="1"/>
  <c r="AU1013" i="1" s="1"/>
  <c r="AP1013" i="1"/>
  <c r="AR1013" i="1" s="1"/>
  <c r="AT1013" i="1" s="1"/>
  <c r="AP866" i="1"/>
  <c r="AQ866" i="1"/>
  <c r="AP1368" i="1"/>
  <c r="AR1368" i="1" s="1"/>
  <c r="AT1368" i="1" s="1"/>
  <c r="AQ1368" i="1"/>
  <c r="AS1368" i="1" s="1"/>
  <c r="AU1368" i="1" s="1"/>
  <c r="AS1341" i="1"/>
  <c r="AU1341" i="1" s="1"/>
  <c r="AS1975" i="1"/>
  <c r="AU1975" i="1" s="1"/>
  <c r="AR1520" i="1"/>
  <c r="AT1520" i="1" s="1"/>
  <c r="AQ1382" i="1"/>
  <c r="AS1383" i="1" s="1"/>
  <c r="AU1383" i="1" s="1"/>
  <c r="AP1382" i="1"/>
  <c r="AS2177" i="1"/>
  <c r="AU2177" i="1" s="1"/>
  <c r="AS2034" i="1"/>
  <c r="AU2034" i="1" s="1"/>
  <c r="AR2091" i="1"/>
  <c r="AT2091" i="1" s="1"/>
  <c r="AS2264" i="1"/>
  <c r="AU2264" i="1" s="1"/>
  <c r="AS2315" i="1"/>
  <c r="AU2315" i="1" s="1"/>
  <c r="AS2449" i="1"/>
  <c r="AU2449" i="1" s="1"/>
  <c r="AR2005" i="1"/>
  <c r="AT2005" i="1" s="1"/>
  <c r="AR2287" i="1"/>
  <c r="AT2287" i="1" s="1"/>
  <c r="AS1041" i="1"/>
  <c r="AU1041" i="1" s="1"/>
  <c r="AR1937" i="1"/>
  <c r="AT1937" i="1" s="1"/>
  <c r="AS2043" i="1"/>
  <c r="AU2043" i="1" s="1"/>
  <c r="AS2096" i="1"/>
  <c r="AU2096" i="1" s="1"/>
  <c r="AS2097" i="1"/>
  <c r="AU2097" i="1" s="1"/>
  <c r="AS2342" i="1"/>
  <c r="AU2342" i="1" s="1"/>
  <c r="AP1036" i="1"/>
  <c r="AR1036" i="1" s="1"/>
  <c r="AT1036" i="1" s="1"/>
  <c r="AQ1036" i="1"/>
  <c r="AS1036" i="1" s="1"/>
  <c r="AU1036" i="1" s="1"/>
  <c r="AS1933" i="1"/>
  <c r="AU1933" i="1" s="1"/>
  <c r="AP1348" i="1"/>
  <c r="AQ1348" i="1"/>
  <c r="AS1348" i="1" s="1"/>
  <c r="AU1348" i="1" s="1"/>
  <c r="AS2433" i="1"/>
  <c r="AU2433" i="1" s="1"/>
  <c r="AS797" i="1"/>
  <c r="AU797" i="1" s="1"/>
  <c r="AR1641" i="1"/>
  <c r="AT1641" i="1" s="1"/>
  <c r="AR1643" i="1"/>
  <c r="AT1643" i="1" s="1"/>
  <c r="AR1644" i="1"/>
  <c r="AT1644" i="1" s="1"/>
  <c r="AR1887" i="1"/>
  <c r="AT1887" i="1" s="1"/>
  <c r="AR1888" i="1"/>
  <c r="AT1888" i="1" s="1"/>
  <c r="AR2318" i="1"/>
  <c r="AT2318" i="1" s="1"/>
  <c r="AR2487" i="1"/>
  <c r="AT2487" i="1" s="1"/>
  <c r="AQ1319" i="1"/>
  <c r="AP1319" i="1"/>
  <c r="AR1319" i="1" s="1"/>
  <c r="AT1319" i="1" s="1"/>
  <c r="AS1639" i="1"/>
  <c r="AU1639" i="1" s="1"/>
  <c r="AP1458" i="1"/>
  <c r="AR1458" i="1" s="1"/>
  <c r="AT1458" i="1" s="1"/>
  <c r="AQ1458" i="1"/>
  <c r="AS1458" i="1" s="1"/>
  <c r="AU1458" i="1" s="1"/>
  <c r="AR1207" i="1"/>
  <c r="AT1207" i="1" s="1"/>
  <c r="AR736" i="1"/>
  <c r="AT736" i="1" s="1"/>
  <c r="AR2066" i="1"/>
  <c r="AT2066" i="1" s="1"/>
  <c r="AS2162" i="1"/>
  <c r="AU2162" i="1" s="1"/>
  <c r="AS2178" i="1"/>
  <c r="AU2178" i="1" s="1"/>
  <c r="AQ728" i="1"/>
  <c r="AS728" i="1" s="1"/>
  <c r="AU728" i="1" s="1"/>
  <c r="AP728" i="1"/>
  <c r="AR728" i="1" s="1"/>
  <c r="AT728" i="1" s="1"/>
  <c r="AR2305" i="1"/>
  <c r="AT2305" i="1" s="1"/>
  <c r="AS2119" i="1"/>
  <c r="AU2119" i="1" s="1"/>
  <c r="AR2015" i="1"/>
  <c r="AT2015" i="1" s="1"/>
  <c r="AR1226" i="1"/>
  <c r="AT1226" i="1" s="1"/>
  <c r="AR1948" i="1"/>
  <c r="AT1948" i="1" s="1"/>
  <c r="AR1390" i="1"/>
  <c r="AT1390" i="1" s="1"/>
  <c r="AR1960" i="1"/>
  <c r="AT1960" i="1" s="1"/>
  <c r="AQ1277" i="1"/>
  <c r="AS1277" i="1" s="1"/>
  <c r="AU1277" i="1" s="1"/>
  <c r="AP1277" i="1"/>
  <c r="AR1277" i="1" s="1"/>
  <c r="AT1277" i="1" s="1"/>
  <c r="AR2291" i="1"/>
  <c r="AT2291" i="1" s="1"/>
  <c r="AR568" i="1"/>
  <c r="AT568" i="1" s="1"/>
  <c r="AR641" i="1"/>
  <c r="AT641" i="1" s="1"/>
  <c r="AS642" i="1"/>
  <c r="AU642" i="1" s="1"/>
  <c r="AR1375" i="1"/>
  <c r="AT1375" i="1" s="1"/>
  <c r="AS1140" i="1"/>
  <c r="AU1140" i="1" s="1"/>
  <c r="AR361" i="1"/>
  <c r="AT361" i="1" s="1"/>
  <c r="AR1111" i="1"/>
  <c r="AT1111" i="1" s="1"/>
  <c r="AS1224" i="1"/>
  <c r="AU1224" i="1" s="1"/>
  <c r="AS2017" i="1"/>
  <c r="AU2017" i="1" s="1"/>
  <c r="AS1898" i="1"/>
  <c r="AU1898" i="1" s="1"/>
  <c r="AR2102" i="1"/>
  <c r="AT2102" i="1" s="1"/>
  <c r="AR2472" i="1"/>
  <c r="AT2472" i="1" s="1"/>
  <c r="AS1995" i="1"/>
  <c r="AU1995" i="1" s="1"/>
  <c r="AS2150" i="1"/>
  <c r="AU2150" i="1" s="1"/>
  <c r="AQ779" i="1"/>
  <c r="AS779" i="1" s="1"/>
  <c r="AU779" i="1" s="1"/>
  <c r="AP779" i="1"/>
  <c r="AR779" i="1" s="1"/>
  <c r="AT779" i="1" s="1"/>
  <c r="AR2430" i="1"/>
  <c r="AT2430" i="1" s="1"/>
  <c r="AS2284" i="1"/>
  <c r="AU2284" i="1" s="1"/>
  <c r="AS2244" i="1"/>
  <c r="AU2244" i="1" s="1"/>
  <c r="AS2245" i="1"/>
  <c r="AU2245" i="1" s="1"/>
  <c r="AR27" i="1" l="1"/>
  <c r="AT27" i="1" s="1"/>
  <c r="AR1381" i="1"/>
  <c r="AT1381" i="1" s="1"/>
  <c r="AS964" i="1"/>
  <c r="AU964" i="1" s="1"/>
  <c r="AR657" i="1"/>
  <c r="AT657" i="1" s="1"/>
  <c r="AS1353" i="1"/>
  <c r="AU1353" i="1" s="1"/>
  <c r="AS10" i="1"/>
  <c r="AU10" i="1" s="1"/>
  <c r="AS1381" i="1"/>
  <c r="AU1381" i="1" s="1"/>
  <c r="AS657" i="1"/>
  <c r="AU657" i="1" s="1"/>
  <c r="AS378" i="1"/>
  <c r="AU378" i="1" s="1"/>
  <c r="AS888" i="1"/>
  <c r="AU888" i="1" s="1"/>
  <c r="AR670" i="1"/>
  <c r="AT670" i="1" s="1"/>
  <c r="AS734" i="1"/>
  <c r="AU734" i="1" s="1"/>
  <c r="AR357" i="1"/>
  <c r="AT357" i="1" s="1"/>
  <c r="AS1273" i="1"/>
  <c r="AU1273" i="1" s="1"/>
  <c r="AR360" i="1"/>
  <c r="AT360" i="1" s="1"/>
  <c r="AR102" i="1"/>
  <c r="AT102" i="1" s="1"/>
  <c r="AR866" i="1"/>
  <c r="AT866" i="1" s="1"/>
  <c r="AS577" i="1"/>
  <c r="AU577" i="1" s="1"/>
  <c r="AR1504" i="1"/>
  <c r="AT1504" i="1" s="1"/>
  <c r="AR80" i="1"/>
  <c r="AT80" i="1" s="1"/>
  <c r="AS1354" i="1"/>
  <c r="AU1354" i="1" s="1"/>
  <c r="AS567" i="1"/>
  <c r="AU567" i="1" s="1"/>
  <c r="AR1216" i="1"/>
  <c r="AT1216" i="1" s="1"/>
  <c r="AS1319" i="1"/>
  <c r="AU1319" i="1" s="1"/>
  <c r="AS579" i="1"/>
  <c r="AU579" i="1" s="1"/>
  <c r="AR117" i="1"/>
  <c r="AT117" i="1" s="1"/>
  <c r="AS636" i="1"/>
  <c r="AU636" i="1" s="1"/>
  <c r="AS409" i="1"/>
  <c r="AU409" i="1" s="1"/>
  <c r="AS1399" i="1"/>
  <c r="AU1399" i="1" s="1"/>
  <c r="AR510" i="1"/>
  <c r="AT510" i="1" s="1"/>
  <c r="AR67" i="1"/>
  <c r="AT67" i="1" s="1"/>
  <c r="AS1237" i="1"/>
  <c r="AU1237" i="1" s="1"/>
  <c r="AR611" i="1"/>
  <c r="AT611" i="1" s="1"/>
  <c r="AS1259" i="1"/>
  <c r="AU1259" i="1" s="1"/>
  <c r="AR1057" i="1"/>
  <c r="AT1057" i="1" s="1"/>
  <c r="AR1354" i="1"/>
  <c r="AT1354" i="1" s="1"/>
  <c r="AS116" i="1"/>
  <c r="AU116" i="1" s="1"/>
  <c r="AR1422" i="1"/>
  <c r="AT1422" i="1" s="1"/>
  <c r="AS217" i="1"/>
  <c r="AU217" i="1" s="1"/>
  <c r="AR93" i="1"/>
  <c r="AT93" i="1" s="1"/>
  <c r="AR1331" i="1"/>
  <c r="AT1331" i="1" s="1"/>
  <c r="AS313" i="1"/>
  <c r="AU313" i="1" s="1"/>
  <c r="AS297" i="1"/>
  <c r="AU297" i="1" s="1"/>
  <c r="AS832" i="1"/>
  <c r="AU832" i="1" s="1"/>
  <c r="AS998" i="1"/>
  <c r="AU998" i="1" s="1"/>
  <c r="AR90" i="1"/>
  <c r="AT90" i="1" s="1"/>
  <c r="AS801" i="1"/>
  <c r="AU801" i="1" s="1"/>
  <c r="AS508" i="1"/>
  <c r="AU508" i="1" s="1"/>
  <c r="AS631" i="1"/>
  <c r="AU631" i="1" s="1"/>
  <c r="AS796" i="1"/>
  <c r="AU796" i="1" s="1"/>
  <c r="AR504" i="1"/>
  <c r="AT504" i="1" s="1"/>
  <c r="AR885" i="1"/>
  <c r="AT885" i="1" s="1"/>
  <c r="AR1066" i="1"/>
  <c r="AT1066" i="1" s="1"/>
  <c r="AR490" i="1"/>
  <c r="AT490" i="1" s="1"/>
  <c r="AR1392" i="1"/>
  <c r="AT1392" i="1" s="1"/>
  <c r="AR346" i="1"/>
  <c r="AT346" i="1" s="1"/>
  <c r="AR1371" i="1"/>
  <c r="AT1371" i="1" s="1"/>
  <c r="AR917" i="1"/>
  <c r="AT917" i="1" s="1"/>
  <c r="AR112" i="1"/>
  <c r="AT112" i="1" s="1"/>
  <c r="AR292" i="1"/>
  <c r="AT292" i="1" s="1"/>
  <c r="AR710" i="1"/>
  <c r="AT710" i="1" s="1"/>
  <c r="AS1110" i="1"/>
  <c r="AU1110" i="1" s="1"/>
  <c r="AR430" i="1"/>
  <c r="AT430" i="1" s="1"/>
  <c r="AR267" i="1"/>
  <c r="AT267" i="1" s="1"/>
  <c r="AS517" i="1"/>
  <c r="AU517" i="1" s="1"/>
  <c r="AS1432" i="1"/>
  <c r="AU1432" i="1" s="1"/>
  <c r="AS1402" i="1"/>
  <c r="AU1402" i="1" s="1"/>
  <c r="AS262" i="1"/>
  <c r="AU262" i="1" s="1"/>
  <c r="AS1229" i="1"/>
  <c r="AU1229" i="1" s="1"/>
  <c r="AS330" i="1"/>
  <c r="AU330" i="1" s="1"/>
  <c r="AR901" i="1"/>
  <c r="AT901" i="1" s="1"/>
  <c r="AS253" i="1"/>
  <c r="AU253" i="1" s="1"/>
  <c r="AR258" i="1"/>
  <c r="AT258" i="1" s="1"/>
  <c r="AS1203" i="1"/>
  <c r="AU1203" i="1" s="1"/>
  <c r="AS338" i="1"/>
  <c r="AU338" i="1" s="1"/>
  <c r="AR812" i="1"/>
  <c r="AT812" i="1" s="1"/>
  <c r="AR653" i="1"/>
  <c r="AT653" i="1" s="1"/>
  <c r="AR505" i="1"/>
  <c r="AT505" i="1" s="1"/>
  <c r="AS1306" i="1"/>
  <c r="AU1306" i="1" s="1"/>
  <c r="AR276" i="1"/>
  <c r="AT276" i="1" s="1"/>
  <c r="AR1479" i="1"/>
  <c r="AT1479" i="1" s="1"/>
  <c r="AS898" i="1"/>
  <c r="AU898" i="1" s="1"/>
  <c r="AS1235" i="1"/>
  <c r="AU1235" i="1" s="1"/>
  <c r="AS21" i="1"/>
  <c r="AU21" i="1" s="1"/>
  <c r="AS246" i="1"/>
  <c r="AU246" i="1" s="1"/>
  <c r="AS1090" i="1"/>
  <c r="AU1090" i="1" s="1"/>
  <c r="AS189" i="1"/>
  <c r="AU189" i="1" s="1"/>
  <c r="AS405" i="1"/>
  <c r="AU405" i="1" s="1"/>
  <c r="AR129" i="1"/>
  <c r="AT129" i="1" s="1"/>
  <c r="AR407" i="1"/>
  <c r="AT407" i="1" s="1"/>
  <c r="AR572" i="1"/>
  <c r="AT572" i="1" s="1"/>
  <c r="AR1313" i="1"/>
  <c r="AT1313" i="1" s="1"/>
  <c r="AS571" i="1"/>
  <c r="AU571" i="1" s="1"/>
  <c r="AR20" i="1"/>
  <c r="AT20" i="1" s="1"/>
  <c r="AS1204" i="1"/>
  <c r="AU1204" i="1" s="1"/>
  <c r="AS482" i="1"/>
  <c r="AU482" i="1" s="1"/>
  <c r="AS310" i="1"/>
  <c r="AU310" i="1" s="1"/>
  <c r="AR677" i="1"/>
  <c r="AT677" i="1" s="1"/>
  <c r="AR1360" i="1"/>
  <c r="AT1360" i="1" s="1"/>
  <c r="AR1137" i="1"/>
  <c r="AT1137" i="1" s="1"/>
  <c r="AS211" i="1"/>
  <c r="AU211" i="1" s="1"/>
  <c r="AR470" i="1"/>
  <c r="AT470" i="1" s="1"/>
  <c r="AR1282" i="1"/>
  <c r="AT1282" i="1" s="1"/>
  <c r="AS639" i="1"/>
  <c r="AU639" i="1" s="1"/>
  <c r="AR528" i="1"/>
  <c r="AT528" i="1" s="1"/>
  <c r="AR599" i="1"/>
  <c r="AT599" i="1" s="1"/>
  <c r="AS1274" i="1"/>
  <c r="AU1274" i="1" s="1"/>
  <c r="AS512" i="1"/>
  <c r="AU512" i="1" s="1"/>
  <c r="AS545" i="1"/>
  <c r="AU545" i="1" s="1"/>
  <c r="AR886" i="1"/>
  <c r="AT886" i="1" s="1"/>
  <c r="AS1436" i="1"/>
  <c r="AU1436" i="1" s="1"/>
  <c r="AR246" i="1"/>
  <c r="AT246" i="1" s="1"/>
  <c r="AR326" i="1"/>
  <c r="AT326" i="1" s="1"/>
  <c r="AS1379" i="1"/>
  <c r="AU1379" i="1" s="1"/>
  <c r="AS1142" i="1"/>
  <c r="AU1142" i="1" s="1"/>
  <c r="AS842" i="1"/>
  <c r="AU842" i="1" s="1"/>
  <c r="AS546" i="1"/>
  <c r="AU546" i="1" s="1"/>
  <c r="AR1495" i="1"/>
  <c r="AT1495" i="1" s="1"/>
  <c r="AR1373" i="1"/>
  <c r="AT1373" i="1" s="1"/>
  <c r="AR1404" i="1"/>
  <c r="AT1404" i="1" s="1"/>
  <c r="AS1003" i="1"/>
  <c r="AU1003" i="1" s="1"/>
  <c r="AR37" i="1"/>
  <c r="AT37" i="1" s="1"/>
  <c r="AR1303" i="1"/>
  <c r="AT1303" i="1" s="1"/>
  <c r="AR975" i="1"/>
  <c r="AT975" i="1" s="1"/>
  <c r="AR439" i="1"/>
  <c r="AT439" i="1" s="1"/>
  <c r="AR782" i="1"/>
  <c r="AT782" i="1" s="1"/>
  <c r="AS753" i="1"/>
  <c r="AU753" i="1" s="1"/>
  <c r="AS1429" i="1"/>
  <c r="AU1429" i="1" s="1"/>
  <c r="AS1247" i="1"/>
  <c r="AU1247" i="1" s="1"/>
  <c r="AS952" i="1"/>
  <c r="AU952" i="1" s="1"/>
  <c r="AR1098" i="1"/>
  <c r="AT1098" i="1" s="1"/>
  <c r="AS277" i="1"/>
  <c r="AU277" i="1" s="1"/>
  <c r="AR229" i="1"/>
  <c r="AT229" i="1" s="1"/>
  <c r="AR554" i="1"/>
  <c r="AT554" i="1" s="1"/>
  <c r="AR1505" i="1"/>
  <c r="AT1505" i="1" s="1"/>
  <c r="AR1480" i="1"/>
  <c r="AT1480" i="1" s="1"/>
  <c r="AR1263" i="1"/>
  <c r="AT1263" i="1" s="1"/>
  <c r="AS1276" i="1"/>
  <c r="AU1276" i="1" s="1"/>
  <c r="AR1082" i="1"/>
  <c r="AT1082" i="1" s="1"/>
  <c r="AS491" i="1"/>
  <c r="AU491" i="1" s="1"/>
  <c r="AS23" i="1"/>
  <c r="AU23" i="1" s="1"/>
  <c r="AR204" i="1"/>
  <c r="AT204" i="1" s="1"/>
  <c r="AR606" i="1"/>
  <c r="AT606" i="1" s="1"/>
  <c r="AR1509" i="1"/>
  <c r="AT1509" i="1" s="1"/>
  <c r="AR1346" i="1"/>
  <c r="AT1346" i="1" s="1"/>
  <c r="AS1389" i="1"/>
  <c r="AU1389" i="1" s="1"/>
  <c r="AS648" i="1"/>
  <c r="AU648" i="1" s="1"/>
  <c r="AR1071" i="1"/>
  <c r="AT1071" i="1" s="1"/>
  <c r="AR13" i="1"/>
  <c r="AT13" i="1" s="1"/>
  <c r="AS622" i="1"/>
  <c r="AU622" i="1" s="1"/>
  <c r="AR96" i="1"/>
  <c r="AT96" i="1" s="1"/>
  <c r="AS649" i="1"/>
  <c r="AU649" i="1" s="1"/>
  <c r="AS1170" i="1"/>
  <c r="AU1170" i="1" s="1"/>
  <c r="AR46" i="1"/>
  <c r="AT46" i="1" s="1"/>
  <c r="AS820" i="1"/>
  <c r="AU820" i="1" s="1"/>
  <c r="AR977" i="1"/>
  <c r="AT977" i="1" s="1"/>
  <c r="AS781" i="1"/>
  <c r="AU781" i="1" s="1"/>
  <c r="AR1126" i="1"/>
  <c r="AT1126" i="1" s="1"/>
  <c r="AS1489" i="1"/>
  <c r="AU1489" i="1" s="1"/>
  <c r="AS974" i="1"/>
  <c r="AU974" i="1" s="1"/>
  <c r="AR953" i="1"/>
  <c r="AT953" i="1" s="1"/>
  <c r="AS929" i="1"/>
  <c r="AU929" i="1" s="1"/>
  <c r="AS875" i="1"/>
  <c r="AU875" i="1" s="1"/>
  <c r="AR444" i="1"/>
  <c r="AT444" i="1" s="1"/>
  <c r="AS19" i="1"/>
  <c r="AU19" i="1" s="1"/>
  <c r="AR725" i="1"/>
  <c r="AT725" i="1" s="1"/>
  <c r="AR624" i="1"/>
  <c r="AT624" i="1" s="1"/>
  <c r="AS70" i="1"/>
  <c r="AU70" i="1" s="1"/>
  <c r="AR1412" i="1"/>
  <c r="AT1412" i="1" s="1"/>
  <c r="AR771" i="1"/>
  <c r="AT771" i="1" s="1"/>
  <c r="AR515" i="1"/>
  <c r="AT515" i="1" s="1"/>
  <c r="AS173" i="1"/>
  <c r="AU173" i="1" s="1"/>
  <c r="AR847" i="1"/>
  <c r="AT847" i="1" s="1"/>
  <c r="AR259" i="1"/>
  <c r="AT259" i="1" s="1"/>
  <c r="AR250" i="1"/>
  <c r="AT250" i="1" s="1"/>
  <c r="AR668" i="1"/>
  <c r="AT668" i="1" s="1"/>
  <c r="AS1136" i="1"/>
  <c r="AU1136" i="1" s="1"/>
  <c r="AR942" i="1"/>
  <c r="AT942" i="1" s="1"/>
  <c r="AR201" i="1"/>
  <c r="AT201" i="1" s="1"/>
  <c r="AS735" i="1"/>
  <c r="AU735" i="1" s="1"/>
  <c r="AR420" i="1"/>
  <c r="AT420" i="1" s="1"/>
  <c r="AS1446" i="1"/>
  <c r="AU1446" i="1" s="1"/>
  <c r="AR696" i="1"/>
  <c r="AT696" i="1" s="1"/>
  <c r="AR472" i="1"/>
  <c r="AT472" i="1" s="1"/>
  <c r="AS336" i="1"/>
  <c r="AU336" i="1" s="1"/>
  <c r="AR659" i="1"/>
  <c r="AT659" i="1" s="1"/>
  <c r="AS12" i="1"/>
  <c r="AU12" i="1" s="1"/>
  <c r="AR585" i="1"/>
  <c r="AT585" i="1" s="1"/>
  <c r="AR14" i="1"/>
  <c r="AT14" i="1" s="1"/>
  <c r="AR157" i="1"/>
  <c r="AT157" i="1" s="1"/>
  <c r="AR272" i="1"/>
  <c r="AT272" i="1" s="1"/>
  <c r="AS308" i="1"/>
  <c r="AU308" i="1" s="1"/>
  <c r="AR546" i="1"/>
  <c r="AT546" i="1" s="1"/>
  <c r="AS1495" i="1"/>
  <c r="AU1495" i="1" s="1"/>
  <c r="AS451" i="1"/>
  <c r="AU451" i="1" s="1"/>
  <c r="AS1416" i="1"/>
  <c r="AU1416" i="1" s="1"/>
  <c r="AS1082" i="1"/>
  <c r="AU1082" i="1" s="1"/>
  <c r="AR868" i="1"/>
  <c r="AT868" i="1" s="1"/>
  <c r="AS292" i="1"/>
  <c r="AU292" i="1" s="1"/>
  <c r="AS1509" i="1"/>
  <c r="AU1509" i="1" s="1"/>
  <c r="AS1363" i="1"/>
  <c r="AU1363" i="1" s="1"/>
  <c r="AR838" i="1"/>
  <c r="AT838" i="1" s="1"/>
  <c r="AS133" i="1"/>
  <c r="AU133" i="1" s="1"/>
  <c r="AS50" i="1"/>
  <c r="AU50" i="1" s="1"/>
  <c r="AS1061" i="1"/>
  <c r="AU1061" i="1" s="1"/>
  <c r="AR70" i="1"/>
  <c r="AT70" i="1" s="1"/>
  <c r="AR769" i="1"/>
  <c r="AT769" i="1" s="1"/>
  <c r="AS746" i="1"/>
  <c r="AU746" i="1" s="1"/>
  <c r="AS259" i="1"/>
  <c r="AU259" i="1" s="1"/>
  <c r="AS250" i="1"/>
  <c r="AU250" i="1" s="1"/>
  <c r="AS84" i="1"/>
  <c r="AU84" i="1" s="1"/>
  <c r="AS668" i="1"/>
  <c r="AU668" i="1" s="1"/>
  <c r="AS942" i="1"/>
  <c r="AU942" i="1" s="1"/>
  <c r="AR1033" i="1"/>
  <c r="AT1033" i="1" s="1"/>
  <c r="AR1446" i="1"/>
  <c r="AT1446" i="1" s="1"/>
  <c r="AR402" i="1"/>
  <c r="AT402" i="1" s="1"/>
  <c r="AS472" i="1"/>
  <c r="AU472" i="1" s="1"/>
  <c r="AS525" i="1"/>
  <c r="AU525" i="1" s="1"/>
  <c r="AS659" i="1"/>
  <c r="AU659" i="1" s="1"/>
  <c r="AR12" i="1"/>
  <c r="AT12" i="1" s="1"/>
  <c r="AS759" i="1"/>
  <c r="AU759" i="1" s="1"/>
  <c r="AS272" i="1"/>
  <c r="AU272" i="1" s="1"/>
  <c r="AS837" i="1"/>
  <c r="AU837" i="1" s="1"/>
  <c r="AS1184" i="1"/>
  <c r="AU1184" i="1" s="1"/>
  <c r="AR564" i="1"/>
  <c r="AT564" i="1" s="1"/>
  <c r="AR451" i="1"/>
  <c r="AT451" i="1" s="1"/>
  <c r="AS1372" i="1"/>
  <c r="AU1372" i="1" s="1"/>
  <c r="AS1187" i="1"/>
  <c r="AU1187" i="1" s="1"/>
  <c r="AR1194" i="1"/>
  <c r="AT1194" i="1" s="1"/>
  <c r="AR1279" i="1"/>
  <c r="AT1279" i="1" s="1"/>
  <c r="AS392" i="1"/>
  <c r="AU392" i="1" s="1"/>
  <c r="AS146" i="1"/>
  <c r="AU146" i="1" s="1"/>
  <c r="AS1124" i="1"/>
  <c r="AU1124" i="1" s="1"/>
  <c r="AR265" i="1"/>
  <c r="AT265" i="1" s="1"/>
  <c r="AR281" i="1"/>
  <c r="AT281" i="1" s="1"/>
  <c r="AS43" i="1"/>
  <c r="AU43" i="1" s="1"/>
  <c r="AS1054" i="1"/>
  <c r="AU1054" i="1" s="1"/>
  <c r="AR1459" i="1"/>
  <c r="AT1459" i="1" s="1"/>
  <c r="AR1363" i="1"/>
  <c r="AT1363" i="1" s="1"/>
  <c r="AS838" i="1"/>
  <c r="AU838" i="1" s="1"/>
  <c r="AR944" i="1"/>
  <c r="AT944" i="1" s="1"/>
  <c r="AS39" i="1"/>
  <c r="AU39" i="1" s="1"/>
  <c r="AR935" i="1"/>
  <c r="AT935" i="1" s="1"/>
  <c r="AS1406" i="1"/>
  <c r="AU1406" i="1" s="1"/>
  <c r="AR50" i="1"/>
  <c r="AT50" i="1" s="1"/>
  <c r="AR1061" i="1"/>
  <c r="AT1061" i="1" s="1"/>
  <c r="AR126" i="1"/>
  <c r="AT126" i="1" s="1"/>
  <c r="AS676" i="1"/>
  <c r="AU676" i="1" s="1"/>
  <c r="AS712" i="1"/>
  <c r="AU712" i="1" s="1"/>
  <c r="AS769" i="1"/>
  <c r="AU769" i="1" s="1"/>
  <c r="AS1453" i="1"/>
  <c r="AU1453" i="1" s="1"/>
  <c r="AR1253" i="1"/>
  <c r="AT1253" i="1" s="1"/>
  <c r="AS1067" i="1"/>
  <c r="AU1067" i="1" s="1"/>
  <c r="AR1424" i="1"/>
  <c r="AT1424" i="1" s="1"/>
  <c r="AR211" i="1"/>
  <c r="AT211" i="1" s="1"/>
  <c r="AR84" i="1"/>
  <c r="AT84" i="1" s="1"/>
  <c r="AS1312" i="1"/>
  <c r="AU1312" i="1" s="1"/>
  <c r="AR1315" i="1"/>
  <c r="AT1315" i="1" s="1"/>
  <c r="AR1344" i="1"/>
  <c r="AT1344" i="1" s="1"/>
  <c r="AS1033" i="1"/>
  <c r="AU1033" i="1" s="1"/>
  <c r="AR31" i="1"/>
  <c r="AT31" i="1" s="1"/>
  <c r="AR932" i="1"/>
  <c r="AT932" i="1" s="1"/>
  <c r="AR71" i="1"/>
  <c r="AT71" i="1" s="1"/>
  <c r="AS402" i="1"/>
  <c r="AU402" i="1" s="1"/>
  <c r="AR1148" i="1"/>
  <c r="AT1148" i="1" s="1"/>
  <c r="AS110" i="1"/>
  <c r="AU110" i="1" s="1"/>
  <c r="AR525" i="1"/>
  <c r="AT525" i="1" s="1"/>
  <c r="AR982" i="1"/>
  <c r="AT982" i="1" s="1"/>
  <c r="AS1048" i="1"/>
  <c r="AU1048" i="1" s="1"/>
  <c r="AR1497" i="1"/>
  <c r="AT1497" i="1" s="1"/>
  <c r="AS391" i="1"/>
  <c r="AU391" i="1" s="1"/>
  <c r="AR1369" i="1"/>
  <c r="AT1369" i="1" s="1"/>
  <c r="AR1187" i="1"/>
  <c r="AT1187" i="1" s="1"/>
  <c r="AR1401" i="1"/>
  <c r="AT1401" i="1" s="1"/>
  <c r="AS1362" i="1"/>
  <c r="AU1362" i="1" s="1"/>
  <c r="AR392" i="1"/>
  <c r="AT392" i="1" s="1"/>
  <c r="AR425" i="1"/>
  <c r="AT425" i="1" s="1"/>
  <c r="AR1429" i="1"/>
  <c r="AT1429" i="1" s="1"/>
  <c r="AS265" i="1"/>
  <c r="AU265" i="1" s="1"/>
  <c r="AS281" i="1"/>
  <c r="AU281" i="1" s="1"/>
  <c r="AR43" i="1"/>
  <c r="AT43" i="1" s="1"/>
  <c r="AR1054" i="1"/>
  <c r="AT1054" i="1" s="1"/>
  <c r="AS1459" i="1"/>
  <c r="AU1459" i="1" s="1"/>
  <c r="AS282" i="1"/>
  <c r="AU282" i="1" s="1"/>
  <c r="AR729" i="1"/>
  <c r="AT729" i="1" s="1"/>
  <c r="AS935" i="1"/>
  <c r="AU935" i="1" s="1"/>
  <c r="AR792" i="1"/>
  <c r="AT792" i="1" s="1"/>
  <c r="AS441" i="1"/>
  <c r="AU441" i="1" s="1"/>
  <c r="AR199" i="1"/>
  <c r="AT199" i="1" s="1"/>
  <c r="AR676" i="1"/>
  <c r="AT676" i="1" s="1"/>
  <c r="AS1255" i="1"/>
  <c r="AU1255" i="1" s="1"/>
  <c r="AR1453" i="1"/>
  <c r="AT1453" i="1" s="1"/>
  <c r="AR793" i="1"/>
  <c r="AT793" i="1" s="1"/>
  <c r="AS1493" i="1"/>
  <c r="AU1493" i="1" s="1"/>
  <c r="AS1253" i="1"/>
  <c r="AU1253" i="1" s="1"/>
  <c r="AS382" i="1"/>
  <c r="AU382" i="1" s="1"/>
  <c r="AR1312" i="1"/>
  <c r="AT1312" i="1" s="1"/>
  <c r="AS1315" i="1"/>
  <c r="AU1315" i="1" s="1"/>
  <c r="AS1120" i="1"/>
  <c r="AU1120" i="1" s="1"/>
  <c r="AS449" i="1"/>
  <c r="AU449" i="1" s="1"/>
  <c r="AS54" i="1"/>
  <c r="AU54" i="1" s="1"/>
  <c r="AS932" i="1"/>
  <c r="AU932" i="1" s="1"/>
  <c r="AS1148" i="1"/>
  <c r="AU1148" i="1" s="1"/>
  <c r="AR110" i="1"/>
  <c r="AT110" i="1" s="1"/>
  <c r="AS374" i="1"/>
  <c r="AU374" i="1" s="1"/>
  <c r="AR1241" i="1"/>
  <c r="AT1241" i="1" s="1"/>
  <c r="AR1355" i="1"/>
  <c r="AT1355" i="1" s="1"/>
  <c r="AR1048" i="1"/>
  <c r="AT1048" i="1" s="1"/>
  <c r="AS1497" i="1"/>
  <c r="AU1497" i="1" s="1"/>
  <c r="AS102" i="1"/>
  <c r="AU102" i="1" s="1"/>
  <c r="AS866" i="1"/>
  <c r="AU866" i="1" s="1"/>
  <c r="AS1139" i="1"/>
  <c r="AU1139" i="1" s="1"/>
  <c r="AR775" i="1"/>
  <c r="AT775" i="1" s="1"/>
  <c r="AR1362" i="1"/>
  <c r="AT1362" i="1" s="1"/>
  <c r="AS883" i="1"/>
  <c r="AU883" i="1" s="1"/>
  <c r="AR248" i="1"/>
  <c r="AT248" i="1" s="1"/>
  <c r="AR1075" i="1"/>
  <c r="AT1075" i="1" s="1"/>
  <c r="AR282" i="1"/>
  <c r="AT282" i="1" s="1"/>
  <c r="AR358" i="1"/>
  <c r="AT358" i="1" s="1"/>
  <c r="AS729" i="1"/>
  <c r="AU729" i="1" s="1"/>
  <c r="AS1510" i="1"/>
  <c r="AU1510" i="1" s="1"/>
  <c r="AS792" i="1"/>
  <c r="AU792" i="1" s="1"/>
  <c r="AR441" i="1"/>
  <c r="AT441" i="1" s="1"/>
  <c r="AS814" i="1"/>
  <c r="AU814" i="1" s="1"/>
  <c r="AR480" i="1"/>
  <c r="AT480" i="1" s="1"/>
  <c r="AS793" i="1"/>
  <c r="AU793" i="1" s="1"/>
  <c r="AR1493" i="1"/>
  <c r="AT1493" i="1" s="1"/>
  <c r="AR477" i="1"/>
  <c r="AT477" i="1" s="1"/>
  <c r="AR949" i="1"/>
  <c r="AT949" i="1" s="1"/>
  <c r="AR1120" i="1"/>
  <c r="AT1120" i="1" s="1"/>
  <c r="AR842" i="1"/>
  <c r="AT842" i="1" s="1"/>
  <c r="AS208" i="1"/>
  <c r="AU208" i="1" s="1"/>
  <c r="AS1403" i="1"/>
  <c r="AU1403" i="1" s="1"/>
  <c r="AR374" i="1"/>
  <c r="AT374" i="1" s="1"/>
  <c r="AS1241" i="1"/>
  <c r="AU1241" i="1" s="1"/>
  <c r="AS1355" i="1"/>
  <c r="AU1355" i="1" s="1"/>
  <c r="AS973" i="1"/>
  <c r="AU973" i="1" s="1"/>
  <c r="AR170" i="1"/>
  <c r="AT170" i="1" s="1"/>
  <c r="AR1088" i="1"/>
  <c r="AT1088" i="1" s="1"/>
  <c r="AR594" i="1"/>
  <c r="AT594" i="1" s="1"/>
  <c r="AS1369" i="1"/>
  <c r="AU1369" i="1" s="1"/>
  <c r="AR1419" i="1"/>
  <c r="AT1419" i="1" s="1"/>
  <c r="AR814" i="1"/>
  <c r="AT814" i="1" s="1"/>
  <c r="AR287" i="1"/>
  <c r="AT287" i="1" s="1"/>
  <c r="AR297" i="1"/>
  <c r="AT297" i="1" s="1"/>
  <c r="AR1050" i="1"/>
  <c r="AT1050" i="1" s="1"/>
  <c r="AS609" i="1"/>
  <c r="AU609" i="1" s="1"/>
  <c r="AS1173" i="1"/>
  <c r="AU1173" i="1" s="1"/>
  <c r="AS477" i="1"/>
  <c r="AU477" i="1" s="1"/>
  <c r="AR632" i="1"/>
  <c r="AT632" i="1" s="1"/>
  <c r="AR94" i="1"/>
  <c r="AT94" i="1" s="1"/>
  <c r="AS1378" i="1"/>
  <c r="AU1378" i="1" s="1"/>
  <c r="AR1403" i="1"/>
  <c r="AT1403" i="1" s="1"/>
  <c r="AR1200" i="1"/>
  <c r="AT1200" i="1" s="1"/>
  <c r="AS367" i="1"/>
  <c r="AU367" i="1" s="1"/>
  <c r="AS506" i="1"/>
  <c r="AU506" i="1" s="1"/>
  <c r="AR973" i="1"/>
  <c r="AT973" i="1" s="1"/>
  <c r="AS170" i="1"/>
  <c r="AU170" i="1" s="1"/>
  <c r="AS1088" i="1"/>
  <c r="AU1088" i="1" s="1"/>
  <c r="AS561" i="1"/>
  <c r="AU561" i="1" s="1"/>
  <c r="AR922" i="1"/>
  <c r="AT922" i="1" s="1"/>
  <c r="AS594" i="1"/>
  <c r="AU594" i="1" s="1"/>
  <c r="AS443" i="1"/>
  <c r="AU443" i="1" s="1"/>
  <c r="AS1504" i="1"/>
  <c r="AU1504" i="1" s="1"/>
  <c r="AR488" i="1"/>
  <c r="AT488" i="1" s="1"/>
  <c r="AS990" i="1"/>
  <c r="AU990" i="1" s="1"/>
  <c r="AR671" i="1"/>
  <c r="AT671" i="1" s="1"/>
  <c r="AS1006" i="1"/>
  <c r="AU1006" i="1" s="1"/>
  <c r="AR1350" i="1"/>
  <c r="AT1350" i="1" s="1"/>
  <c r="AS131" i="1"/>
  <c r="AU131" i="1" s="1"/>
  <c r="AS996" i="1"/>
  <c r="AU996" i="1" s="1"/>
  <c r="AS720" i="1"/>
  <c r="AU720" i="1" s="1"/>
  <c r="AR1301" i="1"/>
  <c r="AT1301" i="1" s="1"/>
  <c r="AR1265" i="1"/>
  <c r="AT1265" i="1" s="1"/>
  <c r="AR1460" i="1"/>
  <c r="AT1460" i="1" s="1"/>
  <c r="AR834" i="1"/>
  <c r="AT834" i="1" s="1"/>
  <c r="AS60" i="1"/>
  <c r="AU60" i="1" s="1"/>
  <c r="AR175" i="1"/>
  <c r="AT175" i="1" s="1"/>
  <c r="AR1306" i="1"/>
  <c r="AT1306" i="1" s="1"/>
  <c r="AS1249" i="1"/>
  <c r="AU1249" i="1" s="1"/>
  <c r="AR1122" i="1"/>
  <c r="AT1122" i="1" s="1"/>
  <c r="AR1443" i="1"/>
  <c r="AT1443" i="1" s="1"/>
  <c r="AS1413" i="1"/>
  <c r="AU1413" i="1" s="1"/>
  <c r="AS747" i="1"/>
  <c r="AU747" i="1" s="1"/>
  <c r="AR146" i="1"/>
  <c r="AT146" i="1" s="1"/>
  <c r="AR828" i="1"/>
  <c r="AT828" i="1" s="1"/>
  <c r="AR381" i="1"/>
  <c r="AT381" i="1" s="1"/>
  <c r="AR1325" i="1"/>
  <c r="AT1325" i="1" s="1"/>
  <c r="AR780" i="1"/>
  <c r="AT780" i="1" s="1"/>
  <c r="AS1127" i="1"/>
  <c r="AU1127" i="1" s="1"/>
  <c r="AR1329" i="1"/>
  <c r="AT1329" i="1" s="1"/>
  <c r="AR1222" i="1"/>
  <c r="AT1222" i="1" s="1"/>
  <c r="AS304" i="1"/>
  <c r="AU304" i="1" s="1"/>
  <c r="AR655" i="1"/>
  <c r="AT655" i="1" s="1"/>
  <c r="AR567" i="1"/>
  <c r="AT567" i="1" s="1"/>
  <c r="AS204" i="1"/>
  <c r="AU204" i="1" s="1"/>
  <c r="AR244" i="1"/>
  <c r="AT244" i="1" s="1"/>
  <c r="AS1216" i="1"/>
  <c r="AU1216" i="1" s="1"/>
  <c r="AR1224" i="1"/>
  <c r="AT1224" i="1" s="1"/>
  <c r="AR829" i="1"/>
  <c r="AT829" i="1" s="1"/>
  <c r="AR815" i="1"/>
  <c r="AT815" i="1" s="1"/>
  <c r="AR575" i="1"/>
  <c r="AT575" i="1" s="1"/>
  <c r="AS1097" i="1"/>
  <c r="AU1097" i="1" s="1"/>
  <c r="AS1388" i="1"/>
  <c r="AU1388" i="1" s="1"/>
  <c r="AR687" i="1"/>
  <c r="AT687" i="1" s="1"/>
  <c r="AS287" i="1"/>
  <c r="AU287" i="1" s="1"/>
  <c r="AR789" i="1"/>
  <c r="AT789" i="1" s="1"/>
  <c r="AS1050" i="1"/>
  <c r="AU1050" i="1" s="1"/>
  <c r="AS46" i="1"/>
  <c r="AU46" i="1" s="1"/>
  <c r="AR148" i="1"/>
  <c r="AT148" i="1" s="1"/>
  <c r="AR235" i="1"/>
  <c r="AT235" i="1" s="1"/>
  <c r="AR1020" i="1"/>
  <c r="AT1020" i="1" s="1"/>
  <c r="AR1058" i="1"/>
  <c r="AT1058" i="1" s="1"/>
  <c r="AR1449" i="1"/>
  <c r="AT1449" i="1" s="1"/>
  <c r="AR970" i="1"/>
  <c r="AT970" i="1" s="1"/>
  <c r="AR724" i="1"/>
  <c r="AT724" i="1" s="1"/>
  <c r="AS589" i="1"/>
  <c r="AU589" i="1" s="1"/>
  <c r="AR1326" i="1"/>
  <c r="AT1326" i="1" s="1"/>
  <c r="AS632" i="1"/>
  <c r="AU632" i="1" s="1"/>
  <c r="AR1378" i="1"/>
  <c r="AT1378" i="1" s="1"/>
  <c r="AS1271" i="1"/>
  <c r="AU1271" i="1" s="1"/>
  <c r="AS946" i="1"/>
  <c r="AU946" i="1" s="1"/>
  <c r="AS585" i="1"/>
  <c r="AU585" i="1" s="1"/>
  <c r="AS1196" i="1"/>
  <c r="AU1196" i="1" s="1"/>
  <c r="AR958" i="1"/>
  <c r="AT958" i="1" s="1"/>
  <c r="AR1308" i="1"/>
  <c r="AT1308" i="1" s="1"/>
  <c r="AR1261" i="1"/>
  <c r="AT1261" i="1" s="1"/>
  <c r="AR506" i="1"/>
  <c r="AT506" i="1" s="1"/>
  <c r="AS1260" i="1"/>
  <c r="AU1260" i="1" s="1"/>
  <c r="AR1000" i="1"/>
  <c r="AT1000" i="1" s="1"/>
  <c r="AS551" i="1"/>
  <c r="AU551" i="1" s="1"/>
  <c r="AR561" i="1"/>
  <c r="AT561" i="1" s="1"/>
  <c r="AS922" i="1"/>
  <c r="AU922" i="1" s="1"/>
  <c r="AS294" i="1"/>
  <c r="AU294" i="1" s="1"/>
  <c r="AR797" i="1"/>
  <c r="AT797" i="1" s="1"/>
  <c r="AR914" i="1"/>
  <c r="AT914" i="1" s="1"/>
  <c r="AS90" i="1"/>
  <c r="AU90" i="1" s="1"/>
  <c r="AR964" i="1"/>
  <c r="AT964" i="1" s="1"/>
  <c r="AS670" i="1"/>
  <c r="AU670" i="1" s="1"/>
  <c r="AS431" i="1"/>
  <c r="AU431" i="1" s="1"/>
  <c r="AS438" i="1"/>
  <c r="AU438" i="1" s="1"/>
  <c r="AS103" i="1"/>
  <c r="AU103" i="1" s="1"/>
  <c r="AS476" i="1"/>
  <c r="AU476" i="1" s="1"/>
  <c r="AS56" i="1"/>
  <c r="AU56" i="1" s="1"/>
  <c r="AR243" i="1"/>
  <c r="AT243" i="1" s="1"/>
  <c r="AS1210" i="1"/>
  <c r="AU1210" i="1" s="1"/>
  <c r="AR934" i="1"/>
  <c r="AT934" i="1" s="1"/>
  <c r="AS1283" i="1"/>
  <c r="AU1283" i="1" s="1"/>
  <c r="AS68" i="1"/>
  <c r="AU68" i="1" s="1"/>
  <c r="AR548" i="1"/>
  <c r="AT548" i="1" s="1"/>
  <c r="AS902" i="1"/>
  <c r="AU902" i="1" s="1"/>
  <c r="AS914" i="1"/>
  <c r="AU914" i="1" s="1"/>
  <c r="AR1508" i="1"/>
  <c r="AT1508" i="1" s="1"/>
  <c r="AS671" i="1"/>
  <c r="AU671" i="1" s="1"/>
  <c r="AR131" i="1"/>
  <c r="AT131" i="1" s="1"/>
  <c r="AR1190" i="1"/>
  <c r="AT1190" i="1" s="1"/>
  <c r="AS834" i="1"/>
  <c r="AU834" i="1" s="1"/>
  <c r="AR1008" i="1"/>
  <c r="AT1008" i="1" s="1"/>
  <c r="AR776" i="1"/>
  <c r="AT776" i="1" s="1"/>
  <c r="AS1279" i="1"/>
  <c r="AU1279" i="1" s="1"/>
  <c r="AS1295" i="1"/>
  <c r="AU1295" i="1" s="1"/>
  <c r="AS938" i="1"/>
  <c r="AU938" i="1" s="1"/>
  <c r="AS601" i="1"/>
  <c r="AU601" i="1" s="1"/>
  <c r="AS1164" i="1"/>
  <c r="AU1164" i="1" s="1"/>
  <c r="AR743" i="1"/>
  <c r="AT743" i="1" s="1"/>
  <c r="AS1501" i="1"/>
  <c r="AU1501" i="1" s="1"/>
  <c r="AS1496" i="1"/>
  <c r="AU1496" i="1" s="1"/>
  <c r="AS178" i="1"/>
  <c r="AU178" i="1" s="1"/>
  <c r="AR636" i="1"/>
  <c r="AT636" i="1" s="1"/>
  <c r="AR1255" i="1"/>
  <c r="AT1255" i="1" s="1"/>
  <c r="AS1168" i="1"/>
  <c r="AU1168" i="1" s="1"/>
  <c r="AS123" i="1"/>
  <c r="AU123" i="1" s="1"/>
  <c r="AR938" i="1"/>
  <c r="AT938" i="1" s="1"/>
  <c r="AS118" i="1"/>
  <c r="AU118" i="1" s="1"/>
  <c r="AR1409" i="1"/>
  <c r="AT1409" i="1" s="1"/>
  <c r="AS1434" i="1"/>
  <c r="AU1434" i="1" s="1"/>
  <c r="AR1271" i="1"/>
  <c r="AT1271" i="1" s="1"/>
  <c r="AS762" i="1"/>
  <c r="AU762" i="1" s="1"/>
  <c r="AS1419" i="1"/>
  <c r="AU1419" i="1" s="1"/>
  <c r="AR1275" i="1"/>
  <c r="AT1275" i="1" s="1"/>
  <c r="AR1164" i="1"/>
  <c r="AT1164" i="1" s="1"/>
  <c r="AS1513" i="1"/>
  <c r="AU1513" i="1" s="1"/>
  <c r="AS621" i="1"/>
  <c r="AU621" i="1" s="1"/>
  <c r="AR290" i="1"/>
  <c r="AT290" i="1" s="1"/>
  <c r="AR858" i="1"/>
  <c r="AT858" i="1" s="1"/>
  <c r="AS206" i="1"/>
  <c r="AU206" i="1" s="1"/>
  <c r="AS658" i="1"/>
  <c r="AU658" i="1" s="1"/>
  <c r="AR44" i="1"/>
  <c r="AT44" i="1" s="1"/>
  <c r="AS1462" i="1"/>
  <c r="AU1462" i="1" s="1"/>
  <c r="AR1218" i="1"/>
  <c r="AT1218" i="1" s="1"/>
  <c r="AR1285" i="1"/>
  <c r="AT1285" i="1" s="1"/>
  <c r="AS1330" i="1"/>
  <c r="AU1330" i="1" s="1"/>
  <c r="AR241" i="1"/>
  <c r="AT241" i="1" s="1"/>
  <c r="AS794" i="1"/>
  <c r="AU794" i="1" s="1"/>
  <c r="AR324" i="1"/>
  <c r="AT324" i="1" s="1"/>
  <c r="AR1477" i="1"/>
  <c r="AT1477" i="1" s="1"/>
  <c r="AR694" i="1"/>
  <c r="AT694" i="1" s="1"/>
  <c r="AR603" i="1"/>
  <c r="AT603" i="1" s="1"/>
  <c r="AR874" i="1"/>
  <c r="AT874" i="1" s="1"/>
  <c r="AR410" i="1"/>
  <c r="AT410" i="1" s="1"/>
  <c r="AR557" i="1"/>
  <c r="AT557" i="1" s="1"/>
  <c r="AS498" i="1"/>
  <c r="AU498" i="1" s="1"/>
  <c r="AS588" i="1"/>
  <c r="AU588" i="1" s="1"/>
  <c r="AS809" i="1"/>
  <c r="AU809" i="1" s="1"/>
  <c r="AS1034" i="1"/>
  <c r="AU1034" i="1" s="1"/>
  <c r="AR1114" i="1"/>
  <c r="AT1114" i="1" s="1"/>
  <c r="AS182" i="1"/>
  <c r="AU182" i="1" s="1"/>
  <c r="AR744" i="1"/>
  <c r="AT744" i="1" s="1"/>
  <c r="AR517" i="1"/>
  <c r="AT517" i="1" s="1"/>
  <c r="AR903" i="1"/>
  <c r="AT903" i="1" s="1"/>
  <c r="AR1185" i="1"/>
  <c r="AT1185" i="1" s="1"/>
  <c r="AR1259" i="1"/>
  <c r="AT1259" i="1" s="1"/>
  <c r="AS488" i="1"/>
  <c r="AU488" i="1" s="1"/>
  <c r="AR1031" i="1"/>
  <c r="AT1031" i="1" s="1"/>
  <c r="AR565" i="1"/>
  <c r="AT565" i="1" s="1"/>
  <c r="AS1057" i="1"/>
  <c r="AU1057" i="1" s="1"/>
  <c r="AR713" i="1"/>
  <c r="AT713" i="1" s="1"/>
  <c r="AR1133" i="1"/>
  <c r="AT1133" i="1" s="1"/>
  <c r="AS63" i="1"/>
  <c r="AU63" i="1" s="1"/>
  <c r="AS1298" i="1"/>
  <c r="AU1298" i="1" s="1"/>
  <c r="AR217" i="1"/>
  <c r="AT217" i="1" s="1"/>
  <c r="AS1291" i="1"/>
  <c r="AU1291" i="1" s="1"/>
  <c r="AR759" i="1"/>
  <c r="AT759" i="1" s="1"/>
  <c r="AR898" i="1"/>
  <c r="AT898" i="1" s="1"/>
  <c r="AS141" i="1"/>
  <c r="AU141" i="1" s="1"/>
  <c r="AR465" i="1"/>
  <c r="AT465" i="1" s="1"/>
  <c r="AR990" i="1"/>
  <c r="AT990" i="1" s="1"/>
  <c r="AS1435" i="1"/>
  <c r="AU1435" i="1" s="1"/>
  <c r="AR1267" i="1"/>
  <c r="AT1267" i="1" s="1"/>
  <c r="AS1414" i="1"/>
  <c r="AU1414" i="1" s="1"/>
  <c r="AR1037" i="1"/>
  <c r="AT1037" i="1" s="1"/>
  <c r="AR644" i="1"/>
  <c r="AT644" i="1" s="1"/>
  <c r="AS1410" i="1"/>
  <c r="AU1410" i="1" s="1"/>
  <c r="AR840" i="1"/>
  <c r="AT840" i="1" s="1"/>
  <c r="AR416" i="1"/>
  <c r="AT416" i="1" s="1"/>
  <c r="AS980" i="1"/>
  <c r="AU980" i="1" s="1"/>
  <c r="AR1188" i="1"/>
  <c r="AT1188" i="1" s="1"/>
  <c r="AR822" i="1"/>
  <c r="AT822" i="1" s="1"/>
  <c r="AS1364" i="1"/>
  <c r="AU1364" i="1" s="1"/>
  <c r="AR1092" i="1"/>
  <c r="AT1092" i="1" s="1"/>
  <c r="AR1026" i="1"/>
  <c r="AT1026" i="1" s="1"/>
  <c r="AR1357" i="1"/>
  <c r="AT1357" i="1" s="1"/>
  <c r="AS1107" i="1"/>
  <c r="AU1107" i="1" s="1"/>
  <c r="AR1304" i="1"/>
  <c r="AT1304" i="1" s="1"/>
  <c r="AS1122" i="1"/>
  <c r="AU1122" i="1" s="1"/>
  <c r="AR1416" i="1"/>
  <c r="AT1416" i="1" s="1"/>
  <c r="AR1152" i="1"/>
  <c r="AT1152" i="1" s="1"/>
  <c r="AR466" i="1"/>
  <c r="AT466" i="1" s="1"/>
  <c r="AS284" i="1"/>
  <c r="AU284" i="1" s="1"/>
  <c r="AR924" i="1"/>
  <c r="AT924" i="1" s="1"/>
  <c r="AS175" i="1"/>
  <c r="AU175" i="1" s="1"/>
  <c r="AR1249" i="1"/>
  <c r="AT1249" i="1" s="1"/>
  <c r="AS467" i="1"/>
  <c r="AU467" i="1" s="1"/>
  <c r="AR39" i="1"/>
  <c r="AT39" i="1" s="1"/>
  <c r="AS828" i="1"/>
  <c r="AU828" i="1" s="1"/>
  <c r="AS1062" i="1"/>
  <c r="AU1062" i="1" s="1"/>
  <c r="AS526" i="1"/>
  <c r="AU526" i="1" s="1"/>
  <c r="AR871" i="1"/>
  <c r="AT871" i="1" s="1"/>
  <c r="AS1325" i="1"/>
  <c r="AU1325" i="1" s="1"/>
  <c r="AS780" i="1"/>
  <c r="AU780" i="1" s="1"/>
  <c r="AR226" i="1"/>
  <c r="AT226" i="1" s="1"/>
  <c r="AR1511" i="1"/>
  <c r="AT1511" i="1" s="1"/>
  <c r="AS1222" i="1"/>
  <c r="AU1222" i="1" s="1"/>
  <c r="AS522" i="1"/>
  <c r="AU522" i="1" s="1"/>
  <c r="AR75" i="1"/>
  <c r="AT75" i="1" s="1"/>
  <c r="AS655" i="1"/>
  <c r="AU655" i="1" s="1"/>
  <c r="AR1212" i="1"/>
  <c r="AT1212" i="1" s="1"/>
  <c r="AS126" i="1"/>
  <c r="AU126" i="1" s="1"/>
  <c r="AR987" i="1"/>
  <c r="AT987" i="1" s="1"/>
  <c r="AS76" i="1"/>
  <c r="AU76" i="1" s="1"/>
  <c r="AS244" i="1"/>
  <c r="AU244" i="1" s="1"/>
  <c r="AR1160" i="1"/>
  <c r="AT1160" i="1" s="1"/>
  <c r="AS1488" i="1"/>
  <c r="AU1488" i="1" s="1"/>
  <c r="AS1149" i="1"/>
  <c r="AU1149" i="1" s="1"/>
  <c r="AS379" i="1"/>
  <c r="AU379" i="1" s="1"/>
  <c r="AS1052" i="1"/>
  <c r="AU1052" i="1" s="1"/>
  <c r="AR832" i="1"/>
  <c r="AT832" i="1" s="1"/>
  <c r="AS726" i="1"/>
  <c r="AU726" i="1" s="1"/>
  <c r="AS575" i="1"/>
  <c r="AU575" i="1" s="1"/>
  <c r="AS1071" i="1"/>
  <c r="AU1071" i="1" s="1"/>
  <c r="AR1388" i="1"/>
  <c r="AT1388" i="1" s="1"/>
  <c r="AS687" i="1"/>
  <c r="AU687" i="1" s="1"/>
  <c r="AR187" i="1"/>
  <c r="AT187" i="1" s="1"/>
  <c r="AS789" i="1"/>
  <c r="AU789" i="1" s="1"/>
  <c r="AR418" i="1"/>
  <c r="AT418" i="1" s="1"/>
  <c r="AS1018" i="1"/>
  <c r="AU1018" i="1" s="1"/>
  <c r="AR48" i="1"/>
  <c r="AT48" i="1" s="1"/>
  <c r="AS1299" i="1"/>
  <c r="AU1299" i="1" s="1"/>
  <c r="AS235" i="1"/>
  <c r="AU235" i="1" s="1"/>
  <c r="AS17" i="1"/>
  <c r="AU17" i="1" s="1"/>
  <c r="AS1449" i="1"/>
  <c r="AU1449" i="1" s="1"/>
  <c r="AS251" i="1"/>
  <c r="AU251" i="1" s="1"/>
  <c r="AS724" i="1"/>
  <c r="AU724" i="1" s="1"/>
  <c r="AS1326" i="1"/>
  <c r="AU1326" i="1" s="1"/>
  <c r="AS124" i="1"/>
  <c r="AU124" i="1" s="1"/>
  <c r="AS1439" i="1"/>
  <c r="AU1439" i="1" s="1"/>
  <c r="AR1484" i="1"/>
  <c r="AT1484" i="1" s="1"/>
  <c r="AR946" i="1"/>
  <c r="AT946" i="1" s="1"/>
  <c r="AS627" i="1"/>
  <c r="AU627" i="1" s="1"/>
  <c r="AR364" i="1"/>
  <c r="AT364" i="1" s="1"/>
  <c r="AR1196" i="1"/>
  <c r="AT1196" i="1" s="1"/>
  <c r="AS958" i="1"/>
  <c r="AU958" i="1" s="1"/>
  <c r="AS1308" i="1"/>
  <c r="AU1308" i="1" s="1"/>
  <c r="AS1261" i="1"/>
  <c r="AU1261" i="1" s="1"/>
  <c r="AS634" i="1"/>
  <c r="AU634" i="1" s="1"/>
  <c r="AS954" i="1"/>
  <c r="AU954" i="1" s="1"/>
  <c r="AS1000" i="1"/>
  <c r="AU1000" i="1" s="1"/>
  <c r="AR905" i="1"/>
  <c r="AT905" i="1" s="1"/>
  <c r="AS1485" i="1"/>
  <c r="AU1485" i="1" s="1"/>
  <c r="AR551" i="1"/>
  <c r="AT551" i="1" s="1"/>
  <c r="AR306" i="1"/>
  <c r="AT306" i="1" s="1"/>
  <c r="AR679" i="1"/>
  <c r="AT679" i="1" s="1"/>
  <c r="AR294" i="1"/>
  <c r="AT294" i="1" s="1"/>
  <c r="AS505" i="1"/>
  <c r="AU505" i="1" s="1"/>
  <c r="AR160" i="1"/>
  <c r="AT160" i="1" s="1"/>
  <c r="AS1285" i="1"/>
  <c r="AU1285" i="1" s="1"/>
  <c r="AR1179" i="1"/>
  <c r="AT1179" i="1" s="1"/>
  <c r="AR428" i="1"/>
  <c r="AT428" i="1" s="1"/>
  <c r="AR1065" i="1"/>
  <c r="AT1065" i="1" s="1"/>
  <c r="AR1452" i="1"/>
  <c r="AT1452" i="1" s="1"/>
  <c r="AR331" i="1"/>
  <c r="AT331" i="1" s="1"/>
  <c r="AR429" i="1"/>
  <c r="AT429" i="1" s="1"/>
  <c r="AR998" i="1"/>
  <c r="AT998" i="1" s="1"/>
  <c r="AS652" i="1"/>
  <c r="AU652" i="1" s="1"/>
  <c r="AR332" i="1"/>
  <c r="AT332" i="1" s="1"/>
  <c r="AS934" i="1"/>
  <c r="AU934" i="1" s="1"/>
  <c r="AR391" i="1"/>
  <c r="AT391" i="1" s="1"/>
  <c r="AS1114" i="1"/>
  <c r="AU1114" i="1" s="1"/>
  <c r="AR1507" i="1"/>
  <c r="AT1507" i="1" s="1"/>
  <c r="AS1190" i="1"/>
  <c r="AU1190" i="1" s="1"/>
  <c r="AR1215" i="1"/>
  <c r="AT1215" i="1" s="1"/>
  <c r="AS694" i="1"/>
  <c r="AU694" i="1" s="1"/>
  <c r="AR378" i="1"/>
  <c r="AT378" i="1" s="1"/>
  <c r="AS67" i="1"/>
  <c r="AU67" i="1" s="1"/>
  <c r="AS867" i="1"/>
  <c r="AU867" i="1" s="1"/>
  <c r="AR1147" i="1"/>
  <c r="AT1147" i="1" s="1"/>
  <c r="AS357" i="1"/>
  <c r="AU357" i="1" s="1"/>
  <c r="AR355" i="1"/>
  <c r="AT355" i="1" s="1"/>
  <c r="AR178" i="1"/>
  <c r="AT178" i="1" s="1"/>
  <c r="AS360" i="1"/>
  <c r="AU360" i="1" s="1"/>
  <c r="AS93" i="1"/>
  <c r="AU93" i="1" s="1"/>
  <c r="AR996" i="1"/>
  <c r="AT996" i="1" s="1"/>
  <c r="AS775" i="1"/>
  <c r="AU775" i="1" s="1"/>
  <c r="AS215" i="1"/>
  <c r="AU215" i="1" s="1"/>
  <c r="AR133" i="1"/>
  <c r="AT133" i="1" s="1"/>
  <c r="AS1075" i="1"/>
  <c r="AU1075" i="1" s="1"/>
  <c r="AS1329" i="1"/>
  <c r="AU1329" i="1" s="1"/>
  <c r="AS1109" i="1"/>
  <c r="AU1109" i="1" s="1"/>
  <c r="AR826" i="1"/>
  <c r="AT826" i="1" s="1"/>
  <c r="AS44" i="1"/>
  <c r="AU44" i="1" s="1"/>
  <c r="AS1147" i="1"/>
  <c r="AU1147" i="1" s="1"/>
  <c r="AS874" i="1"/>
  <c r="AU874" i="1" s="1"/>
  <c r="AS355" i="1"/>
  <c r="AU355" i="1" s="1"/>
  <c r="AS580" i="1"/>
  <c r="AU580" i="1" s="1"/>
  <c r="AR320" i="1"/>
  <c r="AT320" i="1" s="1"/>
  <c r="AS744" i="1"/>
  <c r="AU744" i="1" s="1"/>
  <c r="AR1490" i="1"/>
  <c r="AT1490" i="1" s="1"/>
  <c r="AR1382" i="1"/>
  <c r="AT1382" i="1" s="1"/>
  <c r="AS290" i="1"/>
  <c r="AU290" i="1" s="1"/>
  <c r="AS1382" i="1"/>
  <c r="AU1382" i="1" s="1"/>
  <c r="AS860" i="1"/>
  <c r="AU860" i="1" s="1"/>
  <c r="AR1195" i="1"/>
  <c r="AT1195" i="1" s="1"/>
  <c r="AS29" i="1"/>
  <c r="AU29" i="1" s="1"/>
  <c r="AR169" i="1"/>
  <c r="AT169" i="1" s="1"/>
  <c r="AS57" i="1"/>
  <c r="AU57" i="1" s="1"/>
  <c r="AS1444" i="1"/>
  <c r="AU1444" i="1" s="1"/>
  <c r="AS582" i="1"/>
  <c r="AU582" i="1" s="1"/>
  <c r="AR1252" i="1"/>
  <c r="AT1252" i="1" s="1"/>
  <c r="AR1128" i="1"/>
  <c r="AT1128" i="1" s="1"/>
  <c r="AS612" i="1"/>
  <c r="AU612" i="1" s="1"/>
  <c r="AS1409" i="1"/>
  <c r="AU1409" i="1" s="1"/>
  <c r="AS398" i="1"/>
  <c r="AU398" i="1" s="1"/>
  <c r="AR1080" i="1"/>
  <c r="AT1080" i="1" s="1"/>
  <c r="AS1289" i="1"/>
  <c r="AU1289" i="1" s="1"/>
  <c r="AS399" i="1"/>
  <c r="AU399" i="1" s="1"/>
  <c r="AR271" i="1"/>
  <c r="AT271" i="1" s="1"/>
  <c r="AR730" i="1"/>
  <c r="AT730" i="1" s="1"/>
  <c r="AR621" i="1"/>
  <c r="AT621" i="1" s="1"/>
  <c r="AS858" i="1"/>
  <c r="AU858" i="1" s="1"/>
  <c r="AR206" i="1"/>
  <c r="AT206" i="1" s="1"/>
  <c r="AR658" i="1"/>
  <c r="AT658" i="1" s="1"/>
  <c r="AR140" i="1"/>
  <c r="AT140" i="1" s="1"/>
  <c r="AS80" i="1"/>
  <c r="AU80" i="1" s="1"/>
  <c r="AS1085" i="1"/>
  <c r="AU1085" i="1" s="1"/>
  <c r="AR1462" i="1"/>
  <c r="AT1462" i="1" s="1"/>
  <c r="AS1179" i="1"/>
  <c r="AU1179" i="1" s="1"/>
  <c r="AR1030" i="1"/>
  <c r="AT1030" i="1" s="1"/>
  <c r="AR153" i="1"/>
  <c r="AT153" i="1" s="1"/>
  <c r="AR1456" i="1"/>
  <c r="AT1456" i="1" s="1"/>
  <c r="AS1477" i="1"/>
  <c r="AU1477" i="1" s="1"/>
  <c r="AR601" i="1"/>
  <c r="AT601" i="1" s="1"/>
  <c r="AR1131" i="1"/>
  <c r="AT1131" i="1" s="1"/>
  <c r="AS410" i="1"/>
  <c r="AU410" i="1" s="1"/>
  <c r="AS685" i="1"/>
  <c r="AU685" i="1" s="1"/>
  <c r="AR1426" i="1"/>
  <c r="AT1426" i="1" s="1"/>
  <c r="AR588" i="1"/>
  <c r="AT588" i="1" s="1"/>
  <c r="AR809" i="1"/>
  <c r="AT809" i="1" s="1"/>
  <c r="AR1125" i="1"/>
  <c r="AT1125" i="1" s="1"/>
  <c r="AR1034" i="1"/>
  <c r="AT1034" i="1" s="1"/>
  <c r="AS889" i="1"/>
  <c r="AU889" i="1" s="1"/>
  <c r="AR618" i="1"/>
  <c r="AT618" i="1" s="1"/>
  <c r="AS803" i="1"/>
  <c r="AU803" i="1" s="1"/>
  <c r="AR701" i="1"/>
  <c r="AT701" i="1" s="1"/>
  <c r="AS1165" i="1"/>
  <c r="AU1165" i="1" s="1"/>
  <c r="AS510" i="1"/>
  <c r="AU510" i="1" s="1"/>
  <c r="AS903" i="1"/>
  <c r="AU903" i="1" s="1"/>
  <c r="AS1185" i="1"/>
  <c r="AU1185" i="1" s="1"/>
  <c r="AS807" i="1"/>
  <c r="AU807" i="1" s="1"/>
  <c r="AR464" i="1"/>
  <c r="AT464" i="1" s="1"/>
  <c r="AR1165" i="1"/>
  <c r="AT1165" i="1" s="1"/>
  <c r="AR810" i="1"/>
  <c r="AT810" i="1" s="1"/>
  <c r="AS713" i="1"/>
  <c r="AU713" i="1" s="1"/>
  <c r="AS218" i="1"/>
  <c r="AU218" i="1" s="1"/>
  <c r="AS1133" i="1"/>
  <c r="AU1133" i="1" s="1"/>
  <c r="AR63" i="1"/>
  <c r="AT63" i="1" s="1"/>
  <c r="AR1298" i="1"/>
  <c r="AT1298" i="1" s="1"/>
  <c r="AR1407" i="1"/>
  <c r="AT1407" i="1" s="1"/>
  <c r="AS1008" i="1"/>
  <c r="AU1008" i="1" s="1"/>
  <c r="AR1156" i="1"/>
  <c r="AT1156" i="1" s="1"/>
  <c r="AS465" i="1"/>
  <c r="AU465" i="1" s="1"/>
  <c r="AR499" i="1"/>
  <c r="AT499" i="1" s="1"/>
  <c r="AR1435" i="1"/>
  <c r="AT1435" i="1" s="1"/>
  <c r="AS1267" i="1"/>
  <c r="AU1267" i="1" s="1"/>
  <c r="AS150" i="1"/>
  <c r="AU150" i="1" s="1"/>
  <c r="AR1211" i="1"/>
  <c r="AT1211" i="1" s="1"/>
  <c r="AS1037" i="1"/>
  <c r="AU1037" i="1" s="1"/>
  <c r="AS644" i="1"/>
  <c r="AU644" i="1" s="1"/>
  <c r="AR1410" i="1"/>
  <c r="AT1410" i="1" s="1"/>
  <c r="AR194" i="1"/>
  <c r="AT194" i="1" s="1"/>
  <c r="AR1399" i="1"/>
  <c r="AT1399" i="1" s="1"/>
  <c r="AR1191" i="1"/>
  <c r="AT1191" i="1" s="1"/>
  <c r="AS190" i="1"/>
  <c r="AU190" i="1" s="1"/>
  <c r="AS1188" i="1"/>
  <c r="AU1188" i="1" s="1"/>
  <c r="AS1092" i="1"/>
  <c r="AU1092" i="1" s="1"/>
  <c r="AS372" i="1"/>
  <c r="AU372" i="1" s="1"/>
  <c r="AS1026" i="1"/>
  <c r="AU1026" i="1" s="1"/>
  <c r="AS1357" i="1"/>
  <c r="AU1357" i="1" s="1"/>
  <c r="AR1107" i="1"/>
  <c r="AT1107" i="1" s="1"/>
  <c r="AS1304" i="1"/>
  <c r="AU1304" i="1" s="1"/>
  <c r="AR1383" i="1"/>
  <c r="AT1383" i="1" s="1"/>
  <c r="AS1480" i="1"/>
  <c r="AU1480" i="1" s="1"/>
  <c r="AS1152" i="1"/>
  <c r="AU1152" i="1" s="1"/>
  <c r="AR284" i="1"/>
  <c r="AT284" i="1" s="1"/>
  <c r="AS912" i="1"/>
  <c r="AU912" i="1" s="1"/>
  <c r="AS557" i="1"/>
  <c r="AU557" i="1" s="1"/>
  <c r="AR787" i="1"/>
  <c r="AT787" i="1" s="1"/>
  <c r="AS756" i="1"/>
  <c r="AU756" i="1" s="1"/>
  <c r="AR100" i="1"/>
  <c r="AT100" i="1" s="1"/>
  <c r="AR1321" i="1"/>
  <c r="AT1321" i="1" s="1"/>
  <c r="AR285" i="1"/>
  <c r="AT285" i="1" s="1"/>
  <c r="AS425" i="1"/>
  <c r="AU425" i="1" s="1"/>
  <c r="AR60" i="1"/>
  <c r="AT60" i="1" s="1"/>
  <c r="AS358" i="1"/>
  <c r="AU358" i="1" s="1"/>
  <c r="AR526" i="1"/>
  <c r="AT526" i="1" s="1"/>
  <c r="AS1134" i="1"/>
  <c r="AU1134" i="1" s="1"/>
  <c r="AR1170" i="1"/>
  <c r="AT1170" i="1" s="1"/>
  <c r="AR393" i="1"/>
  <c r="AT393" i="1" s="1"/>
  <c r="AS776" i="1"/>
  <c r="AU776" i="1" s="1"/>
  <c r="AR883" i="1"/>
  <c r="AT883" i="1" s="1"/>
  <c r="AS1511" i="1"/>
  <c r="AU1511" i="1" s="1"/>
  <c r="AS815" i="1"/>
  <c r="AU815" i="1" s="1"/>
  <c r="AR522" i="1"/>
  <c r="AT522" i="1" s="1"/>
  <c r="AS75" i="1"/>
  <c r="AU75" i="1" s="1"/>
  <c r="AR215" i="1"/>
  <c r="AT215" i="1" s="1"/>
  <c r="AS1212" i="1"/>
  <c r="AU1212" i="1" s="1"/>
  <c r="AS987" i="1"/>
  <c r="AU987" i="1" s="1"/>
  <c r="AS1160" i="1"/>
  <c r="AU1160" i="1" s="1"/>
  <c r="AR1488" i="1"/>
  <c r="AT1488" i="1" s="1"/>
  <c r="AR1052" i="1"/>
  <c r="AT1052" i="1" s="1"/>
  <c r="AR1198" i="1"/>
  <c r="AT1198" i="1" s="1"/>
  <c r="AS930" i="1"/>
  <c r="AU930" i="1" s="1"/>
  <c r="AR279" i="1"/>
  <c r="AT279" i="1" s="1"/>
  <c r="AS629" i="1"/>
  <c r="AU629" i="1" s="1"/>
  <c r="AS637" i="1"/>
  <c r="AU637" i="1" s="1"/>
  <c r="AS187" i="1"/>
  <c r="AU187" i="1" s="1"/>
  <c r="AS347" i="1"/>
  <c r="AU347" i="1" s="1"/>
  <c r="AR607" i="1"/>
  <c r="AT607" i="1" s="1"/>
  <c r="AR1018" i="1"/>
  <c r="AT1018" i="1" s="1"/>
  <c r="AS478" i="1"/>
  <c r="AU478" i="1" s="1"/>
  <c r="AR1299" i="1"/>
  <c r="AT1299" i="1" s="1"/>
  <c r="AR1076" i="1"/>
  <c r="AT1076" i="1" s="1"/>
  <c r="AS403" i="1"/>
  <c r="AU403" i="1" s="1"/>
  <c r="AR665" i="1"/>
  <c r="AT665" i="1" s="1"/>
  <c r="AR17" i="1"/>
  <c r="AT17" i="1" s="1"/>
  <c r="AR762" i="1"/>
  <c r="AT762" i="1" s="1"/>
  <c r="AS370" i="1"/>
  <c r="AU370" i="1" s="1"/>
  <c r="AS613" i="1"/>
  <c r="AU613" i="1" s="1"/>
  <c r="AS1422" i="1"/>
  <c r="AU1422" i="1" s="1"/>
  <c r="AS917" i="1"/>
  <c r="AU917" i="1" s="1"/>
  <c r="AR124" i="1"/>
  <c r="AT124" i="1" s="1"/>
  <c r="AR850" i="1"/>
  <c r="AT850" i="1" s="1"/>
  <c r="AR1439" i="1"/>
  <c r="AT1439" i="1" s="1"/>
  <c r="AS1437" i="1"/>
  <c r="AU1437" i="1" s="1"/>
  <c r="AS1484" i="1"/>
  <c r="AU1484" i="1" s="1"/>
  <c r="AS949" i="1"/>
  <c r="AU949" i="1" s="1"/>
  <c r="AR848" i="1"/>
  <c r="AT848" i="1" s="1"/>
  <c r="AR627" i="1"/>
  <c r="AT627" i="1" s="1"/>
  <c r="AR640" i="1"/>
  <c r="AT640" i="1" s="1"/>
  <c r="AS691" i="1"/>
  <c r="AU691" i="1" s="1"/>
  <c r="AS869" i="1"/>
  <c r="AU869" i="1" s="1"/>
  <c r="AR344" i="1"/>
  <c r="AT344" i="1" s="1"/>
  <c r="AR954" i="1"/>
  <c r="AT954" i="1" s="1"/>
  <c r="AS137" i="1"/>
  <c r="AU137" i="1" s="1"/>
  <c r="AS905" i="1"/>
  <c r="AU905" i="1" s="1"/>
  <c r="AR233" i="1"/>
  <c r="AT233" i="1" s="1"/>
  <c r="AS306" i="1"/>
  <c r="AU306" i="1" s="1"/>
  <c r="AS679" i="1"/>
  <c r="AU679" i="1" s="1"/>
  <c r="AR105" i="1"/>
  <c r="AT105" i="1" s="1"/>
  <c r="AR802" i="1"/>
  <c r="AT802" i="1" s="1"/>
  <c r="AS302" i="1"/>
  <c r="AU302" i="1" s="1"/>
  <c r="AS865" i="1"/>
  <c r="AU865" i="1" s="1"/>
  <c r="AS317" i="1"/>
  <c r="AU317" i="1" s="1"/>
  <c r="AS429" i="1"/>
  <c r="AU429" i="1" s="1"/>
  <c r="AS1065" i="1"/>
  <c r="AU1065" i="1" s="1"/>
  <c r="AR734" i="1"/>
  <c r="AT734" i="1" s="1"/>
  <c r="AS264" i="1"/>
  <c r="AU264" i="1" s="1"/>
  <c r="AS1314" i="1"/>
  <c r="AU1314" i="1" s="1"/>
  <c r="AR579" i="1"/>
  <c r="AT579" i="1" s="1"/>
  <c r="AR409" i="1"/>
  <c r="AT409" i="1" s="1"/>
  <c r="AR1295" i="1"/>
  <c r="AT1295" i="1" s="1"/>
  <c r="AS332" i="1"/>
  <c r="AU332" i="1" s="1"/>
  <c r="AR1237" i="1"/>
  <c r="AT1237" i="1" s="1"/>
  <c r="AR742" i="1"/>
  <c r="AT742" i="1" s="1"/>
  <c r="AR476" i="1"/>
  <c r="AT476" i="1" s="1"/>
  <c r="AR1205" i="1"/>
  <c r="AT1205" i="1" s="1"/>
  <c r="AS825" i="1"/>
  <c r="AU825" i="1" s="1"/>
  <c r="AS243" i="1"/>
  <c r="AU243" i="1" s="1"/>
  <c r="AS1405" i="1"/>
  <c r="AU1405" i="1" s="1"/>
  <c r="AS1507" i="1"/>
  <c r="AU1507" i="1" s="1"/>
  <c r="AR1003" i="1"/>
  <c r="AT1003" i="1" s="1"/>
  <c r="AR720" i="1"/>
  <c r="AT720" i="1" s="1"/>
  <c r="AS1460" i="1"/>
  <c r="AU1460" i="1" s="1"/>
  <c r="AR912" i="1"/>
  <c r="AT912" i="1" s="1"/>
  <c r="AS381" i="1"/>
  <c r="AU381" i="1" s="1"/>
  <c r="AR751" i="1"/>
  <c r="AT751" i="1" s="1"/>
  <c r="AR1097" i="1"/>
  <c r="AT1097" i="1" s="1"/>
  <c r="AS1243" i="1"/>
  <c r="AU1243" i="1" s="1"/>
  <c r="AR1015" i="1"/>
  <c r="AT1015" i="1" s="1"/>
  <c r="AS31" i="1"/>
  <c r="AU31" i="1" s="1"/>
  <c r="AR1434" i="1"/>
  <c r="AT1434" i="1" s="1"/>
  <c r="AR484" i="1"/>
  <c r="AT484" i="1" s="1"/>
  <c r="AS711" i="1"/>
  <c r="AU711" i="1" s="1"/>
  <c r="AR860" i="1"/>
  <c r="AT860" i="1" s="1"/>
  <c r="AR577" i="1"/>
  <c r="AT577" i="1" s="1"/>
  <c r="AS452" i="1"/>
  <c r="AU452" i="1" s="1"/>
  <c r="AS241" i="1"/>
  <c r="AU241" i="1" s="1"/>
  <c r="AS966" i="1"/>
  <c r="AU966" i="1" s="1"/>
  <c r="AR68" i="1"/>
  <c r="AT68" i="1" s="1"/>
  <c r="AS548" i="1"/>
  <c r="AU548" i="1" s="1"/>
  <c r="AS1350" i="1"/>
  <c r="AU1350" i="1" s="1"/>
  <c r="AR1109" i="1"/>
  <c r="AT1109" i="1" s="1"/>
  <c r="AR1348" i="1"/>
  <c r="AT1348" i="1" s="1"/>
  <c r="AR895" i="1"/>
  <c r="AT895" i="1" s="1"/>
  <c r="AS1195" i="1"/>
  <c r="AU1195" i="1" s="1"/>
  <c r="AR29" i="1"/>
  <c r="AT29" i="1" s="1"/>
  <c r="AS169" i="1"/>
  <c r="AU169" i="1" s="1"/>
  <c r="AR57" i="1"/>
  <c r="AT57" i="1" s="1"/>
  <c r="AR609" i="1"/>
  <c r="AT609" i="1" s="1"/>
  <c r="AR582" i="1"/>
  <c r="AT582" i="1" s="1"/>
  <c r="AR353" i="1"/>
  <c r="AT353" i="1" s="1"/>
  <c r="AS1252" i="1"/>
  <c r="AU1252" i="1" s="1"/>
  <c r="AR612" i="1"/>
  <c r="AT612" i="1" s="1"/>
  <c r="AS1392" i="1"/>
  <c r="AU1392" i="1" s="1"/>
  <c r="AR52" i="1"/>
  <c r="AT52" i="1" s="1"/>
  <c r="AS528" i="1"/>
  <c r="AU528" i="1" s="1"/>
  <c r="AR398" i="1"/>
  <c r="AT398" i="1" s="1"/>
  <c r="AS1080" i="1"/>
  <c r="AU1080" i="1" s="1"/>
  <c r="AR1289" i="1"/>
  <c r="AT1289" i="1" s="1"/>
  <c r="AR596" i="1"/>
  <c r="AT596" i="1" s="1"/>
  <c r="AR399" i="1"/>
  <c r="AT399" i="1" s="1"/>
  <c r="AS730" i="1"/>
  <c r="AU730" i="1" s="1"/>
  <c r="AR1110" i="1"/>
  <c r="AT1110" i="1" s="1"/>
  <c r="AR508" i="1"/>
  <c r="AT508" i="1" s="1"/>
  <c r="AS1021" i="1"/>
  <c r="AU1021" i="1" s="1"/>
  <c r="AS407" i="1"/>
  <c r="AU407" i="1" s="1"/>
  <c r="AS267" i="1"/>
  <c r="AU267" i="1" s="1"/>
  <c r="AS58" i="1"/>
  <c r="AU58" i="1" s="1"/>
  <c r="AS140" i="1"/>
  <c r="AU140" i="1" s="1"/>
  <c r="AR1432" i="1"/>
  <c r="AT1432" i="1" s="1"/>
  <c r="AR262" i="1"/>
  <c r="AT262" i="1" s="1"/>
  <c r="AS1015" i="1"/>
  <c r="AU1015" i="1" s="1"/>
  <c r="AS417" i="1"/>
  <c r="AU417" i="1" s="1"/>
  <c r="AS1316" i="1"/>
  <c r="AU1316" i="1" s="1"/>
  <c r="AR253" i="1"/>
  <c r="AT253" i="1" s="1"/>
  <c r="AR1203" i="1"/>
  <c r="AT1203" i="1" s="1"/>
  <c r="AS1456" i="1"/>
  <c r="AU1456" i="1" s="1"/>
  <c r="AS840" i="1"/>
  <c r="AU840" i="1" s="1"/>
  <c r="AR338" i="1"/>
  <c r="AT338" i="1" s="1"/>
  <c r="AS812" i="1"/>
  <c r="AU812" i="1" s="1"/>
  <c r="AS1131" i="1"/>
  <c r="AU1131" i="1" s="1"/>
  <c r="AR142" i="1"/>
  <c r="AT142" i="1" s="1"/>
  <c r="AR685" i="1"/>
  <c r="AT685" i="1" s="1"/>
  <c r="AS982" i="1"/>
  <c r="AU982" i="1" s="1"/>
  <c r="AR23" i="1"/>
  <c r="AT23" i="1" s="1"/>
  <c r="AS299" i="1"/>
  <c r="AU299" i="1" s="1"/>
  <c r="AS1125" i="1"/>
  <c r="AU1125" i="1" s="1"/>
  <c r="AR299" i="1"/>
  <c r="AT299" i="1" s="1"/>
  <c r="AR1296" i="1"/>
  <c r="AT1296" i="1" s="1"/>
  <c r="AR889" i="1"/>
  <c r="AT889" i="1" s="1"/>
  <c r="AR1090" i="1"/>
  <c r="AT1090" i="1" s="1"/>
  <c r="AR189" i="1"/>
  <c r="AT189" i="1" s="1"/>
  <c r="AR405" i="1"/>
  <c r="AT405" i="1" s="1"/>
  <c r="AS129" i="1"/>
  <c r="AU129" i="1" s="1"/>
  <c r="AR375" i="1"/>
  <c r="AT375" i="1" s="1"/>
  <c r="AR939" i="1"/>
  <c r="AT939" i="1" s="1"/>
  <c r="AR383" i="1"/>
  <c r="AT383" i="1" s="1"/>
  <c r="AR1144" i="1"/>
  <c r="AT1144" i="1" s="1"/>
  <c r="AS464" i="1"/>
  <c r="AU464" i="1" s="1"/>
  <c r="AR482" i="1"/>
  <c r="AT482" i="1" s="1"/>
  <c r="AS810" i="1"/>
  <c r="AU810" i="1" s="1"/>
  <c r="AS677" i="1"/>
  <c r="AU677" i="1" s="1"/>
  <c r="AS1360" i="1"/>
  <c r="AU1360" i="1" s="1"/>
  <c r="AS484" i="1"/>
  <c r="AU484" i="1" s="1"/>
  <c r="AS470" i="1"/>
  <c r="AU470" i="1" s="1"/>
  <c r="AS1407" i="1"/>
  <c r="AU1407" i="1" s="1"/>
  <c r="AR639" i="1"/>
  <c r="AT639" i="1" s="1"/>
  <c r="AS1156" i="1"/>
  <c r="AU1156" i="1" s="1"/>
  <c r="AS499" i="1"/>
  <c r="AU499" i="1" s="1"/>
  <c r="AS886" i="1"/>
  <c r="AU886" i="1" s="1"/>
  <c r="AR1436" i="1"/>
  <c r="AT1436" i="1" s="1"/>
  <c r="AR1038" i="1"/>
  <c r="AT1038" i="1" s="1"/>
  <c r="AS1211" i="1"/>
  <c r="AU1211" i="1" s="1"/>
  <c r="AR1142" i="1"/>
  <c r="AT1142" i="1" s="1"/>
  <c r="AR1206" i="1"/>
  <c r="AT1206" i="1" s="1"/>
  <c r="AS194" i="1"/>
  <c r="AU194" i="1" s="1"/>
  <c r="AS1373" i="1"/>
  <c r="AU1373" i="1" s="1"/>
  <c r="AS1191" i="1"/>
  <c r="AU1191" i="1" s="1"/>
  <c r="AS37" i="1"/>
  <c r="AU37" i="1" s="1"/>
  <c r="AS1301" i="1"/>
  <c r="AU1301" i="1" s="1"/>
  <c r="AS1265" i="1"/>
  <c r="AU1265" i="1" s="1"/>
  <c r="AS439" i="1"/>
  <c r="AU439" i="1" s="1"/>
  <c r="AR753" i="1"/>
  <c r="AT753" i="1" s="1"/>
  <c r="AS100" i="1"/>
  <c r="AU100" i="1" s="1"/>
  <c r="AR1230" i="1"/>
  <c r="AT1230" i="1" s="1"/>
  <c r="AR747" i="1"/>
  <c r="AT747" i="1" s="1"/>
  <c r="AR1247" i="1"/>
  <c r="AT1247" i="1" s="1"/>
  <c r="AS248" i="1"/>
  <c r="AU248" i="1" s="1"/>
  <c r="AR277" i="1"/>
  <c r="AT277" i="1" s="1"/>
  <c r="AS1200" i="1"/>
  <c r="AU1200" i="1" s="1"/>
  <c r="AS787" i="1"/>
  <c r="AU787" i="1" s="1"/>
  <c r="AR756" i="1"/>
  <c r="AT756" i="1" s="1"/>
  <c r="AS1321" i="1"/>
  <c r="AU1321" i="1" s="1"/>
  <c r="AR1276" i="1"/>
  <c r="AT1276" i="1" s="1"/>
  <c r="AS285" i="1"/>
  <c r="AU285" i="1" s="1"/>
  <c r="AS1027" i="1"/>
  <c r="AU1027" i="1" s="1"/>
  <c r="AS229" i="1"/>
  <c r="AU229" i="1" s="1"/>
  <c r="AR184" i="1"/>
  <c r="AT184" i="1" s="1"/>
  <c r="AR1134" i="1"/>
  <c r="AT1134" i="1" s="1"/>
  <c r="AR634" i="1"/>
  <c r="AT634" i="1" s="1"/>
  <c r="AS606" i="1"/>
  <c r="AU606" i="1" s="1"/>
  <c r="AR1154" i="1"/>
  <c r="AT1154" i="1" s="1"/>
  <c r="AS1346" i="1"/>
  <c r="AU1346" i="1" s="1"/>
  <c r="AR648" i="1"/>
  <c r="AT648" i="1" s="1"/>
  <c r="AS254" i="1"/>
  <c r="AU254" i="1" s="1"/>
  <c r="AS199" i="1"/>
  <c r="AU199" i="1" s="1"/>
  <c r="AR820" i="1"/>
  <c r="AT820" i="1" s="1"/>
  <c r="AS977" i="1"/>
  <c r="AU977" i="1" s="1"/>
  <c r="AS751" i="1"/>
  <c r="AU751" i="1" s="1"/>
  <c r="AS1154" i="1"/>
  <c r="AU1154" i="1" s="1"/>
  <c r="AS1198" i="1"/>
  <c r="AU1198" i="1" s="1"/>
  <c r="AR930" i="1"/>
  <c r="AT930" i="1" s="1"/>
  <c r="AS944" i="1"/>
  <c r="AU944" i="1" s="1"/>
  <c r="AR317" i="1"/>
  <c r="AT317" i="1" s="1"/>
  <c r="AR875" i="1"/>
  <c r="AT875" i="1" s="1"/>
  <c r="AS444" i="1"/>
  <c r="AU444" i="1" s="1"/>
  <c r="AR1176" i="1"/>
  <c r="AT1176" i="1" s="1"/>
  <c r="AS624" i="1"/>
  <c r="AU624" i="1" s="1"/>
  <c r="AR478" i="1"/>
  <c r="AT478" i="1" s="1"/>
  <c r="AS1076" i="1"/>
  <c r="AU1076" i="1" s="1"/>
  <c r="AR403" i="1"/>
  <c r="AT403" i="1" s="1"/>
  <c r="AS771" i="1"/>
  <c r="AU771" i="1" s="1"/>
  <c r="AS515" i="1"/>
  <c r="AU515" i="1" s="1"/>
  <c r="AR173" i="1"/>
  <c r="AT173" i="1" s="1"/>
  <c r="AR991" i="1"/>
  <c r="AT991" i="1" s="1"/>
  <c r="AR370" i="1"/>
  <c r="AT370" i="1" s="1"/>
  <c r="AS1144" i="1"/>
  <c r="AU1144" i="1" s="1"/>
  <c r="AR613" i="1"/>
  <c r="AT613" i="1" s="1"/>
  <c r="AR735" i="1"/>
  <c r="AT735" i="1" s="1"/>
  <c r="AS420" i="1"/>
  <c r="AU420" i="1" s="1"/>
  <c r="AR660" i="1"/>
  <c r="AT660" i="1" s="1"/>
  <c r="AS850" i="1"/>
  <c r="AU850" i="1" s="1"/>
  <c r="AR1437" i="1"/>
  <c r="AT1437" i="1" s="1"/>
  <c r="AS696" i="1"/>
  <c r="AU696" i="1" s="1"/>
  <c r="AS848" i="1"/>
  <c r="AU848" i="1" s="1"/>
  <c r="AS412" i="1"/>
  <c r="AU412" i="1" s="1"/>
  <c r="AS640" i="1"/>
  <c r="AU640" i="1" s="1"/>
  <c r="AS562" i="1"/>
  <c r="AU562" i="1" s="1"/>
  <c r="AR691" i="1"/>
  <c r="AT691" i="1" s="1"/>
  <c r="AR869" i="1"/>
  <c r="AT869" i="1" s="1"/>
  <c r="AS344" i="1"/>
  <c r="AU344" i="1" s="1"/>
  <c r="AR137" i="1"/>
  <c r="AT137" i="1" s="1"/>
  <c r="AS157" i="1"/>
  <c r="AU157" i="1" s="1"/>
  <c r="AS233" i="1"/>
  <c r="AU233" i="1" s="1"/>
  <c r="AR308" i="1"/>
  <c r="AT308" i="1" s="1"/>
  <c r="AS105" i="1"/>
  <c r="AU105" i="1" s="1"/>
</calcChain>
</file>

<file path=xl/sharedStrings.xml><?xml version="1.0" encoding="utf-8"?>
<sst xmlns="http://schemas.openxmlformats.org/spreadsheetml/2006/main" count="68" uniqueCount="62">
  <si>
    <t>Course</t>
  </si>
  <si>
    <t>Syllabus</t>
  </si>
  <si>
    <t>Stock</t>
  </si>
  <si>
    <t>RiskFreeRate</t>
  </si>
  <si>
    <t>Market ROI</t>
  </si>
  <si>
    <t>Beta</t>
  </si>
  <si>
    <t>DIV</t>
  </si>
  <si>
    <t>RRR is from CAPM</t>
  </si>
  <si>
    <t>Growth Rate</t>
  </si>
  <si>
    <t>PayOUT</t>
  </si>
  <si>
    <t>ROE</t>
  </si>
  <si>
    <t>Profit Retention</t>
  </si>
  <si>
    <t>Value of Common Stock</t>
  </si>
  <si>
    <t>Date</t>
  </si>
  <si>
    <t>IBM closing price</t>
  </si>
  <si>
    <t>Average</t>
  </si>
  <si>
    <t>Standard Deviation</t>
  </si>
  <si>
    <t>-3SD</t>
  </si>
  <si>
    <t>-2SD</t>
  </si>
  <si>
    <t>-1SD</t>
  </si>
  <si>
    <t>+1SD</t>
  </si>
  <si>
    <t>+2SD</t>
  </si>
  <si>
    <t>+3SD</t>
  </si>
  <si>
    <t>IBM Daily ROI%</t>
  </si>
  <si>
    <t>Historical Volatility (HV-21)</t>
  </si>
  <si>
    <t>Implied Volatility (RVX)</t>
  </si>
  <si>
    <t>VRP = IV-HV</t>
  </si>
  <si>
    <t>VRP</t>
  </si>
  <si>
    <t>Buy Rule</t>
  </si>
  <si>
    <t>Sell Rule</t>
  </si>
  <si>
    <t>Final</t>
  </si>
  <si>
    <t xml:space="preserve">Final </t>
  </si>
  <si>
    <t>Buy</t>
  </si>
  <si>
    <t>Sell</t>
  </si>
  <si>
    <t>GAINS</t>
  </si>
  <si>
    <t>Growth</t>
  </si>
  <si>
    <t>ECON 139</t>
  </si>
  <si>
    <t>IBM</t>
  </si>
  <si>
    <t>5-DMA</t>
  </si>
  <si>
    <t>Price</t>
  </si>
  <si>
    <t>LOSSES</t>
  </si>
  <si>
    <t>To-Do's for the Week</t>
  </si>
  <si>
    <t>1. Administration</t>
  </si>
  <si>
    <t>a. FAQ session and review</t>
  </si>
  <si>
    <t>a. recreation of MT2, live in class (CROX ie the shoe/sandal "Crocs")</t>
  </si>
  <si>
    <t>2. This Week's Topics</t>
  </si>
  <si>
    <t>a. Application in Spreadsheets</t>
  </si>
  <si>
    <t>b. Review VRP calculations</t>
  </si>
  <si>
    <t>c. Deliverables, additive to email (sent)</t>
  </si>
  <si>
    <t>d. Explore other tactical trading models</t>
  </si>
  <si>
    <t>3. Reference Materials</t>
  </si>
  <si>
    <t>a. Slides - Chp 5</t>
  </si>
  <si>
    <t>b. Slides - Chp 6 &amp; 7</t>
  </si>
  <si>
    <t>c. CBOE "Scrubber," use link and change quotation "VIX9D" to "yours":</t>
  </si>
  <si>
    <t>https://cdn.cboe.com/api/global/us_indices/daily_prices/VIX9D_History.csv</t>
  </si>
  <si>
    <t>i. for stocks that have a dedicated "VIX index"</t>
  </si>
  <si>
    <t>ii. only a few stocks have a "VIX index"</t>
  </si>
  <si>
    <t>d. old AAPL models</t>
  </si>
  <si>
    <t>i. 2017 model without VRP</t>
  </si>
  <si>
    <t>ii. 2024 model with VRP and VAMS</t>
  </si>
  <si>
    <t>e. When Vega Unpins 03-20-2026</t>
  </si>
  <si>
    <t>f. When Vega Unpins 03-21-2026 (Claude's Executive 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</si>
</sst>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7" formatCode="mm/dd/yyyy"/>
    <numFmt numFmtId="168" formatCode="m/d/yyyy"/>
  </numFmts>
  <fonts count="20" x14ac:knownFonts="1"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i/>
      <u/>
      <sz val="11"/>
      <color rgb="FF0000FF"/>
      <name val="Arial"/>
      <family val="2"/>
    </font>
    <font>
      <b/>
      <i/>
      <u/>
      <sz val="11"/>
      <color rgb="FF1155CC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rgb="FF000000"/>
      <name val="Helvetica Neue"/>
      <family val="2"/>
    </font>
    <font>
      <sz val="14"/>
      <color theme="1"/>
      <name val="Calibri"/>
      <family val="2"/>
      <scheme val="minor"/>
    </font>
    <font>
      <i/>
      <sz val="11"/>
      <color theme="1"/>
      <name val="Arial"/>
      <family val="2"/>
    </font>
    <font>
      <u/>
      <sz val="11"/>
      <color rgb="FF0000FF"/>
      <name val="Arial"/>
      <family val="2"/>
    </font>
    <font>
      <i/>
      <u/>
      <sz val="11"/>
      <color rgb="FF0000FF"/>
      <name val="Calibri"/>
      <family val="2"/>
    </font>
    <font>
      <i/>
      <sz val="11"/>
      <color theme="1"/>
      <name val="Calibri"/>
      <family val="2"/>
      <scheme val="minor"/>
    </font>
    <font>
      <i/>
      <u/>
      <sz val="11"/>
      <color rgb="FF1155CC"/>
      <name val="Arial"/>
      <family val="2"/>
    </font>
    <font>
      <b/>
      <sz val="14"/>
      <color theme="1"/>
      <name val="Calibri"/>
      <family val="2"/>
      <scheme val="minor"/>
    </font>
    <font>
      <u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6" fillId="3" borderId="2" xfId="0" applyFont="1" applyFill="1" applyBorder="1"/>
    <xf numFmtId="0" fontId="2" fillId="0" borderId="4" xfId="0" applyFont="1" applyBorder="1"/>
    <xf numFmtId="0" fontId="7" fillId="4" borderId="5" xfId="0" applyFont="1" applyFill="1" applyBorder="1"/>
    <xf numFmtId="0" fontId="7" fillId="5" borderId="5" xfId="0" applyFont="1" applyFill="1" applyBorder="1"/>
    <xf numFmtId="0" fontId="7" fillId="0" borderId="5" xfId="0" applyFont="1" applyBorder="1"/>
    <xf numFmtId="10" fontId="7" fillId="4" borderId="5" xfId="0" applyNumberFormat="1" applyFont="1" applyFill="1" applyBorder="1"/>
    <xf numFmtId="0" fontId="7" fillId="6" borderId="3" xfId="0" applyFont="1" applyFill="1" applyBorder="1"/>
    <xf numFmtId="0" fontId="8" fillId="0" borderId="2" xfId="0" applyFont="1" applyBorder="1"/>
    <xf numFmtId="0" fontId="9" fillId="0" borderId="5" xfId="0" applyFont="1" applyBorder="1"/>
    <xf numFmtId="0" fontId="9" fillId="3" borderId="5" xfId="0" applyFont="1" applyFill="1" applyBorder="1"/>
    <xf numFmtId="0" fontId="9" fillId="7" borderId="5" xfId="0" applyFont="1" applyFill="1" applyBorder="1"/>
    <xf numFmtId="0" fontId="9" fillId="8" borderId="3" xfId="0" applyFont="1" applyFill="1" applyBorder="1"/>
    <xf numFmtId="0" fontId="9" fillId="0" borderId="3" xfId="0" applyFont="1" applyBorder="1"/>
    <xf numFmtId="0" fontId="9" fillId="6" borderId="3" xfId="0" applyFont="1" applyFill="1" applyBorder="1"/>
    <xf numFmtId="0" fontId="9" fillId="9" borderId="3" xfId="0" applyFont="1" applyFill="1" applyBorder="1"/>
    <xf numFmtId="0" fontId="9" fillId="0" borderId="3" xfId="0" quotePrefix="1" applyFont="1" applyBorder="1"/>
    <xf numFmtId="0" fontId="9" fillId="0" borderId="4" xfId="0" applyFont="1" applyBorder="1"/>
    <xf numFmtId="0" fontId="9" fillId="8" borderId="5" xfId="0" applyFont="1" applyFill="1" applyBorder="1"/>
    <xf numFmtId="0" fontId="9" fillId="10" borderId="5" xfId="0" applyFont="1" applyFill="1" applyBorder="1"/>
    <xf numFmtId="0" fontId="9" fillId="6" borderId="5" xfId="0" applyFont="1" applyFill="1" applyBorder="1"/>
    <xf numFmtId="4" fontId="9" fillId="7" borderId="6" xfId="0" applyNumberFormat="1" applyFont="1" applyFill="1" applyBorder="1"/>
    <xf numFmtId="4" fontId="9" fillId="0" borderId="3" xfId="0" applyNumberFormat="1" applyFont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0" borderId="7" xfId="0" applyFont="1" applyBorder="1"/>
    <xf numFmtId="0" fontId="9" fillId="7" borderId="7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1" fillId="2" borderId="5" xfId="0" applyFont="1" applyFill="1" applyBorder="1"/>
    <xf numFmtId="0" fontId="10" fillId="4" borderId="7" xfId="0" applyFont="1" applyFill="1" applyBorder="1"/>
    <xf numFmtId="10" fontId="10" fillId="5" borderId="7" xfId="0" applyNumberFormat="1" applyFont="1" applyFill="1" applyBorder="1"/>
    <xf numFmtId="9" fontId="10" fillId="5" borderId="7" xfId="0" applyNumberFormat="1" applyFont="1" applyFill="1" applyBorder="1"/>
    <xf numFmtId="165" fontId="10" fillId="4" borderId="7" xfId="0" applyNumberFormat="1" applyFont="1" applyFill="1" applyBorder="1"/>
    <xf numFmtId="10" fontId="10" fillId="0" borderId="7" xfId="0" applyNumberFormat="1" applyFont="1" applyBorder="1" applyAlignment="1">
      <alignment horizontal="right"/>
    </xf>
    <xf numFmtId="9" fontId="10" fillId="0" borderId="7" xfId="0" applyNumberFormat="1" applyFont="1" applyBorder="1" applyAlignment="1">
      <alignment horizontal="right"/>
    </xf>
    <xf numFmtId="10" fontId="10" fillId="4" borderId="7" xfId="0" applyNumberFormat="1" applyFont="1" applyFill="1" applyBorder="1"/>
    <xf numFmtId="165" fontId="7" fillId="6" borderId="7" xfId="0" applyNumberFormat="1" applyFont="1" applyFill="1" applyBorder="1" applyAlignment="1">
      <alignment horizontal="center"/>
    </xf>
    <xf numFmtId="167" fontId="11" fillId="0" borderId="3" xfId="0" applyNumberFormat="1" applyFont="1" applyBorder="1" applyAlignment="1">
      <alignment vertical="top"/>
    </xf>
    <xf numFmtId="165" fontId="11" fillId="0" borderId="3" xfId="0" applyNumberFormat="1" applyFont="1" applyBorder="1" applyAlignment="1">
      <alignment vertical="top"/>
    </xf>
    <xf numFmtId="165" fontId="6" fillId="3" borderId="7" xfId="0" applyNumberFormat="1" applyFont="1" applyFill="1" applyBorder="1"/>
    <xf numFmtId="165" fontId="6" fillId="7" borderId="7" xfId="0" applyNumberFormat="1" applyFont="1" applyFill="1" applyBorder="1"/>
    <xf numFmtId="165" fontId="9" fillId="8" borderId="3" xfId="0" applyNumberFormat="1" applyFont="1" applyFill="1" applyBorder="1"/>
    <xf numFmtId="164" fontId="6" fillId="0" borderId="3" xfId="0" applyNumberFormat="1" applyFont="1" applyBorder="1" applyAlignment="1">
      <alignment horizontal="center"/>
    </xf>
    <xf numFmtId="164" fontId="6" fillId="6" borderId="3" xfId="0" applyNumberFormat="1" applyFont="1" applyFill="1" applyBorder="1" applyAlignment="1">
      <alignment horizontal="center"/>
    </xf>
    <xf numFmtId="164" fontId="6" fillId="9" borderId="3" xfId="0" applyNumberFormat="1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165" fontId="11" fillId="8" borderId="3" xfId="0" applyNumberFormat="1" applyFont="1" applyFill="1" applyBorder="1" applyAlignment="1">
      <alignment vertical="top"/>
    </xf>
    <xf numFmtId="165" fontId="6" fillId="10" borderId="7" xfId="0" applyNumberFormat="1" applyFont="1" applyFill="1" applyBorder="1"/>
    <xf numFmtId="165" fontId="6" fillId="6" borderId="7" xfId="0" applyNumberFormat="1" applyFont="1" applyFill="1" applyBorder="1"/>
    <xf numFmtId="4" fontId="6" fillId="7" borderId="8" xfId="0" applyNumberFormat="1" applyFont="1" applyFill="1" applyBorder="1"/>
    <xf numFmtId="4" fontId="6" fillId="0" borderId="8" xfId="0" applyNumberFormat="1" applyFont="1" applyBorder="1"/>
    <xf numFmtId="10" fontId="9" fillId="0" borderId="2" xfId="0" applyNumberFormat="1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9" fontId="10" fillId="4" borderId="7" xfId="0" applyNumberFormat="1" applyFont="1" applyFill="1" applyBorder="1"/>
    <xf numFmtId="165" fontId="6" fillId="0" borderId="7" xfId="0" applyNumberFormat="1" applyFont="1" applyBorder="1"/>
    <xf numFmtId="0" fontId="9" fillId="8" borderId="2" xfId="0" applyFont="1" applyFill="1" applyBorder="1"/>
    <xf numFmtId="0" fontId="6" fillId="0" borderId="7" xfId="0" applyFont="1" applyBorder="1"/>
    <xf numFmtId="10" fontId="9" fillId="6" borderId="2" xfId="0" applyNumberFormat="1" applyFont="1" applyFill="1" applyBorder="1"/>
    <xf numFmtId="164" fontId="6" fillId="0" borderId="2" xfId="0" applyNumberFormat="1" applyFont="1" applyBorder="1"/>
    <xf numFmtId="0" fontId="1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4" borderId="7" xfId="0" applyFont="1" applyFill="1" applyBorder="1"/>
    <xf numFmtId="0" fontId="1" fillId="0" borderId="13" xfId="0" applyFont="1" applyBorder="1"/>
    <xf numFmtId="0" fontId="13" fillId="0" borderId="13" xfId="0" applyFont="1" applyBorder="1"/>
    <xf numFmtId="0" fontId="2" fillId="0" borderId="13" xfId="0" applyFont="1" applyBorder="1"/>
    <xf numFmtId="0" fontId="6" fillId="12" borderId="2" xfId="0" applyFont="1" applyFill="1" applyBorder="1"/>
    <xf numFmtId="0" fontId="13" fillId="12" borderId="13" xfId="0" applyFont="1" applyFill="1" applyBorder="1"/>
    <xf numFmtId="4" fontId="9" fillId="8" borderId="2" xfId="0" applyNumberFormat="1" applyFont="1" applyFill="1" applyBorder="1"/>
    <xf numFmtId="165" fontId="6" fillId="0" borderId="2" xfId="0" applyNumberFormat="1" applyFont="1" applyBorder="1"/>
    <xf numFmtId="0" fontId="6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6" fillId="0" borderId="2" xfId="0" applyFont="1" applyBorder="1"/>
    <xf numFmtId="0" fontId="17" fillId="0" borderId="2" xfId="0" applyFont="1" applyBorder="1"/>
    <xf numFmtId="0" fontId="12" fillId="0" borderId="7" xfId="0" applyFont="1" applyBorder="1"/>
    <xf numFmtId="10" fontId="12" fillId="0" borderId="7" xfId="0" applyNumberFormat="1" applyFont="1" applyBorder="1"/>
    <xf numFmtId="0" fontId="18" fillId="0" borderId="7" xfId="0" applyFont="1" applyBorder="1"/>
    <xf numFmtId="0" fontId="19" fillId="0" borderId="2" xfId="0" applyFont="1" applyBorder="1"/>
    <xf numFmtId="168" fontId="11" fillId="0" borderId="3" xfId="0" applyNumberFormat="1" applyFont="1" applyBorder="1" applyAlignment="1">
      <alignment vertical="top"/>
    </xf>
    <xf numFmtId="0" fontId="12" fillId="0" borderId="2" xfId="0" applyFont="1" applyBorder="1"/>
    <xf numFmtId="10" fontId="12" fillId="0" borderId="2" xfId="0" applyNumberFormat="1" applyFont="1" applyBorder="1"/>
    <xf numFmtId="0" fontId="18" fillId="0" borderId="2" xfId="0" applyFont="1" applyBorder="1"/>
    <xf numFmtId="165" fontId="6" fillId="3" borderId="2" xfId="0" applyNumberFormat="1" applyFont="1" applyFill="1" applyBorder="1"/>
    <xf numFmtId="167" fontId="6" fillId="0" borderId="2" xfId="0" applyNumberFormat="1" applyFont="1" applyBorder="1"/>
    <xf numFmtId="165" fontId="6" fillId="8" borderId="2" xfId="0" applyNumberFormat="1" applyFont="1" applyFill="1" applyBorder="1"/>
    <xf numFmtId="165" fontId="6" fillId="10" borderId="2" xfId="0" applyNumberFormat="1" applyFont="1" applyFill="1" applyBorder="1"/>
    <xf numFmtId="165" fontId="6" fillId="6" borderId="2" xfId="0" applyNumberFormat="1" applyFont="1" applyFill="1" applyBorder="1"/>
    <xf numFmtId="168" fontId="6" fillId="0" borderId="2" xfId="0" applyNumberFormat="1" applyFont="1" applyBorder="1"/>
    <xf numFmtId="4" fontId="6" fillId="7" borderId="2" xfId="0" applyNumberFormat="1" applyFont="1" applyFill="1" applyBorder="1"/>
    <xf numFmtId="4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94aAlprubTE6nfvmCWx8fnLm6TThaPqx/view?usp=sharing" TargetMode="External"/><Relationship Id="rId3" Type="http://schemas.openxmlformats.org/officeDocument/2006/relationships/hyperlink" Target="https://docs.google.com/presentation/d/1tPkpXDbBDFBZBg6mPA17xaPpw5XRQWaFfYeohJdmv_Q/edit?usp=sharing" TargetMode="External"/><Relationship Id="rId7" Type="http://schemas.openxmlformats.org/officeDocument/2006/relationships/hyperlink" Target="https://drive.google.com/file/d/1J-pSEp791S61X4B168sM47nT_dIFNR2-/view?usp=sharing" TargetMode="External"/><Relationship Id="rId2" Type="http://schemas.openxmlformats.org/officeDocument/2006/relationships/hyperlink" Target="https://docs.google.com/presentation/d/1bghC3t6BGTIimzv2gBb1T3wnZzNK759O6yYCqYm0IrI/edit?usp=sharing" TargetMode="External"/><Relationship Id="rId1" Type="http://schemas.openxmlformats.org/officeDocument/2006/relationships/hyperlink" Target="https://docs.google.com/document/d/133qbzcrSWS_3PhhyqpvAohNceA-etfJ8nxlm-wmPPWA/edit?usp=sharing" TargetMode="External"/><Relationship Id="rId6" Type="http://schemas.openxmlformats.org/officeDocument/2006/relationships/hyperlink" Target="https://docs.google.com/spreadsheets/d/1k1n_uq12VDLdi9d4GETXiRtSwhAWqNiRpUnGH1Ust-o/edit?usp=sharing" TargetMode="External"/><Relationship Id="rId5" Type="http://schemas.openxmlformats.org/officeDocument/2006/relationships/hyperlink" Target="https://docs.google.com/spreadsheets/d/1O2uYNOdaqARXf8wYLnyif5vEDVbBTbipTE1YUJ6p4P4/edit?usp=sharing" TargetMode="External"/><Relationship Id="rId4" Type="http://schemas.openxmlformats.org/officeDocument/2006/relationships/hyperlink" Target="https://cdn.cboe.com/api/global/us_indices/daily_prices/VIX9D_History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2574"/>
  <sheetViews>
    <sheetView tabSelected="1" topLeftCell="V1" workbookViewId="0">
      <pane ySplit="2" topLeftCell="A3" activePane="bottomLeft" state="frozen"/>
      <selection pane="bottomLeft" activeCell="R1" sqref="R1:R1048576"/>
    </sheetView>
  </sheetViews>
  <sheetFormatPr baseColWidth="10" defaultColWidth="12.6640625" defaultRowHeight="15.75" customHeight="1" x14ac:dyDescent="0.2"/>
  <cols>
    <col min="2" max="2" width="6.6640625" customWidth="1"/>
    <col min="4" max="4" width="4.83203125" customWidth="1"/>
    <col min="8" max="8" width="2" customWidth="1"/>
    <col min="9" max="9" width="3.33203125" customWidth="1"/>
    <col min="10" max="10" width="7.33203125" customWidth="1"/>
    <col min="11" max="11" width="15.83203125" customWidth="1"/>
    <col min="12" max="12" width="13.33203125" customWidth="1"/>
    <col min="13" max="13" width="6" customWidth="1"/>
    <col min="14" max="14" width="6.83203125" customWidth="1"/>
    <col min="15" max="15" width="22" customWidth="1"/>
    <col min="16" max="16" width="14.83203125" customWidth="1"/>
    <col min="17" max="17" width="10.1640625" customWidth="1"/>
    <col min="18" max="18" width="11.5" customWidth="1"/>
    <col min="19" max="19" width="18.5" customWidth="1"/>
    <col min="20" max="20" width="27.6640625" customWidth="1"/>
    <col min="21" max="21" width="3" customWidth="1"/>
    <col min="22" max="22" width="12.1640625" customWidth="1"/>
    <col min="23" max="23" width="14.1640625" customWidth="1"/>
    <col min="24" max="24" width="3.33203125" customWidth="1"/>
    <col min="25" max="25" width="8.1640625" customWidth="1"/>
    <col min="26" max="26" width="16.1640625" customWidth="1"/>
    <col min="27" max="29" width="4.6640625" customWidth="1"/>
    <col min="30" max="30" width="7.5" customWidth="1"/>
    <col min="31" max="33" width="5.1640625" customWidth="1"/>
    <col min="34" max="34" width="4" customWidth="1"/>
    <col min="35" max="35" width="13.6640625" customWidth="1"/>
    <col min="36" max="36" width="16.6640625" customWidth="1"/>
    <col min="37" max="37" width="14.6640625" customWidth="1"/>
    <col min="38" max="38" width="22.1640625" customWidth="1"/>
    <col min="39" max="39" width="18.6640625" customWidth="1"/>
    <col min="40" max="40" width="10.6640625" customWidth="1"/>
    <col min="41" max="41" width="6.5" customWidth="1"/>
    <col min="42" max="42" width="9.33203125" customWidth="1"/>
    <col min="43" max="43" width="9.1640625" customWidth="1"/>
    <col min="44" max="44" width="9.33203125" customWidth="1"/>
    <col min="45" max="48" width="9.1640625" customWidth="1"/>
    <col min="49" max="49" width="18.1640625" customWidth="1"/>
    <col min="50" max="51" width="9.1640625" customWidth="1"/>
    <col min="52" max="52" width="10.5" customWidth="1"/>
    <col min="53" max="68" width="9.1640625" customWidth="1"/>
  </cols>
  <sheetData>
    <row r="1" spans="1:68" ht="18" x14ac:dyDescent="0.2">
      <c r="A1" s="1" t="s">
        <v>0</v>
      </c>
      <c r="B1" s="2"/>
      <c r="C1" s="3" t="s">
        <v>1</v>
      </c>
      <c r="D1" s="2"/>
      <c r="E1" s="4"/>
      <c r="F1" s="2"/>
      <c r="G1" s="5"/>
      <c r="H1" s="6"/>
      <c r="I1" s="7"/>
      <c r="J1" s="8" t="s">
        <v>2</v>
      </c>
      <c r="K1" s="9" t="s">
        <v>3</v>
      </c>
      <c r="L1" s="9" t="s">
        <v>4</v>
      </c>
      <c r="M1" s="8" t="s">
        <v>5</v>
      </c>
      <c r="N1" s="8" t="s">
        <v>6</v>
      </c>
      <c r="O1" s="10" t="s">
        <v>7</v>
      </c>
      <c r="P1" s="10" t="s">
        <v>8</v>
      </c>
      <c r="Q1" s="11" t="s">
        <v>9</v>
      </c>
      <c r="R1" s="8" t="s">
        <v>10</v>
      </c>
      <c r="S1" s="10" t="s">
        <v>11</v>
      </c>
      <c r="T1" s="12" t="s">
        <v>12</v>
      </c>
      <c r="U1" s="6"/>
      <c r="V1" s="13" t="s">
        <v>13</v>
      </c>
      <c r="W1" s="14" t="s">
        <v>14</v>
      </c>
      <c r="X1" s="15"/>
      <c r="Y1" s="16" t="s">
        <v>15</v>
      </c>
      <c r="Z1" s="17" t="s">
        <v>16</v>
      </c>
      <c r="AA1" s="18" t="s">
        <v>17</v>
      </c>
      <c r="AB1" s="18" t="s">
        <v>18</v>
      </c>
      <c r="AC1" s="19" t="s">
        <v>19</v>
      </c>
      <c r="AD1" s="20" t="s">
        <v>15</v>
      </c>
      <c r="AE1" s="21" t="s">
        <v>20</v>
      </c>
      <c r="AF1" s="21" t="s">
        <v>21</v>
      </c>
      <c r="AG1" s="21" t="s">
        <v>22</v>
      </c>
      <c r="AH1" s="6"/>
      <c r="AI1" s="22" t="s">
        <v>13</v>
      </c>
      <c r="AJ1" s="23" t="s">
        <v>14</v>
      </c>
      <c r="AK1" s="24" t="s">
        <v>23</v>
      </c>
      <c r="AL1" s="25" t="s">
        <v>24</v>
      </c>
      <c r="AM1" s="26" t="s">
        <v>25</v>
      </c>
      <c r="AN1" s="27" t="s">
        <v>26</v>
      </c>
      <c r="AO1" s="28" t="s">
        <v>27</v>
      </c>
      <c r="AP1" s="29" t="s">
        <v>28</v>
      </c>
      <c r="AQ1" s="29" t="s">
        <v>29</v>
      </c>
      <c r="AR1" s="30" t="s">
        <v>30</v>
      </c>
      <c r="AS1" s="31" t="s">
        <v>31</v>
      </c>
      <c r="AT1" s="32" t="s">
        <v>32</v>
      </c>
      <c r="AU1" s="32" t="s">
        <v>33</v>
      </c>
      <c r="AV1" s="33" t="s">
        <v>34</v>
      </c>
      <c r="AW1" s="34" t="s">
        <v>35</v>
      </c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</row>
    <row r="2" spans="1:68" ht="18" x14ac:dyDescent="0.2">
      <c r="A2" s="35" t="s">
        <v>36</v>
      </c>
      <c r="B2" s="2"/>
      <c r="C2" s="2"/>
      <c r="D2" s="2"/>
      <c r="E2" s="2"/>
      <c r="F2" s="2"/>
      <c r="G2" s="2"/>
      <c r="H2" s="6"/>
      <c r="I2" s="2"/>
      <c r="J2" s="36" t="s">
        <v>37</v>
      </c>
      <c r="K2" s="37">
        <v>4.1459999999999997E-2</v>
      </c>
      <c r="L2" s="38">
        <v>0.12</v>
      </c>
      <c r="M2" s="36">
        <v>0.71</v>
      </c>
      <c r="N2" s="39">
        <v>6.72</v>
      </c>
      <c r="O2" s="40">
        <f>K2+(M2*(L2-K2))</f>
        <v>9.7223399999999988E-2</v>
      </c>
      <c r="P2" s="41">
        <f>R2*S2</f>
        <v>0.13983132000000004</v>
      </c>
      <c r="Q2" s="42">
        <v>0.60229999999999995</v>
      </c>
      <c r="R2" s="42">
        <v>0.35160000000000002</v>
      </c>
      <c r="S2" s="40">
        <f>1-Q2</f>
        <v>0.39770000000000005</v>
      </c>
      <c r="T2" s="43">
        <f>N2/(O2-P2)</f>
        <v>-157.71715681028297</v>
      </c>
      <c r="U2" s="6"/>
      <c r="V2" s="44">
        <v>43920</v>
      </c>
      <c r="W2" s="45">
        <v>112.93</v>
      </c>
      <c r="X2" s="46"/>
      <c r="Y2" s="47">
        <f>AVERAGE(W2:W1509)</f>
        <v>169.2106564986739</v>
      </c>
      <c r="Z2" s="48">
        <f>_xlfn.STDEV.S(W2:W1509)</f>
        <v>57.700132504830265</v>
      </c>
      <c r="AA2" s="49">
        <f>$AD$2-3*$Z$2</f>
        <v>-3.8897410158168952</v>
      </c>
      <c r="AB2" s="49">
        <f>$AD$2-2*$Z$2</f>
        <v>53.810391489013369</v>
      </c>
      <c r="AC2" s="50">
        <f>$AD$2-1*$Z$2</f>
        <v>111.51052399384363</v>
      </c>
      <c r="AD2" s="51">
        <f>Y2</f>
        <v>169.2106564986739</v>
      </c>
      <c r="AE2" s="49">
        <f>$AD$2+1*$Z$2</f>
        <v>226.91078900350416</v>
      </c>
      <c r="AF2" s="49">
        <f>$AD$2+2*$Z$2</f>
        <v>284.6109215083344</v>
      </c>
      <c r="AG2" s="49">
        <f>$AD$2+3*$Z$2</f>
        <v>342.31105401316472</v>
      </c>
      <c r="AH2" s="52"/>
      <c r="AI2" s="44">
        <v>43920</v>
      </c>
      <c r="AJ2" s="53">
        <v>112.93</v>
      </c>
      <c r="AK2" s="54"/>
      <c r="AL2" s="55"/>
      <c r="AM2" s="56"/>
      <c r="AN2" s="57"/>
      <c r="AO2" s="28" t="s">
        <v>38</v>
      </c>
      <c r="AP2" s="29"/>
      <c r="AQ2" s="29"/>
      <c r="AR2" s="30" t="s">
        <v>32</v>
      </c>
      <c r="AS2" s="31" t="s">
        <v>33</v>
      </c>
      <c r="AT2" s="32" t="s">
        <v>39</v>
      </c>
      <c r="AU2" s="32" t="s">
        <v>39</v>
      </c>
      <c r="AV2" s="33" t="s">
        <v>40</v>
      </c>
      <c r="AW2" s="34">
        <v>10000</v>
      </c>
      <c r="AX2" s="32"/>
      <c r="AY2" s="58"/>
      <c r="AZ2" s="59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</row>
    <row r="3" spans="1:68" ht="18" x14ac:dyDescent="0.2">
      <c r="A3" s="2"/>
      <c r="B3" s="2"/>
      <c r="C3" s="2"/>
      <c r="D3" s="2"/>
      <c r="E3" s="2"/>
      <c r="F3" s="2"/>
      <c r="G3" s="2"/>
      <c r="H3" s="6"/>
      <c r="I3" s="2"/>
      <c r="J3" s="36"/>
      <c r="K3" s="37"/>
      <c r="L3" s="38"/>
      <c r="M3" s="36"/>
      <c r="N3" s="39"/>
      <c r="O3" s="40"/>
      <c r="P3" s="41"/>
      <c r="Q3" s="42"/>
      <c r="R3" s="60"/>
      <c r="S3" s="40"/>
      <c r="T3" s="43"/>
      <c r="U3" s="6"/>
      <c r="V3" s="44">
        <v>43921</v>
      </c>
      <c r="W3" s="45">
        <v>110.93</v>
      </c>
      <c r="X3" s="46"/>
      <c r="Y3" s="61"/>
      <c r="Z3" s="5"/>
      <c r="AA3" s="5"/>
      <c r="AB3" s="5"/>
      <c r="AC3" s="5"/>
      <c r="AD3" s="5"/>
      <c r="AE3" s="5"/>
      <c r="AF3" s="5"/>
      <c r="AG3" s="5"/>
      <c r="AH3" s="6"/>
      <c r="AI3" s="44">
        <v>43921</v>
      </c>
      <c r="AJ3" s="53">
        <v>110.93</v>
      </c>
      <c r="AK3" s="54">
        <f t="shared" ref="AK3:AK66" si="0">AJ3/AJ2-1</f>
        <v>-1.7710085893916538E-2</v>
      </c>
      <c r="AL3" s="55"/>
      <c r="AM3" s="56">
        <v>25</v>
      </c>
      <c r="AN3" s="57">
        <f t="shared" ref="AN3:AN66" si="1">AM3-AL3</f>
        <v>25</v>
      </c>
      <c r="AO3" s="62"/>
      <c r="AP3" s="63"/>
      <c r="AQ3" s="63"/>
      <c r="AR3" s="63"/>
      <c r="AS3" s="63"/>
      <c r="AT3" s="5"/>
      <c r="AU3" s="5"/>
      <c r="AV3" s="64" t="str">
        <f ca="1">IFERROR(__xludf.DUMMYFUNCTION("IF(TRIM(AU3)="""","""",AU3/INDEX(FILTER(AT$3:AT3,TRIM(AT$3:AT3)&lt;&gt;""""),ROWS(FILTER(AT$3:AT3,TRIM(AT$3:AT3)&lt;&gt;"""")))-1)"),"")</f>
        <v/>
      </c>
      <c r="AW3" s="65" t="e">
        <f t="shared" ref="AW3:AW66" ca="1" si="2">AW2*(1+AV3)</f>
        <v>#VALUE!</v>
      </c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ht="19" x14ac:dyDescent="0.25">
      <c r="A4" s="2"/>
      <c r="B4" s="66" t="s">
        <v>41</v>
      </c>
      <c r="C4" s="67"/>
      <c r="D4" s="67"/>
      <c r="E4" s="68"/>
      <c r="F4" s="69"/>
      <c r="G4" s="2"/>
      <c r="H4" s="6"/>
      <c r="I4" s="5"/>
      <c r="J4" s="70"/>
      <c r="K4" s="37"/>
      <c r="L4" s="38"/>
      <c r="M4" s="36"/>
      <c r="N4" s="39"/>
      <c r="O4" s="40"/>
      <c r="P4" s="41"/>
      <c r="Q4" s="42"/>
      <c r="R4" s="60"/>
      <c r="S4" s="40"/>
      <c r="T4" s="43"/>
      <c r="U4" s="6"/>
      <c r="V4" s="44">
        <v>43922</v>
      </c>
      <c r="W4" s="45">
        <v>105.14</v>
      </c>
      <c r="X4" s="46"/>
      <c r="Y4" s="61"/>
      <c r="Z4" s="5"/>
      <c r="AA4" s="5"/>
      <c r="AB4" s="5"/>
      <c r="AC4" s="5"/>
      <c r="AD4" s="5"/>
      <c r="AE4" s="5"/>
      <c r="AF4" s="5"/>
      <c r="AG4" s="5"/>
      <c r="AH4" s="6"/>
      <c r="AI4" s="44">
        <v>43922</v>
      </c>
      <c r="AJ4" s="53">
        <v>105.14</v>
      </c>
      <c r="AK4" s="54">
        <f t="shared" si="0"/>
        <v>-5.2195077977102766E-2</v>
      </c>
      <c r="AL4" s="55"/>
      <c r="AM4" s="56">
        <v>25</v>
      </c>
      <c r="AN4" s="57">
        <f t="shared" si="1"/>
        <v>25</v>
      </c>
      <c r="AO4" s="62"/>
      <c r="AP4" s="63"/>
      <c r="AQ4" s="63"/>
      <c r="AR4" s="63"/>
      <c r="AS4" s="63"/>
      <c r="AT4" s="5"/>
      <c r="AU4" s="5"/>
      <c r="AV4" s="64" t="str">
        <f ca="1">IFERROR(__xludf.DUMMYFUNCTION("IF(TRIM(AU4)="""","""",AU4/INDEX(FILTER(AT$3:AT4,TRIM(AT$3:AT4)&lt;&gt;""""),ROWS(FILTER(AT$3:AT4,TRIM(AT$3:AT4)&lt;&gt;"""")))-1)"),"")</f>
        <v/>
      </c>
      <c r="AW4" s="65" t="e">
        <f t="shared" ca="1" si="2"/>
        <v>#VALUE!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ht="17.25" customHeight="1" x14ac:dyDescent="0.25">
      <c r="A5" s="2"/>
      <c r="B5" s="71" t="s">
        <v>42</v>
      </c>
      <c r="C5" s="2"/>
      <c r="D5" s="2"/>
      <c r="E5" s="2"/>
      <c r="F5" s="2"/>
      <c r="G5" s="2"/>
      <c r="H5" s="6"/>
      <c r="I5" s="5"/>
      <c r="J5" s="70"/>
      <c r="K5" s="37"/>
      <c r="L5" s="38"/>
      <c r="M5" s="36"/>
      <c r="N5" s="39"/>
      <c r="O5" s="40"/>
      <c r="P5" s="41"/>
      <c r="Q5" s="42"/>
      <c r="R5" s="60"/>
      <c r="S5" s="40"/>
      <c r="T5" s="43"/>
      <c r="U5" s="6"/>
      <c r="V5" s="44">
        <v>43923</v>
      </c>
      <c r="W5" s="45">
        <v>110</v>
      </c>
      <c r="X5" s="46"/>
      <c r="Y5" s="61"/>
      <c r="Z5" s="5"/>
      <c r="AA5" s="5"/>
      <c r="AB5" s="5"/>
      <c r="AC5" s="5"/>
      <c r="AD5" s="5"/>
      <c r="AE5" s="5"/>
      <c r="AF5" s="5"/>
      <c r="AG5" s="5"/>
      <c r="AH5" s="6"/>
      <c r="AI5" s="44">
        <v>43923</v>
      </c>
      <c r="AJ5" s="53">
        <v>110</v>
      </c>
      <c r="AK5" s="54">
        <f t="shared" si="0"/>
        <v>4.6224082176146153E-2</v>
      </c>
      <c r="AL5" s="55"/>
      <c r="AM5" s="56">
        <v>25</v>
      </c>
      <c r="AN5" s="57">
        <f t="shared" si="1"/>
        <v>25</v>
      </c>
      <c r="AO5" s="62"/>
      <c r="AP5" s="63"/>
      <c r="AQ5" s="63"/>
      <c r="AR5" s="63"/>
      <c r="AS5" s="63"/>
      <c r="AT5" s="5"/>
      <c r="AU5" s="5"/>
      <c r="AV5" s="64" t="str">
        <f ca="1">IFERROR(__xludf.DUMMYFUNCTION("IF(TRIM(AU5)="""","""",AU5/INDEX(FILTER(AT$3:AT5,TRIM(AT$3:AT5)&lt;&gt;""""),ROWS(FILTER(AT$3:AT5,TRIM(AT$3:AT5)&lt;&gt;"""")))-1)"),"")</f>
        <v/>
      </c>
      <c r="AW5" s="65" t="e">
        <f t="shared" ca="1" si="2"/>
        <v>#VALUE!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ht="17.25" customHeight="1" x14ac:dyDescent="0.25">
      <c r="A6" s="2"/>
      <c r="B6" s="2"/>
      <c r="C6" s="72" t="s">
        <v>43</v>
      </c>
      <c r="D6" s="73"/>
      <c r="E6" s="73"/>
      <c r="F6" s="73"/>
      <c r="G6" s="2"/>
      <c r="H6" s="6"/>
      <c r="I6" s="65"/>
      <c r="J6" s="70"/>
      <c r="K6" s="37"/>
      <c r="L6" s="38"/>
      <c r="M6" s="36"/>
      <c r="N6" s="39"/>
      <c r="O6" s="40"/>
      <c r="P6" s="41"/>
      <c r="Q6" s="42"/>
      <c r="R6" s="60"/>
      <c r="S6" s="40"/>
      <c r="T6" s="43"/>
      <c r="U6" s="6"/>
      <c r="V6" s="44">
        <v>43924</v>
      </c>
      <c r="W6" s="45">
        <v>106.34</v>
      </c>
      <c r="X6" s="46"/>
      <c r="Y6" s="61"/>
      <c r="Z6" s="5"/>
      <c r="AA6" s="5"/>
      <c r="AB6" s="5"/>
      <c r="AC6" s="5"/>
      <c r="AD6" s="5"/>
      <c r="AE6" s="5"/>
      <c r="AF6" s="5"/>
      <c r="AG6" s="5"/>
      <c r="AH6" s="6"/>
      <c r="AI6" s="44">
        <v>43924</v>
      </c>
      <c r="AJ6" s="53">
        <v>106.34</v>
      </c>
      <c r="AK6" s="54">
        <f t="shared" si="0"/>
        <v>-3.3272727272727232E-2</v>
      </c>
      <c r="AL6" s="55"/>
      <c r="AM6" s="56">
        <v>25</v>
      </c>
      <c r="AN6" s="57">
        <f t="shared" si="1"/>
        <v>25</v>
      </c>
      <c r="AO6" s="62"/>
      <c r="AP6" s="63"/>
      <c r="AQ6" s="63"/>
      <c r="AR6" s="63"/>
      <c r="AS6" s="63"/>
      <c r="AT6" s="5"/>
      <c r="AU6" s="5"/>
      <c r="AV6" s="64" t="str">
        <f ca="1">IFERROR(__xludf.DUMMYFUNCTION("IF(TRIM(AU6)="""","""",AU6/INDEX(FILTER(AT$3:AT6,TRIM(AT$3:AT6)&lt;&gt;""""),ROWS(FILTER(AT$3:AT6,TRIM(AT$3:AT6)&lt;&gt;"""")))-1)"),"")</f>
        <v/>
      </c>
      <c r="AW6" s="65" t="e">
        <f t="shared" ca="1" si="2"/>
        <v>#VALUE!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ht="17.25" customHeight="1" x14ac:dyDescent="0.25">
      <c r="A7" s="2"/>
      <c r="B7" s="74"/>
      <c r="C7" s="75" t="s">
        <v>44</v>
      </c>
      <c r="D7" s="74"/>
      <c r="E7" s="74"/>
      <c r="F7" s="74"/>
      <c r="G7" s="74"/>
      <c r="H7" s="6"/>
      <c r="I7" s="5"/>
      <c r="J7" s="70"/>
      <c r="K7" s="37"/>
      <c r="L7" s="38"/>
      <c r="M7" s="36"/>
      <c r="N7" s="39"/>
      <c r="O7" s="40"/>
      <c r="P7" s="41"/>
      <c r="Q7" s="42"/>
      <c r="R7" s="42"/>
      <c r="S7" s="40"/>
      <c r="T7" s="43"/>
      <c r="U7" s="6"/>
      <c r="V7" s="44">
        <v>43927</v>
      </c>
      <c r="W7" s="45">
        <v>114.82</v>
      </c>
      <c r="X7" s="46"/>
      <c r="Y7" s="61"/>
      <c r="Z7" s="5"/>
      <c r="AA7" s="5"/>
      <c r="AB7" s="5"/>
      <c r="AC7" s="5"/>
      <c r="AD7" s="5"/>
      <c r="AE7" s="5"/>
      <c r="AF7" s="5"/>
      <c r="AG7" s="5"/>
      <c r="AH7" s="6"/>
      <c r="AI7" s="44">
        <v>43927</v>
      </c>
      <c r="AJ7" s="53">
        <v>114.82</v>
      </c>
      <c r="AK7" s="54">
        <f t="shared" si="0"/>
        <v>7.9744216663532042E-2</v>
      </c>
      <c r="AL7" s="55">
        <f t="shared" ref="AL7:AL70" si="3">_xlfn.STDEV.S(AK3:AK7)*SQRT(252)*100</f>
        <v>88.872341027071798</v>
      </c>
      <c r="AM7" s="56">
        <v>25</v>
      </c>
      <c r="AN7" s="57">
        <f t="shared" si="1"/>
        <v>-63.872341027071798</v>
      </c>
      <c r="AO7" s="76">
        <f t="shared" ref="AO7:AO70" si="4">AVERAGE(AN3:AN7)</f>
        <v>7.2255317945856401</v>
      </c>
      <c r="AP7" s="63" t="str">
        <f t="shared" ref="AP7:AP70" si="5">IF(AO7&gt;0,"Buy Stocks","")</f>
        <v>Buy Stocks</v>
      </c>
      <c r="AQ7" s="63" t="str">
        <f t="shared" ref="AQ7:AQ70" si="6">IF(AO7&lt;0,"Sell Stocks","")</f>
        <v/>
      </c>
      <c r="AR7" s="63" t="str">
        <f t="shared" ref="AR7:AR70" si="7">IF(AND(AP7="Buy Stocks",AP6=""),"Buy Stocks","")</f>
        <v>Buy Stocks</v>
      </c>
      <c r="AS7" s="63" t="str">
        <f t="shared" ref="AS7:AS70" si="8">IF(AND(AQ7="Sell Stocks",AQ6=""),"Sell Stocks","")</f>
        <v/>
      </c>
      <c r="AT7" s="77">
        <f t="shared" ref="AT7:AT70" si="9">IF(AR7="Buy Stocks",AJ7,"")</f>
        <v>114.82</v>
      </c>
      <c r="AU7" s="78" t="str">
        <f t="shared" ref="AU7:AU70" si="10">IF(AS7="Sell Stocks",AJ7,"")</f>
        <v/>
      </c>
      <c r="AV7" s="64" t="str">
        <f ca="1">IFERROR(__xludf.DUMMYFUNCTION("IF(TRIM(AU7)="""","""",AU7/INDEX(FILTER(AT$3:AT7,TRIM(AT$3:AT7)&lt;&gt;""""),ROWS(FILTER(AT$3:AT7,TRIM(AT$3:AT7)&lt;&gt;"""")))-1)"),"")</f>
        <v/>
      </c>
      <c r="AW7" s="65" t="e">
        <f t="shared" ca="1" si="2"/>
        <v>#VALUE!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ht="17.25" customHeight="1" x14ac:dyDescent="0.25">
      <c r="A8" s="2"/>
      <c r="B8" s="71" t="s">
        <v>45</v>
      </c>
      <c r="C8" s="73"/>
      <c r="D8" s="2"/>
      <c r="E8" s="2"/>
      <c r="F8" s="2"/>
      <c r="G8" s="2"/>
      <c r="H8" s="6"/>
      <c r="I8" s="5"/>
      <c r="J8" s="70"/>
      <c r="K8" s="37"/>
      <c r="L8" s="38"/>
      <c r="M8" s="36"/>
      <c r="N8" s="39"/>
      <c r="O8" s="40"/>
      <c r="P8" s="41"/>
      <c r="Q8" s="42"/>
      <c r="R8" s="42"/>
      <c r="S8" s="40"/>
      <c r="T8" s="43"/>
      <c r="U8" s="6"/>
      <c r="V8" s="44">
        <v>43928</v>
      </c>
      <c r="W8" s="45">
        <v>114.94</v>
      </c>
      <c r="X8" s="46"/>
      <c r="Y8" s="61"/>
      <c r="Z8" s="5"/>
      <c r="AA8" s="5"/>
      <c r="AB8" s="5"/>
      <c r="AC8" s="5"/>
      <c r="AD8" s="5"/>
      <c r="AE8" s="5"/>
      <c r="AF8" s="5"/>
      <c r="AG8" s="5"/>
      <c r="AH8" s="6"/>
      <c r="AI8" s="44">
        <v>43928</v>
      </c>
      <c r="AJ8" s="53">
        <v>114.94</v>
      </c>
      <c r="AK8" s="54">
        <f t="shared" si="0"/>
        <v>1.0451140916216684E-3</v>
      </c>
      <c r="AL8" s="55">
        <f t="shared" si="3"/>
        <v>86.886980824244304</v>
      </c>
      <c r="AM8" s="56">
        <v>25</v>
      </c>
      <c r="AN8" s="57">
        <f t="shared" si="1"/>
        <v>-61.886980824244304</v>
      </c>
      <c r="AO8" s="76">
        <f t="shared" si="4"/>
        <v>-10.151864370263221</v>
      </c>
      <c r="AP8" s="63" t="str">
        <f t="shared" si="5"/>
        <v/>
      </c>
      <c r="AQ8" s="63" t="str">
        <f t="shared" si="6"/>
        <v>Sell Stocks</v>
      </c>
      <c r="AR8" s="63" t="str">
        <f t="shared" si="7"/>
        <v/>
      </c>
      <c r="AS8" s="63" t="str">
        <f t="shared" si="8"/>
        <v>Sell Stocks</v>
      </c>
      <c r="AT8" s="78" t="str">
        <f t="shared" si="9"/>
        <v/>
      </c>
      <c r="AU8" s="77">
        <f t="shared" si="10"/>
        <v>114.94</v>
      </c>
      <c r="AV8" s="64">
        <f ca="1">IFERROR(__xludf.DUMMYFUNCTION("IF(TRIM(AU8)="""","""",AU8/INDEX(FILTER(AT$3:AT8,TRIM(AT$3:AT8)&lt;&gt;""""),ROWS(FILTER(AT$3:AT8,TRIM(AT$3:AT8)&lt;&gt;"""")))-1)"),0.00104511409162166)</f>
        <v>1.0451140916216599E-3</v>
      </c>
      <c r="AW8" s="65" t="e">
        <f t="shared" ca="1" si="2"/>
        <v>#VALUE!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ht="17.25" customHeight="1" x14ac:dyDescent="0.25">
      <c r="A9" s="2"/>
      <c r="B9" s="2"/>
      <c r="C9" s="2" t="s">
        <v>46</v>
      </c>
      <c r="D9" s="2"/>
      <c r="E9" s="2"/>
      <c r="F9" s="2"/>
      <c r="G9" s="2"/>
      <c r="H9" s="6"/>
      <c r="I9" s="5"/>
      <c r="J9" s="70"/>
      <c r="K9" s="37"/>
      <c r="L9" s="38"/>
      <c r="M9" s="36"/>
      <c r="N9" s="39"/>
      <c r="O9" s="40"/>
      <c r="P9" s="41"/>
      <c r="Q9" s="42"/>
      <c r="R9" s="60"/>
      <c r="S9" s="40"/>
      <c r="T9" s="43"/>
      <c r="U9" s="6"/>
      <c r="V9" s="44">
        <v>43929</v>
      </c>
      <c r="W9" s="45">
        <v>119.29</v>
      </c>
      <c r="X9" s="46"/>
      <c r="Y9" s="61"/>
      <c r="Z9" s="5"/>
      <c r="AA9" s="5"/>
      <c r="AB9" s="5"/>
      <c r="AC9" s="5"/>
      <c r="AD9" s="5"/>
      <c r="AE9" s="5"/>
      <c r="AF9" s="5"/>
      <c r="AG9" s="5"/>
      <c r="AH9" s="6"/>
      <c r="AI9" s="44">
        <v>43929</v>
      </c>
      <c r="AJ9" s="53">
        <v>119.29</v>
      </c>
      <c r="AK9" s="54">
        <f t="shared" si="0"/>
        <v>3.7845832608317531E-2</v>
      </c>
      <c r="AL9" s="55">
        <f t="shared" si="3"/>
        <v>69.073617491594533</v>
      </c>
      <c r="AM9" s="56">
        <v>25</v>
      </c>
      <c r="AN9" s="57">
        <f t="shared" si="1"/>
        <v>-44.073617491594533</v>
      </c>
      <c r="AO9" s="76">
        <f t="shared" si="4"/>
        <v>-23.966587868582128</v>
      </c>
      <c r="AP9" s="63" t="str">
        <f t="shared" si="5"/>
        <v/>
      </c>
      <c r="AQ9" s="63" t="str">
        <f t="shared" si="6"/>
        <v>Sell Stocks</v>
      </c>
      <c r="AR9" s="63" t="str">
        <f t="shared" si="7"/>
        <v/>
      </c>
      <c r="AS9" s="63" t="str">
        <f t="shared" si="8"/>
        <v/>
      </c>
      <c r="AT9" s="78" t="str">
        <f t="shared" si="9"/>
        <v/>
      </c>
      <c r="AU9" s="78" t="str">
        <f t="shared" si="10"/>
        <v/>
      </c>
      <c r="AV9" s="64" t="str">
        <f ca="1">IFERROR(__xludf.DUMMYFUNCTION("IF(TRIM(AU9)="""","""",AU9/INDEX(FILTER(AT$3:AT9,TRIM(AT$3:AT9)&lt;&gt;""""),ROWS(FILTER(AT$3:AT9,TRIM(AT$3:AT9)&lt;&gt;"""")))-1)"),"")</f>
        <v/>
      </c>
      <c r="AW9" s="65" t="e">
        <f t="shared" ca="1" si="2"/>
        <v>#VALUE!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ht="17.25" customHeight="1" x14ac:dyDescent="0.25">
      <c r="A10" s="2"/>
      <c r="B10" s="2"/>
      <c r="C10" s="2" t="s">
        <v>47</v>
      </c>
      <c r="D10" s="2"/>
      <c r="E10" s="2"/>
      <c r="F10" s="2"/>
      <c r="G10" s="2"/>
      <c r="H10" s="6"/>
      <c r="I10" s="5"/>
      <c r="J10" s="70"/>
      <c r="K10" s="37"/>
      <c r="L10" s="38"/>
      <c r="M10" s="36"/>
      <c r="N10" s="39"/>
      <c r="O10" s="40"/>
      <c r="P10" s="41"/>
      <c r="Q10" s="42"/>
      <c r="R10" s="60"/>
      <c r="S10" s="40"/>
      <c r="T10" s="43"/>
      <c r="U10" s="6"/>
      <c r="V10" s="44">
        <v>43930</v>
      </c>
      <c r="W10" s="45">
        <v>121.5</v>
      </c>
      <c r="X10" s="46"/>
      <c r="Y10" s="61"/>
      <c r="Z10" s="5"/>
      <c r="AA10" s="5"/>
      <c r="AB10" s="5"/>
      <c r="AC10" s="5"/>
      <c r="AD10" s="5"/>
      <c r="AE10" s="5"/>
      <c r="AF10" s="5"/>
      <c r="AG10" s="5"/>
      <c r="AH10" s="6"/>
      <c r="AI10" s="44">
        <v>43930</v>
      </c>
      <c r="AJ10" s="53">
        <v>121.5</v>
      </c>
      <c r="AK10" s="54">
        <f t="shared" si="0"/>
        <v>1.8526280492916269E-2</v>
      </c>
      <c r="AL10" s="55">
        <f t="shared" si="3"/>
        <v>66.806333312478273</v>
      </c>
      <c r="AM10" s="56">
        <v>25</v>
      </c>
      <c r="AN10" s="57">
        <f t="shared" si="1"/>
        <v>-41.806333312478273</v>
      </c>
      <c r="AO10" s="76">
        <f t="shared" si="4"/>
        <v>-37.327854531077783</v>
      </c>
      <c r="AP10" s="63" t="str">
        <f t="shared" si="5"/>
        <v/>
      </c>
      <c r="AQ10" s="63" t="str">
        <f t="shared" si="6"/>
        <v>Sell Stocks</v>
      </c>
      <c r="AR10" s="63" t="str">
        <f t="shared" si="7"/>
        <v/>
      </c>
      <c r="AS10" s="63" t="str">
        <f t="shared" si="8"/>
        <v/>
      </c>
      <c r="AT10" s="78" t="str">
        <f t="shared" si="9"/>
        <v/>
      </c>
      <c r="AU10" s="78" t="str">
        <f t="shared" si="10"/>
        <v/>
      </c>
      <c r="AV10" s="64" t="str">
        <f ca="1">IFERROR(__xludf.DUMMYFUNCTION("IF(TRIM(AU10)="""","""",AU10/INDEX(FILTER(AT$3:AT10,TRIM(AT$3:AT10)&lt;&gt;""""),ROWS(FILTER(AT$3:AT10,TRIM(AT$3:AT10)&lt;&gt;"""")))-1)"),"")</f>
        <v/>
      </c>
      <c r="AW10" s="65" t="e">
        <f t="shared" ca="1" si="2"/>
        <v>#VALUE!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ht="17.25" customHeight="1" x14ac:dyDescent="0.25">
      <c r="A11" s="2"/>
      <c r="B11" s="2"/>
      <c r="C11" s="2" t="s">
        <v>48</v>
      </c>
      <c r="D11" s="2"/>
      <c r="E11" s="2"/>
      <c r="F11" s="2"/>
      <c r="G11" s="2"/>
      <c r="H11" s="6"/>
      <c r="I11" s="5"/>
      <c r="J11" s="70"/>
      <c r="K11" s="37"/>
      <c r="L11" s="38"/>
      <c r="M11" s="36"/>
      <c r="N11" s="39"/>
      <c r="O11" s="40"/>
      <c r="P11" s="41"/>
      <c r="Q11" s="42"/>
      <c r="R11" s="60"/>
      <c r="S11" s="40"/>
      <c r="T11" s="43"/>
      <c r="U11" s="6"/>
      <c r="V11" s="44">
        <v>43934</v>
      </c>
      <c r="W11" s="45">
        <v>121.15</v>
      </c>
      <c r="X11" s="46"/>
      <c r="Y11" s="61"/>
      <c r="Z11" s="5"/>
      <c r="AA11" s="5"/>
      <c r="AB11" s="5"/>
      <c r="AC11" s="5"/>
      <c r="AD11" s="5"/>
      <c r="AE11" s="5"/>
      <c r="AF11" s="5"/>
      <c r="AG11" s="5"/>
      <c r="AH11" s="6"/>
      <c r="AI11" s="44">
        <v>43934</v>
      </c>
      <c r="AJ11" s="53">
        <v>121.15</v>
      </c>
      <c r="AK11" s="54">
        <f t="shared" si="0"/>
        <v>-2.8806584362139898E-3</v>
      </c>
      <c r="AL11" s="55">
        <f t="shared" si="3"/>
        <v>53.467847547879579</v>
      </c>
      <c r="AM11" s="56">
        <v>25</v>
      </c>
      <c r="AN11" s="57">
        <f t="shared" si="1"/>
        <v>-28.467847547879579</v>
      </c>
      <c r="AO11" s="76">
        <f t="shared" si="4"/>
        <v>-48.021424040653699</v>
      </c>
      <c r="AP11" s="63" t="str">
        <f t="shared" si="5"/>
        <v/>
      </c>
      <c r="AQ11" s="63" t="str">
        <f t="shared" si="6"/>
        <v>Sell Stocks</v>
      </c>
      <c r="AR11" s="63" t="str">
        <f t="shared" si="7"/>
        <v/>
      </c>
      <c r="AS11" s="63" t="str">
        <f t="shared" si="8"/>
        <v/>
      </c>
      <c r="AT11" s="78" t="str">
        <f t="shared" si="9"/>
        <v/>
      </c>
      <c r="AU11" s="78" t="str">
        <f t="shared" si="10"/>
        <v/>
      </c>
      <c r="AV11" s="64" t="str">
        <f ca="1">IFERROR(__xludf.DUMMYFUNCTION("IF(TRIM(AU11)="""","""",AU11/INDEX(FILTER(AT$3:AT11,TRIM(AT$3:AT11)&lt;&gt;""""),ROWS(FILTER(AT$3:AT11,TRIM(AT$3:AT11)&lt;&gt;"""")))-1)"),"")</f>
        <v/>
      </c>
      <c r="AW11" s="65" t="e">
        <f t="shared" ca="1" si="2"/>
        <v>#VALUE!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ht="17.25" customHeight="1" x14ac:dyDescent="0.25">
      <c r="A12" s="2"/>
      <c r="B12" s="5"/>
      <c r="C12" s="78" t="s">
        <v>49</v>
      </c>
      <c r="D12" s="5"/>
      <c r="E12" s="5"/>
      <c r="F12" s="5"/>
      <c r="G12" s="5"/>
      <c r="H12" s="6"/>
      <c r="I12" s="5"/>
      <c r="J12" s="70"/>
      <c r="K12" s="37"/>
      <c r="L12" s="38"/>
      <c r="M12" s="36"/>
      <c r="N12" s="39"/>
      <c r="O12" s="40"/>
      <c r="P12" s="41"/>
      <c r="Q12" s="42"/>
      <c r="R12" s="60"/>
      <c r="S12" s="40"/>
      <c r="T12" s="43"/>
      <c r="U12" s="6"/>
      <c r="V12" s="44">
        <v>43935</v>
      </c>
      <c r="W12" s="45">
        <v>123.91</v>
      </c>
      <c r="X12" s="46"/>
      <c r="Y12" s="61"/>
      <c r="Z12" s="5"/>
      <c r="AA12" s="5"/>
      <c r="AB12" s="5"/>
      <c r="AC12" s="5"/>
      <c r="AD12" s="5"/>
      <c r="AE12" s="5"/>
      <c r="AF12" s="5"/>
      <c r="AG12" s="5"/>
      <c r="AH12" s="6"/>
      <c r="AI12" s="44">
        <v>43935</v>
      </c>
      <c r="AJ12" s="53">
        <v>123.91</v>
      </c>
      <c r="AK12" s="54">
        <f t="shared" si="0"/>
        <v>2.278167560874933E-2</v>
      </c>
      <c r="AL12" s="55">
        <f t="shared" si="3"/>
        <v>26.424060502006093</v>
      </c>
      <c r="AM12" s="56">
        <v>25</v>
      </c>
      <c r="AN12" s="57">
        <f t="shared" si="1"/>
        <v>-1.4240605020060926</v>
      </c>
      <c r="AO12" s="76">
        <f t="shared" si="4"/>
        <v>-35.531767935640559</v>
      </c>
      <c r="AP12" s="63" t="str">
        <f t="shared" si="5"/>
        <v/>
      </c>
      <c r="AQ12" s="63" t="str">
        <f t="shared" si="6"/>
        <v>Sell Stocks</v>
      </c>
      <c r="AR12" s="63" t="str">
        <f t="shared" si="7"/>
        <v/>
      </c>
      <c r="AS12" s="63" t="str">
        <f t="shared" si="8"/>
        <v/>
      </c>
      <c r="AT12" s="78" t="str">
        <f t="shared" si="9"/>
        <v/>
      </c>
      <c r="AU12" s="78" t="str">
        <f t="shared" si="10"/>
        <v/>
      </c>
      <c r="AV12" s="64" t="str">
        <f ca="1">IFERROR(__xludf.DUMMYFUNCTION("IF(TRIM(AU12)="""","""",AU12/INDEX(FILTER(AT$3:AT12,TRIM(AT$3:AT12)&lt;&gt;""""),ROWS(FILTER(AT$3:AT12,TRIM(AT$3:AT12)&lt;&gt;"""")))-1)"),"")</f>
        <v/>
      </c>
      <c r="AW12" s="65" t="e">
        <f t="shared" ca="1" si="2"/>
        <v>#VALUE!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ht="17.25" customHeight="1" x14ac:dyDescent="0.25">
      <c r="A13" s="2"/>
      <c r="B13" s="71" t="s">
        <v>50</v>
      </c>
      <c r="C13" s="73"/>
      <c r="D13" s="2"/>
      <c r="E13" s="2"/>
      <c r="F13" s="5"/>
      <c r="G13" s="2"/>
      <c r="H13" s="6"/>
      <c r="I13" s="5"/>
      <c r="J13" s="70"/>
      <c r="K13" s="37"/>
      <c r="L13" s="38"/>
      <c r="M13" s="36"/>
      <c r="N13" s="39"/>
      <c r="O13" s="40"/>
      <c r="P13" s="41"/>
      <c r="Q13" s="42"/>
      <c r="R13" s="60"/>
      <c r="S13" s="40"/>
      <c r="T13" s="43"/>
      <c r="U13" s="6"/>
      <c r="V13" s="44">
        <v>43936</v>
      </c>
      <c r="W13" s="45">
        <v>118.69</v>
      </c>
      <c r="X13" s="46"/>
      <c r="Y13" s="61"/>
      <c r="Z13" s="5"/>
      <c r="AA13" s="5"/>
      <c r="AB13" s="5"/>
      <c r="AC13" s="5"/>
      <c r="AD13" s="5"/>
      <c r="AE13" s="5"/>
      <c r="AF13" s="5"/>
      <c r="AG13" s="5"/>
      <c r="AH13" s="6"/>
      <c r="AI13" s="44">
        <v>43936</v>
      </c>
      <c r="AJ13" s="53">
        <v>118.69</v>
      </c>
      <c r="AK13" s="54">
        <f t="shared" si="0"/>
        <v>-4.2127350496327987E-2</v>
      </c>
      <c r="AL13" s="55">
        <f t="shared" si="3"/>
        <v>49.21327777295236</v>
      </c>
      <c r="AM13" s="56">
        <v>25</v>
      </c>
      <c r="AN13" s="57">
        <f t="shared" si="1"/>
        <v>-24.21327777295236</v>
      </c>
      <c r="AO13" s="76">
        <f t="shared" si="4"/>
        <v>-27.997027325382163</v>
      </c>
      <c r="AP13" s="63" t="str">
        <f t="shared" si="5"/>
        <v/>
      </c>
      <c r="AQ13" s="63" t="str">
        <f t="shared" si="6"/>
        <v>Sell Stocks</v>
      </c>
      <c r="AR13" s="63" t="str">
        <f t="shared" si="7"/>
        <v/>
      </c>
      <c r="AS13" s="63" t="str">
        <f t="shared" si="8"/>
        <v/>
      </c>
      <c r="AT13" s="78" t="str">
        <f t="shared" si="9"/>
        <v/>
      </c>
      <c r="AU13" s="78" t="str">
        <f t="shared" si="10"/>
        <v/>
      </c>
      <c r="AV13" s="64" t="str">
        <f ca="1">IFERROR(__xludf.DUMMYFUNCTION("IF(TRIM(AU13)="""","""",AU13/INDEX(FILTER(AT$3:AT13,TRIM(AT$3:AT13)&lt;&gt;""""),ROWS(FILTER(AT$3:AT13,TRIM(AT$3:AT13)&lt;&gt;"""")))-1)"),"")</f>
        <v/>
      </c>
      <c r="AW13" s="65" t="e">
        <f t="shared" ca="1" si="2"/>
        <v>#VALUE!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ht="17.25" customHeight="1" x14ac:dyDescent="0.25">
      <c r="A14" s="2"/>
      <c r="B14" s="78"/>
      <c r="C14" s="79" t="s">
        <v>51</v>
      </c>
      <c r="D14" s="5"/>
      <c r="E14" s="5"/>
      <c r="F14" s="2"/>
      <c r="G14" s="2"/>
      <c r="H14" s="6"/>
      <c r="I14" s="5"/>
      <c r="J14" s="70"/>
      <c r="K14" s="37"/>
      <c r="L14" s="38"/>
      <c r="M14" s="36"/>
      <c r="N14" s="39"/>
      <c r="O14" s="40"/>
      <c r="P14" s="41"/>
      <c r="Q14" s="42"/>
      <c r="R14" s="60"/>
      <c r="S14" s="40"/>
      <c r="T14" s="43"/>
      <c r="U14" s="6"/>
      <c r="V14" s="44">
        <v>43937</v>
      </c>
      <c r="W14" s="45">
        <v>115.73</v>
      </c>
      <c r="X14" s="46"/>
      <c r="Y14" s="61"/>
      <c r="Z14" s="5"/>
      <c r="AA14" s="5"/>
      <c r="AB14" s="5"/>
      <c r="AC14" s="5"/>
      <c r="AD14" s="5"/>
      <c r="AE14" s="5"/>
      <c r="AF14" s="5"/>
      <c r="AG14" s="5"/>
      <c r="AH14" s="6"/>
      <c r="AI14" s="44">
        <v>43937</v>
      </c>
      <c r="AJ14" s="53">
        <v>115.73</v>
      </c>
      <c r="AK14" s="54">
        <f t="shared" si="0"/>
        <v>-2.4938916505181541E-2</v>
      </c>
      <c r="AL14" s="55">
        <f t="shared" si="3"/>
        <v>44.215214559780435</v>
      </c>
      <c r="AM14" s="56">
        <v>25</v>
      </c>
      <c r="AN14" s="57">
        <f t="shared" si="1"/>
        <v>-19.215214559780435</v>
      </c>
      <c r="AO14" s="76">
        <f t="shared" si="4"/>
        <v>-23.025346739019348</v>
      </c>
      <c r="AP14" s="63" t="str">
        <f t="shared" si="5"/>
        <v/>
      </c>
      <c r="AQ14" s="63" t="str">
        <f t="shared" si="6"/>
        <v>Sell Stocks</v>
      </c>
      <c r="AR14" s="63" t="str">
        <f t="shared" si="7"/>
        <v/>
      </c>
      <c r="AS14" s="63" t="str">
        <f t="shared" si="8"/>
        <v/>
      </c>
      <c r="AT14" s="78" t="str">
        <f t="shared" si="9"/>
        <v/>
      </c>
      <c r="AU14" s="78" t="str">
        <f t="shared" si="10"/>
        <v/>
      </c>
      <c r="AV14" s="64" t="str">
        <f ca="1">IFERROR(__xludf.DUMMYFUNCTION("IF(TRIM(AU14)="""","""",AU14/INDEX(FILTER(AT$3:AT14,TRIM(AT$3:AT14)&lt;&gt;""""),ROWS(FILTER(AT$3:AT14,TRIM(AT$3:AT14)&lt;&gt;"""")))-1)"),"")</f>
        <v/>
      </c>
      <c r="AW14" s="65" t="e">
        <f t="shared" ca="1" si="2"/>
        <v>#VALUE!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ht="17.25" customHeight="1" x14ac:dyDescent="0.25">
      <c r="A15" s="2"/>
      <c r="B15" s="5"/>
      <c r="C15" s="79" t="s">
        <v>52</v>
      </c>
      <c r="D15" s="5"/>
      <c r="E15" s="5"/>
      <c r="F15" s="2"/>
      <c r="G15" s="2"/>
      <c r="H15" s="6"/>
      <c r="I15" s="5"/>
      <c r="J15" s="70"/>
      <c r="K15" s="37"/>
      <c r="L15" s="38"/>
      <c r="M15" s="36"/>
      <c r="N15" s="39"/>
      <c r="O15" s="40"/>
      <c r="P15" s="41"/>
      <c r="Q15" s="42"/>
      <c r="R15" s="60"/>
      <c r="S15" s="40"/>
      <c r="T15" s="43"/>
      <c r="U15" s="6"/>
      <c r="V15" s="44">
        <v>43938</v>
      </c>
      <c r="W15" s="45">
        <v>120.12</v>
      </c>
      <c r="X15" s="46"/>
      <c r="Y15" s="61"/>
      <c r="Z15" s="5"/>
      <c r="AA15" s="5"/>
      <c r="AB15" s="5"/>
      <c r="AC15" s="5"/>
      <c r="AD15" s="5"/>
      <c r="AE15" s="5"/>
      <c r="AF15" s="5"/>
      <c r="AG15" s="5"/>
      <c r="AH15" s="6"/>
      <c r="AI15" s="44">
        <v>43938</v>
      </c>
      <c r="AJ15" s="53">
        <v>120.12</v>
      </c>
      <c r="AK15" s="54">
        <f t="shared" si="0"/>
        <v>3.7933120193553993E-2</v>
      </c>
      <c r="AL15" s="55">
        <f t="shared" si="3"/>
        <v>52.324755419247673</v>
      </c>
      <c r="AM15" s="56">
        <v>25</v>
      </c>
      <c r="AN15" s="57">
        <f t="shared" si="1"/>
        <v>-27.324755419247673</v>
      </c>
      <c r="AO15" s="76">
        <f t="shared" si="4"/>
        <v>-20.129031160373227</v>
      </c>
      <c r="AP15" s="63" t="str">
        <f t="shared" si="5"/>
        <v/>
      </c>
      <c r="AQ15" s="63" t="str">
        <f t="shared" si="6"/>
        <v>Sell Stocks</v>
      </c>
      <c r="AR15" s="63" t="str">
        <f t="shared" si="7"/>
        <v/>
      </c>
      <c r="AS15" s="63" t="str">
        <f t="shared" si="8"/>
        <v/>
      </c>
      <c r="AT15" s="78" t="str">
        <f t="shared" si="9"/>
        <v/>
      </c>
      <c r="AU15" s="78" t="str">
        <f t="shared" si="10"/>
        <v/>
      </c>
      <c r="AV15" s="64" t="str">
        <f ca="1">IFERROR(__xludf.DUMMYFUNCTION("IF(TRIM(AU15)="""","""",AU15/INDEX(FILTER(AT$3:AT15,TRIM(AT$3:AT15)&lt;&gt;""""),ROWS(FILTER(AT$3:AT15,TRIM(AT$3:AT15)&lt;&gt;"""")))-1)"),"")</f>
        <v/>
      </c>
      <c r="AW15" s="65" t="e">
        <f t="shared" ca="1" si="2"/>
        <v>#VALUE!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ht="17.25" customHeight="1" x14ac:dyDescent="0.25">
      <c r="A16" s="2"/>
      <c r="B16" s="5"/>
      <c r="C16" s="78" t="s">
        <v>53</v>
      </c>
      <c r="D16" s="5"/>
      <c r="E16" s="5"/>
      <c r="F16" s="5"/>
      <c r="G16" s="5"/>
      <c r="H16" s="6"/>
      <c r="I16" s="5"/>
      <c r="J16" s="70"/>
      <c r="K16" s="37"/>
      <c r="L16" s="38"/>
      <c r="M16" s="36"/>
      <c r="N16" s="39"/>
      <c r="O16" s="40"/>
      <c r="P16" s="41"/>
      <c r="Q16" s="42"/>
      <c r="R16" s="60"/>
      <c r="S16" s="40"/>
      <c r="T16" s="43"/>
      <c r="U16" s="6"/>
      <c r="V16" s="44">
        <v>43941</v>
      </c>
      <c r="W16" s="45">
        <v>120.41</v>
      </c>
      <c r="X16" s="46"/>
      <c r="Y16" s="61"/>
      <c r="Z16" s="5"/>
      <c r="AA16" s="5"/>
      <c r="AB16" s="5"/>
      <c r="AC16" s="5"/>
      <c r="AD16" s="5"/>
      <c r="AE16" s="5"/>
      <c r="AF16" s="5"/>
      <c r="AG16" s="5"/>
      <c r="AH16" s="6"/>
      <c r="AI16" s="44">
        <v>43941</v>
      </c>
      <c r="AJ16" s="53">
        <v>120.41</v>
      </c>
      <c r="AK16" s="54">
        <f t="shared" si="0"/>
        <v>2.4142524142523047E-3</v>
      </c>
      <c r="AL16" s="55">
        <f t="shared" si="3"/>
        <v>52.393799648502991</v>
      </c>
      <c r="AM16" s="56">
        <v>25</v>
      </c>
      <c r="AN16" s="57">
        <f t="shared" si="1"/>
        <v>-27.393799648502991</v>
      </c>
      <c r="AO16" s="76">
        <f t="shared" si="4"/>
        <v>-19.914221580497909</v>
      </c>
      <c r="AP16" s="63" t="str">
        <f t="shared" si="5"/>
        <v/>
      </c>
      <c r="AQ16" s="63" t="str">
        <f t="shared" si="6"/>
        <v>Sell Stocks</v>
      </c>
      <c r="AR16" s="63" t="str">
        <f t="shared" si="7"/>
        <v/>
      </c>
      <c r="AS16" s="63" t="str">
        <f t="shared" si="8"/>
        <v/>
      </c>
      <c r="AT16" s="78" t="str">
        <f t="shared" si="9"/>
        <v/>
      </c>
      <c r="AU16" s="78" t="str">
        <f t="shared" si="10"/>
        <v/>
      </c>
      <c r="AV16" s="64" t="str">
        <f ca="1">IFERROR(__xludf.DUMMYFUNCTION("IF(TRIM(AU16)="""","""",AU16/INDEX(FILTER(AT$3:AT16,TRIM(AT$3:AT16)&lt;&gt;""""),ROWS(FILTER(AT$3:AT16,TRIM(AT$3:AT16)&lt;&gt;"""")))-1)"),"")</f>
        <v/>
      </c>
      <c r="AW16" s="65" t="e">
        <f t="shared" ca="1" si="2"/>
        <v>#VALUE!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ht="17.25" customHeight="1" x14ac:dyDescent="0.25">
      <c r="A17" s="2"/>
      <c r="B17" s="5"/>
      <c r="C17" s="80" t="s">
        <v>54</v>
      </c>
      <c r="D17" s="5"/>
      <c r="E17" s="5"/>
      <c r="F17" s="5"/>
      <c r="G17" s="5"/>
      <c r="H17" s="6"/>
      <c r="I17" s="5"/>
      <c r="J17" s="70"/>
      <c r="K17" s="37"/>
      <c r="L17" s="38"/>
      <c r="M17" s="36"/>
      <c r="N17" s="39"/>
      <c r="O17" s="40"/>
      <c r="P17" s="41"/>
      <c r="Q17" s="42"/>
      <c r="R17" s="60"/>
      <c r="S17" s="40"/>
      <c r="T17" s="43"/>
      <c r="U17" s="6"/>
      <c r="V17" s="44">
        <v>43942</v>
      </c>
      <c r="W17" s="45">
        <v>116.76</v>
      </c>
      <c r="X17" s="46"/>
      <c r="Y17" s="61"/>
      <c r="Z17" s="5"/>
      <c r="AA17" s="5"/>
      <c r="AB17" s="5"/>
      <c r="AC17" s="5"/>
      <c r="AD17" s="5"/>
      <c r="AE17" s="5"/>
      <c r="AF17" s="5"/>
      <c r="AG17" s="5"/>
      <c r="AH17" s="6"/>
      <c r="AI17" s="44">
        <v>43942</v>
      </c>
      <c r="AJ17" s="53">
        <v>116.76</v>
      </c>
      <c r="AK17" s="54">
        <f t="shared" si="0"/>
        <v>-3.0313096918860527E-2</v>
      </c>
      <c r="AL17" s="55">
        <f t="shared" si="3"/>
        <v>50.883726636339773</v>
      </c>
      <c r="AM17" s="56">
        <v>25</v>
      </c>
      <c r="AN17" s="57">
        <f t="shared" si="1"/>
        <v>-25.883726636339773</v>
      </c>
      <c r="AO17" s="76">
        <f t="shared" si="4"/>
        <v>-24.806154807364646</v>
      </c>
      <c r="AP17" s="63" t="str">
        <f t="shared" si="5"/>
        <v/>
      </c>
      <c r="AQ17" s="63" t="str">
        <f t="shared" si="6"/>
        <v>Sell Stocks</v>
      </c>
      <c r="AR17" s="63" t="str">
        <f t="shared" si="7"/>
        <v/>
      </c>
      <c r="AS17" s="63" t="str">
        <f t="shared" si="8"/>
        <v/>
      </c>
      <c r="AT17" s="78" t="str">
        <f t="shared" si="9"/>
        <v/>
      </c>
      <c r="AU17" s="78" t="str">
        <f t="shared" si="10"/>
        <v/>
      </c>
      <c r="AV17" s="64" t="str">
        <f ca="1">IFERROR(__xludf.DUMMYFUNCTION("IF(TRIM(AU17)="""","""",AU17/INDEX(FILTER(AT$3:AT17,TRIM(AT$3:AT17)&lt;&gt;""""),ROWS(FILTER(AT$3:AT17,TRIM(AT$3:AT17)&lt;&gt;"""")))-1)"),"")</f>
        <v/>
      </c>
      <c r="AW17" s="65" t="e">
        <f t="shared" ca="1" si="2"/>
        <v>#VALUE!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ht="17.25" customHeight="1" x14ac:dyDescent="0.25">
      <c r="A18" s="2"/>
      <c r="B18" s="5"/>
      <c r="C18" s="2"/>
      <c r="D18" s="81" t="s">
        <v>55</v>
      </c>
      <c r="E18" s="5"/>
      <c r="F18" s="5"/>
      <c r="G18" s="5"/>
      <c r="H18" s="6"/>
      <c r="I18" s="5"/>
      <c r="J18" s="70"/>
      <c r="K18" s="37"/>
      <c r="L18" s="38"/>
      <c r="M18" s="36"/>
      <c r="N18" s="39"/>
      <c r="O18" s="40"/>
      <c r="P18" s="41"/>
      <c r="Q18" s="42"/>
      <c r="R18" s="60"/>
      <c r="S18" s="40"/>
      <c r="T18" s="43"/>
      <c r="U18" s="6"/>
      <c r="V18" s="44">
        <v>43943</v>
      </c>
      <c r="W18" s="45">
        <v>119.31</v>
      </c>
      <c r="X18" s="46"/>
      <c r="Y18" s="61"/>
      <c r="Z18" s="5"/>
      <c r="AA18" s="5"/>
      <c r="AB18" s="5"/>
      <c r="AC18" s="5"/>
      <c r="AD18" s="5"/>
      <c r="AE18" s="5"/>
      <c r="AF18" s="5"/>
      <c r="AG18" s="5"/>
      <c r="AH18" s="6"/>
      <c r="AI18" s="44">
        <v>43943</v>
      </c>
      <c r="AJ18" s="53">
        <v>119.31</v>
      </c>
      <c r="AK18" s="54">
        <f t="shared" si="0"/>
        <v>2.1839671120246651E-2</v>
      </c>
      <c r="AL18" s="55">
        <f t="shared" si="3"/>
        <v>46.640643599583896</v>
      </c>
      <c r="AM18" s="56">
        <v>25</v>
      </c>
      <c r="AN18" s="57">
        <f t="shared" si="1"/>
        <v>-21.640643599583896</v>
      </c>
      <c r="AO18" s="76">
        <f t="shared" si="4"/>
        <v>-24.291627972690954</v>
      </c>
      <c r="AP18" s="63" t="str">
        <f t="shared" si="5"/>
        <v/>
      </c>
      <c r="AQ18" s="63" t="str">
        <f t="shared" si="6"/>
        <v>Sell Stocks</v>
      </c>
      <c r="AR18" s="63" t="str">
        <f t="shared" si="7"/>
        <v/>
      </c>
      <c r="AS18" s="63" t="str">
        <f t="shared" si="8"/>
        <v/>
      </c>
      <c r="AT18" s="78" t="str">
        <f t="shared" si="9"/>
        <v/>
      </c>
      <c r="AU18" s="78" t="str">
        <f t="shared" si="10"/>
        <v/>
      </c>
      <c r="AV18" s="64" t="str">
        <f ca="1">IFERROR(__xludf.DUMMYFUNCTION("IF(TRIM(AU18)="""","""",AU18/INDEX(FILTER(AT$3:AT18,TRIM(AT$3:AT18)&lt;&gt;""""),ROWS(FILTER(AT$3:AT18,TRIM(AT$3:AT18)&lt;&gt;"""")))-1)"),"")</f>
        <v/>
      </c>
      <c r="AW18" s="65" t="e">
        <f t="shared" ca="1" si="2"/>
        <v>#VALUE!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ht="17.25" customHeight="1" x14ac:dyDescent="0.25">
      <c r="A19" s="2"/>
      <c r="B19" s="5"/>
      <c r="C19" s="5"/>
      <c r="D19" s="81" t="s">
        <v>56</v>
      </c>
      <c r="E19" s="5"/>
      <c r="F19" s="5"/>
      <c r="G19" s="5"/>
      <c r="H19" s="6"/>
      <c r="I19" s="5"/>
      <c r="J19" s="70"/>
      <c r="K19" s="37"/>
      <c r="L19" s="38"/>
      <c r="M19" s="36"/>
      <c r="N19" s="39"/>
      <c r="O19" s="40"/>
      <c r="P19" s="41"/>
      <c r="Q19" s="42"/>
      <c r="R19" s="60"/>
      <c r="S19" s="40"/>
      <c r="T19" s="43"/>
      <c r="U19" s="6"/>
      <c r="V19" s="44">
        <v>43944</v>
      </c>
      <c r="W19" s="45">
        <v>121.35</v>
      </c>
      <c r="X19" s="46"/>
      <c r="Y19" s="61"/>
      <c r="Z19" s="5"/>
      <c r="AA19" s="5"/>
      <c r="AB19" s="5"/>
      <c r="AC19" s="5"/>
      <c r="AD19" s="5"/>
      <c r="AE19" s="5"/>
      <c r="AF19" s="5"/>
      <c r="AG19" s="5"/>
      <c r="AH19" s="6"/>
      <c r="AI19" s="44">
        <v>43944</v>
      </c>
      <c r="AJ19" s="53">
        <v>121.35</v>
      </c>
      <c r="AK19" s="54">
        <f t="shared" si="0"/>
        <v>1.709831531304995E-2</v>
      </c>
      <c r="AL19" s="55">
        <f t="shared" si="3"/>
        <v>40.884957551926668</v>
      </c>
      <c r="AM19" s="56">
        <v>25</v>
      </c>
      <c r="AN19" s="57">
        <f t="shared" si="1"/>
        <v>-15.884957551926668</v>
      </c>
      <c r="AO19" s="76">
        <f t="shared" si="4"/>
        <v>-23.625576571120199</v>
      </c>
      <c r="AP19" s="63" t="str">
        <f t="shared" si="5"/>
        <v/>
      </c>
      <c r="AQ19" s="63" t="str">
        <f t="shared" si="6"/>
        <v>Sell Stocks</v>
      </c>
      <c r="AR19" s="63" t="str">
        <f t="shared" si="7"/>
        <v/>
      </c>
      <c r="AS19" s="63" t="str">
        <f t="shared" si="8"/>
        <v/>
      </c>
      <c r="AT19" s="78" t="str">
        <f t="shared" si="9"/>
        <v/>
      </c>
      <c r="AU19" s="78" t="str">
        <f t="shared" si="10"/>
        <v/>
      </c>
      <c r="AV19" s="64" t="str">
        <f ca="1">IFERROR(__xludf.DUMMYFUNCTION("IF(TRIM(AU19)="""","""",AU19/INDEX(FILTER(AT$3:AT19,TRIM(AT$3:AT19)&lt;&gt;""""),ROWS(FILTER(AT$3:AT19,TRIM(AT$3:AT19)&lt;&gt;"""")))-1)"),"")</f>
        <v/>
      </c>
      <c r="AW19" s="65" t="e">
        <f t="shared" ca="1" si="2"/>
        <v>#VALUE!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ht="16.5" customHeight="1" x14ac:dyDescent="0.25">
      <c r="A20" s="5"/>
      <c r="B20" s="5"/>
      <c r="C20" s="2" t="s">
        <v>57</v>
      </c>
      <c r="D20" s="2"/>
      <c r="E20" s="2"/>
      <c r="F20" s="2"/>
      <c r="G20" s="2"/>
      <c r="H20" s="6"/>
      <c r="I20" s="5"/>
      <c r="J20" s="70"/>
      <c r="K20" s="37"/>
      <c r="L20" s="38"/>
      <c r="M20" s="36"/>
      <c r="N20" s="39"/>
      <c r="O20" s="40"/>
      <c r="P20" s="41"/>
      <c r="Q20" s="42"/>
      <c r="R20" s="60"/>
      <c r="S20" s="40"/>
      <c r="T20" s="43"/>
      <c r="U20" s="6"/>
      <c r="V20" s="44">
        <v>43945</v>
      </c>
      <c r="W20" s="45">
        <v>124.72</v>
      </c>
      <c r="X20" s="46"/>
      <c r="Y20" s="61"/>
      <c r="Z20" s="5"/>
      <c r="AA20" s="5"/>
      <c r="AB20" s="5"/>
      <c r="AC20" s="5"/>
      <c r="AD20" s="5"/>
      <c r="AE20" s="5"/>
      <c r="AF20" s="5"/>
      <c r="AG20" s="5"/>
      <c r="AH20" s="6"/>
      <c r="AI20" s="44">
        <v>43945</v>
      </c>
      <c r="AJ20" s="53">
        <v>124.72</v>
      </c>
      <c r="AK20" s="54">
        <f t="shared" si="0"/>
        <v>2.7770910589204778E-2</v>
      </c>
      <c r="AL20" s="55">
        <f t="shared" si="3"/>
        <v>36.923295869150373</v>
      </c>
      <c r="AM20" s="56">
        <v>25</v>
      </c>
      <c r="AN20" s="57">
        <f t="shared" si="1"/>
        <v>-11.923295869150373</v>
      </c>
      <c r="AO20" s="76">
        <f t="shared" si="4"/>
        <v>-20.545284661100737</v>
      </c>
      <c r="AP20" s="63" t="str">
        <f t="shared" si="5"/>
        <v/>
      </c>
      <c r="AQ20" s="63" t="str">
        <f t="shared" si="6"/>
        <v>Sell Stocks</v>
      </c>
      <c r="AR20" s="63" t="str">
        <f t="shared" si="7"/>
        <v/>
      </c>
      <c r="AS20" s="63" t="str">
        <f t="shared" si="8"/>
        <v/>
      </c>
      <c r="AT20" s="78" t="str">
        <f t="shared" si="9"/>
        <v/>
      </c>
      <c r="AU20" s="78" t="str">
        <f t="shared" si="10"/>
        <v/>
      </c>
      <c r="AV20" s="64" t="str">
        <f ca="1">IFERROR(__xludf.DUMMYFUNCTION("IF(TRIM(AU20)="""","""",AU20/INDEX(FILTER(AT$3:AT20,TRIM(AT$3:AT20)&lt;&gt;""""),ROWS(FILTER(AT$3:AT20,TRIM(AT$3:AT20)&lt;&gt;"""")))-1)"),"")</f>
        <v/>
      </c>
      <c r="AW20" s="65" t="e">
        <f t="shared" ca="1" si="2"/>
        <v>#VALUE!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ht="19" x14ac:dyDescent="0.25">
      <c r="A21" s="5"/>
      <c r="B21" s="5"/>
      <c r="C21" s="2"/>
      <c r="D21" s="82" t="s">
        <v>58</v>
      </c>
      <c r="E21" s="2"/>
      <c r="F21" s="2"/>
      <c r="G21" s="2"/>
      <c r="H21" s="6"/>
      <c r="I21" s="5"/>
      <c r="J21" s="83"/>
      <c r="K21" s="83"/>
      <c r="L21" s="83"/>
      <c r="M21" s="83"/>
      <c r="N21" s="83"/>
      <c r="O21" s="83"/>
      <c r="P21" s="83"/>
      <c r="Q21" s="84"/>
      <c r="R21" s="83"/>
      <c r="S21" s="83"/>
      <c r="T21" s="85"/>
      <c r="U21" s="6"/>
      <c r="V21" s="44">
        <v>43948</v>
      </c>
      <c r="W21" s="45">
        <v>125.92</v>
      </c>
      <c r="X21" s="46"/>
      <c r="Y21" s="61"/>
      <c r="Z21" s="5"/>
      <c r="AA21" s="5"/>
      <c r="AB21" s="5"/>
      <c r="AC21" s="5"/>
      <c r="AD21" s="5"/>
      <c r="AE21" s="5"/>
      <c r="AF21" s="5"/>
      <c r="AG21" s="5"/>
      <c r="AH21" s="6"/>
      <c r="AI21" s="44">
        <v>43948</v>
      </c>
      <c r="AJ21" s="53">
        <v>125.92</v>
      </c>
      <c r="AK21" s="54">
        <f t="shared" si="0"/>
        <v>9.6215522771008199E-3</v>
      </c>
      <c r="AL21" s="55">
        <f t="shared" si="3"/>
        <v>36.618930828759247</v>
      </c>
      <c r="AM21" s="56">
        <v>25</v>
      </c>
      <c r="AN21" s="57">
        <f t="shared" si="1"/>
        <v>-11.618930828759247</v>
      </c>
      <c r="AO21" s="76">
        <f t="shared" si="4"/>
        <v>-17.390310897151991</v>
      </c>
      <c r="AP21" s="63" t="str">
        <f t="shared" si="5"/>
        <v/>
      </c>
      <c r="AQ21" s="63" t="str">
        <f t="shared" si="6"/>
        <v>Sell Stocks</v>
      </c>
      <c r="AR21" s="63" t="str">
        <f t="shared" si="7"/>
        <v/>
      </c>
      <c r="AS21" s="63" t="str">
        <f t="shared" si="8"/>
        <v/>
      </c>
      <c r="AT21" s="78" t="str">
        <f t="shared" si="9"/>
        <v/>
      </c>
      <c r="AU21" s="78" t="str">
        <f t="shared" si="10"/>
        <v/>
      </c>
      <c r="AV21" s="64" t="str">
        <f ca="1">IFERROR(__xludf.DUMMYFUNCTION("IF(TRIM(AU21)="""","""",AU21/INDEX(FILTER(AT$3:AT21,TRIM(AT$3:AT21)&lt;&gt;""""),ROWS(FILTER(AT$3:AT21,TRIM(AT$3:AT21)&lt;&gt;"""")))-1)"),"")</f>
        <v/>
      </c>
      <c r="AW21" s="65" t="e">
        <f t="shared" ca="1" si="2"/>
        <v>#VALUE!</v>
      </c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ht="19" x14ac:dyDescent="0.25">
      <c r="A22" s="5"/>
      <c r="B22" s="5"/>
      <c r="C22" s="2"/>
      <c r="D22" s="82" t="s">
        <v>59</v>
      </c>
      <c r="E22" s="2"/>
      <c r="F22" s="2"/>
      <c r="G22" s="2"/>
      <c r="H22" s="6"/>
      <c r="I22" s="5"/>
      <c r="J22" s="83"/>
      <c r="K22" s="83"/>
      <c r="L22" s="83"/>
      <c r="M22" s="83"/>
      <c r="N22" s="83"/>
      <c r="O22" s="83"/>
      <c r="P22" s="83"/>
      <c r="Q22" s="84"/>
      <c r="R22" s="83"/>
      <c r="S22" s="83"/>
      <c r="T22" s="85"/>
      <c r="U22" s="6"/>
      <c r="V22" s="44">
        <v>43949</v>
      </c>
      <c r="W22" s="45">
        <v>126.27</v>
      </c>
      <c r="X22" s="46"/>
      <c r="Y22" s="61"/>
      <c r="Z22" s="5"/>
      <c r="AA22" s="5"/>
      <c r="AB22" s="5"/>
      <c r="AC22" s="5"/>
      <c r="AD22" s="5"/>
      <c r="AE22" s="5"/>
      <c r="AF22" s="5"/>
      <c r="AG22" s="5"/>
      <c r="AH22" s="6"/>
      <c r="AI22" s="44">
        <v>43949</v>
      </c>
      <c r="AJ22" s="53">
        <v>126.27</v>
      </c>
      <c r="AK22" s="54">
        <f t="shared" si="0"/>
        <v>2.7795425667089813E-3</v>
      </c>
      <c r="AL22" s="55">
        <f t="shared" si="3"/>
        <v>15.658113134473703</v>
      </c>
      <c r="AM22" s="56">
        <v>25</v>
      </c>
      <c r="AN22" s="57">
        <f t="shared" si="1"/>
        <v>9.3418868655262965</v>
      </c>
      <c r="AO22" s="76">
        <f t="shared" si="4"/>
        <v>-10.345188196778777</v>
      </c>
      <c r="AP22" s="63" t="str">
        <f t="shared" si="5"/>
        <v/>
      </c>
      <c r="AQ22" s="63" t="str">
        <f t="shared" si="6"/>
        <v>Sell Stocks</v>
      </c>
      <c r="AR22" s="63" t="str">
        <f t="shared" si="7"/>
        <v/>
      </c>
      <c r="AS22" s="63" t="str">
        <f t="shared" si="8"/>
        <v/>
      </c>
      <c r="AT22" s="78" t="str">
        <f t="shared" si="9"/>
        <v/>
      </c>
      <c r="AU22" s="78" t="str">
        <f t="shared" si="10"/>
        <v/>
      </c>
      <c r="AV22" s="64" t="str">
        <f ca="1">IFERROR(__xludf.DUMMYFUNCTION("IF(TRIM(AU22)="""","""",AU22/INDEX(FILTER(AT$3:AT22,TRIM(AT$3:AT22)&lt;&gt;""""),ROWS(FILTER(AT$3:AT22,TRIM(AT$3:AT22)&lt;&gt;"""")))-1)"),"")</f>
        <v/>
      </c>
      <c r="AW22" s="65" t="e">
        <f t="shared" ca="1" si="2"/>
        <v>#VALUE!</v>
      </c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ht="19" x14ac:dyDescent="0.25">
      <c r="A23" s="5"/>
      <c r="B23" s="5"/>
      <c r="C23" s="86" t="s">
        <v>60</v>
      </c>
      <c r="D23" s="5"/>
      <c r="E23" s="5"/>
      <c r="F23" s="5"/>
      <c r="G23" s="5"/>
      <c r="H23" s="6"/>
      <c r="I23" s="5"/>
      <c r="J23" s="83"/>
      <c r="K23" s="83"/>
      <c r="L23" s="83"/>
      <c r="M23" s="83"/>
      <c r="N23" s="83"/>
      <c r="O23" s="83"/>
      <c r="P23" s="83"/>
      <c r="Q23" s="84"/>
      <c r="R23" s="83"/>
      <c r="S23" s="83"/>
      <c r="T23" s="85"/>
      <c r="U23" s="6"/>
      <c r="V23" s="44">
        <v>43950</v>
      </c>
      <c r="W23" s="45">
        <v>128.69</v>
      </c>
      <c r="X23" s="46"/>
      <c r="Y23" s="61"/>
      <c r="Z23" s="5"/>
      <c r="AA23" s="5"/>
      <c r="AB23" s="5"/>
      <c r="AC23" s="5"/>
      <c r="AD23" s="5"/>
      <c r="AE23" s="5"/>
      <c r="AF23" s="5"/>
      <c r="AG23" s="5"/>
      <c r="AH23" s="6"/>
      <c r="AI23" s="44">
        <v>43950</v>
      </c>
      <c r="AJ23" s="53">
        <v>128.69</v>
      </c>
      <c r="AK23" s="54">
        <f t="shared" si="0"/>
        <v>1.9165280747604374E-2</v>
      </c>
      <c r="AL23" s="55">
        <f t="shared" si="3"/>
        <v>15.116327420513512</v>
      </c>
      <c r="AM23" s="56">
        <v>25</v>
      </c>
      <c r="AN23" s="57">
        <f t="shared" si="1"/>
        <v>9.8836725794864879</v>
      </c>
      <c r="AO23" s="76">
        <f t="shared" si="4"/>
        <v>-4.0403249609647007</v>
      </c>
      <c r="AP23" s="63" t="str">
        <f t="shared" si="5"/>
        <v/>
      </c>
      <c r="AQ23" s="63" t="str">
        <f t="shared" si="6"/>
        <v>Sell Stocks</v>
      </c>
      <c r="AR23" s="63" t="str">
        <f t="shared" si="7"/>
        <v/>
      </c>
      <c r="AS23" s="63" t="str">
        <f t="shared" si="8"/>
        <v/>
      </c>
      <c r="AT23" s="78" t="str">
        <f t="shared" si="9"/>
        <v/>
      </c>
      <c r="AU23" s="78" t="str">
        <f t="shared" si="10"/>
        <v/>
      </c>
      <c r="AV23" s="64" t="str">
        <f ca="1">IFERROR(__xludf.DUMMYFUNCTION("IF(TRIM(AU23)="""","""",AU23/INDEX(FILTER(AT$3:AT23,TRIM(AT$3:AT23)&lt;&gt;""""),ROWS(FILTER(AT$3:AT23,TRIM(AT$3:AT23)&lt;&gt;"""")))-1)"),"")</f>
        <v/>
      </c>
      <c r="AW23" s="65" t="e">
        <f t="shared" ca="1" si="2"/>
        <v>#VALUE!</v>
      </c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ht="19" x14ac:dyDescent="0.25">
      <c r="A24" s="5"/>
      <c r="B24" s="5"/>
      <c r="C24" s="86" t="s">
        <v>61</v>
      </c>
      <c r="D24" s="5"/>
      <c r="E24" s="5"/>
      <c r="F24" s="5"/>
      <c r="G24" s="5"/>
      <c r="H24" s="6"/>
      <c r="I24" s="5"/>
      <c r="J24" s="83"/>
      <c r="K24" s="83"/>
      <c r="L24" s="83"/>
      <c r="M24" s="83"/>
      <c r="N24" s="83"/>
      <c r="O24" s="83"/>
      <c r="P24" s="83"/>
      <c r="Q24" s="84"/>
      <c r="R24" s="83"/>
      <c r="S24" s="83"/>
      <c r="T24" s="85"/>
      <c r="U24" s="6"/>
      <c r="V24" s="44">
        <v>43951</v>
      </c>
      <c r="W24" s="45">
        <v>125.56</v>
      </c>
      <c r="X24" s="46"/>
      <c r="Y24" s="61"/>
      <c r="Z24" s="5"/>
      <c r="AA24" s="5"/>
      <c r="AB24" s="5"/>
      <c r="AC24" s="5"/>
      <c r="AD24" s="5"/>
      <c r="AE24" s="5"/>
      <c r="AF24" s="5"/>
      <c r="AG24" s="5"/>
      <c r="AH24" s="6"/>
      <c r="AI24" s="44">
        <v>43951</v>
      </c>
      <c r="AJ24" s="53">
        <v>125.56</v>
      </c>
      <c r="AK24" s="54">
        <f t="shared" si="0"/>
        <v>-2.4322014142513004E-2</v>
      </c>
      <c r="AL24" s="55">
        <f t="shared" si="3"/>
        <v>31.601617124177565</v>
      </c>
      <c r="AM24" s="56">
        <v>25</v>
      </c>
      <c r="AN24" s="57">
        <f t="shared" si="1"/>
        <v>-6.6016171241775652</v>
      </c>
      <c r="AO24" s="76">
        <f t="shared" si="4"/>
        <v>-2.1836568754148802</v>
      </c>
      <c r="AP24" s="63" t="str">
        <f t="shared" si="5"/>
        <v/>
      </c>
      <c r="AQ24" s="63" t="str">
        <f t="shared" si="6"/>
        <v>Sell Stocks</v>
      </c>
      <c r="AR24" s="63" t="str">
        <f t="shared" si="7"/>
        <v/>
      </c>
      <c r="AS24" s="63" t="str">
        <f t="shared" si="8"/>
        <v/>
      </c>
      <c r="AT24" s="78" t="str">
        <f t="shared" si="9"/>
        <v/>
      </c>
      <c r="AU24" s="78" t="str">
        <f t="shared" si="10"/>
        <v/>
      </c>
      <c r="AV24" s="64" t="str">
        <f ca="1">IFERROR(__xludf.DUMMYFUNCTION("IF(TRIM(AU24)="""","""",AU24/INDEX(FILTER(AT$3:AT24,TRIM(AT$3:AT24)&lt;&gt;""""),ROWS(FILTER(AT$3:AT24,TRIM(AT$3:AT24)&lt;&gt;"""")))-1)"),"")</f>
        <v/>
      </c>
      <c r="AW24" s="65" t="e">
        <f t="shared" ca="1" si="2"/>
        <v>#VALUE!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ht="19" x14ac:dyDescent="0.25">
      <c r="A25" s="5"/>
      <c r="B25" s="5"/>
      <c r="C25" s="5"/>
      <c r="D25" s="5"/>
      <c r="E25" s="5"/>
      <c r="F25" s="5"/>
      <c r="G25" s="5"/>
      <c r="H25" s="6"/>
      <c r="I25" s="5"/>
      <c r="J25" s="83"/>
      <c r="K25" s="83"/>
      <c r="L25" s="83"/>
      <c r="M25" s="83"/>
      <c r="N25" s="83"/>
      <c r="O25" s="83"/>
      <c r="P25" s="83"/>
      <c r="Q25" s="84"/>
      <c r="R25" s="83"/>
      <c r="S25" s="83"/>
      <c r="T25" s="85"/>
      <c r="U25" s="6"/>
      <c r="V25" s="44">
        <v>43952</v>
      </c>
      <c r="W25" s="45">
        <v>121.87</v>
      </c>
      <c r="X25" s="46"/>
      <c r="Y25" s="61"/>
      <c r="Z25" s="5"/>
      <c r="AA25" s="5"/>
      <c r="AB25" s="5"/>
      <c r="AC25" s="5"/>
      <c r="AD25" s="5"/>
      <c r="AE25" s="5"/>
      <c r="AF25" s="5"/>
      <c r="AG25" s="5"/>
      <c r="AH25" s="6"/>
      <c r="AI25" s="44">
        <v>43952</v>
      </c>
      <c r="AJ25" s="53">
        <v>121.87</v>
      </c>
      <c r="AK25" s="54">
        <f t="shared" si="0"/>
        <v>-2.9388340235743882E-2</v>
      </c>
      <c r="AL25" s="55">
        <f t="shared" si="3"/>
        <v>33.905844265952076</v>
      </c>
      <c r="AM25" s="56">
        <v>25</v>
      </c>
      <c r="AN25" s="57">
        <f t="shared" si="1"/>
        <v>-8.9058442659520765</v>
      </c>
      <c r="AO25" s="76">
        <f t="shared" si="4"/>
        <v>-1.5801665547752208</v>
      </c>
      <c r="AP25" s="63" t="str">
        <f t="shared" si="5"/>
        <v/>
      </c>
      <c r="AQ25" s="63" t="str">
        <f t="shared" si="6"/>
        <v>Sell Stocks</v>
      </c>
      <c r="AR25" s="63" t="str">
        <f t="shared" si="7"/>
        <v/>
      </c>
      <c r="AS25" s="63" t="str">
        <f t="shared" si="8"/>
        <v/>
      </c>
      <c r="AT25" s="78" t="str">
        <f t="shared" si="9"/>
        <v/>
      </c>
      <c r="AU25" s="78" t="str">
        <f t="shared" si="10"/>
        <v/>
      </c>
      <c r="AV25" s="64" t="str">
        <f ca="1">IFERROR(__xludf.DUMMYFUNCTION("IF(TRIM(AU25)="""","""",AU25/INDEX(FILTER(AT$3:AT25,TRIM(AT$3:AT25)&lt;&gt;""""),ROWS(FILTER(AT$3:AT25,TRIM(AT$3:AT25)&lt;&gt;"""")))-1)"),"")</f>
        <v/>
      </c>
      <c r="AW25" s="65" t="e">
        <f t="shared" ca="1" si="2"/>
        <v>#VALUE!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ht="19" x14ac:dyDescent="0.25">
      <c r="A26" s="5"/>
      <c r="B26" s="5"/>
      <c r="C26" s="5"/>
      <c r="D26" s="5"/>
      <c r="E26" s="5"/>
      <c r="F26" s="5"/>
      <c r="G26" s="5"/>
      <c r="H26" s="6"/>
      <c r="I26" s="5"/>
      <c r="J26" s="83"/>
      <c r="K26" s="83"/>
      <c r="L26" s="83"/>
      <c r="M26" s="83"/>
      <c r="N26" s="83"/>
      <c r="O26" s="83"/>
      <c r="P26" s="83"/>
      <c r="Q26" s="84"/>
      <c r="R26" s="83"/>
      <c r="S26" s="83"/>
      <c r="T26" s="85"/>
      <c r="U26" s="6"/>
      <c r="V26" s="44">
        <v>43955</v>
      </c>
      <c r="W26" s="45">
        <v>121.68</v>
      </c>
      <c r="X26" s="46"/>
      <c r="Y26" s="61"/>
      <c r="Z26" s="5"/>
      <c r="AA26" s="5"/>
      <c r="AB26" s="5"/>
      <c r="AC26" s="5"/>
      <c r="AD26" s="5"/>
      <c r="AE26" s="5"/>
      <c r="AF26" s="5"/>
      <c r="AG26" s="5"/>
      <c r="AH26" s="6"/>
      <c r="AI26" s="44">
        <v>43955</v>
      </c>
      <c r="AJ26" s="53">
        <v>121.68</v>
      </c>
      <c r="AK26" s="54">
        <f t="shared" si="0"/>
        <v>-1.5590383195207558E-3</v>
      </c>
      <c r="AL26" s="55">
        <f t="shared" si="3"/>
        <v>31.853951129695645</v>
      </c>
      <c r="AM26" s="56">
        <v>25</v>
      </c>
      <c r="AN26" s="57">
        <f t="shared" si="1"/>
        <v>-6.8539511296956448</v>
      </c>
      <c r="AO26" s="76">
        <f t="shared" si="4"/>
        <v>-0.62717061496250037</v>
      </c>
      <c r="AP26" s="63" t="str">
        <f t="shared" si="5"/>
        <v/>
      </c>
      <c r="AQ26" s="63" t="str">
        <f t="shared" si="6"/>
        <v>Sell Stocks</v>
      </c>
      <c r="AR26" s="63" t="str">
        <f t="shared" si="7"/>
        <v/>
      </c>
      <c r="AS26" s="63" t="str">
        <f t="shared" si="8"/>
        <v/>
      </c>
      <c r="AT26" s="78" t="str">
        <f t="shared" si="9"/>
        <v/>
      </c>
      <c r="AU26" s="78" t="str">
        <f t="shared" si="10"/>
        <v/>
      </c>
      <c r="AV26" s="64" t="str">
        <f ca="1">IFERROR(__xludf.DUMMYFUNCTION("IF(TRIM(AU26)="""","""",AU26/INDEX(FILTER(AT$3:AT26,TRIM(AT$3:AT26)&lt;&gt;""""),ROWS(FILTER(AT$3:AT26,TRIM(AT$3:AT26)&lt;&gt;"""")))-1)"),"")</f>
        <v/>
      </c>
      <c r="AW26" s="65" t="e">
        <f t="shared" ca="1" si="2"/>
        <v>#VALUE!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ht="19" x14ac:dyDescent="0.25">
      <c r="A27" s="5"/>
      <c r="B27" s="5"/>
      <c r="C27" s="5"/>
      <c r="D27" s="5"/>
      <c r="E27" s="5"/>
      <c r="F27" s="5"/>
      <c r="G27" s="5"/>
      <c r="H27" s="6"/>
      <c r="I27" s="5"/>
      <c r="J27" s="83"/>
      <c r="K27" s="83"/>
      <c r="L27" s="83"/>
      <c r="M27" s="83"/>
      <c r="N27" s="83"/>
      <c r="O27" s="83"/>
      <c r="P27" s="83"/>
      <c r="Q27" s="84"/>
      <c r="R27" s="83"/>
      <c r="S27" s="83"/>
      <c r="T27" s="85"/>
      <c r="U27" s="6"/>
      <c r="V27" s="44">
        <v>43956</v>
      </c>
      <c r="W27" s="45">
        <v>122.58</v>
      </c>
      <c r="X27" s="46"/>
      <c r="Y27" s="61"/>
      <c r="Z27" s="5"/>
      <c r="AA27" s="5"/>
      <c r="AB27" s="5"/>
      <c r="AC27" s="5"/>
      <c r="AD27" s="5"/>
      <c r="AE27" s="5"/>
      <c r="AF27" s="5"/>
      <c r="AG27" s="5"/>
      <c r="AH27" s="6"/>
      <c r="AI27" s="44">
        <v>43956</v>
      </c>
      <c r="AJ27" s="53">
        <v>122.58</v>
      </c>
      <c r="AK27" s="54">
        <f t="shared" si="0"/>
        <v>7.3964497041418831E-3</v>
      </c>
      <c r="AL27" s="55">
        <f t="shared" si="3"/>
        <v>32.868809628490702</v>
      </c>
      <c r="AM27" s="56">
        <v>25</v>
      </c>
      <c r="AN27" s="57">
        <f t="shared" si="1"/>
        <v>-7.8688096284907019</v>
      </c>
      <c r="AO27" s="76">
        <f t="shared" si="4"/>
        <v>-4.0693099137659008</v>
      </c>
      <c r="AP27" s="63" t="str">
        <f t="shared" si="5"/>
        <v/>
      </c>
      <c r="AQ27" s="63" t="str">
        <f t="shared" si="6"/>
        <v>Sell Stocks</v>
      </c>
      <c r="AR27" s="63" t="str">
        <f t="shared" si="7"/>
        <v/>
      </c>
      <c r="AS27" s="63" t="str">
        <f t="shared" si="8"/>
        <v/>
      </c>
      <c r="AT27" s="78" t="str">
        <f t="shared" si="9"/>
        <v/>
      </c>
      <c r="AU27" s="78" t="str">
        <f t="shared" si="10"/>
        <v/>
      </c>
      <c r="AV27" s="64" t="str">
        <f ca="1">IFERROR(__xludf.DUMMYFUNCTION("IF(TRIM(AU27)="""","""",AU27/INDEX(FILTER(AT$3:AT27,TRIM(AT$3:AT27)&lt;&gt;""""),ROWS(FILTER(AT$3:AT27,TRIM(AT$3:AT27)&lt;&gt;"""")))-1)"),"")</f>
        <v/>
      </c>
      <c r="AW27" s="65" t="e">
        <f t="shared" ca="1" si="2"/>
        <v>#VALUE!</v>
      </c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ht="19" x14ac:dyDescent="0.25">
      <c r="A28" s="5"/>
      <c r="B28" s="5"/>
      <c r="C28" s="5"/>
      <c r="D28" s="5"/>
      <c r="E28" s="5"/>
      <c r="F28" s="5"/>
      <c r="G28" s="5"/>
      <c r="H28" s="6"/>
      <c r="I28" s="5"/>
      <c r="J28" s="83"/>
      <c r="K28" s="83"/>
      <c r="L28" s="83"/>
      <c r="M28" s="83"/>
      <c r="N28" s="83"/>
      <c r="O28" s="83"/>
      <c r="P28" s="83"/>
      <c r="Q28" s="84"/>
      <c r="R28" s="83"/>
      <c r="S28" s="83"/>
      <c r="T28" s="85"/>
      <c r="U28" s="6"/>
      <c r="V28" s="44">
        <v>43957</v>
      </c>
      <c r="W28" s="45">
        <v>123.17</v>
      </c>
      <c r="X28" s="46"/>
      <c r="Y28" s="61"/>
      <c r="Z28" s="5"/>
      <c r="AA28" s="5"/>
      <c r="AB28" s="5"/>
      <c r="AC28" s="5"/>
      <c r="AD28" s="5"/>
      <c r="AE28" s="5"/>
      <c r="AF28" s="5"/>
      <c r="AG28" s="5"/>
      <c r="AH28" s="6"/>
      <c r="AI28" s="44">
        <v>43957</v>
      </c>
      <c r="AJ28" s="53">
        <v>123.17</v>
      </c>
      <c r="AK28" s="54">
        <f t="shared" si="0"/>
        <v>4.8131832272801933E-3</v>
      </c>
      <c r="AL28" s="55">
        <f t="shared" si="3"/>
        <v>27.088152646548757</v>
      </c>
      <c r="AM28" s="56">
        <v>25</v>
      </c>
      <c r="AN28" s="57">
        <f t="shared" si="1"/>
        <v>-2.0881526465487568</v>
      </c>
      <c r="AO28" s="76">
        <f t="shared" si="4"/>
        <v>-6.4636749589729492</v>
      </c>
      <c r="AP28" s="63" t="str">
        <f t="shared" si="5"/>
        <v/>
      </c>
      <c r="AQ28" s="63" t="str">
        <f t="shared" si="6"/>
        <v>Sell Stocks</v>
      </c>
      <c r="AR28" s="63" t="str">
        <f t="shared" si="7"/>
        <v/>
      </c>
      <c r="AS28" s="63" t="str">
        <f t="shared" si="8"/>
        <v/>
      </c>
      <c r="AT28" s="78" t="str">
        <f t="shared" si="9"/>
        <v/>
      </c>
      <c r="AU28" s="78" t="str">
        <f t="shared" si="10"/>
        <v/>
      </c>
      <c r="AV28" s="64" t="str">
        <f ca="1">IFERROR(__xludf.DUMMYFUNCTION("IF(TRIM(AU28)="""","""",AU28/INDEX(FILTER(AT$3:AT28,TRIM(AT$3:AT28)&lt;&gt;""""),ROWS(FILTER(AT$3:AT28,TRIM(AT$3:AT28)&lt;&gt;"""")))-1)"),"")</f>
        <v/>
      </c>
      <c r="AW28" s="65" t="e">
        <f t="shared" ca="1" si="2"/>
        <v>#VALUE!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ht="19" x14ac:dyDescent="0.25">
      <c r="A29" s="5"/>
      <c r="B29" s="5"/>
      <c r="C29" s="5"/>
      <c r="D29" s="5"/>
      <c r="E29" s="5"/>
      <c r="F29" s="5"/>
      <c r="G29" s="5"/>
      <c r="H29" s="6"/>
      <c r="I29" s="5"/>
      <c r="J29" s="83"/>
      <c r="K29" s="83"/>
      <c r="L29" s="83"/>
      <c r="M29" s="83"/>
      <c r="N29" s="83"/>
      <c r="O29" s="83"/>
      <c r="P29" s="83"/>
      <c r="Q29" s="84"/>
      <c r="R29" s="83"/>
      <c r="S29" s="83"/>
      <c r="T29" s="85"/>
      <c r="U29" s="6"/>
      <c r="V29" s="44">
        <v>43958</v>
      </c>
      <c r="W29" s="45">
        <v>121.23</v>
      </c>
      <c r="X29" s="46"/>
      <c r="Y29" s="61"/>
      <c r="Z29" s="5"/>
      <c r="AA29" s="5"/>
      <c r="AB29" s="5"/>
      <c r="AC29" s="5"/>
      <c r="AD29" s="5"/>
      <c r="AE29" s="5"/>
      <c r="AF29" s="5"/>
      <c r="AG29" s="5"/>
      <c r="AH29" s="6"/>
      <c r="AI29" s="44">
        <v>43958</v>
      </c>
      <c r="AJ29" s="53">
        <v>121.23</v>
      </c>
      <c r="AK29" s="54">
        <f t="shared" si="0"/>
        <v>-1.5750588617358119E-2</v>
      </c>
      <c r="AL29" s="55">
        <f t="shared" si="3"/>
        <v>24.517910750463493</v>
      </c>
      <c r="AM29" s="56">
        <v>25</v>
      </c>
      <c r="AN29" s="57">
        <f t="shared" si="1"/>
        <v>0.48208924953650723</v>
      </c>
      <c r="AO29" s="76">
        <f t="shared" si="4"/>
        <v>-5.0469336842301349</v>
      </c>
      <c r="AP29" s="63" t="str">
        <f t="shared" si="5"/>
        <v/>
      </c>
      <c r="AQ29" s="63" t="str">
        <f t="shared" si="6"/>
        <v>Sell Stocks</v>
      </c>
      <c r="AR29" s="63" t="str">
        <f t="shared" si="7"/>
        <v/>
      </c>
      <c r="AS29" s="63" t="str">
        <f t="shared" si="8"/>
        <v/>
      </c>
      <c r="AT29" s="78" t="str">
        <f t="shared" si="9"/>
        <v/>
      </c>
      <c r="AU29" s="78" t="str">
        <f t="shared" si="10"/>
        <v/>
      </c>
      <c r="AV29" s="64" t="str">
        <f ca="1">IFERROR(__xludf.DUMMYFUNCTION("IF(TRIM(AU29)="""","""",AU29/INDEX(FILTER(AT$3:AT29,TRIM(AT$3:AT29)&lt;&gt;""""),ROWS(FILTER(AT$3:AT29,TRIM(AT$3:AT29)&lt;&gt;"""")))-1)"),"")</f>
        <v/>
      </c>
      <c r="AW29" s="65" t="e">
        <f t="shared" ca="1" si="2"/>
        <v>#VALUE!</v>
      </c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ht="19" x14ac:dyDescent="0.25">
      <c r="A30" s="5"/>
      <c r="B30" s="5"/>
      <c r="C30" s="5"/>
      <c r="D30" s="5"/>
      <c r="E30" s="5"/>
      <c r="F30" s="5"/>
      <c r="G30" s="5"/>
      <c r="H30" s="6"/>
      <c r="I30" s="5"/>
      <c r="J30" s="83"/>
      <c r="K30" s="83"/>
      <c r="L30" s="83"/>
      <c r="M30" s="83"/>
      <c r="N30" s="83"/>
      <c r="O30" s="83"/>
      <c r="P30" s="83"/>
      <c r="Q30" s="84"/>
      <c r="R30" s="83"/>
      <c r="S30" s="83"/>
      <c r="T30" s="85"/>
      <c r="U30" s="6"/>
      <c r="V30" s="44">
        <v>43959</v>
      </c>
      <c r="W30" s="45">
        <v>122.99</v>
      </c>
      <c r="X30" s="46"/>
      <c r="Y30" s="61"/>
      <c r="Z30" s="5"/>
      <c r="AA30" s="5"/>
      <c r="AB30" s="5"/>
      <c r="AC30" s="5"/>
      <c r="AD30" s="5"/>
      <c r="AE30" s="5"/>
      <c r="AF30" s="5"/>
      <c r="AG30" s="5"/>
      <c r="AH30" s="6"/>
      <c r="AI30" s="44">
        <v>43959</v>
      </c>
      <c r="AJ30" s="53">
        <v>122.99</v>
      </c>
      <c r="AK30" s="54">
        <f t="shared" si="0"/>
        <v>1.4517858615854085E-2</v>
      </c>
      <c r="AL30" s="55">
        <f t="shared" si="3"/>
        <v>18.124330089769543</v>
      </c>
      <c r="AM30" s="56">
        <v>25</v>
      </c>
      <c r="AN30" s="57">
        <f t="shared" si="1"/>
        <v>6.8756699102304566</v>
      </c>
      <c r="AO30" s="76">
        <f t="shared" si="4"/>
        <v>-1.8906308489936279</v>
      </c>
      <c r="AP30" s="63" t="str">
        <f t="shared" si="5"/>
        <v/>
      </c>
      <c r="AQ30" s="63" t="str">
        <f t="shared" si="6"/>
        <v>Sell Stocks</v>
      </c>
      <c r="AR30" s="63" t="str">
        <f t="shared" si="7"/>
        <v/>
      </c>
      <c r="AS30" s="63" t="str">
        <f t="shared" si="8"/>
        <v/>
      </c>
      <c r="AT30" s="78" t="str">
        <f t="shared" si="9"/>
        <v/>
      </c>
      <c r="AU30" s="78" t="str">
        <f t="shared" si="10"/>
        <v/>
      </c>
      <c r="AV30" s="64" t="str">
        <f ca="1">IFERROR(__xludf.DUMMYFUNCTION("IF(TRIM(AU30)="""","""",AU30/INDEX(FILTER(AT$3:AT30,TRIM(AT$3:AT30)&lt;&gt;""""),ROWS(FILTER(AT$3:AT30,TRIM(AT$3:AT30)&lt;&gt;"""")))-1)"),"")</f>
        <v/>
      </c>
      <c r="AW30" s="65" t="e">
        <f t="shared" ca="1" si="2"/>
        <v>#VALUE!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ht="19" x14ac:dyDescent="0.25">
      <c r="A31" s="5"/>
      <c r="B31" s="5"/>
      <c r="C31" s="5"/>
      <c r="D31" s="5"/>
      <c r="E31" s="5"/>
      <c r="F31" s="5"/>
      <c r="G31" s="5"/>
      <c r="H31" s="6"/>
      <c r="I31" s="5"/>
      <c r="J31" s="83"/>
      <c r="K31" s="83"/>
      <c r="L31" s="83"/>
      <c r="M31" s="83"/>
      <c r="N31" s="83"/>
      <c r="O31" s="83"/>
      <c r="P31" s="83"/>
      <c r="Q31" s="84"/>
      <c r="R31" s="83"/>
      <c r="S31" s="83"/>
      <c r="T31" s="85"/>
      <c r="U31" s="6"/>
      <c r="V31" s="44">
        <v>43962</v>
      </c>
      <c r="W31" s="45">
        <v>117.09</v>
      </c>
      <c r="X31" s="46"/>
      <c r="Y31" s="61"/>
      <c r="Z31" s="5"/>
      <c r="AA31" s="5"/>
      <c r="AB31" s="5"/>
      <c r="AC31" s="5"/>
      <c r="AD31" s="5"/>
      <c r="AE31" s="5"/>
      <c r="AF31" s="5"/>
      <c r="AG31" s="5"/>
      <c r="AH31" s="6"/>
      <c r="AI31" s="44">
        <v>43962</v>
      </c>
      <c r="AJ31" s="53">
        <v>117.09</v>
      </c>
      <c r="AK31" s="54">
        <f t="shared" si="0"/>
        <v>-4.7971379786974522E-2</v>
      </c>
      <c r="AL31" s="55">
        <f t="shared" si="3"/>
        <v>40.19306955560323</v>
      </c>
      <c r="AM31" s="56">
        <v>25</v>
      </c>
      <c r="AN31" s="57">
        <f t="shared" si="1"/>
        <v>-15.19306955560323</v>
      </c>
      <c r="AO31" s="76">
        <f t="shared" si="4"/>
        <v>-3.5584545341751452</v>
      </c>
      <c r="AP31" s="63" t="str">
        <f t="shared" si="5"/>
        <v/>
      </c>
      <c r="AQ31" s="63" t="str">
        <f t="shared" si="6"/>
        <v>Sell Stocks</v>
      </c>
      <c r="AR31" s="63" t="str">
        <f t="shared" si="7"/>
        <v/>
      </c>
      <c r="AS31" s="63" t="str">
        <f t="shared" si="8"/>
        <v/>
      </c>
      <c r="AT31" s="78" t="str">
        <f t="shared" si="9"/>
        <v/>
      </c>
      <c r="AU31" s="78" t="str">
        <f t="shared" si="10"/>
        <v/>
      </c>
      <c r="AV31" s="64" t="str">
        <f ca="1">IFERROR(__xludf.DUMMYFUNCTION("IF(TRIM(AU31)="""","""",AU31/INDEX(FILTER(AT$3:AT31,TRIM(AT$3:AT31)&lt;&gt;""""),ROWS(FILTER(AT$3:AT31,TRIM(AT$3:AT31)&lt;&gt;"""")))-1)"),"")</f>
        <v/>
      </c>
      <c r="AW31" s="65" t="e">
        <f t="shared" ca="1" si="2"/>
        <v>#VALUE!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ht="19" x14ac:dyDescent="0.25">
      <c r="A32" s="5"/>
      <c r="B32" s="5"/>
      <c r="C32" s="5"/>
      <c r="D32" s="5"/>
      <c r="E32" s="5"/>
      <c r="F32" s="5"/>
      <c r="G32" s="5"/>
      <c r="H32" s="6"/>
      <c r="I32" s="5"/>
      <c r="J32" s="83"/>
      <c r="K32" s="83"/>
      <c r="L32" s="83"/>
      <c r="M32" s="83"/>
      <c r="N32" s="83"/>
      <c r="O32" s="83"/>
      <c r="P32" s="83"/>
      <c r="Q32" s="84"/>
      <c r="R32" s="83"/>
      <c r="S32" s="83"/>
      <c r="T32" s="85"/>
      <c r="U32" s="6"/>
      <c r="V32" s="44">
        <v>43963</v>
      </c>
      <c r="W32" s="45">
        <v>114.87</v>
      </c>
      <c r="X32" s="46"/>
      <c r="Y32" s="61"/>
      <c r="Z32" s="5"/>
      <c r="AA32" s="5"/>
      <c r="AB32" s="5"/>
      <c r="AC32" s="5"/>
      <c r="AD32" s="5"/>
      <c r="AE32" s="5"/>
      <c r="AF32" s="5"/>
      <c r="AG32" s="5"/>
      <c r="AH32" s="6"/>
      <c r="AI32" s="44">
        <v>43963</v>
      </c>
      <c r="AJ32" s="53">
        <v>114.87</v>
      </c>
      <c r="AK32" s="54">
        <f t="shared" si="0"/>
        <v>-1.8959774532410933E-2</v>
      </c>
      <c r="AL32" s="55">
        <f t="shared" si="3"/>
        <v>38.395969002215068</v>
      </c>
      <c r="AM32" s="56">
        <v>25</v>
      </c>
      <c r="AN32" s="57">
        <f t="shared" si="1"/>
        <v>-13.395969002215068</v>
      </c>
      <c r="AO32" s="76">
        <f t="shared" si="4"/>
        <v>-4.6638864089200185</v>
      </c>
      <c r="AP32" s="63" t="str">
        <f t="shared" si="5"/>
        <v/>
      </c>
      <c r="AQ32" s="63" t="str">
        <f t="shared" si="6"/>
        <v>Sell Stocks</v>
      </c>
      <c r="AR32" s="63" t="str">
        <f t="shared" si="7"/>
        <v/>
      </c>
      <c r="AS32" s="63" t="str">
        <f t="shared" si="8"/>
        <v/>
      </c>
      <c r="AT32" s="78" t="str">
        <f t="shared" si="9"/>
        <v/>
      </c>
      <c r="AU32" s="78" t="str">
        <f t="shared" si="10"/>
        <v/>
      </c>
      <c r="AV32" s="64" t="str">
        <f ca="1">IFERROR(__xludf.DUMMYFUNCTION("IF(TRIM(AU32)="""","""",AU32/INDEX(FILTER(AT$3:AT32,TRIM(AT$3:AT32)&lt;&gt;""""),ROWS(FILTER(AT$3:AT32,TRIM(AT$3:AT32)&lt;&gt;"""")))-1)"),"")</f>
        <v/>
      </c>
      <c r="AW32" s="65" t="e">
        <f t="shared" ca="1" si="2"/>
        <v>#VALUE!</v>
      </c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ht="19" x14ac:dyDescent="0.25">
      <c r="A33" s="5"/>
      <c r="B33" s="5"/>
      <c r="C33" s="5"/>
      <c r="D33" s="5"/>
      <c r="E33" s="5"/>
      <c r="F33" s="5"/>
      <c r="G33" s="5"/>
      <c r="H33" s="6"/>
      <c r="I33" s="5"/>
      <c r="J33" s="83"/>
      <c r="K33" s="83"/>
      <c r="L33" s="83"/>
      <c r="M33" s="83"/>
      <c r="N33" s="83"/>
      <c r="O33" s="83"/>
      <c r="P33" s="83"/>
      <c r="Q33" s="84"/>
      <c r="R33" s="83"/>
      <c r="S33" s="83"/>
      <c r="T33" s="85"/>
      <c r="U33" s="6"/>
      <c r="V33" s="44">
        <v>43964</v>
      </c>
      <c r="W33" s="45">
        <v>110.54</v>
      </c>
      <c r="X33" s="46"/>
      <c r="Y33" s="61"/>
      <c r="Z33" s="5"/>
      <c r="AA33" s="5"/>
      <c r="AB33" s="5"/>
      <c r="AC33" s="5"/>
      <c r="AD33" s="5"/>
      <c r="AE33" s="5"/>
      <c r="AF33" s="5"/>
      <c r="AG33" s="5"/>
      <c r="AH33" s="6"/>
      <c r="AI33" s="44">
        <v>43964</v>
      </c>
      <c r="AJ33" s="53">
        <v>110.54</v>
      </c>
      <c r="AK33" s="54">
        <f t="shared" si="0"/>
        <v>-3.7694785409593479E-2</v>
      </c>
      <c r="AL33" s="55">
        <f t="shared" si="3"/>
        <v>38.059615506340641</v>
      </c>
      <c r="AM33" s="56">
        <v>25</v>
      </c>
      <c r="AN33" s="57">
        <f t="shared" si="1"/>
        <v>-13.059615506340641</v>
      </c>
      <c r="AO33" s="76">
        <f t="shared" si="4"/>
        <v>-6.8581789808783951</v>
      </c>
      <c r="AP33" s="63" t="str">
        <f t="shared" si="5"/>
        <v/>
      </c>
      <c r="AQ33" s="63" t="str">
        <f t="shared" si="6"/>
        <v>Sell Stocks</v>
      </c>
      <c r="AR33" s="63" t="str">
        <f t="shared" si="7"/>
        <v/>
      </c>
      <c r="AS33" s="63" t="str">
        <f t="shared" si="8"/>
        <v/>
      </c>
      <c r="AT33" s="78" t="str">
        <f t="shared" si="9"/>
        <v/>
      </c>
      <c r="AU33" s="78" t="str">
        <f t="shared" si="10"/>
        <v/>
      </c>
      <c r="AV33" s="64" t="str">
        <f ca="1">IFERROR(__xludf.DUMMYFUNCTION("IF(TRIM(AU33)="""","""",AU33/INDEX(FILTER(AT$3:AT33,TRIM(AT$3:AT33)&lt;&gt;""""),ROWS(FILTER(AT$3:AT33,TRIM(AT$3:AT33)&lt;&gt;"""")))-1)"),"")</f>
        <v/>
      </c>
      <c r="AW33" s="65" t="e">
        <f t="shared" ca="1" si="2"/>
        <v>#VALUE!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ht="19" x14ac:dyDescent="0.25">
      <c r="A34" s="5"/>
      <c r="B34" s="5"/>
      <c r="C34" s="5"/>
      <c r="D34" s="5"/>
      <c r="E34" s="5"/>
      <c r="F34" s="5"/>
      <c r="G34" s="5"/>
      <c r="H34" s="6"/>
      <c r="I34" s="5"/>
      <c r="J34" s="83"/>
      <c r="K34" s="83"/>
      <c r="L34" s="83"/>
      <c r="M34" s="83"/>
      <c r="N34" s="83"/>
      <c r="O34" s="83"/>
      <c r="P34" s="83"/>
      <c r="Q34" s="84"/>
      <c r="R34" s="83"/>
      <c r="S34" s="83"/>
      <c r="T34" s="85"/>
      <c r="U34" s="6"/>
      <c r="V34" s="44">
        <v>43965</v>
      </c>
      <c r="W34" s="45">
        <v>111.71</v>
      </c>
      <c r="X34" s="46"/>
      <c r="Y34" s="61"/>
      <c r="Z34" s="5"/>
      <c r="AA34" s="5"/>
      <c r="AB34" s="5"/>
      <c r="AC34" s="5"/>
      <c r="AD34" s="5"/>
      <c r="AE34" s="5"/>
      <c r="AF34" s="5"/>
      <c r="AG34" s="5"/>
      <c r="AH34" s="6"/>
      <c r="AI34" s="44">
        <v>43965</v>
      </c>
      <c r="AJ34" s="53">
        <v>111.71</v>
      </c>
      <c r="AK34" s="54">
        <f t="shared" si="0"/>
        <v>1.0584403835715461E-2</v>
      </c>
      <c r="AL34" s="55">
        <f t="shared" si="3"/>
        <v>44.474254444730072</v>
      </c>
      <c r="AM34" s="56">
        <v>25</v>
      </c>
      <c r="AN34" s="57">
        <f t="shared" si="1"/>
        <v>-19.474254444730072</v>
      </c>
      <c r="AO34" s="76">
        <f t="shared" si="4"/>
        <v>-10.84944771973171</v>
      </c>
      <c r="AP34" s="63" t="str">
        <f t="shared" si="5"/>
        <v/>
      </c>
      <c r="AQ34" s="63" t="str">
        <f t="shared" si="6"/>
        <v>Sell Stocks</v>
      </c>
      <c r="AR34" s="63" t="str">
        <f t="shared" si="7"/>
        <v/>
      </c>
      <c r="AS34" s="63" t="str">
        <f t="shared" si="8"/>
        <v/>
      </c>
      <c r="AT34" s="78" t="str">
        <f t="shared" si="9"/>
        <v/>
      </c>
      <c r="AU34" s="78" t="str">
        <f t="shared" si="10"/>
        <v/>
      </c>
      <c r="AV34" s="64" t="str">
        <f ca="1">IFERROR(__xludf.DUMMYFUNCTION("IF(TRIM(AU34)="""","""",AU34/INDEX(FILTER(AT$3:AT34,TRIM(AT$3:AT34)&lt;&gt;""""),ROWS(FILTER(AT$3:AT34,TRIM(AT$3:AT34)&lt;&gt;"""")))-1)"),"")</f>
        <v/>
      </c>
      <c r="AW34" s="65" t="e">
        <f t="shared" ca="1" si="2"/>
        <v>#VALUE!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ht="19" x14ac:dyDescent="0.25">
      <c r="A35" s="5"/>
      <c r="B35" s="5"/>
      <c r="C35" s="5"/>
      <c r="D35" s="5"/>
      <c r="E35" s="5"/>
      <c r="F35" s="5"/>
      <c r="G35" s="5"/>
      <c r="H35" s="6"/>
      <c r="I35" s="5"/>
      <c r="J35" s="83"/>
      <c r="K35" s="83"/>
      <c r="L35" s="83"/>
      <c r="M35" s="83"/>
      <c r="N35" s="83"/>
      <c r="O35" s="83"/>
      <c r="P35" s="83"/>
      <c r="Q35" s="84"/>
      <c r="R35" s="83"/>
      <c r="S35" s="83"/>
      <c r="T35" s="85"/>
      <c r="U35" s="6"/>
      <c r="V35" s="44">
        <v>43966</v>
      </c>
      <c r="W35" s="45">
        <v>111.74</v>
      </c>
      <c r="X35" s="46"/>
      <c r="Y35" s="61"/>
      <c r="Z35" s="5"/>
      <c r="AA35" s="5"/>
      <c r="AB35" s="5"/>
      <c r="AC35" s="5"/>
      <c r="AD35" s="5"/>
      <c r="AE35" s="5"/>
      <c r="AF35" s="5"/>
      <c r="AG35" s="5"/>
      <c r="AH35" s="6"/>
      <c r="AI35" s="44">
        <v>43966</v>
      </c>
      <c r="AJ35" s="53">
        <v>111.74</v>
      </c>
      <c r="AK35" s="54">
        <f t="shared" si="0"/>
        <v>2.6855250201407443E-4</v>
      </c>
      <c r="AL35" s="55">
        <f t="shared" si="3"/>
        <v>39.167355839972259</v>
      </c>
      <c r="AM35" s="56">
        <v>25</v>
      </c>
      <c r="AN35" s="57">
        <f t="shared" si="1"/>
        <v>-14.167355839972259</v>
      </c>
      <c r="AO35" s="76">
        <f t="shared" si="4"/>
        <v>-15.058052869772254</v>
      </c>
      <c r="AP35" s="63" t="str">
        <f t="shared" si="5"/>
        <v/>
      </c>
      <c r="AQ35" s="63" t="str">
        <f t="shared" si="6"/>
        <v>Sell Stocks</v>
      </c>
      <c r="AR35" s="63" t="str">
        <f t="shared" si="7"/>
        <v/>
      </c>
      <c r="AS35" s="63" t="str">
        <f t="shared" si="8"/>
        <v/>
      </c>
      <c r="AT35" s="78" t="str">
        <f t="shared" si="9"/>
        <v/>
      </c>
      <c r="AU35" s="78" t="str">
        <f t="shared" si="10"/>
        <v/>
      </c>
      <c r="AV35" s="64" t="str">
        <f ca="1">IFERROR(__xludf.DUMMYFUNCTION("IF(TRIM(AU35)="""","""",AU35/INDEX(FILTER(AT$3:AT35,TRIM(AT$3:AT35)&lt;&gt;""""),ROWS(FILTER(AT$3:AT35,TRIM(AT$3:AT35)&lt;&gt;"""")))-1)"),"")</f>
        <v/>
      </c>
      <c r="AW35" s="65" t="e">
        <f t="shared" ca="1" si="2"/>
        <v>#VALUE!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ht="19" x14ac:dyDescent="0.25">
      <c r="A36" s="5"/>
      <c r="B36" s="5"/>
      <c r="C36" s="5"/>
      <c r="D36" s="5"/>
      <c r="E36" s="5"/>
      <c r="F36" s="5"/>
      <c r="G36" s="5"/>
      <c r="H36" s="6"/>
      <c r="I36" s="5"/>
      <c r="J36" s="83"/>
      <c r="K36" s="83"/>
      <c r="L36" s="83"/>
      <c r="M36" s="83"/>
      <c r="N36" s="83"/>
      <c r="O36" s="83"/>
      <c r="P36" s="83"/>
      <c r="Q36" s="84"/>
      <c r="R36" s="83"/>
      <c r="S36" s="83"/>
      <c r="T36" s="85"/>
      <c r="U36" s="6"/>
      <c r="V36" s="44">
        <v>43969</v>
      </c>
      <c r="W36" s="45">
        <v>116.11</v>
      </c>
      <c r="X36" s="46"/>
      <c r="Y36" s="61"/>
      <c r="Z36" s="5"/>
      <c r="AA36" s="5"/>
      <c r="AB36" s="5"/>
      <c r="AC36" s="5"/>
      <c r="AD36" s="5"/>
      <c r="AE36" s="5"/>
      <c r="AF36" s="5"/>
      <c r="AG36" s="5"/>
      <c r="AH36" s="6"/>
      <c r="AI36" s="44">
        <v>43969</v>
      </c>
      <c r="AJ36" s="53">
        <v>116.11</v>
      </c>
      <c r="AK36" s="54">
        <f t="shared" si="0"/>
        <v>3.9108645068909986E-2</v>
      </c>
      <c r="AL36" s="55">
        <f t="shared" si="3"/>
        <v>46.370131763046238</v>
      </c>
      <c r="AM36" s="56">
        <v>25</v>
      </c>
      <c r="AN36" s="57">
        <f t="shared" si="1"/>
        <v>-21.370131763046238</v>
      </c>
      <c r="AO36" s="76">
        <f t="shared" si="4"/>
        <v>-16.293465311260853</v>
      </c>
      <c r="AP36" s="63" t="str">
        <f t="shared" si="5"/>
        <v/>
      </c>
      <c r="AQ36" s="63" t="str">
        <f t="shared" si="6"/>
        <v>Sell Stocks</v>
      </c>
      <c r="AR36" s="63" t="str">
        <f t="shared" si="7"/>
        <v/>
      </c>
      <c r="AS36" s="63" t="str">
        <f t="shared" si="8"/>
        <v/>
      </c>
      <c r="AT36" s="78" t="str">
        <f t="shared" si="9"/>
        <v/>
      </c>
      <c r="AU36" s="78" t="str">
        <f t="shared" si="10"/>
        <v/>
      </c>
      <c r="AV36" s="64" t="str">
        <f ca="1">IFERROR(__xludf.DUMMYFUNCTION("IF(TRIM(AU36)="""","""",AU36/INDEX(FILTER(AT$3:AT36,TRIM(AT$3:AT36)&lt;&gt;""""),ROWS(FILTER(AT$3:AT36,TRIM(AT$3:AT36)&lt;&gt;"""")))-1)"),"")</f>
        <v/>
      </c>
      <c r="AW36" s="65" t="e">
        <f t="shared" ca="1" si="2"/>
        <v>#VALUE!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ht="19" x14ac:dyDescent="0.25">
      <c r="A37" s="5"/>
      <c r="B37" s="5"/>
      <c r="C37" s="5"/>
      <c r="D37" s="5"/>
      <c r="E37" s="5"/>
      <c r="F37" s="5"/>
      <c r="G37" s="5"/>
      <c r="H37" s="6"/>
      <c r="I37" s="5"/>
      <c r="J37" s="83"/>
      <c r="K37" s="83"/>
      <c r="L37" s="83"/>
      <c r="M37" s="83"/>
      <c r="N37" s="83"/>
      <c r="O37" s="83"/>
      <c r="P37" s="83"/>
      <c r="Q37" s="84"/>
      <c r="R37" s="83"/>
      <c r="S37" s="83"/>
      <c r="T37" s="85"/>
      <c r="U37" s="6"/>
      <c r="V37" s="44">
        <v>43970</v>
      </c>
      <c r="W37" s="45">
        <v>114.9</v>
      </c>
      <c r="X37" s="46"/>
      <c r="Y37" s="61"/>
      <c r="Z37" s="5"/>
      <c r="AA37" s="5"/>
      <c r="AB37" s="5"/>
      <c r="AC37" s="5"/>
      <c r="AD37" s="5"/>
      <c r="AE37" s="5"/>
      <c r="AF37" s="5"/>
      <c r="AG37" s="5"/>
      <c r="AH37" s="6"/>
      <c r="AI37" s="44">
        <v>43970</v>
      </c>
      <c r="AJ37" s="53">
        <v>114.9</v>
      </c>
      <c r="AK37" s="54">
        <f t="shared" si="0"/>
        <v>-1.0421152355524876E-2</v>
      </c>
      <c r="AL37" s="55">
        <f t="shared" si="3"/>
        <v>44.691771077492518</v>
      </c>
      <c r="AM37" s="56">
        <v>25</v>
      </c>
      <c r="AN37" s="57">
        <f t="shared" si="1"/>
        <v>-19.691771077492518</v>
      </c>
      <c r="AO37" s="76">
        <f t="shared" si="4"/>
        <v>-17.552625726316347</v>
      </c>
      <c r="AP37" s="63" t="str">
        <f t="shared" si="5"/>
        <v/>
      </c>
      <c r="AQ37" s="63" t="str">
        <f t="shared" si="6"/>
        <v>Sell Stocks</v>
      </c>
      <c r="AR37" s="63" t="str">
        <f t="shared" si="7"/>
        <v/>
      </c>
      <c r="AS37" s="63" t="str">
        <f t="shared" si="8"/>
        <v/>
      </c>
      <c r="AT37" s="78" t="str">
        <f t="shared" si="9"/>
        <v/>
      </c>
      <c r="AU37" s="78" t="str">
        <f t="shared" si="10"/>
        <v/>
      </c>
      <c r="AV37" s="64" t="str">
        <f ca="1">IFERROR(__xludf.DUMMYFUNCTION("IF(TRIM(AU37)="""","""",AU37/INDEX(FILTER(AT$3:AT37,TRIM(AT$3:AT37)&lt;&gt;""""),ROWS(FILTER(AT$3:AT37,TRIM(AT$3:AT37)&lt;&gt;"""")))-1)"),"")</f>
        <v/>
      </c>
      <c r="AW37" s="65" t="e">
        <f t="shared" ca="1" si="2"/>
        <v>#VALUE!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ht="19" x14ac:dyDescent="0.25">
      <c r="A38" s="5"/>
      <c r="B38" s="5"/>
      <c r="C38" s="5"/>
      <c r="D38" s="5"/>
      <c r="E38" s="5"/>
      <c r="F38" s="5"/>
      <c r="G38" s="5"/>
      <c r="H38" s="6"/>
      <c r="I38" s="5"/>
      <c r="J38" s="83"/>
      <c r="K38" s="83"/>
      <c r="L38" s="83"/>
      <c r="M38" s="83"/>
      <c r="N38" s="83"/>
      <c r="O38" s="83"/>
      <c r="P38" s="83"/>
      <c r="Q38" s="84"/>
      <c r="R38" s="83"/>
      <c r="S38" s="83"/>
      <c r="T38" s="85"/>
      <c r="U38" s="6"/>
      <c r="V38" s="44">
        <v>43971</v>
      </c>
      <c r="W38" s="45">
        <v>115.94</v>
      </c>
      <c r="X38" s="46"/>
      <c r="Y38" s="61"/>
      <c r="Z38" s="5"/>
      <c r="AA38" s="5"/>
      <c r="AB38" s="5"/>
      <c r="AC38" s="5"/>
      <c r="AD38" s="5"/>
      <c r="AE38" s="5"/>
      <c r="AF38" s="5"/>
      <c r="AG38" s="5"/>
      <c r="AH38" s="6"/>
      <c r="AI38" s="44">
        <v>43971</v>
      </c>
      <c r="AJ38" s="53">
        <v>115.94</v>
      </c>
      <c r="AK38" s="54">
        <f t="shared" si="0"/>
        <v>9.051348999129516E-3</v>
      </c>
      <c r="AL38" s="55">
        <f t="shared" si="3"/>
        <v>29.269882906681822</v>
      </c>
      <c r="AM38" s="56">
        <v>25</v>
      </c>
      <c r="AN38" s="57">
        <f t="shared" si="1"/>
        <v>-4.269882906681822</v>
      </c>
      <c r="AO38" s="76">
        <f t="shared" si="4"/>
        <v>-15.794679206384581</v>
      </c>
      <c r="AP38" s="63" t="str">
        <f t="shared" si="5"/>
        <v/>
      </c>
      <c r="AQ38" s="63" t="str">
        <f t="shared" si="6"/>
        <v>Sell Stocks</v>
      </c>
      <c r="AR38" s="63" t="str">
        <f t="shared" si="7"/>
        <v/>
      </c>
      <c r="AS38" s="63" t="str">
        <f t="shared" si="8"/>
        <v/>
      </c>
      <c r="AT38" s="78" t="str">
        <f t="shared" si="9"/>
        <v/>
      </c>
      <c r="AU38" s="78" t="str">
        <f t="shared" si="10"/>
        <v/>
      </c>
      <c r="AV38" s="64" t="str">
        <f ca="1">IFERROR(__xludf.DUMMYFUNCTION("IF(TRIM(AU38)="""","""",AU38/INDEX(FILTER(AT$3:AT38,TRIM(AT$3:AT38)&lt;&gt;""""),ROWS(FILTER(AT$3:AT38,TRIM(AT$3:AT38)&lt;&gt;"""")))-1)"),"")</f>
        <v/>
      </c>
      <c r="AW38" s="65" t="e">
        <f t="shared" ca="1" si="2"/>
        <v>#VALUE!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ht="19" x14ac:dyDescent="0.25">
      <c r="A39" s="5"/>
      <c r="B39" s="5"/>
      <c r="C39" s="5"/>
      <c r="D39" s="5"/>
      <c r="E39" s="5"/>
      <c r="F39" s="5"/>
      <c r="G39" s="5"/>
      <c r="H39" s="6"/>
      <c r="I39" s="5"/>
      <c r="J39" s="83"/>
      <c r="K39" s="83"/>
      <c r="L39" s="83"/>
      <c r="M39" s="83"/>
      <c r="N39" s="83"/>
      <c r="O39" s="83"/>
      <c r="P39" s="83"/>
      <c r="Q39" s="84"/>
      <c r="R39" s="83"/>
      <c r="S39" s="83"/>
      <c r="T39" s="85"/>
      <c r="U39" s="6"/>
      <c r="V39" s="44">
        <v>43972</v>
      </c>
      <c r="W39" s="45">
        <v>113.78</v>
      </c>
      <c r="X39" s="46"/>
      <c r="Y39" s="61"/>
      <c r="Z39" s="5"/>
      <c r="AA39" s="5"/>
      <c r="AB39" s="5"/>
      <c r="AC39" s="5"/>
      <c r="AD39" s="5"/>
      <c r="AE39" s="5"/>
      <c r="AF39" s="5"/>
      <c r="AG39" s="5"/>
      <c r="AH39" s="6"/>
      <c r="AI39" s="44">
        <v>43972</v>
      </c>
      <c r="AJ39" s="53">
        <v>113.78</v>
      </c>
      <c r="AK39" s="54">
        <f t="shared" si="0"/>
        <v>-1.8630326030705469E-2</v>
      </c>
      <c r="AL39" s="55">
        <f t="shared" si="3"/>
        <v>35.426130117568981</v>
      </c>
      <c r="AM39" s="56">
        <v>25</v>
      </c>
      <c r="AN39" s="57">
        <f t="shared" si="1"/>
        <v>-10.426130117568981</v>
      </c>
      <c r="AO39" s="76">
        <f t="shared" si="4"/>
        <v>-13.985054340952365</v>
      </c>
      <c r="AP39" s="63" t="str">
        <f t="shared" si="5"/>
        <v/>
      </c>
      <c r="AQ39" s="63" t="str">
        <f t="shared" si="6"/>
        <v>Sell Stocks</v>
      </c>
      <c r="AR39" s="63" t="str">
        <f t="shared" si="7"/>
        <v/>
      </c>
      <c r="AS39" s="63" t="str">
        <f t="shared" si="8"/>
        <v/>
      </c>
      <c r="AT39" s="78" t="str">
        <f t="shared" si="9"/>
        <v/>
      </c>
      <c r="AU39" s="78" t="str">
        <f t="shared" si="10"/>
        <v/>
      </c>
      <c r="AV39" s="64" t="str">
        <f ca="1">IFERROR(__xludf.DUMMYFUNCTION("IF(TRIM(AU39)="""","""",AU39/INDEX(FILTER(AT$3:AT39,TRIM(AT$3:AT39)&lt;&gt;""""),ROWS(FILTER(AT$3:AT39,TRIM(AT$3:AT39)&lt;&gt;"""")))-1)"),"")</f>
        <v/>
      </c>
      <c r="AW39" s="65" t="e">
        <f t="shared" ca="1" si="2"/>
        <v>#VALUE!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ht="19" x14ac:dyDescent="0.25">
      <c r="A40" s="5"/>
      <c r="B40" s="5"/>
      <c r="C40" s="5"/>
      <c r="D40" s="5"/>
      <c r="E40" s="5"/>
      <c r="F40" s="5"/>
      <c r="G40" s="5"/>
      <c r="H40" s="6"/>
      <c r="I40" s="5"/>
      <c r="J40" s="83"/>
      <c r="K40" s="83"/>
      <c r="L40" s="83"/>
      <c r="M40" s="83"/>
      <c r="N40" s="83"/>
      <c r="O40" s="83"/>
      <c r="P40" s="83"/>
      <c r="Q40" s="84"/>
      <c r="R40" s="83"/>
      <c r="S40" s="83"/>
      <c r="T40" s="85"/>
      <c r="U40" s="6"/>
      <c r="V40" s="44">
        <v>43973</v>
      </c>
      <c r="W40" s="45">
        <v>113.08</v>
      </c>
      <c r="X40" s="46"/>
      <c r="Y40" s="61"/>
      <c r="Z40" s="5"/>
      <c r="AA40" s="5"/>
      <c r="AB40" s="5"/>
      <c r="AC40" s="5"/>
      <c r="AD40" s="5"/>
      <c r="AE40" s="5"/>
      <c r="AF40" s="5"/>
      <c r="AG40" s="5"/>
      <c r="AH40" s="6"/>
      <c r="AI40" s="44">
        <v>43973</v>
      </c>
      <c r="AJ40" s="53">
        <v>113.08</v>
      </c>
      <c r="AK40" s="54">
        <f t="shared" si="0"/>
        <v>-6.1522235893830546E-3</v>
      </c>
      <c r="AL40" s="55">
        <f t="shared" si="3"/>
        <v>36.124353717796183</v>
      </c>
      <c r="AM40" s="56">
        <v>25</v>
      </c>
      <c r="AN40" s="57">
        <f t="shared" si="1"/>
        <v>-11.124353717796183</v>
      </c>
      <c r="AO40" s="76">
        <f t="shared" si="4"/>
        <v>-13.376453916517146</v>
      </c>
      <c r="AP40" s="63" t="str">
        <f t="shared" si="5"/>
        <v/>
      </c>
      <c r="AQ40" s="63" t="str">
        <f t="shared" si="6"/>
        <v>Sell Stocks</v>
      </c>
      <c r="AR40" s="63" t="str">
        <f t="shared" si="7"/>
        <v/>
      </c>
      <c r="AS40" s="63" t="str">
        <f t="shared" si="8"/>
        <v/>
      </c>
      <c r="AT40" s="78" t="str">
        <f t="shared" si="9"/>
        <v/>
      </c>
      <c r="AU40" s="78" t="str">
        <f t="shared" si="10"/>
        <v/>
      </c>
      <c r="AV40" s="64" t="str">
        <f ca="1">IFERROR(__xludf.DUMMYFUNCTION("IF(TRIM(AU40)="""","""",AU40/INDEX(FILTER(AT$3:AT40,TRIM(AT$3:AT40)&lt;&gt;""""),ROWS(FILTER(AT$3:AT40,TRIM(AT$3:AT40)&lt;&gt;"""")))-1)"),"")</f>
        <v/>
      </c>
      <c r="AW40" s="65" t="e">
        <f t="shared" ca="1" si="2"/>
        <v>#VALUE!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ht="19" x14ac:dyDescent="0.25">
      <c r="A41" s="5"/>
      <c r="B41" s="5"/>
      <c r="C41" s="5"/>
      <c r="D41" s="5"/>
      <c r="E41" s="5"/>
      <c r="F41" s="5"/>
      <c r="G41" s="5"/>
      <c r="H41" s="6"/>
      <c r="I41" s="5"/>
      <c r="J41" s="83"/>
      <c r="K41" s="83"/>
      <c r="L41" s="83"/>
      <c r="M41" s="83"/>
      <c r="N41" s="83"/>
      <c r="O41" s="83"/>
      <c r="P41" s="83"/>
      <c r="Q41" s="84"/>
      <c r="R41" s="83"/>
      <c r="S41" s="83"/>
      <c r="T41" s="85"/>
      <c r="U41" s="6"/>
      <c r="V41" s="44">
        <v>43977</v>
      </c>
      <c r="W41" s="45">
        <v>116.3</v>
      </c>
      <c r="X41" s="46"/>
      <c r="Y41" s="61"/>
      <c r="Z41" s="5"/>
      <c r="AA41" s="5"/>
      <c r="AB41" s="5"/>
      <c r="AC41" s="5"/>
      <c r="AD41" s="5"/>
      <c r="AE41" s="5"/>
      <c r="AF41" s="5"/>
      <c r="AG41" s="5"/>
      <c r="AH41" s="6"/>
      <c r="AI41" s="44">
        <v>43977</v>
      </c>
      <c r="AJ41" s="53">
        <v>116.3</v>
      </c>
      <c r="AK41" s="54">
        <f t="shared" si="0"/>
        <v>2.8475415634948709E-2</v>
      </c>
      <c r="AL41" s="55">
        <f t="shared" si="3"/>
        <v>29.541476133814609</v>
      </c>
      <c r="AM41" s="56">
        <v>25</v>
      </c>
      <c r="AN41" s="57">
        <f t="shared" si="1"/>
        <v>-4.5414761338146086</v>
      </c>
      <c r="AO41" s="76">
        <f t="shared" si="4"/>
        <v>-10.010722790670822</v>
      </c>
      <c r="AP41" s="63" t="str">
        <f t="shared" si="5"/>
        <v/>
      </c>
      <c r="AQ41" s="63" t="str">
        <f t="shared" si="6"/>
        <v>Sell Stocks</v>
      </c>
      <c r="AR41" s="63" t="str">
        <f t="shared" si="7"/>
        <v/>
      </c>
      <c r="AS41" s="63" t="str">
        <f t="shared" si="8"/>
        <v/>
      </c>
      <c r="AT41" s="78" t="str">
        <f t="shared" si="9"/>
        <v/>
      </c>
      <c r="AU41" s="78" t="str">
        <f t="shared" si="10"/>
        <v/>
      </c>
      <c r="AV41" s="64" t="str">
        <f ca="1">IFERROR(__xludf.DUMMYFUNCTION("IF(TRIM(AU41)="""","""",AU41/INDEX(FILTER(AT$3:AT41,TRIM(AT$3:AT41)&lt;&gt;""""),ROWS(FILTER(AT$3:AT41,TRIM(AT$3:AT41)&lt;&gt;"""")))-1)"),"")</f>
        <v/>
      </c>
      <c r="AW41" s="65" t="e">
        <f t="shared" ca="1" si="2"/>
        <v>#VALUE!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ht="19" x14ac:dyDescent="0.25">
      <c r="A42" s="5"/>
      <c r="B42" s="5"/>
      <c r="C42" s="5"/>
      <c r="D42" s="5"/>
      <c r="E42" s="5"/>
      <c r="F42" s="5"/>
      <c r="G42" s="5"/>
      <c r="H42" s="6"/>
      <c r="I42" s="5"/>
      <c r="J42" s="83"/>
      <c r="K42" s="83"/>
      <c r="L42" s="83"/>
      <c r="M42" s="83"/>
      <c r="N42" s="83"/>
      <c r="O42" s="83"/>
      <c r="P42" s="83"/>
      <c r="Q42" s="84"/>
      <c r="R42" s="83"/>
      <c r="S42" s="83"/>
      <c r="T42" s="85"/>
      <c r="U42" s="6"/>
      <c r="V42" s="44">
        <v>43978</v>
      </c>
      <c r="W42" s="45">
        <v>119.91</v>
      </c>
      <c r="X42" s="46"/>
      <c r="Y42" s="61"/>
      <c r="Z42" s="5"/>
      <c r="AA42" s="5"/>
      <c r="AB42" s="5"/>
      <c r="AC42" s="5"/>
      <c r="AD42" s="5"/>
      <c r="AE42" s="5"/>
      <c r="AF42" s="5"/>
      <c r="AG42" s="5"/>
      <c r="AH42" s="6"/>
      <c r="AI42" s="44">
        <v>43978</v>
      </c>
      <c r="AJ42" s="53">
        <v>119.91</v>
      </c>
      <c r="AK42" s="54">
        <f t="shared" si="0"/>
        <v>3.1040412725709343E-2</v>
      </c>
      <c r="AL42" s="55">
        <f t="shared" si="3"/>
        <v>34.211347196757544</v>
      </c>
      <c r="AM42" s="56">
        <v>25</v>
      </c>
      <c r="AN42" s="57">
        <f t="shared" si="1"/>
        <v>-9.2113471967575435</v>
      </c>
      <c r="AO42" s="76">
        <f t="shared" si="4"/>
        <v>-7.9146380145238284</v>
      </c>
      <c r="AP42" s="63" t="str">
        <f t="shared" si="5"/>
        <v/>
      </c>
      <c r="AQ42" s="63" t="str">
        <f t="shared" si="6"/>
        <v>Sell Stocks</v>
      </c>
      <c r="AR42" s="63" t="str">
        <f t="shared" si="7"/>
        <v/>
      </c>
      <c r="AS42" s="63" t="str">
        <f t="shared" si="8"/>
        <v/>
      </c>
      <c r="AT42" s="78" t="str">
        <f t="shared" si="9"/>
        <v/>
      </c>
      <c r="AU42" s="78" t="str">
        <f t="shared" si="10"/>
        <v/>
      </c>
      <c r="AV42" s="64" t="str">
        <f ca="1">IFERROR(__xludf.DUMMYFUNCTION("IF(TRIM(AU42)="""","""",AU42/INDEX(FILTER(AT$3:AT42,TRIM(AT$3:AT42)&lt;&gt;""""),ROWS(FILTER(AT$3:AT42,TRIM(AT$3:AT42)&lt;&gt;"""")))-1)"),"")</f>
        <v/>
      </c>
      <c r="AW42" s="65" t="e">
        <f t="shared" ca="1" si="2"/>
        <v>#VALUE!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ht="19" x14ac:dyDescent="0.25">
      <c r="A43" s="5"/>
      <c r="B43" s="5"/>
      <c r="C43" s="5"/>
      <c r="D43" s="5"/>
      <c r="E43" s="5"/>
      <c r="F43" s="5"/>
      <c r="G43" s="5"/>
      <c r="H43" s="6"/>
      <c r="I43" s="5"/>
      <c r="J43" s="83"/>
      <c r="K43" s="83"/>
      <c r="L43" s="83"/>
      <c r="M43" s="83"/>
      <c r="N43" s="83"/>
      <c r="O43" s="83"/>
      <c r="P43" s="83"/>
      <c r="Q43" s="84"/>
      <c r="R43" s="83"/>
      <c r="S43" s="83"/>
      <c r="T43" s="85"/>
      <c r="U43" s="6"/>
      <c r="V43" s="44">
        <v>43979</v>
      </c>
      <c r="W43" s="45">
        <v>118.95</v>
      </c>
      <c r="X43" s="46"/>
      <c r="Y43" s="61"/>
      <c r="Z43" s="5"/>
      <c r="AA43" s="5"/>
      <c r="AB43" s="5"/>
      <c r="AC43" s="5"/>
      <c r="AD43" s="5"/>
      <c r="AE43" s="5"/>
      <c r="AF43" s="5"/>
      <c r="AG43" s="5"/>
      <c r="AH43" s="6"/>
      <c r="AI43" s="44">
        <v>43979</v>
      </c>
      <c r="AJ43" s="53">
        <v>118.95</v>
      </c>
      <c r="AK43" s="54">
        <f t="shared" si="0"/>
        <v>-8.0060045033775173E-3</v>
      </c>
      <c r="AL43" s="55">
        <f t="shared" si="3"/>
        <v>36.203990353951937</v>
      </c>
      <c r="AM43" s="56">
        <v>25</v>
      </c>
      <c r="AN43" s="57">
        <f t="shared" si="1"/>
        <v>-11.203990353951937</v>
      </c>
      <c r="AO43" s="76">
        <f t="shared" si="4"/>
        <v>-9.3014595039778492</v>
      </c>
      <c r="AP43" s="63" t="str">
        <f t="shared" si="5"/>
        <v/>
      </c>
      <c r="AQ43" s="63" t="str">
        <f t="shared" si="6"/>
        <v>Sell Stocks</v>
      </c>
      <c r="AR43" s="63" t="str">
        <f t="shared" si="7"/>
        <v/>
      </c>
      <c r="AS43" s="63" t="str">
        <f t="shared" si="8"/>
        <v/>
      </c>
      <c r="AT43" s="78" t="str">
        <f t="shared" si="9"/>
        <v/>
      </c>
      <c r="AU43" s="78" t="str">
        <f t="shared" si="10"/>
        <v/>
      </c>
      <c r="AV43" s="64" t="str">
        <f ca="1">IFERROR(__xludf.DUMMYFUNCTION("IF(TRIM(AU43)="""","""",AU43/INDEX(FILTER(AT$3:AT43,TRIM(AT$3:AT43)&lt;&gt;""""),ROWS(FILTER(AT$3:AT43,TRIM(AT$3:AT43)&lt;&gt;"""")))-1)"),"")</f>
        <v/>
      </c>
      <c r="AW43" s="65" t="e">
        <f t="shared" ca="1" si="2"/>
        <v>#VALUE!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ht="19" x14ac:dyDescent="0.25">
      <c r="A44" s="5"/>
      <c r="B44" s="5"/>
      <c r="C44" s="5"/>
      <c r="D44" s="5"/>
      <c r="E44" s="5"/>
      <c r="F44" s="5"/>
      <c r="G44" s="5"/>
      <c r="H44" s="6"/>
      <c r="I44" s="5"/>
      <c r="J44" s="83"/>
      <c r="K44" s="83"/>
      <c r="L44" s="83"/>
      <c r="M44" s="83"/>
      <c r="N44" s="83"/>
      <c r="O44" s="83"/>
      <c r="P44" s="83"/>
      <c r="Q44" s="84"/>
      <c r="R44" s="83"/>
      <c r="S44" s="83"/>
      <c r="T44" s="85"/>
      <c r="U44" s="6"/>
      <c r="V44" s="44">
        <v>43980</v>
      </c>
      <c r="W44" s="45">
        <v>119.3</v>
      </c>
      <c r="X44" s="46"/>
      <c r="Y44" s="61"/>
      <c r="Z44" s="5"/>
      <c r="AA44" s="5"/>
      <c r="AB44" s="5"/>
      <c r="AC44" s="5"/>
      <c r="AD44" s="5"/>
      <c r="AE44" s="5"/>
      <c r="AF44" s="5"/>
      <c r="AG44" s="5"/>
      <c r="AH44" s="6"/>
      <c r="AI44" s="44">
        <v>43980</v>
      </c>
      <c r="AJ44" s="53">
        <v>119.3</v>
      </c>
      <c r="AK44" s="54">
        <f t="shared" si="0"/>
        <v>2.9424127784782872E-3</v>
      </c>
      <c r="AL44" s="55">
        <f t="shared" si="3"/>
        <v>29.892819769607954</v>
      </c>
      <c r="AM44" s="56">
        <v>25</v>
      </c>
      <c r="AN44" s="57">
        <f t="shared" si="1"/>
        <v>-4.8928197696079536</v>
      </c>
      <c r="AO44" s="76">
        <f t="shared" si="4"/>
        <v>-8.1947974343856451</v>
      </c>
      <c r="AP44" s="63" t="str">
        <f t="shared" si="5"/>
        <v/>
      </c>
      <c r="AQ44" s="63" t="str">
        <f t="shared" si="6"/>
        <v>Sell Stocks</v>
      </c>
      <c r="AR44" s="63" t="str">
        <f t="shared" si="7"/>
        <v/>
      </c>
      <c r="AS44" s="63" t="str">
        <f t="shared" si="8"/>
        <v/>
      </c>
      <c r="AT44" s="78" t="str">
        <f t="shared" si="9"/>
        <v/>
      </c>
      <c r="AU44" s="78" t="str">
        <f t="shared" si="10"/>
        <v/>
      </c>
      <c r="AV44" s="64" t="str">
        <f ca="1">IFERROR(__xludf.DUMMYFUNCTION("IF(TRIM(AU44)="""","""",AU44/INDEX(FILTER(AT$3:AT44,TRIM(AT$3:AT44)&lt;&gt;""""),ROWS(FILTER(AT$3:AT44,TRIM(AT$3:AT44)&lt;&gt;"""")))-1)"),"")</f>
        <v/>
      </c>
      <c r="AW44" s="65" t="e">
        <f t="shared" ca="1" si="2"/>
        <v>#VALUE!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ht="19" x14ac:dyDescent="0.25">
      <c r="A45" s="5"/>
      <c r="B45" s="5"/>
      <c r="C45" s="5"/>
      <c r="D45" s="5"/>
      <c r="E45" s="5"/>
      <c r="F45" s="5"/>
      <c r="G45" s="5"/>
      <c r="H45" s="6"/>
      <c r="I45" s="5"/>
      <c r="J45" s="83"/>
      <c r="K45" s="83"/>
      <c r="L45" s="83"/>
      <c r="M45" s="83"/>
      <c r="N45" s="83"/>
      <c r="O45" s="83"/>
      <c r="P45" s="83"/>
      <c r="Q45" s="84"/>
      <c r="R45" s="83"/>
      <c r="S45" s="83"/>
      <c r="T45" s="85"/>
      <c r="U45" s="6"/>
      <c r="V45" s="44">
        <v>43983</v>
      </c>
      <c r="W45" s="45">
        <v>119.29</v>
      </c>
      <c r="X45" s="46"/>
      <c r="Y45" s="61"/>
      <c r="Z45" s="5"/>
      <c r="AA45" s="5"/>
      <c r="AB45" s="5"/>
      <c r="AC45" s="5"/>
      <c r="AD45" s="5"/>
      <c r="AE45" s="5"/>
      <c r="AF45" s="5"/>
      <c r="AG45" s="5"/>
      <c r="AH45" s="6"/>
      <c r="AI45" s="44">
        <v>43983</v>
      </c>
      <c r="AJ45" s="53">
        <v>119.29</v>
      </c>
      <c r="AK45" s="54">
        <f t="shared" si="0"/>
        <v>-8.3822296730873269E-5</v>
      </c>
      <c r="AL45" s="55">
        <f t="shared" si="3"/>
        <v>28.12894427739861</v>
      </c>
      <c r="AM45" s="56">
        <v>25</v>
      </c>
      <c r="AN45" s="57">
        <f t="shared" si="1"/>
        <v>-3.1289442773986096</v>
      </c>
      <c r="AO45" s="76">
        <f t="shared" si="4"/>
        <v>-6.5957155463061294</v>
      </c>
      <c r="AP45" s="63" t="str">
        <f t="shared" si="5"/>
        <v/>
      </c>
      <c r="AQ45" s="63" t="str">
        <f t="shared" si="6"/>
        <v>Sell Stocks</v>
      </c>
      <c r="AR45" s="63" t="str">
        <f t="shared" si="7"/>
        <v/>
      </c>
      <c r="AS45" s="63" t="str">
        <f t="shared" si="8"/>
        <v/>
      </c>
      <c r="AT45" s="78" t="str">
        <f t="shared" si="9"/>
        <v/>
      </c>
      <c r="AU45" s="78" t="str">
        <f t="shared" si="10"/>
        <v/>
      </c>
      <c r="AV45" s="64" t="str">
        <f ca="1">IFERROR(__xludf.DUMMYFUNCTION("IF(TRIM(AU45)="""","""",AU45/INDEX(FILTER(AT$3:AT45,TRIM(AT$3:AT45)&lt;&gt;""""),ROWS(FILTER(AT$3:AT45,TRIM(AT$3:AT45)&lt;&gt;"""")))-1)"),"")</f>
        <v/>
      </c>
      <c r="AW45" s="65" t="e">
        <f t="shared" ca="1" si="2"/>
        <v>#VALUE!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ht="19" x14ac:dyDescent="0.25">
      <c r="A46" s="5"/>
      <c r="B46" s="5"/>
      <c r="C46" s="5"/>
      <c r="D46" s="5"/>
      <c r="E46" s="5"/>
      <c r="F46" s="5"/>
      <c r="G46" s="5"/>
      <c r="H46" s="6"/>
      <c r="I46" s="5"/>
      <c r="J46" s="83"/>
      <c r="K46" s="83"/>
      <c r="L46" s="83"/>
      <c r="M46" s="83"/>
      <c r="N46" s="83"/>
      <c r="O46" s="83"/>
      <c r="P46" s="83"/>
      <c r="Q46" s="84"/>
      <c r="R46" s="83"/>
      <c r="S46" s="83"/>
      <c r="T46" s="85"/>
      <c r="U46" s="6"/>
      <c r="V46" s="44">
        <v>43984</v>
      </c>
      <c r="W46" s="45">
        <v>120.35</v>
      </c>
      <c r="X46" s="46"/>
      <c r="Y46" s="61"/>
      <c r="Z46" s="5"/>
      <c r="AA46" s="5"/>
      <c r="AB46" s="5"/>
      <c r="AC46" s="5"/>
      <c r="AD46" s="5"/>
      <c r="AE46" s="5"/>
      <c r="AF46" s="5"/>
      <c r="AG46" s="5"/>
      <c r="AH46" s="6"/>
      <c r="AI46" s="44">
        <v>43984</v>
      </c>
      <c r="AJ46" s="53">
        <v>120.35</v>
      </c>
      <c r="AK46" s="54">
        <f t="shared" si="0"/>
        <v>8.8859082907200015E-3</v>
      </c>
      <c r="AL46" s="55">
        <f t="shared" si="3"/>
        <v>23.456069917470021</v>
      </c>
      <c r="AM46" s="56">
        <v>25</v>
      </c>
      <c r="AN46" s="57">
        <f t="shared" si="1"/>
        <v>1.5439300825299789</v>
      </c>
      <c r="AO46" s="76">
        <f t="shared" si="4"/>
        <v>-5.378634303037213</v>
      </c>
      <c r="AP46" s="63" t="str">
        <f t="shared" si="5"/>
        <v/>
      </c>
      <c r="AQ46" s="63" t="str">
        <f t="shared" si="6"/>
        <v>Sell Stocks</v>
      </c>
      <c r="AR46" s="63" t="str">
        <f t="shared" si="7"/>
        <v/>
      </c>
      <c r="AS46" s="63" t="str">
        <f t="shared" si="8"/>
        <v/>
      </c>
      <c r="AT46" s="78" t="str">
        <f t="shared" si="9"/>
        <v/>
      </c>
      <c r="AU46" s="78" t="str">
        <f t="shared" si="10"/>
        <v/>
      </c>
      <c r="AV46" s="64" t="str">
        <f ca="1">IFERROR(__xludf.DUMMYFUNCTION("IF(TRIM(AU46)="""","""",AU46/INDEX(FILTER(AT$3:AT46,TRIM(AT$3:AT46)&lt;&gt;""""),ROWS(FILTER(AT$3:AT46,TRIM(AT$3:AT46)&lt;&gt;"""")))-1)"),"")</f>
        <v/>
      </c>
      <c r="AW46" s="65" t="e">
        <f t="shared" ca="1" si="2"/>
        <v>#VALUE!</v>
      </c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ht="19" x14ac:dyDescent="0.25">
      <c r="A47" s="5"/>
      <c r="B47" s="5"/>
      <c r="C47" s="5"/>
      <c r="D47" s="5"/>
      <c r="E47" s="5"/>
      <c r="F47" s="5"/>
      <c r="G47" s="5"/>
      <c r="H47" s="6"/>
      <c r="I47" s="5"/>
      <c r="J47" s="83"/>
      <c r="K47" s="83"/>
      <c r="L47" s="83"/>
      <c r="M47" s="83"/>
      <c r="N47" s="83"/>
      <c r="O47" s="83"/>
      <c r="P47" s="83"/>
      <c r="Q47" s="84"/>
      <c r="R47" s="83"/>
      <c r="S47" s="83"/>
      <c r="T47" s="85"/>
      <c r="U47" s="6"/>
      <c r="V47" s="44">
        <v>43985</v>
      </c>
      <c r="W47" s="45">
        <v>123.26</v>
      </c>
      <c r="X47" s="46"/>
      <c r="Y47" s="61"/>
      <c r="Z47" s="5"/>
      <c r="AA47" s="5"/>
      <c r="AB47" s="5"/>
      <c r="AC47" s="5"/>
      <c r="AD47" s="5"/>
      <c r="AE47" s="5"/>
      <c r="AF47" s="5"/>
      <c r="AG47" s="5"/>
      <c r="AH47" s="6"/>
      <c r="AI47" s="44">
        <v>43985</v>
      </c>
      <c r="AJ47" s="53">
        <v>123.26</v>
      </c>
      <c r="AK47" s="54">
        <f t="shared" si="0"/>
        <v>2.4179476526796861E-2</v>
      </c>
      <c r="AL47" s="55">
        <f t="shared" si="3"/>
        <v>19.123425391260326</v>
      </c>
      <c r="AM47" s="56">
        <v>25</v>
      </c>
      <c r="AN47" s="57">
        <f t="shared" si="1"/>
        <v>5.8765746087396735</v>
      </c>
      <c r="AO47" s="76">
        <f t="shared" si="4"/>
        <v>-2.3610499419377695</v>
      </c>
      <c r="AP47" s="63" t="str">
        <f t="shared" si="5"/>
        <v/>
      </c>
      <c r="AQ47" s="63" t="str">
        <f t="shared" si="6"/>
        <v>Sell Stocks</v>
      </c>
      <c r="AR47" s="63" t="str">
        <f t="shared" si="7"/>
        <v/>
      </c>
      <c r="AS47" s="63" t="str">
        <f t="shared" si="8"/>
        <v/>
      </c>
      <c r="AT47" s="78" t="str">
        <f t="shared" si="9"/>
        <v/>
      </c>
      <c r="AU47" s="78" t="str">
        <f t="shared" si="10"/>
        <v/>
      </c>
      <c r="AV47" s="64" t="str">
        <f ca="1">IFERROR(__xludf.DUMMYFUNCTION("IF(TRIM(AU47)="""","""",AU47/INDEX(FILTER(AT$3:AT47,TRIM(AT$3:AT47)&lt;&gt;""""),ROWS(FILTER(AT$3:AT47,TRIM(AT$3:AT47)&lt;&gt;"""")))-1)"),"")</f>
        <v/>
      </c>
      <c r="AW47" s="65" t="e">
        <f t="shared" ca="1" si="2"/>
        <v>#VALUE!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ht="19" x14ac:dyDescent="0.25">
      <c r="A48" s="5"/>
      <c r="B48" s="5"/>
      <c r="C48" s="5"/>
      <c r="D48" s="5"/>
      <c r="E48" s="5"/>
      <c r="F48" s="5"/>
      <c r="G48" s="5"/>
      <c r="H48" s="6"/>
      <c r="I48" s="5"/>
      <c r="J48" s="83"/>
      <c r="K48" s="83"/>
      <c r="L48" s="83"/>
      <c r="M48" s="83"/>
      <c r="N48" s="83"/>
      <c r="O48" s="83"/>
      <c r="P48" s="83"/>
      <c r="Q48" s="84"/>
      <c r="R48" s="83"/>
      <c r="S48" s="83"/>
      <c r="T48" s="85"/>
      <c r="U48" s="6"/>
      <c r="V48" s="44">
        <v>43986</v>
      </c>
      <c r="W48" s="45">
        <v>123.11</v>
      </c>
      <c r="X48" s="46"/>
      <c r="Y48" s="61"/>
      <c r="Z48" s="5"/>
      <c r="AA48" s="5"/>
      <c r="AB48" s="5"/>
      <c r="AC48" s="5"/>
      <c r="AD48" s="5"/>
      <c r="AE48" s="5"/>
      <c r="AF48" s="5"/>
      <c r="AG48" s="5"/>
      <c r="AH48" s="6"/>
      <c r="AI48" s="44">
        <v>43986</v>
      </c>
      <c r="AJ48" s="53">
        <v>123.11</v>
      </c>
      <c r="AK48" s="54">
        <f t="shared" si="0"/>
        <v>-1.2169398020445144E-3</v>
      </c>
      <c r="AL48" s="55">
        <f t="shared" si="3"/>
        <v>16.513237922201217</v>
      </c>
      <c r="AM48" s="56">
        <v>25</v>
      </c>
      <c r="AN48" s="57">
        <f t="shared" si="1"/>
        <v>8.4867620777987831</v>
      </c>
      <c r="AO48" s="76">
        <f t="shared" si="4"/>
        <v>1.5771005444123745</v>
      </c>
      <c r="AP48" s="63" t="str">
        <f t="shared" si="5"/>
        <v>Buy Stocks</v>
      </c>
      <c r="AQ48" s="63" t="str">
        <f t="shared" si="6"/>
        <v/>
      </c>
      <c r="AR48" s="63" t="str">
        <f t="shared" si="7"/>
        <v>Buy Stocks</v>
      </c>
      <c r="AS48" s="63" t="str">
        <f t="shared" si="8"/>
        <v/>
      </c>
      <c r="AT48" s="77">
        <f t="shared" si="9"/>
        <v>123.11</v>
      </c>
      <c r="AU48" s="78" t="str">
        <f t="shared" si="10"/>
        <v/>
      </c>
      <c r="AV48" s="64" t="str">
        <f ca="1">IFERROR(__xludf.DUMMYFUNCTION("IF(TRIM(AU48)="""","""",AU48/INDEX(FILTER(AT$3:AT48,TRIM(AT$3:AT48)&lt;&gt;""""),ROWS(FILTER(AT$3:AT48,TRIM(AT$3:AT48)&lt;&gt;"""")))-1)"),"")</f>
        <v/>
      </c>
      <c r="AW48" s="65" t="e">
        <f t="shared" ca="1" si="2"/>
        <v>#VALUE!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ht="19" x14ac:dyDescent="0.25">
      <c r="A49" s="5"/>
      <c r="B49" s="5"/>
      <c r="C49" s="5"/>
      <c r="D49" s="5"/>
      <c r="E49" s="5"/>
      <c r="F49" s="5"/>
      <c r="G49" s="5"/>
      <c r="H49" s="6"/>
      <c r="I49" s="5"/>
      <c r="J49" s="83"/>
      <c r="K49" s="83"/>
      <c r="L49" s="83"/>
      <c r="M49" s="83"/>
      <c r="N49" s="83"/>
      <c r="O49" s="83"/>
      <c r="P49" s="83"/>
      <c r="Q49" s="84"/>
      <c r="R49" s="83"/>
      <c r="S49" s="83"/>
      <c r="T49" s="85"/>
      <c r="U49" s="6"/>
      <c r="V49" s="44">
        <v>43987</v>
      </c>
      <c r="W49" s="45">
        <v>126.14</v>
      </c>
      <c r="X49" s="46"/>
      <c r="Y49" s="61"/>
      <c r="Z49" s="5"/>
      <c r="AA49" s="5"/>
      <c r="AB49" s="5"/>
      <c r="AC49" s="5"/>
      <c r="AD49" s="5"/>
      <c r="AE49" s="5"/>
      <c r="AF49" s="5"/>
      <c r="AG49" s="5"/>
      <c r="AH49" s="6"/>
      <c r="AI49" s="87">
        <v>43987</v>
      </c>
      <c r="AJ49" s="53">
        <v>126.14</v>
      </c>
      <c r="AK49" s="54">
        <f t="shared" si="0"/>
        <v>2.4612135488587539E-2</v>
      </c>
      <c r="AL49" s="55">
        <f t="shared" si="3"/>
        <v>20.004145365954486</v>
      </c>
      <c r="AM49" s="56">
        <v>25</v>
      </c>
      <c r="AN49" s="57">
        <f t="shared" si="1"/>
        <v>4.9958546340455143</v>
      </c>
      <c r="AO49" s="76">
        <f t="shared" si="4"/>
        <v>3.5548354251430681</v>
      </c>
      <c r="AP49" s="63" t="str">
        <f t="shared" si="5"/>
        <v>Buy Stocks</v>
      </c>
      <c r="AQ49" s="63" t="str">
        <f t="shared" si="6"/>
        <v/>
      </c>
      <c r="AR49" s="63" t="str">
        <f t="shared" si="7"/>
        <v/>
      </c>
      <c r="AS49" s="63" t="str">
        <f t="shared" si="8"/>
        <v/>
      </c>
      <c r="AT49" s="78" t="str">
        <f t="shared" si="9"/>
        <v/>
      </c>
      <c r="AU49" s="78" t="str">
        <f t="shared" si="10"/>
        <v/>
      </c>
      <c r="AV49" s="64" t="str">
        <f ca="1">IFERROR(__xludf.DUMMYFUNCTION("IF(TRIM(AU49)="""","""",AU49/INDEX(FILTER(AT$3:AT49,TRIM(AT$3:AT49)&lt;&gt;""""),ROWS(FILTER(AT$3:AT49,TRIM(AT$3:AT49)&lt;&gt;"""")))-1)"),"")</f>
        <v/>
      </c>
      <c r="AW49" s="65" t="e">
        <f t="shared" ca="1" si="2"/>
        <v>#VALUE!</v>
      </c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ht="19" x14ac:dyDescent="0.25">
      <c r="A50" s="5"/>
      <c r="B50" s="5"/>
      <c r="C50" s="5"/>
      <c r="D50" s="5"/>
      <c r="E50" s="5"/>
      <c r="F50" s="5"/>
      <c r="G50" s="5"/>
      <c r="H50" s="6"/>
      <c r="I50" s="5"/>
      <c r="J50" s="83"/>
      <c r="K50" s="83"/>
      <c r="L50" s="83"/>
      <c r="M50" s="83"/>
      <c r="N50" s="83"/>
      <c r="O50" s="83"/>
      <c r="P50" s="83"/>
      <c r="Q50" s="84"/>
      <c r="R50" s="83"/>
      <c r="S50" s="83"/>
      <c r="T50" s="85"/>
      <c r="U50" s="6"/>
      <c r="V50" s="44">
        <v>43990</v>
      </c>
      <c r="W50" s="45">
        <v>129.66</v>
      </c>
      <c r="X50" s="46"/>
      <c r="Y50" s="61"/>
      <c r="Z50" s="5"/>
      <c r="AA50" s="5"/>
      <c r="AB50" s="5"/>
      <c r="AC50" s="5"/>
      <c r="AD50" s="5"/>
      <c r="AE50" s="5"/>
      <c r="AF50" s="5"/>
      <c r="AG50" s="5"/>
      <c r="AH50" s="6"/>
      <c r="AI50" s="87">
        <v>43990</v>
      </c>
      <c r="AJ50" s="53">
        <v>129.66</v>
      </c>
      <c r="AK50" s="54">
        <f t="shared" si="0"/>
        <v>2.7905501823370926E-2</v>
      </c>
      <c r="AL50" s="55">
        <f t="shared" si="3"/>
        <v>19.859549739462043</v>
      </c>
      <c r="AM50" s="56">
        <v>25</v>
      </c>
      <c r="AN50" s="57">
        <f t="shared" si="1"/>
        <v>5.140450260537957</v>
      </c>
      <c r="AO50" s="76">
        <f t="shared" si="4"/>
        <v>5.2087143327303815</v>
      </c>
      <c r="AP50" s="63" t="str">
        <f t="shared" si="5"/>
        <v>Buy Stocks</v>
      </c>
      <c r="AQ50" s="63" t="str">
        <f t="shared" si="6"/>
        <v/>
      </c>
      <c r="AR50" s="63" t="str">
        <f t="shared" si="7"/>
        <v/>
      </c>
      <c r="AS50" s="63" t="str">
        <f t="shared" si="8"/>
        <v/>
      </c>
      <c r="AT50" s="78" t="str">
        <f t="shared" si="9"/>
        <v/>
      </c>
      <c r="AU50" s="78" t="str">
        <f t="shared" si="10"/>
        <v/>
      </c>
      <c r="AV50" s="64" t="str">
        <f ca="1">IFERROR(__xludf.DUMMYFUNCTION("IF(TRIM(AU50)="""","""",AU50/INDEX(FILTER(AT$3:AT50,TRIM(AT$3:AT50)&lt;&gt;""""),ROWS(FILTER(AT$3:AT50,TRIM(AT$3:AT50)&lt;&gt;"""")))-1)"),"")</f>
        <v/>
      </c>
      <c r="AW50" s="65" t="e">
        <f t="shared" ca="1" si="2"/>
        <v>#VALUE!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ht="19" x14ac:dyDescent="0.25">
      <c r="A51" s="5"/>
      <c r="B51" s="5"/>
      <c r="C51" s="5"/>
      <c r="D51" s="5"/>
      <c r="E51" s="5"/>
      <c r="F51" s="5"/>
      <c r="G51" s="5"/>
      <c r="H51" s="6"/>
      <c r="I51" s="5"/>
      <c r="J51" s="83"/>
      <c r="K51" s="83"/>
      <c r="L51" s="83"/>
      <c r="M51" s="83"/>
      <c r="N51" s="83"/>
      <c r="O51" s="83"/>
      <c r="P51" s="83"/>
      <c r="Q51" s="84"/>
      <c r="R51" s="83"/>
      <c r="S51" s="83"/>
      <c r="T51" s="85"/>
      <c r="U51" s="6"/>
      <c r="V51" s="44">
        <v>43991</v>
      </c>
      <c r="W51" s="45">
        <v>125.96</v>
      </c>
      <c r="X51" s="46"/>
      <c r="Y51" s="61"/>
      <c r="Z51" s="5"/>
      <c r="AA51" s="5"/>
      <c r="AB51" s="5"/>
      <c r="AC51" s="5"/>
      <c r="AD51" s="5"/>
      <c r="AE51" s="5"/>
      <c r="AF51" s="5"/>
      <c r="AG51" s="5"/>
      <c r="AH51" s="6"/>
      <c r="AI51" s="87">
        <v>43991</v>
      </c>
      <c r="AJ51" s="53">
        <v>125.96</v>
      </c>
      <c r="AK51" s="54">
        <f t="shared" si="0"/>
        <v>-2.8536171525528342E-2</v>
      </c>
      <c r="AL51" s="55">
        <f t="shared" si="3"/>
        <v>38.429487569492302</v>
      </c>
      <c r="AM51" s="56">
        <v>25</v>
      </c>
      <c r="AN51" s="57">
        <f t="shared" si="1"/>
        <v>-13.429487569492302</v>
      </c>
      <c r="AO51" s="76">
        <f t="shared" si="4"/>
        <v>2.214030802325925</v>
      </c>
      <c r="AP51" s="63" t="str">
        <f t="shared" si="5"/>
        <v>Buy Stocks</v>
      </c>
      <c r="AQ51" s="63" t="str">
        <f t="shared" si="6"/>
        <v/>
      </c>
      <c r="AR51" s="63" t="str">
        <f t="shared" si="7"/>
        <v/>
      </c>
      <c r="AS51" s="63" t="str">
        <f t="shared" si="8"/>
        <v/>
      </c>
      <c r="AT51" s="78" t="str">
        <f t="shared" si="9"/>
        <v/>
      </c>
      <c r="AU51" s="78" t="str">
        <f t="shared" si="10"/>
        <v/>
      </c>
      <c r="AV51" s="64" t="str">
        <f ca="1">IFERROR(__xludf.DUMMYFUNCTION("IF(TRIM(AU51)="""","""",AU51/INDEX(FILTER(AT$3:AT51,TRIM(AT$3:AT51)&lt;&gt;""""),ROWS(FILTER(AT$3:AT51,TRIM(AT$3:AT51)&lt;&gt;"""")))-1)"),"")</f>
        <v/>
      </c>
      <c r="AW51" s="65" t="e">
        <f t="shared" ca="1" si="2"/>
        <v>#VALUE!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ht="19" x14ac:dyDescent="0.25">
      <c r="A52" s="5"/>
      <c r="B52" s="5"/>
      <c r="C52" s="5"/>
      <c r="D52" s="5"/>
      <c r="E52" s="5"/>
      <c r="F52" s="5"/>
      <c r="G52" s="5"/>
      <c r="H52" s="6"/>
      <c r="I52" s="5"/>
      <c r="J52" s="83"/>
      <c r="K52" s="83"/>
      <c r="L52" s="83"/>
      <c r="M52" s="83"/>
      <c r="N52" s="83"/>
      <c r="O52" s="83"/>
      <c r="P52" s="83"/>
      <c r="Q52" s="84"/>
      <c r="R52" s="83"/>
      <c r="S52" s="83"/>
      <c r="T52" s="85"/>
      <c r="U52" s="6"/>
      <c r="V52" s="44">
        <v>43992</v>
      </c>
      <c r="W52" s="45">
        <v>124.05</v>
      </c>
      <c r="X52" s="46"/>
      <c r="Y52" s="61"/>
      <c r="Z52" s="5"/>
      <c r="AA52" s="5"/>
      <c r="AB52" s="5"/>
      <c r="AC52" s="5"/>
      <c r="AD52" s="5"/>
      <c r="AE52" s="5"/>
      <c r="AF52" s="5"/>
      <c r="AG52" s="5"/>
      <c r="AH52" s="6"/>
      <c r="AI52" s="87">
        <v>43992</v>
      </c>
      <c r="AJ52" s="53">
        <v>124.05</v>
      </c>
      <c r="AK52" s="54">
        <f t="shared" si="0"/>
        <v>-1.5163543982216532E-2</v>
      </c>
      <c r="AL52" s="55">
        <f t="shared" si="3"/>
        <v>39.035204660265968</v>
      </c>
      <c r="AM52" s="56">
        <v>25</v>
      </c>
      <c r="AN52" s="57">
        <f t="shared" si="1"/>
        <v>-14.035204660265968</v>
      </c>
      <c r="AO52" s="76">
        <f t="shared" si="4"/>
        <v>-1.7683250514752031</v>
      </c>
      <c r="AP52" s="63" t="str">
        <f t="shared" si="5"/>
        <v/>
      </c>
      <c r="AQ52" s="63" t="str">
        <f t="shared" si="6"/>
        <v>Sell Stocks</v>
      </c>
      <c r="AR52" s="63" t="str">
        <f t="shared" si="7"/>
        <v/>
      </c>
      <c r="AS52" s="63" t="str">
        <f t="shared" si="8"/>
        <v>Sell Stocks</v>
      </c>
      <c r="AT52" s="78" t="str">
        <f t="shared" si="9"/>
        <v/>
      </c>
      <c r="AU52" s="77">
        <f t="shared" si="10"/>
        <v>124.05</v>
      </c>
      <c r="AV52" s="64">
        <f ca="1">IFERROR(__xludf.DUMMYFUNCTION("IF(TRIM(AU52)="""","""",AU52/INDEX(FILTER(AT$3:AT52,TRIM(AT$3:AT52)&lt;&gt;""""),ROWS(FILTER(AT$3:AT52,TRIM(AT$3:AT52)&lt;&gt;"""")))-1)"),0.00763544797335713)</f>
        <v>7.6354479733571302E-3</v>
      </c>
      <c r="AW52" s="65" t="e">
        <f t="shared" ca="1" si="2"/>
        <v>#VALUE!</v>
      </c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ht="19" x14ac:dyDescent="0.25">
      <c r="A53" s="5"/>
      <c r="B53" s="5"/>
      <c r="C53" s="5"/>
      <c r="D53" s="5"/>
      <c r="E53" s="5"/>
      <c r="F53" s="5"/>
      <c r="G53" s="5"/>
      <c r="H53" s="6"/>
      <c r="I53" s="5"/>
      <c r="J53" s="83"/>
      <c r="K53" s="83"/>
      <c r="L53" s="83"/>
      <c r="M53" s="83"/>
      <c r="N53" s="83"/>
      <c r="O53" s="83"/>
      <c r="P53" s="83"/>
      <c r="Q53" s="84"/>
      <c r="R53" s="83"/>
      <c r="S53" s="83"/>
      <c r="T53" s="85"/>
      <c r="U53" s="6"/>
      <c r="V53" s="44">
        <v>43993</v>
      </c>
      <c r="W53" s="45">
        <v>112.72</v>
      </c>
      <c r="X53" s="46"/>
      <c r="Y53" s="61"/>
      <c r="Z53" s="5"/>
      <c r="AA53" s="5"/>
      <c r="AB53" s="5"/>
      <c r="AC53" s="5"/>
      <c r="AD53" s="5"/>
      <c r="AE53" s="5"/>
      <c r="AF53" s="5"/>
      <c r="AG53" s="5"/>
      <c r="AH53" s="6"/>
      <c r="AI53" s="87">
        <v>43993</v>
      </c>
      <c r="AJ53" s="53">
        <v>112.72</v>
      </c>
      <c r="AK53" s="54">
        <f t="shared" si="0"/>
        <v>-9.1334139459895214E-2</v>
      </c>
      <c r="AL53" s="55">
        <f t="shared" si="3"/>
        <v>76.990791145502186</v>
      </c>
      <c r="AM53" s="56">
        <v>25</v>
      </c>
      <c r="AN53" s="57">
        <f t="shared" si="1"/>
        <v>-51.990791145502186</v>
      </c>
      <c r="AO53" s="76">
        <f t="shared" si="4"/>
        <v>-13.863835696135396</v>
      </c>
      <c r="AP53" s="63" t="str">
        <f t="shared" si="5"/>
        <v/>
      </c>
      <c r="AQ53" s="63" t="str">
        <f t="shared" si="6"/>
        <v>Sell Stocks</v>
      </c>
      <c r="AR53" s="63" t="str">
        <f t="shared" si="7"/>
        <v/>
      </c>
      <c r="AS53" s="63" t="str">
        <f t="shared" si="8"/>
        <v/>
      </c>
      <c r="AT53" s="78" t="str">
        <f t="shared" si="9"/>
        <v/>
      </c>
      <c r="AU53" s="78" t="str">
        <f t="shared" si="10"/>
        <v/>
      </c>
      <c r="AV53" s="64" t="str">
        <f ca="1">IFERROR(__xludf.DUMMYFUNCTION("IF(TRIM(AU53)="""","""",AU53/INDEX(FILTER(AT$3:AT53,TRIM(AT$3:AT53)&lt;&gt;""""),ROWS(FILTER(AT$3:AT53,TRIM(AT$3:AT53)&lt;&gt;"""")))-1)"),"")</f>
        <v/>
      </c>
      <c r="AW53" s="65" t="e">
        <f t="shared" ca="1" si="2"/>
        <v>#VALUE!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ht="19" x14ac:dyDescent="0.25">
      <c r="A54" s="5"/>
      <c r="B54" s="5"/>
      <c r="C54" s="5"/>
      <c r="D54" s="5"/>
      <c r="E54" s="5"/>
      <c r="F54" s="5"/>
      <c r="G54" s="5"/>
      <c r="H54" s="6"/>
      <c r="I54" s="5"/>
      <c r="J54" s="83"/>
      <c r="K54" s="83"/>
      <c r="L54" s="83"/>
      <c r="M54" s="83"/>
      <c r="N54" s="83"/>
      <c r="O54" s="83"/>
      <c r="P54" s="83"/>
      <c r="Q54" s="84"/>
      <c r="R54" s="83"/>
      <c r="S54" s="83"/>
      <c r="T54" s="85"/>
      <c r="U54" s="6"/>
      <c r="V54" s="44">
        <v>43994</v>
      </c>
      <c r="W54" s="45">
        <v>116.44</v>
      </c>
      <c r="X54" s="46"/>
      <c r="Y54" s="61"/>
      <c r="Z54" s="5"/>
      <c r="AA54" s="5"/>
      <c r="AB54" s="5"/>
      <c r="AC54" s="5"/>
      <c r="AD54" s="5"/>
      <c r="AE54" s="5"/>
      <c r="AF54" s="5"/>
      <c r="AG54" s="5"/>
      <c r="AH54" s="6"/>
      <c r="AI54" s="87">
        <v>43994</v>
      </c>
      <c r="AJ54" s="53">
        <v>116.44</v>
      </c>
      <c r="AK54" s="54">
        <f t="shared" si="0"/>
        <v>3.3002129169623862E-2</v>
      </c>
      <c r="AL54" s="55">
        <f t="shared" si="3"/>
        <v>79.985662943948483</v>
      </c>
      <c r="AM54" s="56">
        <v>25</v>
      </c>
      <c r="AN54" s="57">
        <f t="shared" si="1"/>
        <v>-54.985662943948483</v>
      </c>
      <c r="AO54" s="76">
        <f t="shared" si="4"/>
        <v>-25.860139211734197</v>
      </c>
      <c r="AP54" s="63" t="str">
        <f t="shared" si="5"/>
        <v/>
      </c>
      <c r="AQ54" s="63" t="str">
        <f t="shared" si="6"/>
        <v>Sell Stocks</v>
      </c>
      <c r="AR54" s="63" t="str">
        <f t="shared" si="7"/>
        <v/>
      </c>
      <c r="AS54" s="63" t="str">
        <f t="shared" si="8"/>
        <v/>
      </c>
      <c r="AT54" s="78" t="str">
        <f t="shared" si="9"/>
        <v/>
      </c>
      <c r="AU54" s="78" t="str">
        <f t="shared" si="10"/>
        <v/>
      </c>
      <c r="AV54" s="64" t="str">
        <f ca="1">IFERROR(__xludf.DUMMYFUNCTION("IF(TRIM(AU54)="""","""",AU54/INDEX(FILTER(AT$3:AT54,TRIM(AT$3:AT54)&lt;&gt;""""),ROWS(FILTER(AT$3:AT54,TRIM(AT$3:AT54)&lt;&gt;"""")))-1)"),"")</f>
        <v/>
      </c>
      <c r="AW54" s="65" t="e">
        <f t="shared" ca="1" si="2"/>
        <v>#VALUE!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ht="19" x14ac:dyDescent="0.25">
      <c r="A55" s="5"/>
      <c r="B55" s="5"/>
      <c r="C55" s="5"/>
      <c r="D55" s="5"/>
      <c r="E55" s="5"/>
      <c r="F55" s="5"/>
      <c r="G55" s="5"/>
      <c r="H55" s="6"/>
      <c r="I55" s="5"/>
      <c r="J55" s="83"/>
      <c r="K55" s="83"/>
      <c r="L55" s="83"/>
      <c r="M55" s="83"/>
      <c r="N55" s="83"/>
      <c r="O55" s="83"/>
      <c r="P55" s="83"/>
      <c r="Q55" s="84"/>
      <c r="R55" s="83"/>
      <c r="S55" s="83"/>
      <c r="T55" s="85"/>
      <c r="U55" s="6"/>
      <c r="V55" s="44">
        <v>43997</v>
      </c>
      <c r="W55" s="45">
        <v>116.2</v>
      </c>
      <c r="X55" s="46"/>
      <c r="Y55" s="61"/>
      <c r="Z55" s="5"/>
      <c r="AA55" s="5"/>
      <c r="AB55" s="5"/>
      <c r="AC55" s="5"/>
      <c r="AD55" s="5"/>
      <c r="AE55" s="5"/>
      <c r="AF55" s="5"/>
      <c r="AG55" s="5"/>
      <c r="AH55" s="6"/>
      <c r="AI55" s="87">
        <v>43997</v>
      </c>
      <c r="AJ55" s="53">
        <v>116.2</v>
      </c>
      <c r="AK55" s="54">
        <f t="shared" si="0"/>
        <v>-2.0611473720371087E-3</v>
      </c>
      <c r="AL55" s="55">
        <f t="shared" si="3"/>
        <v>72.36623327692962</v>
      </c>
      <c r="AM55" s="56">
        <v>25</v>
      </c>
      <c r="AN55" s="57">
        <f t="shared" si="1"/>
        <v>-47.36623327692962</v>
      </c>
      <c r="AO55" s="76">
        <f t="shared" si="4"/>
        <v>-36.361475919227715</v>
      </c>
      <c r="AP55" s="63" t="str">
        <f t="shared" si="5"/>
        <v/>
      </c>
      <c r="AQ55" s="63" t="str">
        <f t="shared" si="6"/>
        <v>Sell Stocks</v>
      </c>
      <c r="AR55" s="63" t="str">
        <f t="shared" si="7"/>
        <v/>
      </c>
      <c r="AS55" s="63" t="str">
        <f t="shared" si="8"/>
        <v/>
      </c>
      <c r="AT55" s="78" t="str">
        <f t="shared" si="9"/>
        <v/>
      </c>
      <c r="AU55" s="78" t="str">
        <f t="shared" si="10"/>
        <v/>
      </c>
      <c r="AV55" s="64" t="str">
        <f ca="1">IFERROR(__xludf.DUMMYFUNCTION("IF(TRIM(AU55)="""","""",AU55/INDEX(FILTER(AT$3:AT55,TRIM(AT$3:AT55)&lt;&gt;""""),ROWS(FILTER(AT$3:AT55,TRIM(AT$3:AT55)&lt;&gt;"""")))-1)"),"")</f>
        <v/>
      </c>
      <c r="AW55" s="65" t="e">
        <f t="shared" ca="1" si="2"/>
        <v>#VALUE!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ht="19" x14ac:dyDescent="0.25">
      <c r="A56" s="5"/>
      <c r="B56" s="5"/>
      <c r="C56" s="5"/>
      <c r="D56" s="5"/>
      <c r="E56" s="5"/>
      <c r="F56" s="5"/>
      <c r="G56" s="5"/>
      <c r="H56" s="6"/>
      <c r="I56" s="5"/>
      <c r="J56" s="83"/>
      <c r="K56" s="83"/>
      <c r="L56" s="83"/>
      <c r="M56" s="83"/>
      <c r="N56" s="83"/>
      <c r="O56" s="83"/>
      <c r="P56" s="83"/>
      <c r="Q56" s="84"/>
      <c r="R56" s="83"/>
      <c r="S56" s="83"/>
      <c r="T56" s="85"/>
      <c r="U56" s="6"/>
      <c r="V56" s="44">
        <v>43998</v>
      </c>
      <c r="W56" s="45">
        <v>119.54</v>
      </c>
      <c r="X56" s="46"/>
      <c r="Y56" s="61"/>
      <c r="Z56" s="5"/>
      <c r="AA56" s="5"/>
      <c r="AB56" s="5"/>
      <c r="AC56" s="5"/>
      <c r="AD56" s="5"/>
      <c r="AE56" s="5"/>
      <c r="AF56" s="5"/>
      <c r="AG56" s="5"/>
      <c r="AH56" s="6"/>
      <c r="AI56" s="87">
        <v>43998</v>
      </c>
      <c r="AJ56" s="53">
        <v>119.54</v>
      </c>
      <c r="AK56" s="54">
        <f t="shared" si="0"/>
        <v>2.8743545611015442E-2</v>
      </c>
      <c r="AL56" s="55">
        <f t="shared" si="3"/>
        <v>79.583168785704899</v>
      </c>
      <c r="AM56" s="56">
        <v>25</v>
      </c>
      <c r="AN56" s="57">
        <f t="shared" si="1"/>
        <v>-54.583168785704899</v>
      </c>
      <c r="AO56" s="76">
        <f t="shared" si="4"/>
        <v>-44.592212162470233</v>
      </c>
      <c r="AP56" s="63" t="str">
        <f t="shared" si="5"/>
        <v/>
      </c>
      <c r="AQ56" s="63" t="str">
        <f t="shared" si="6"/>
        <v>Sell Stocks</v>
      </c>
      <c r="AR56" s="63" t="str">
        <f t="shared" si="7"/>
        <v/>
      </c>
      <c r="AS56" s="63" t="str">
        <f t="shared" si="8"/>
        <v/>
      </c>
      <c r="AT56" s="78" t="str">
        <f t="shared" si="9"/>
        <v/>
      </c>
      <c r="AU56" s="78" t="str">
        <f t="shared" si="10"/>
        <v/>
      </c>
      <c r="AV56" s="64" t="str">
        <f ca="1">IFERROR(__xludf.DUMMYFUNCTION("IF(TRIM(AU56)="""","""",AU56/INDEX(FILTER(AT$3:AT56,TRIM(AT$3:AT56)&lt;&gt;""""),ROWS(FILTER(AT$3:AT56,TRIM(AT$3:AT56)&lt;&gt;"""")))-1)"),"")</f>
        <v/>
      </c>
      <c r="AW56" s="65" t="e">
        <f t="shared" ca="1" si="2"/>
        <v>#VALUE!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ht="19" x14ac:dyDescent="0.25">
      <c r="A57" s="5"/>
      <c r="B57" s="5"/>
      <c r="C57" s="5"/>
      <c r="D57" s="5"/>
      <c r="E57" s="5"/>
      <c r="F57" s="5"/>
      <c r="G57" s="5"/>
      <c r="H57" s="6"/>
      <c r="I57" s="5"/>
      <c r="J57" s="83"/>
      <c r="K57" s="83"/>
      <c r="L57" s="83"/>
      <c r="M57" s="83"/>
      <c r="N57" s="83"/>
      <c r="O57" s="83"/>
      <c r="P57" s="83"/>
      <c r="Q57" s="84"/>
      <c r="R57" s="83"/>
      <c r="S57" s="83"/>
      <c r="T57" s="85"/>
      <c r="U57" s="6"/>
      <c r="V57" s="44">
        <v>43999</v>
      </c>
      <c r="W57" s="45">
        <v>118.58</v>
      </c>
      <c r="X57" s="46"/>
      <c r="Y57" s="61"/>
      <c r="Z57" s="5"/>
      <c r="AA57" s="5"/>
      <c r="AB57" s="5"/>
      <c r="AC57" s="5"/>
      <c r="AD57" s="5"/>
      <c r="AE57" s="5"/>
      <c r="AF57" s="5"/>
      <c r="AG57" s="5"/>
      <c r="AH57" s="6"/>
      <c r="AI57" s="87">
        <v>43999</v>
      </c>
      <c r="AJ57" s="53">
        <v>118.58</v>
      </c>
      <c r="AK57" s="54">
        <f t="shared" si="0"/>
        <v>-8.0307846745859557E-3</v>
      </c>
      <c r="AL57" s="55">
        <f t="shared" si="3"/>
        <v>79.416547257352804</v>
      </c>
      <c r="AM57" s="56">
        <v>25</v>
      </c>
      <c r="AN57" s="57">
        <f t="shared" si="1"/>
        <v>-54.416547257352804</v>
      </c>
      <c r="AO57" s="76">
        <f t="shared" si="4"/>
        <v>-52.668480681887601</v>
      </c>
      <c r="AP57" s="63" t="str">
        <f t="shared" si="5"/>
        <v/>
      </c>
      <c r="AQ57" s="63" t="str">
        <f t="shared" si="6"/>
        <v>Sell Stocks</v>
      </c>
      <c r="AR57" s="63" t="str">
        <f t="shared" si="7"/>
        <v/>
      </c>
      <c r="AS57" s="63" t="str">
        <f t="shared" si="8"/>
        <v/>
      </c>
      <c r="AT57" s="78" t="str">
        <f t="shared" si="9"/>
        <v/>
      </c>
      <c r="AU57" s="78" t="str">
        <f t="shared" si="10"/>
        <v/>
      </c>
      <c r="AV57" s="64" t="str">
        <f ca="1">IFERROR(__xludf.DUMMYFUNCTION("IF(TRIM(AU57)="""","""",AU57/INDEX(FILTER(AT$3:AT57,TRIM(AT$3:AT57)&lt;&gt;""""),ROWS(FILTER(AT$3:AT57,TRIM(AT$3:AT57)&lt;&gt;"""")))-1)"),"")</f>
        <v/>
      </c>
      <c r="AW57" s="65" t="e">
        <f t="shared" ca="1" si="2"/>
        <v>#VALUE!</v>
      </c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ht="19" x14ac:dyDescent="0.25">
      <c r="A58" s="5"/>
      <c r="B58" s="5"/>
      <c r="C58" s="5"/>
      <c r="D58" s="5"/>
      <c r="E58" s="5"/>
      <c r="F58" s="5"/>
      <c r="G58" s="5"/>
      <c r="H58" s="6"/>
      <c r="I58" s="5"/>
      <c r="J58" s="83"/>
      <c r="K58" s="83"/>
      <c r="L58" s="83"/>
      <c r="M58" s="83"/>
      <c r="N58" s="83"/>
      <c r="O58" s="83"/>
      <c r="P58" s="83"/>
      <c r="Q58" s="84"/>
      <c r="R58" s="83"/>
      <c r="S58" s="83"/>
      <c r="T58" s="85"/>
      <c r="U58" s="6"/>
      <c r="V58" s="44">
        <v>44000</v>
      </c>
      <c r="W58" s="45">
        <v>118.59</v>
      </c>
      <c r="X58" s="46"/>
      <c r="Y58" s="61"/>
      <c r="Z58" s="5"/>
      <c r="AA58" s="5"/>
      <c r="AB58" s="5"/>
      <c r="AC58" s="5"/>
      <c r="AD58" s="5"/>
      <c r="AE58" s="5"/>
      <c r="AF58" s="5"/>
      <c r="AG58" s="5"/>
      <c r="AH58" s="6"/>
      <c r="AI58" s="87">
        <v>44000</v>
      </c>
      <c r="AJ58" s="53">
        <v>118.59</v>
      </c>
      <c r="AK58" s="54">
        <f t="shared" si="0"/>
        <v>8.433125316242851E-5</v>
      </c>
      <c r="AL58" s="55">
        <f t="shared" si="3"/>
        <v>30.210769484922771</v>
      </c>
      <c r="AM58" s="56">
        <v>25</v>
      </c>
      <c r="AN58" s="57">
        <f t="shared" si="1"/>
        <v>-5.2107694849227713</v>
      </c>
      <c r="AO58" s="76">
        <f t="shared" si="4"/>
        <v>-43.312476349771714</v>
      </c>
      <c r="AP58" s="63" t="str">
        <f t="shared" si="5"/>
        <v/>
      </c>
      <c r="AQ58" s="63" t="str">
        <f t="shared" si="6"/>
        <v>Sell Stocks</v>
      </c>
      <c r="AR58" s="63" t="str">
        <f t="shared" si="7"/>
        <v/>
      </c>
      <c r="AS58" s="63" t="str">
        <f t="shared" si="8"/>
        <v/>
      </c>
      <c r="AT58" s="78" t="str">
        <f t="shared" si="9"/>
        <v/>
      </c>
      <c r="AU58" s="78" t="str">
        <f t="shared" si="10"/>
        <v/>
      </c>
      <c r="AV58" s="64" t="str">
        <f ca="1">IFERROR(__xludf.DUMMYFUNCTION("IF(TRIM(AU58)="""","""",AU58/INDEX(FILTER(AT$3:AT58,TRIM(AT$3:AT58)&lt;&gt;""""),ROWS(FILTER(AT$3:AT58,TRIM(AT$3:AT58)&lt;&gt;"""")))-1)"),"")</f>
        <v/>
      </c>
      <c r="AW58" s="65" t="e">
        <f t="shared" ca="1" si="2"/>
        <v>#VALUE!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ht="19" x14ac:dyDescent="0.25">
      <c r="A59" s="5"/>
      <c r="B59" s="5"/>
      <c r="C59" s="5"/>
      <c r="D59" s="5"/>
      <c r="E59" s="5"/>
      <c r="F59" s="5"/>
      <c r="G59" s="5"/>
      <c r="H59" s="6"/>
      <c r="I59" s="5"/>
      <c r="J59" s="83"/>
      <c r="K59" s="83"/>
      <c r="L59" s="83"/>
      <c r="M59" s="83"/>
      <c r="N59" s="83"/>
      <c r="O59" s="83"/>
      <c r="P59" s="83"/>
      <c r="Q59" s="84"/>
      <c r="R59" s="83"/>
      <c r="S59" s="83"/>
      <c r="T59" s="85"/>
      <c r="U59" s="6"/>
      <c r="V59" s="44">
        <v>44001</v>
      </c>
      <c r="W59" s="45">
        <v>116.98</v>
      </c>
      <c r="X59" s="46"/>
      <c r="Y59" s="61"/>
      <c r="Z59" s="5"/>
      <c r="AA59" s="5"/>
      <c r="AB59" s="5"/>
      <c r="AC59" s="5"/>
      <c r="AD59" s="5"/>
      <c r="AE59" s="5"/>
      <c r="AF59" s="5"/>
      <c r="AG59" s="5"/>
      <c r="AH59" s="6"/>
      <c r="AI59" s="87">
        <v>44001</v>
      </c>
      <c r="AJ59" s="53">
        <v>116.98</v>
      </c>
      <c r="AK59" s="54">
        <f t="shared" si="0"/>
        <v>-1.3576186862298667E-2</v>
      </c>
      <c r="AL59" s="55">
        <f t="shared" si="3"/>
        <v>26.01105552225405</v>
      </c>
      <c r="AM59" s="56">
        <v>25</v>
      </c>
      <c r="AN59" s="57">
        <f t="shared" si="1"/>
        <v>-1.0110555222540505</v>
      </c>
      <c r="AO59" s="76">
        <f t="shared" si="4"/>
        <v>-32.517554865432828</v>
      </c>
      <c r="AP59" s="63" t="str">
        <f t="shared" si="5"/>
        <v/>
      </c>
      <c r="AQ59" s="63" t="str">
        <f t="shared" si="6"/>
        <v>Sell Stocks</v>
      </c>
      <c r="AR59" s="63" t="str">
        <f t="shared" si="7"/>
        <v/>
      </c>
      <c r="AS59" s="63" t="str">
        <f t="shared" si="8"/>
        <v/>
      </c>
      <c r="AT59" s="78" t="str">
        <f t="shared" si="9"/>
        <v/>
      </c>
      <c r="AU59" s="78" t="str">
        <f t="shared" si="10"/>
        <v/>
      </c>
      <c r="AV59" s="64" t="str">
        <f ca="1">IFERROR(__xludf.DUMMYFUNCTION("IF(TRIM(AU59)="""","""",AU59/INDEX(FILTER(AT$3:AT59,TRIM(AT$3:AT59)&lt;&gt;""""),ROWS(FILTER(AT$3:AT59,TRIM(AT$3:AT59)&lt;&gt;"""")))-1)"),"")</f>
        <v/>
      </c>
      <c r="AW59" s="65" t="e">
        <f t="shared" ca="1" si="2"/>
        <v>#VALUE!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ht="19" x14ac:dyDescent="0.25">
      <c r="A60" s="5"/>
      <c r="B60" s="5"/>
      <c r="C60" s="5"/>
      <c r="D60" s="5"/>
      <c r="E60" s="5"/>
      <c r="F60" s="5"/>
      <c r="G60" s="5"/>
      <c r="H60" s="6"/>
      <c r="I60" s="5"/>
      <c r="J60" s="83"/>
      <c r="K60" s="83"/>
      <c r="L60" s="83"/>
      <c r="M60" s="83"/>
      <c r="N60" s="83"/>
      <c r="O60" s="83"/>
      <c r="P60" s="83"/>
      <c r="Q60" s="84"/>
      <c r="R60" s="83"/>
      <c r="S60" s="83"/>
      <c r="T60" s="85"/>
      <c r="U60" s="6"/>
      <c r="V60" s="44">
        <v>44004</v>
      </c>
      <c r="W60" s="45">
        <v>115.64</v>
      </c>
      <c r="X60" s="46"/>
      <c r="Y60" s="61"/>
      <c r="Z60" s="5"/>
      <c r="AA60" s="5"/>
      <c r="AB60" s="5"/>
      <c r="AC60" s="5"/>
      <c r="AD60" s="5"/>
      <c r="AE60" s="5"/>
      <c r="AF60" s="5"/>
      <c r="AG60" s="5"/>
      <c r="AH60" s="6"/>
      <c r="AI60" s="87">
        <v>44004</v>
      </c>
      <c r="AJ60" s="53">
        <v>115.64</v>
      </c>
      <c r="AK60" s="54">
        <f t="shared" si="0"/>
        <v>-1.1454949564028039E-2</v>
      </c>
      <c r="AL60" s="55">
        <f t="shared" si="3"/>
        <v>27.525629014501629</v>
      </c>
      <c r="AM60" s="56">
        <v>25</v>
      </c>
      <c r="AN60" s="57">
        <f t="shared" si="1"/>
        <v>-2.5256290145016287</v>
      </c>
      <c r="AO60" s="76">
        <f t="shared" si="4"/>
        <v>-23.549434012947231</v>
      </c>
      <c r="AP60" s="63" t="str">
        <f t="shared" si="5"/>
        <v/>
      </c>
      <c r="AQ60" s="63" t="str">
        <f t="shared" si="6"/>
        <v>Sell Stocks</v>
      </c>
      <c r="AR60" s="63" t="str">
        <f t="shared" si="7"/>
        <v/>
      </c>
      <c r="AS60" s="63" t="str">
        <f t="shared" si="8"/>
        <v/>
      </c>
      <c r="AT60" s="78" t="str">
        <f t="shared" si="9"/>
        <v/>
      </c>
      <c r="AU60" s="78" t="str">
        <f t="shared" si="10"/>
        <v/>
      </c>
      <c r="AV60" s="64" t="str">
        <f ca="1">IFERROR(__xludf.DUMMYFUNCTION("IF(TRIM(AU60)="""","""",AU60/INDEX(FILTER(AT$3:AT60,TRIM(AT$3:AT60)&lt;&gt;""""),ROWS(FILTER(AT$3:AT60,TRIM(AT$3:AT60)&lt;&gt;"""")))-1)"),"")</f>
        <v/>
      </c>
      <c r="AW60" s="65" t="e">
        <f t="shared" ca="1" si="2"/>
        <v>#VALUE!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ht="19" x14ac:dyDescent="0.25">
      <c r="A61" s="5"/>
      <c r="B61" s="5"/>
      <c r="C61" s="5"/>
      <c r="D61" s="5"/>
      <c r="E61" s="5"/>
      <c r="F61" s="5"/>
      <c r="G61" s="5"/>
      <c r="H61" s="6"/>
      <c r="I61" s="5"/>
      <c r="J61" s="83"/>
      <c r="K61" s="83"/>
      <c r="L61" s="83"/>
      <c r="M61" s="83"/>
      <c r="N61" s="83"/>
      <c r="O61" s="83"/>
      <c r="P61" s="83"/>
      <c r="Q61" s="84"/>
      <c r="R61" s="83"/>
      <c r="S61" s="83"/>
      <c r="T61" s="85"/>
      <c r="U61" s="6"/>
      <c r="V61" s="44">
        <v>44005</v>
      </c>
      <c r="W61" s="45">
        <v>114.06</v>
      </c>
      <c r="X61" s="46"/>
      <c r="Y61" s="61"/>
      <c r="Z61" s="5"/>
      <c r="AA61" s="5"/>
      <c r="AB61" s="5"/>
      <c r="AC61" s="5"/>
      <c r="AD61" s="5"/>
      <c r="AE61" s="5"/>
      <c r="AF61" s="5"/>
      <c r="AG61" s="5"/>
      <c r="AH61" s="6"/>
      <c r="AI61" s="87">
        <v>44005</v>
      </c>
      <c r="AJ61" s="53">
        <v>114.06</v>
      </c>
      <c r="AK61" s="54">
        <f t="shared" si="0"/>
        <v>-1.366309235558627E-2</v>
      </c>
      <c r="AL61" s="55">
        <f t="shared" si="3"/>
        <v>9.1067244781823149</v>
      </c>
      <c r="AM61" s="56">
        <v>25</v>
      </c>
      <c r="AN61" s="57">
        <f t="shared" si="1"/>
        <v>15.893275521817685</v>
      </c>
      <c r="AO61" s="76">
        <f t="shared" si="4"/>
        <v>-9.4541451514427131</v>
      </c>
      <c r="AP61" s="63" t="str">
        <f t="shared" si="5"/>
        <v/>
      </c>
      <c r="AQ61" s="63" t="str">
        <f t="shared" si="6"/>
        <v>Sell Stocks</v>
      </c>
      <c r="AR61" s="63" t="str">
        <f t="shared" si="7"/>
        <v/>
      </c>
      <c r="AS61" s="63" t="str">
        <f t="shared" si="8"/>
        <v/>
      </c>
      <c r="AT61" s="78" t="str">
        <f t="shared" si="9"/>
        <v/>
      </c>
      <c r="AU61" s="78" t="str">
        <f t="shared" si="10"/>
        <v/>
      </c>
      <c r="AV61" s="64" t="str">
        <f ca="1">IFERROR(__xludf.DUMMYFUNCTION("IF(TRIM(AU61)="""","""",AU61/INDEX(FILTER(AT$3:AT61,TRIM(AT$3:AT61)&lt;&gt;""""),ROWS(FILTER(AT$3:AT61,TRIM(AT$3:AT61)&lt;&gt;"""")))-1)"),"")</f>
        <v/>
      </c>
      <c r="AW61" s="65" t="e">
        <f t="shared" ca="1" si="2"/>
        <v>#VALUE!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ht="19" x14ac:dyDescent="0.25">
      <c r="A62" s="5"/>
      <c r="B62" s="5"/>
      <c r="C62" s="5"/>
      <c r="D62" s="5"/>
      <c r="E62" s="5"/>
      <c r="F62" s="5"/>
      <c r="G62" s="5"/>
      <c r="H62" s="6"/>
      <c r="I62" s="5"/>
      <c r="J62" s="83"/>
      <c r="K62" s="83"/>
      <c r="L62" s="83"/>
      <c r="M62" s="83"/>
      <c r="N62" s="83"/>
      <c r="O62" s="83"/>
      <c r="P62" s="83"/>
      <c r="Q62" s="84"/>
      <c r="R62" s="83"/>
      <c r="S62" s="83"/>
      <c r="T62" s="85"/>
      <c r="U62" s="6"/>
      <c r="V62" s="44">
        <v>44006</v>
      </c>
      <c r="W62" s="45">
        <v>111.2</v>
      </c>
      <c r="X62" s="46"/>
      <c r="Y62" s="61"/>
      <c r="Z62" s="5"/>
      <c r="AA62" s="5"/>
      <c r="AB62" s="5"/>
      <c r="AC62" s="5"/>
      <c r="AD62" s="5"/>
      <c r="AE62" s="5"/>
      <c r="AF62" s="5"/>
      <c r="AG62" s="5"/>
      <c r="AH62" s="6"/>
      <c r="AI62" s="87">
        <v>44006</v>
      </c>
      <c r="AJ62" s="53">
        <v>111.2</v>
      </c>
      <c r="AK62" s="54">
        <f t="shared" si="0"/>
        <v>-2.5074522181308123E-2</v>
      </c>
      <c r="AL62" s="55">
        <f t="shared" si="3"/>
        <v>14.194298497991205</v>
      </c>
      <c r="AM62" s="56">
        <v>25</v>
      </c>
      <c r="AN62" s="57">
        <f t="shared" si="1"/>
        <v>10.805701502008795</v>
      </c>
      <c r="AO62" s="76">
        <f t="shared" si="4"/>
        <v>3.5903046004296058</v>
      </c>
      <c r="AP62" s="63" t="str">
        <f t="shared" si="5"/>
        <v>Buy Stocks</v>
      </c>
      <c r="AQ62" s="63" t="str">
        <f t="shared" si="6"/>
        <v/>
      </c>
      <c r="AR62" s="63" t="str">
        <f t="shared" si="7"/>
        <v>Buy Stocks</v>
      </c>
      <c r="AS62" s="63" t="str">
        <f t="shared" si="8"/>
        <v/>
      </c>
      <c r="AT62" s="77">
        <f t="shared" si="9"/>
        <v>111.2</v>
      </c>
      <c r="AU62" s="78" t="str">
        <f t="shared" si="10"/>
        <v/>
      </c>
      <c r="AV62" s="64" t="str">
        <f ca="1">IFERROR(__xludf.DUMMYFUNCTION("IF(TRIM(AU62)="""","""",AU62/INDEX(FILTER(AT$3:AT62,TRIM(AT$3:AT62)&lt;&gt;""""),ROWS(FILTER(AT$3:AT62,TRIM(AT$3:AT62)&lt;&gt;"""")))-1)"),"")</f>
        <v/>
      </c>
      <c r="AW62" s="65" t="e">
        <f t="shared" ca="1" si="2"/>
        <v>#VALUE!</v>
      </c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ht="19" x14ac:dyDescent="0.25">
      <c r="A63" s="5"/>
      <c r="B63" s="5"/>
      <c r="C63" s="5"/>
      <c r="D63" s="5"/>
      <c r="E63" s="5"/>
      <c r="F63" s="5"/>
      <c r="G63" s="5"/>
      <c r="H63" s="6"/>
      <c r="I63" s="5"/>
      <c r="J63" s="83"/>
      <c r="K63" s="83"/>
      <c r="L63" s="83"/>
      <c r="M63" s="83"/>
      <c r="N63" s="83"/>
      <c r="O63" s="83"/>
      <c r="P63" s="83"/>
      <c r="Q63" s="84"/>
      <c r="R63" s="83"/>
      <c r="S63" s="83"/>
      <c r="T63" s="85"/>
      <c r="U63" s="6"/>
      <c r="V63" s="44">
        <v>44007</v>
      </c>
      <c r="W63" s="45">
        <v>113.69</v>
      </c>
      <c r="X63" s="46"/>
      <c r="Y63" s="61"/>
      <c r="Z63" s="5"/>
      <c r="AA63" s="5"/>
      <c r="AB63" s="5"/>
      <c r="AC63" s="5"/>
      <c r="AD63" s="5"/>
      <c r="AE63" s="5"/>
      <c r="AF63" s="5"/>
      <c r="AG63" s="5"/>
      <c r="AH63" s="6"/>
      <c r="AI63" s="87">
        <v>44007</v>
      </c>
      <c r="AJ63" s="53">
        <v>113.69</v>
      </c>
      <c r="AK63" s="54">
        <f t="shared" si="0"/>
        <v>2.2392086330935257E-2</v>
      </c>
      <c r="AL63" s="55">
        <f t="shared" si="3"/>
        <v>28.507234303802676</v>
      </c>
      <c r="AM63" s="56">
        <v>25</v>
      </c>
      <c r="AN63" s="57">
        <f t="shared" si="1"/>
        <v>-3.5072343038026759</v>
      </c>
      <c r="AO63" s="76">
        <f t="shared" si="4"/>
        <v>3.9310116366536247</v>
      </c>
      <c r="AP63" s="63" t="str">
        <f t="shared" si="5"/>
        <v>Buy Stocks</v>
      </c>
      <c r="AQ63" s="63" t="str">
        <f t="shared" si="6"/>
        <v/>
      </c>
      <c r="AR63" s="63" t="str">
        <f t="shared" si="7"/>
        <v/>
      </c>
      <c r="AS63" s="63" t="str">
        <f t="shared" si="8"/>
        <v/>
      </c>
      <c r="AT63" s="78" t="str">
        <f t="shared" si="9"/>
        <v/>
      </c>
      <c r="AU63" s="78" t="str">
        <f t="shared" si="10"/>
        <v/>
      </c>
      <c r="AV63" s="64" t="str">
        <f ca="1">IFERROR(__xludf.DUMMYFUNCTION("IF(TRIM(AU63)="""","""",AU63/INDEX(FILTER(AT$3:AT63,TRIM(AT$3:AT63)&lt;&gt;""""),ROWS(FILTER(AT$3:AT63,TRIM(AT$3:AT63)&lt;&gt;"""")))-1)"),"")</f>
        <v/>
      </c>
      <c r="AW63" s="65" t="e">
        <f t="shared" ca="1" si="2"/>
        <v>#VALUE!</v>
      </c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ht="19" x14ac:dyDescent="0.25">
      <c r="A64" s="5"/>
      <c r="B64" s="5"/>
      <c r="C64" s="5"/>
      <c r="D64" s="5"/>
      <c r="E64" s="5"/>
      <c r="F64" s="5"/>
      <c r="G64" s="5"/>
      <c r="H64" s="6"/>
      <c r="I64" s="5"/>
      <c r="J64" s="83"/>
      <c r="K64" s="83"/>
      <c r="L64" s="83"/>
      <c r="M64" s="83"/>
      <c r="N64" s="83"/>
      <c r="O64" s="83"/>
      <c r="P64" s="83"/>
      <c r="Q64" s="84"/>
      <c r="R64" s="83"/>
      <c r="S64" s="83"/>
      <c r="T64" s="85"/>
      <c r="U64" s="6"/>
      <c r="V64" s="44">
        <v>44008</v>
      </c>
      <c r="W64" s="45">
        <v>111.94</v>
      </c>
      <c r="X64" s="46"/>
      <c r="Y64" s="61"/>
      <c r="Z64" s="5"/>
      <c r="AA64" s="5"/>
      <c r="AB64" s="5"/>
      <c r="AC64" s="5"/>
      <c r="AD64" s="5"/>
      <c r="AE64" s="5"/>
      <c r="AF64" s="5"/>
      <c r="AG64" s="5"/>
      <c r="AH64" s="6"/>
      <c r="AI64" s="44">
        <v>44008</v>
      </c>
      <c r="AJ64" s="53">
        <v>111.94</v>
      </c>
      <c r="AK64" s="54">
        <f t="shared" si="0"/>
        <v>-1.5392734629254945E-2</v>
      </c>
      <c r="AL64" s="55">
        <f t="shared" si="3"/>
        <v>28.7481893420929</v>
      </c>
      <c r="AM64" s="56">
        <v>25</v>
      </c>
      <c r="AN64" s="57">
        <f t="shared" si="1"/>
        <v>-3.7481893420928998</v>
      </c>
      <c r="AO64" s="76">
        <f t="shared" si="4"/>
        <v>3.3835848726858551</v>
      </c>
      <c r="AP64" s="63" t="str">
        <f t="shared" si="5"/>
        <v>Buy Stocks</v>
      </c>
      <c r="AQ64" s="63" t="str">
        <f t="shared" si="6"/>
        <v/>
      </c>
      <c r="AR64" s="63" t="str">
        <f t="shared" si="7"/>
        <v/>
      </c>
      <c r="AS64" s="63" t="str">
        <f t="shared" si="8"/>
        <v/>
      </c>
      <c r="AT64" s="78" t="str">
        <f t="shared" si="9"/>
        <v/>
      </c>
      <c r="AU64" s="78" t="str">
        <f t="shared" si="10"/>
        <v/>
      </c>
      <c r="AV64" s="64" t="str">
        <f ca="1">IFERROR(__xludf.DUMMYFUNCTION("IF(TRIM(AU64)="""","""",AU64/INDEX(FILTER(AT$3:AT64,TRIM(AT$3:AT64)&lt;&gt;""""),ROWS(FILTER(AT$3:AT64,TRIM(AT$3:AT64)&lt;&gt;"""")))-1)"),"")</f>
        <v/>
      </c>
      <c r="AW64" s="65" t="e">
        <f t="shared" ca="1" si="2"/>
        <v>#VALUE!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ht="19" x14ac:dyDescent="0.25">
      <c r="A65" s="5"/>
      <c r="B65" s="5"/>
      <c r="C65" s="5"/>
      <c r="D65" s="5"/>
      <c r="E65" s="5"/>
      <c r="F65" s="5"/>
      <c r="G65" s="5"/>
      <c r="H65" s="6"/>
      <c r="I65" s="5"/>
      <c r="J65" s="83"/>
      <c r="K65" s="83"/>
      <c r="L65" s="83"/>
      <c r="M65" s="83"/>
      <c r="N65" s="83"/>
      <c r="O65" s="83"/>
      <c r="P65" s="83"/>
      <c r="Q65" s="84"/>
      <c r="R65" s="83"/>
      <c r="S65" s="83"/>
      <c r="T65" s="85"/>
      <c r="U65" s="6"/>
      <c r="V65" s="44">
        <v>44011</v>
      </c>
      <c r="W65" s="45">
        <v>114.38</v>
      </c>
      <c r="X65" s="46"/>
      <c r="Y65" s="61"/>
      <c r="Z65" s="5"/>
      <c r="AA65" s="5"/>
      <c r="AB65" s="5"/>
      <c r="AC65" s="5"/>
      <c r="AD65" s="5"/>
      <c r="AE65" s="5"/>
      <c r="AF65" s="5"/>
      <c r="AG65" s="5"/>
      <c r="AH65" s="6"/>
      <c r="AI65" s="44">
        <v>44011</v>
      </c>
      <c r="AJ65" s="53">
        <v>114.38</v>
      </c>
      <c r="AK65" s="54">
        <f t="shared" si="0"/>
        <v>2.1797391459710491E-2</v>
      </c>
      <c r="AL65" s="55">
        <f t="shared" si="3"/>
        <v>35.577280143910187</v>
      </c>
      <c r="AM65" s="56">
        <v>25</v>
      </c>
      <c r="AN65" s="57">
        <f t="shared" si="1"/>
        <v>-10.577280143910187</v>
      </c>
      <c r="AO65" s="76">
        <f t="shared" si="4"/>
        <v>1.7732546468041435</v>
      </c>
      <c r="AP65" s="63" t="str">
        <f t="shared" si="5"/>
        <v>Buy Stocks</v>
      </c>
      <c r="AQ65" s="63" t="str">
        <f t="shared" si="6"/>
        <v/>
      </c>
      <c r="AR65" s="63" t="str">
        <f t="shared" si="7"/>
        <v/>
      </c>
      <c r="AS65" s="63" t="str">
        <f t="shared" si="8"/>
        <v/>
      </c>
      <c r="AT65" s="78" t="str">
        <f t="shared" si="9"/>
        <v/>
      </c>
      <c r="AU65" s="78" t="str">
        <f t="shared" si="10"/>
        <v/>
      </c>
      <c r="AV65" s="64" t="str">
        <f ca="1">IFERROR(__xludf.DUMMYFUNCTION("IF(TRIM(AU65)="""","""",AU65/INDEX(FILTER(AT$3:AT65,TRIM(AT$3:AT65)&lt;&gt;""""),ROWS(FILTER(AT$3:AT65,TRIM(AT$3:AT65)&lt;&gt;"""")))-1)"),"")</f>
        <v/>
      </c>
      <c r="AW65" s="65" t="e">
        <f t="shared" ca="1" si="2"/>
        <v>#VALUE!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ht="19" x14ac:dyDescent="0.25">
      <c r="A66" s="5"/>
      <c r="B66" s="5"/>
      <c r="C66" s="5"/>
      <c r="D66" s="5"/>
      <c r="E66" s="5"/>
      <c r="F66" s="5"/>
      <c r="G66" s="5"/>
      <c r="H66" s="6"/>
      <c r="I66" s="5"/>
      <c r="J66" s="83"/>
      <c r="K66" s="83"/>
      <c r="L66" s="83"/>
      <c r="M66" s="83"/>
      <c r="N66" s="83"/>
      <c r="O66" s="83"/>
      <c r="P66" s="83"/>
      <c r="Q66" s="84"/>
      <c r="R66" s="83"/>
      <c r="S66" s="83"/>
      <c r="T66" s="85"/>
      <c r="U66" s="6"/>
      <c r="V66" s="44">
        <v>44012</v>
      </c>
      <c r="W66" s="45">
        <v>115.36</v>
      </c>
      <c r="X66" s="46"/>
      <c r="Y66" s="61"/>
      <c r="Z66" s="5"/>
      <c r="AA66" s="5"/>
      <c r="AB66" s="5"/>
      <c r="AC66" s="5"/>
      <c r="AD66" s="5"/>
      <c r="AE66" s="5"/>
      <c r="AF66" s="5"/>
      <c r="AG66" s="5"/>
      <c r="AH66" s="6"/>
      <c r="AI66" s="44">
        <v>44012</v>
      </c>
      <c r="AJ66" s="53">
        <v>115.36</v>
      </c>
      <c r="AK66" s="54">
        <f t="shared" si="0"/>
        <v>8.5679314565483278E-3</v>
      </c>
      <c r="AL66" s="55">
        <f t="shared" si="3"/>
        <v>34.464500066757715</v>
      </c>
      <c r="AM66" s="56">
        <v>25</v>
      </c>
      <c r="AN66" s="57">
        <f t="shared" si="1"/>
        <v>-9.464500066757715</v>
      </c>
      <c r="AO66" s="76">
        <f t="shared" si="4"/>
        <v>-3.2983004709109367</v>
      </c>
      <c r="AP66" s="63" t="str">
        <f t="shared" si="5"/>
        <v/>
      </c>
      <c r="AQ66" s="63" t="str">
        <f t="shared" si="6"/>
        <v>Sell Stocks</v>
      </c>
      <c r="AR66" s="63" t="str">
        <f t="shared" si="7"/>
        <v/>
      </c>
      <c r="AS66" s="63" t="str">
        <f t="shared" si="8"/>
        <v>Sell Stocks</v>
      </c>
      <c r="AT66" s="78" t="str">
        <f t="shared" si="9"/>
        <v/>
      </c>
      <c r="AU66" s="77">
        <f t="shared" si="10"/>
        <v>115.36</v>
      </c>
      <c r="AV66" s="64">
        <f ca="1">IFERROR(__xludf.DUMMYFUNCTION("IF(TRIM(AU66)="""","""",AU66/INDEX(FILTER(AT$3:AT66,TRIM(AT$3:AT66)&lt;&gt;""""),ROWS(FILTER(AT$3:AT66,TRIM(AT$3:AT66)&lt;&gt;"""")))-1)"),0.0374100719424459)</f>
        <v>3.7410071942445902E-2</v>
      </c>
      <c r="AW66" s="65" t="e">
        <f t="shared" ca="1" si="2"/>
        <v>#VALUE!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ht="19" x14ac:dyDescent="0.25">
      <c r="A67" s="5"/>
      <c r="B67" s="5"/>
      <c r="C67" s="5"/>
      <c r="D67" s="5"/>
      <c r="E67" s="5"/>
      <c r="F67" s="5"/>
      <c r="G67" s="5"/>
      <c r="H67" s="6"/>
      <c r="I67" s="5"/>
      <c r="J67" s="83"/>
      <c r="K67" s="83"/>
      <c r="L67" s="83"/>
      <c r="M67" s="83"/>
      <c r="N67" s="83"/>
      <c r="O67" s="83"/>
      <c r="P67" s="83"/>
      <c r="Q67" s="84"/>
      <c r="R67" s="83"/>
      <c r="S67" s="83"/>
      <c r="T67" s="85"/>
      <c r="U67" s="6"/>
      <c r="V67" s="44">
        <v>44013</v>
      </c>
      <c r="W67" s="45">
        <v>113.23</v>
      </c>
      <c r="X67" s="46"/>
      <c r="Y67" s="61"/>
      <c r="Z67" s="5"/>
      <c r="AA67" s="5"/>
      <c r="AB67" s="5"/>
      <c r="AC67" s="5"/>
      <c r="AD67" s="5"/>
      <c r="AE67" s="5"/>
      <c r="AF67" s="5"/>
      <c r="AG67" s="5"/>
      <c r="AH67" s="6"/>
      <c r="AI67" s="44">
        <v>44013</v>
      </c>
      <c r="AJ67" s="53">
        <v>113.23</v>
      </c>
      <c r="AK67" s="54">
        <f t="shared" ref="AK67:AK130" si="11">AJ67/AJ66-1</f>
        <v>-1.846393897364762E-2</v>
      </c>
      <c r="AL67" s="55">
        <f t="shared" si="3"/>
        <v>31.312914572794792</v>
      </c>
      <c r="AM67" s="56">
        <v>25</v>
      </c>
      <c r="AN67" s="57">
        <f t="shared" ref="AN67:AN130" si="12">AM67-AL67</f>
        <v>-6.3129145727947922</v>
      </c>
      <c r="AO67" s="76">
        <f t="shared" si="4"/>
        <v>-6.7220236858716529</v>
      </c>
      <c r="AP67" s="63" t="str">
        <f t="shared" si="5"/>
        <v/>
      </c>
      <c r="AQ67" s="63" t="str">
        <f t="shared" si="6"/>
        <v>Sell Stocks</v>
      </c>
      <c r="AR67" s="63" t="str">
        <f t="shared" si="7"/>
        <v/>
      </c>
      <c r="AS67" s="63" t="str">
        <f t="shared" si="8"/>
        <v/>
      </c>
      <c r="AT67" s="78" t="str">
        <f t="shared" si="9"/>
        <v/>
      </c>
      <c r="AU67" s="78" t="str">
        <f t="shared" si="10"/>
        <v/>
      </c>
      <c r="AV67" s="64" t="str">
        <f ca="1">IFERROR(__xludf.DUMMYFUNCTION("IF(TRIM(AU67)="""","""",AU67/INDEX(FILTER(AT$3:AT67,TRIM(AT$3:AT67)&lt;&gt;""""),ROWS(FILTER(AT$3:AT67,TRIM(AT$3:AT67)&lt;&gt;"""")))-1)"),"")</f>
        <v/>
      </c>
      <c r="AW67" s="65" t="e">
        <f t="shared" ref="AW67:AW130" ca="1" si="13">AW66*(1+AV67)</f>
        <v>#VALUE!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ht="19" x14ac:dyDescent="0.25">
      <c r="A68" s="5"/>
      <c r="B68" s="5"/>
      <c r="C68" s="5"/>
      <c r="D68" s="5"/>
      <c r="E68" s="5"/>
      <c r="F68" s="5"/>
      <c r="G68" s="5"/>
      <c r="H68" s="6"/>
      <c r="I68" s="5"/>
      <c r="J68" s="83"/>
      <c r="K68" s="83"/>
      <c r="L68" s="83"/>
      <c r="M68" s="83"/>
      <c r="N68" s="83"/>
      <c r="O68" s="83"/>
      <c r="P68" s="83"/>
      <c r="Q68" s="84"/>
      <c r="R68" s="83"/>
      <c r="S68" s="83"/>
      <c r="T68" s="85"/>
      <c r="U68" s="6"/>
      <c r="V68" s="44">
        <v>44014</v>
      </c>
      <c r="W68" s="45">
        <v>114.33</v>
      </c>
      <c r="X68" s="46"/>
      <c r="Y68" s="61"/>
      <c r="Z68" s="5"/>
      <c r="AA68" s="5"/>
      <c r="AB68" s="5"/>
      <c r="AC68" s="5"/>
      <c r="AD68" s="5"/>
      <c r="AE68" s="5"/>
      <c r="AF68" s="5"/>
      <c r="AG68" s="5"/>
      <c r="AH68" s="6"/>
      <c r="AI68" s="44">
        <v>44014</v>
      </c>
      <c r="AJ68" s="53">
        <v>114.33</v>
      </c>
      <c r="AK68" s="54">
        <f t="shared" si="11"/>
        <v>9.71473990991778E-3</v>
      </c>
      <c r="AL68" s="55">
        <f t="shared" si="3"/>
        <v>27.644204357941426</v>
      </c>
      <c r="AM68" s="56">
        <v>25</v>
      </c>
      <c r="AN68" s="57">
        <f t="shared" si="12"/>
        <v>-2.6442043579414261</v>
      </c>
      <c r="AO68" s="76">
        <f t="shared" si="4"/>
        <v>-6.5494176966994049</v>
      </c>
      <c r="AP68" s="63" t="str">
        <f t="shared" si="5"/>
        <v/>
      </c>
      <c r="AQ68" s="63" t="str">
        <f t="shared" si="6"/>
        <v>Sell Stocks</v>
      </c>
      <c r="AR68" s="63" t="str">
        <f t="shared" si="7"/>
        <v/>
      </c>
      <c r="AS68" s="63" t="str">
        <f t="shared" si="8"/>
        <v/>
      </c>
      <c r="AT68" s="78" t="str">
        <f t="shared" si="9"/>
        <v/>
      </c>
      <c r="AU68" s="78" t="str">
        <f t="shared" si="10"/>
        <v/>
      </c>
      <c r="AV68" s="64" t="str">
        <f ca="1">IFERROR(__xludf.DUMMYFUNCTION("IF(TRIM(AU68)="""","""",AU68/INDEX(FILTER(AT$3:AT68,TRIM(AT$3:AT68)&lt;&gt;""""),ROWS(FILTER(AT$3:AT68,TRIM(AT$3:AT68)&lt;&gt;"""")))-1)"),"")</f>
        <v/>
      </c>
      <c r="AW68" s="65" t="e">
        <f t="shared" ca="1" si="13"/>
        <v>#VALUE!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ht="19" x14ac:dyDescent="0.25">
      <c r="A69" s="5"/>
      <c r="B69" s="5"/>
      <c r="C69" s="5"/>
      <c r="D69" s="5"/>
      <c r="E69" s="5"/>
      <c r="F69" s="5"/>
      <c r="G69" s="5"/>
      <c r="H69" s="6"/>
      <c r="I69" s="5"/>
      <c r="J69" s="83"/>
      <c r="K69" s="83"/>
      <c r="L69" s="83"/>
      <c r="M69" s="83"/>
      <c r="N69" s="83"/>
      <c r="O69" s="83"/>
      <c r="P69" s="83"/>
      <c r="Q69" s="84"/>
      <c r="R69" s="83"/>
      <c r="S69" s="83"/>
      <c r="T69" s="85"/>
      <c r="U69" s="6"/>
      <c r="V69" s="44">
        <v>44018</v>
      </c>
      <c r="W69" s="45">
        <v>114.8</v>
      </c>
      <c r="X69" s="46"/>
      <c r="Y69" s="61"/>
      <c r="Z69" s="5"/>
      <c r="AA69" s="5"/>
      <c r="AB69" s="5"/>
      <c r="AC69" s="5"/>
      <c r="AD69" s="5"/>
      <c r="AE69" s="5"/>
      <c r="AF69" s="5"/>
      <c r="AG69" s="5"/>
      <c r="AH69" s="6"/>
      <c r="AI69" s="44">
        <v>44018</v>
      </c>
      <c r="AJ69" s="53">
        <v>114.8</v>
      </c>
      <c r="AK69" s="54">
        <f t="shared" si="11"/>
        <v>4.1109070235283429E-3</v>
      </c>
      <c r="AL69" s="55">
        <f t="shared" si="3"/>
        <v>23.389357764473573</v>
      </c>
      <c r="AM69" s="56">
        <v>25</v>
      </c>
      <c r="AN69" s="57">
        <f t="shared" si="12"/>
        <v>1.6106422355264272</v>
      </c>
      <c r="AO69" s="76">
        <f t="shared" si="4"/>
        <v>-5.477651381175539</v>
      </c>
      <c r="AP69" s="63" t="str">
        <f t="shared" si="5"/>
        <v/>
      </c>
      <c r="AQ69" s="63" t="str">
        <f t="shared" si="6"/>
        <v>Sell Stocks</v>
      </c>
      <c r="AR69" s="63" t="str">
        <f t="shared" si="7"/>
        <v/>
      </c>
      <c r="AS69" s="63" t="str">
        <f t="shared" si="8"/>
        <v/>
      </c>
      <c r="AT69" s="78" t="str">
        <f t="shared" si="9"/>
        <v/>
      </c>
      <c r="AU69" s="78" t="str">
        <f t="shared" si="10"/>
        <v/>
      </c>
      <c r="AV69" s="64" t="str">
        <f ca="1">IFERROR(__xludf.DUMMYFUNCTION("IF(TRIM(AU69)="""","""",AU69/INDEX(FILTER(AT$3:AT69,TRIM(AT$3:AT69)&lt;&gt;""""),ROWS(FILTER(AT$3:AT69,TRIM(AT$3:AT69)&lt;&gt;"""")))-1)"),"")</f>
        <v/>
      </c>
      <c r="AW69" s="65" t="e">
        <f t="shared" ca="1" si="13"/>
        <v>#VALUE!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ht="19" x14ac:dyDescent="0.25">
      <c r="A70" s="5"/>
      <c r="B70" s="5"/>
      <c r="C70" s="5"/>
      <c r="D70" s="5"/>
      <c r="E70" s="5"/>
      <c r="F70" s="5"/>
      <c r="G70" s="5"/>
      <c r="H70" s="6"/>
      <c r="I70" s="5"/>
      <c r="J70" s="83"/>
      <c r="K70" s="83"/>
      <c r="L70" s="83"/>
      <c r="M70" s="83"/>
      <c r="N70" s="83"/>
      <c r="O70" s="83"/>
      <c r="P70" s="83"/>
      <c r="Q70" s="84"/>
      <c r="R70" s="83"/>
      <c r="S70" s="83"/>
      <c r="T70" s="85"/>
      <c r="U70" s="6"/>
      <c r="V70" s="44">
        <v>44019</v>
      </c>
      <c r="W70" s="45">
        <v>112.31</v>
      </c>
      <c r="X70" s="46"/>
      <c r="Y70" s="61"/>
      <c r="Z70" s="5"/>
      <c r="AA70" s="5"/>
      <c r="AB70" s="5"/>
      <c r="AC70" s="5"/>
      <c r="AD70" s="5"/>
      <c r="AE70" s="5"/>
      <c r="AF70" s="5"/>
      <c r="AG70" s="5"/>
      <c r="AH70" s="6"/>
      <c r="AI70" s="44">
        <v>44019</v>
      </c>
      <c r="AJ70" s="53">
        <v>112.31</v>
      </c>
      <c r="AK70" s="54">
        <f t="shared" si="11"/>
        <v>-2.1689895470383247E-2</v>
      </c>
      <c r="AL70" s="55">
        <f t="shared" si="3"/>
        <v>24.24397082274767</v>
      </c>
      <c r="AM70" s="56">
        <v>25</v>
      </c>
      <c r="AN70" s="57">
        <f t="shared" si="12"/>
        <v>0.75602917725232999</v>
      </c>
      <c r="AO70" s="76">
        <f t="shared" si="4"/>
        <v>-3.2109895169430351</v>
      </c>
      <c r="AP70" s="63" t="str">
        <f t="shared" si="5"/>
        <v/>
      </c>
      <c r="AQ70" s="63" t="str">
        <f t="shared" si="6"/>
        <v>Sell Stocks</v>
      </c>
      <c r="AR70" s="63" t="str">
        <f t="shared" si="7"/>
        <v/>
      </c>
      <c r="AS70" s="63" t="str">
        <f t="shared" si="8"/>
        <v/>
      </c>
      <c r="AT70" s="78" t="str">
        <f t="shared" si="9"/>
        <v/>
      </c>
      <c r="AU70" s="78" t="str">
        <f t="shared" si="10"/>
        <v/>
      </c>
      <c r="AV70" s="64" t="str">
        <f ca="1">IFERROR(__xludf.DUMMYFUNCTION("IF(TRIM(AU70)="""","""",AU70/INDEX(FILTER(AT$3:AT70,TRIM(AT$3:AT70)&lt;&gt;""""),ROWS(FILTER(AT$3:AT70,TRIM(AT$3:AT70)&lt;&gt;"""")))-1)"),"")</f>
        <v/>
      </c>
      <c r="AW70" s="65" t="e">
        <f t="shared" ca="1" si="13"/>
        <v>#VALUE!</v>
      </c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ht="19" x14ac:dyDescent="0.25">
      <c r="A71" s="5"/>
      <c r="B71" s="5"/>
      <c r="C71" s="5"/>
      <c r="D71" s="5"/>
      <c r="E71" s="5"/>
      <c r="F71" s="5"/>
      <c r="G71" s="5"/>
      <c r="H71" s="6"/>
      <c r="I71" s="5"/>
      <c r="J71" s="83"/>
      <c r="K71" s="83"/>
      <c r="L71" s="83"/>
      <c r="M71" s="83"/>
      <c r="N71" s="83"/>
      <c r="O71" s="83"/>
      <c r="P71" s="83"/>
      <c r="Q71" s="84"/>
      <c r="R71" s="83"/>
      <c r="S71" s="83"/>
      <c r="T71" s="85"/>
      <c r="U71" s="6"/>
      <c r="V71" s="87">
        <v>44020</v>
      </c>
      <c r="W71" s="45">
        <v>112.43</v>
      </c>
      <c r="X71" s="46"/>
      <c r="Y71" s="61"/>
      <c r="Z71" s="5"/>
      <c r="AA71" s="5"/>
      <c r="AB71" s="5"/>
      <c r="AC71" s="5"/>
      <c r="AD71" s="5"/>
      <c r="AE71" s="5"/>
      <c r="AF71" s="5"/>
      <c r="AG71" s="5"/>
      <c r="AH71" s="6"/>
      <c r="AI71" s="87">
        <v>44020</v>
      </c>
      <c r="AJ71" s="53">
        <v>112.43</v>
      </c>
      <c r="AK71" s="54">
        <f t="shared" si="11"/>
        <v>1.0684711957973381E-3</v>
      </c>
      <c r="AL71" s="55">
        <f t="shared" ref="AL71:AL134" si="14">_xlfn.STDEV.S(AK67:AK71)*SQRT(252)*100</f>
        <v>22.396215019955132</v>
      </c>
      <c r="AM71" s="56">
        <v>25</v>
      </c>
      <c r="AN71" s="57">
        <f t="shared" si="12"/>
        <v>2.6037849800448676</v>
      </c>
      <c r="AO71" s="76">
        <f t="shared" ref="AO71:AO134" si="15">AVERAGE(AN67:AN71)</f>
        <v>-0.79733250758251872</v>
      </c>
      <c r="AP71" s="63" t="str">
        <f t="shared" ref="AP71:AP134" si="16">IF(AO71&gt;0,"Buy Stocks","")</f>
        <v/>
      </c>
      <c r="AQ71" s="63" t="str">
        <f t="shared" ref="AQ71:AQ134" si="17">IF(AO71&lt;0,"Sell Stocks","")</f>
        <v>Sell Stocks</v>
      </c>
      <c r="AR71" s="63" t="str">
        <f t="shared" ref="AR71:AR134" si="18">IF(AND(AP71="Buy Stocks",AP70=""),"Buy Stocks","")</f>
        <v/>
      </c>
      <c r="AS71" s="63" t="str">
        <f t="shared" ref="AS71:AS134" si="19">IF(AND(AQ71="Sell Stocks",AQ70=""),"Sell Stocks","")</f>
        <v/>
      </c>
      <c r="AT71" s="78" t="str">
        <f t="shared" ref="AT71:AT134" si="20">IF(AR71="Buy Stocks",AJ71,"")</f>
        <v/>
      </c>
      <c r="AU71" s="78" t="str">
        <f t="shared" ref="AU71:AU134" si="21">IF(AS71="Sell Stocks",AJ71,"")</f>
        <v/>
      </c>
      <c r="AV71" s="64" t="str">
        <f ca="1">IFERROR(__xludf.DUMMYFUNCTION("IF(TRIM(AU71)="""","""",AU71/INDEX(FILTER(AT$3:AT71,TRIM(AT$3:AT71)&lt;&gt;""""),ROWS(FILTER(AT$3:AT71,TRIM(AT$3:AT71)&lt;&gt;"""")))-1)"),"")</f>
        <v/>
      </c>
      <c r="AW71" s="65" t="e">
        <f t="shared" ca="1" si="13"/>
        <v>#VALUE!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ht="19" x14ac:dyDescent="0.25">
      <c r="A72" s="5"/>
      <c r="B72" s="5"/>
      <c r="C72" s="5"/>
      <c r="D72" s="5"/>
      <c r="E72" s="5"/>
      <c r="F72" s="5"/>
      <c r="G72" s="5"/>
      <c r="H72" s="6"/>
      <c r="I72" s="5"/>
      <c r="J72" s="83"/>
      <c r="K72" s="83"/>
      <c r="L72" s="83"/>
      <c r="M72" s="83"/>
      <c r="N72" s="83"/>
      <c r="O72" s="83"/>
      <c r="P72" s="83"/>
      <c r="Q72" s="84"/>
      <c r="R72" s="83"/>
      <c r="S72" s="83"/>
      <c r="T72" s="85"/>
      <c r="U72" s="6"/>
      <c r="V72" s="87">
        <v>44021</v>
      </c>
      <c r="W72" s="45">
        <v>110.52</v>
      </c>
      <c r="X72" s="46"/>
      <c r="Y72" s="61"/>
      <c r="Z72" s="5"/>
      <c r="AA72" s="5"/>
      <c r="AB72" s="5"/>
      <c r="AC72" s="5"/>
      <c r="AD72" s="5"/>
      <c r="AE72" s="5"/>
      <c r="AF72" s="5"/>
      <c r="AG72" s="5"/>
      <c r="AH72" s="6"/>
      <c r="AI72" s="87">
        <v>44021</v>
      </c>
      <c r="AJ72" s="53">
        <v>110.52</v>
      </c>
      <c r="AK72" s="54">
        <f t="shared" si="11"/>
        <v>-1.6988348305612466E-2</v>
      </c>
      <c r="AL72" s="55">
        <f t="shared" si="14"/>
        <v>21.857531077548693</v>
      </c>
      <c r="AM72" s="56">
        <v>25</v>
      </c>
      <c r="AN72" s="57">
        <f t="shared" si="12"/>
        <v>3.1424689224513074</v>
      </c>
      <c r="AO72" s="76">
        <f t="shared" si="15"/>
        <v>1.0937441914667012</v>
      </c>
      <c r="AP72" s="63" t="str">
        <f t="shared" si="16"/>
        <v>Buy Stocks</v>
      </c>
      <c r="AQ72" s="63" t="str">
        <f t="shared" si="17"/>
        <v/>
      </c>
      <c r="AR72" s="63" t="str">
        <f t="shared" si="18"/>
        <v>Buy Stocks</v>
      </c>
      <c r="AS72" s="63" t="str">
        <f t="shared" si="19"/>
        <v/>
      </c>
      <c r="AT72" s="77">
        <f t="shared" si="20"/>
        <v>110.52</v>
      </c>
      <c r="AU72" s="78" t="str">
        <f t="shared" si="21"/>
        <v/>
      </c>
      <c r="AV72" s="64" t="str">
        <f ca="1">IFERROR(__xludf.DUMMYFUNCTION("IF(TRIM(AU72)="""","""",AU72/INDEX(FILTER(AT$3:AT72,TRIM(AT$3:AT72)&lt;&gt;""""),ROWS(FILTER(AT$3:AT72,TRIM(AT$3:AT72)&lt;&gt;"""")))-1)"),"")</f>
        <v/>
      </c>
      <c r="AW72" s="65" t="e">
        <f t="shared" ca="1" si="13"/>
        <v>#VALUE!</v>
      </c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ht="19" x14ac:dyDescent="0.25">
      <c r="A73" s="5"/>
      <c r="B73" s="5"/>
      <c r="C73" s="5"/>
      <c r="D73" s="5"/>
      <c r="E73" s="5"/>
      <c r="F73" s="5"/>
      <c r="G73" s="5"/>
      <c r="H73" s="6"/>
      <c r="I73" s="5"/>
      <c r="J73" s="83"/>
      <c r="K73" s="83"/>
      <c r="L73" s="83"/>
      <c r="M73" s="83"/>
      <c r="N73" s="83"/>
      <c r="O73" s="83"/>
      <c r="P73" s="83"/>
      <c r="Q73" s="84"/>
      <c r="R73" s="83"/>
      <c r="S73" s="83"/>
      <c r="T73" s="85"/>
      <c r="U73" s="6"/>
      <c r="V73" s="87">
        <v>44022</v>
      </c>
      <c r="W73" s="45">
        <v>113.04</v>
      </c>
      <c r="X73" s="46"/>
      <c r="Y73" s="61"/>
      <c r="Z73" s="5"/>
      <c r="AA73" s="5"/>
      <c r="AB73" s="5"/>
      <c r="AC73" s="5"/>
      <c r="AD73" s="5"/>
      <c r="AE73" s="5"/>
      <c r="AF73" s="5"/>
      <c r="AG73" s="5"/>
      <c r="AH73" s="6"/>
      <c r="AI73" s="87">
        <v>44022</v>
      </c>
      <c r="AJ73" s="53">
        <v>113.04</v>
      </c>
      <c r="AK73" s="54">
        <f t="shared" si="11"/>
        <v>2.2801302931596101E-2</v>
      </c>
      <c r="AL73" s="55">
        <f t="shared" si="14"/>
        <v>28.331756097320021</v>
      </c>
      <c r="AM73" s="56">
        <v>25</v>
      </c>
      <c r="AN73" s="57">
        <f t="shared" si="12"/>
        <v>-3.3317560973200209</v>
      </c>
      <c r="AO73" s="76">
        <f t="shared" si="15"/>
        <v>0.95623384359098229</v>
      </c>
      <c r="AP73" s="63" t="str">
        <f t="shared" si="16"/>
        <v>Buy Stocks</v>
      </c>
      <c r="AQ73" s="63" t="str">
        <f t="shared" si="17"/>
        <v/>
      </c>
      <c r="AR73" s="63" t="str">
        <f t="shared" si="18"/>
        <v/>
      </c>
      <c r="AS73" s="63" t="str">
        <f t="shared" si="19"/>
        <v/>
      </c>
      <c r="AT73" s="78" t="str">
        <f t="shared" si="20"/>
        <v/>
      </c>
      <c r="AU73" s="78" t="str">
        <f t="shared" si="21"/>
        <v/>
      </c>
      <c r="AV73" s="64" t="str">
        <f ca="1">IFERROR(__xludf.DUMMYFUNCTION("IF(TRIM(AU73)="""","""",AU73/INDEX(FILTER(AT$3:AT73,TRIM(AT$3:AT73)&lt;&gt;""""),ROWS(FILTER(AT$3:AT73,TRIM(AT$3:AT73)&lt;&gt;"""")))-1)"),"")</f>
        <v/>
      </c>
      <c r="AW73" s="65" t="e">
        <f t="shared" ca="1" si="13"/>
        <v>#VALUE!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ht="19" x14ac:dyDescent="0.25">
      <c r="A74" s="5"/>
      <c r="B74" s="5"/>
      <c r="C74" s="5"/>
      <c r="D74" s="5"/>
      <c r="E74" s="5"/>
      <c r="F74" s="5"/>
      <c r="G74" s="5"/>
      <c r="H74" s="6"/>
      <c r="I74" s="5"/>
      <c r="J74" s="83"/>
      <c r="K74" s="83"/>
      <c r="L74" s="83"/>
      <c r="M74" s="83"/>
      <c r="N74" s="83"/>
      <c r="O74" s="83"/>
      <c r="P74" s="83"/>
      <c r="Q74" s="84"/>
      <c r="R74" s="83"/>
      <c r="S74" s="83"/>
      <c r="T74" s="85"/>
      <c r="U74" s="6"/>
      <c r="V74" s="87">
        <v>44025</v>
      </c>
      <c r="W74" s="45">
        <v>113.86</v>
      </c>
      <c r="X74" s="46"/>
      <c r="Y74" s="61"/>
      <c r="Z74" s="5"/>
      <c r="AA74" s="5"/>
      <c r="AB74" s="5"/>
      <c r="AC74" s="5"/>
      <c r="AD74" s="5"/>
      <c r="AE74" s="5"/>
      <c r="AF74" s="5"/>
      <c r="AG74" s="5"/>
      <c r="AH74" s="6"/>
      <c r="AI74" s="87">
        <v>44025</v>
      </c>
      <c r="AJ74" s="53">
        <v>113.86</v>
      </c>
      <c r="AK74" s="54">
        <f t="shared" si="11"/>
        <v>7.2540693559801639E-3</v>
      </c>
      <c r="AL74" s="55">
        <f t="shared" si="14"/>
        <v>28.85171955190048</v>
      </c>
      <c r="AM74" s="56">
        <v>25</v>
      </c>
      <c r="AN74" s="57">
        <f t="shared" si="12"/>
        <v>-3.8517195519004801</v>
      </c>
      <c r="AO74" s="76">
        <f t="shared" si="15"/>
        <v>-0.1362385138943992</v>
      </c>
      <c r="AP74" s="63" t="str">
        <f t="shared" si="16"/>
        <v/>
      </c>
      <c r="AQ74" s="63" t="str">
        <f t="shared" si="17"/>
        <v>Sell Stocks</v>
      </c>
      <c r="AR74" s="63" t="str">
        <f t="shared" si="18"/>
        <v/>
      </c>
      <c r="AS74" s="63" t="str">
        <f t="shared" si="19"/>
        <v>Sell Stocks</v>
      </c>
      <c r="AT74" s="78" t="str">
        <f t="shared" si="20"/>
        <v/>
      </c>
      <c r="AU74" s="77">
        <f t="shared" si="21"/>
        <v>113.86</v>
      </c>
      <c r="AV74" s="64">
        <f ca="1">IFERROR(__xludf.DUMMYFUNCTION("IF(TRIM(AU74)="""","""",AU74/INDEX(FILTER(AT$3:AT74,TRIM(AT$3:AT74)&lt;&gt;""""),ROWS(FILTER(AT$3:AT74,TRIM(AT$3:AT74)&lt;&gt;"""")))-1)"),0.0302207745204488)</f>
        <v>3.0220774520448801E-2</v>
      </c>
      <c r="AW74" s="65" t="e">
        <f t="shared" ca="1" si="13"/>
        <v>#VALUE!</v>
      </c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ht="19" x14ac:dyDescent="0.25">
      <c r="A75" s="5"/>
      <c r="B75" s="5"/>
      <c r="C75" s="5"/>
      <c r="D75" s="5"/>
      <c r="E75" s="5"/>
      <c r="F75" s="5"/>
      <c r="G75" s="5"/>
      <c r="H75" s="6"/>
      <c r="I75" s="5"/>
      <c r="J75" s="83"/>
      <c r="K75" s="83"/>
      <c r="L75" s="83"/>
      <c r="M75" s="83"/>
      <c r="N75" s="83"/>
      <c r="O75" s="83"/>
      <c r="P75" s="83"/>
      <c r="Q75" s="84"/>
      <c r="R75" s="83"/>
      <c r="S75" s="83"/>
      <c r="T75" s="85"/>
      <c r="U75" s="6"/>
      <c r="V75" s="87">
        <v>44026</v>
      </c>
      <c r="W75" s="45">
        <v>115.19</v>
      </c>
      <c r="X75" s="46"/>
      <c r="Y75" s="61"/>
      <c r="Z75" s="5"/>
      <c r="AA75" s="5"/>
      <c r="AB75" s="5"/>
      <c r="AC75" s="5"/>
      <c r="AD75" s="5"/>
      <c r="AE75" s="5"/>
      <c r="AF75" s="5"/>
      <c r="AG75" s="5"/>
      <c r="AH75" s="6"/>
      <c r="AI75" s="87">
        <v>44026</v>
      </c>
      <c r="AJ75" s="53">
        <v>115.19</v>
      </c>
      <c r="AK75" s="54">
        <f t="shared" si="11"/>
        <v>1.1681011768838845E-2</v>
      </c>
      <c r="AL75" s="55">
        <f t="shared" si="14"/>
        <v>23.349752268727116</v>
      </c>
      <c r="AM75" s="56">
        <v>25</v>
      </c>
      <c r="AN75" s="57">
        <f t="shared" si="12"/>
        <v>1.6502477312728843</v>
      </c>
      <c r="AO75" s="76">
        <f t="shared" si="15"/>
        <v>4.2605196909711651E-2</v>
      </c>
      <c r="AP75" s="63" t="str">
        <f t="shared" si="16"/>
        <v>Buy Stocks</v>
      </c>
      <c r="AQ75" s="63" t="str">
        <f t="shared" si="17"/>
        <v/>
      </c>
      <c r="AR75" s="63" t="str">
        <f t="shared" si="18"/>
        <v>Buy Stocks</v>
      </c>
      <c r="AS75" s="63" t="str">
        <f t="shared" si="19"/>
        <v/>
      </c>
      <c r="AT75" s="77">
        <f t="shared" si="20"/>
        <v>115.19</v>
      </c>
      <c r="AU75" s="78" t="str">
        <f t="shared" si="21"/>
        <v/>
      </c>
      <c r="AV75" s="64" t="str">
        <f ca="1">IFERROR(__xludf.DUMMYFUNCTION("IF(TRIM(AU75)="""","""",AU75/INDEX(FILTER(AT$3:AT75,TRIM(AT$3:AT75)&lt;&gt;""""),ROWS(FILTER(AT$3:AT75,TRIM(AT$3:AT75)&lt;&gt;"""")))-1)"),"")</f>
        <v/>
      </c>
      <c r="AW75" s="65" t="e">
        <f t="shared" ca="1" si="13"/>
        <v>#VALUE!</v>
      </c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ht="19" x14ac:dyDescent="0.25">
      <c r="A76" s="5"/>
      <c r="B76" s="5"/>
      <c r="C76" s="5"/>
      <c r="D76" s="5"/>
      <c r="E76" s="5"/>
      <c r="F76" s="5"/>
      <c r="G76" s="5"/>
      <c r="H76" s="6"/>
      <c r="I76" s="5"/>
      <c r="J76" s="83"/>
      <c r="K76" s="83"/>
      <c r="L76" s="83"/>
      <c r="M76" s="83"/>
      <c r="N76" s="83"/>
      <c r="O76" s="83"/>
      <c r="P76" s="83"/>
      <c r="Q76" s="84"/>
      <c r="R76" s="83"/>
      <c r="S76" s="83"/>
      <c r="T76" s="85"/>
      <c r="U76" s="6"/>
      <c r="V76" s="87">
        <v>44027</v>
      </c>
      <c r="W76" s="45">
        <v>117.49</v>
      </c>
      <c r="X76" s="46"/>
      <c r="Y76" s="61"/>
      <c r="Z76" s="5"/>
      <c r="AA76" s="5"/>
      <c r="AB76" s="5"/>
      <c r="AC76" s="5"/>
      <c r="AD76" s="5"/>
      <c r="AE76" s="5"/>
      <c r="AF76" s="5"/>
      <c r="AG76" s="5"/>
      <c r="AH76" s="6"/>
      <c r="AI76" s="87">
        <v>44027</v>
      </c>
      <c r="AJ76" s="53">
        <v>117.49</v>
      </c>
      <c r="AK76" s="54">
        <f t="shared" si="11"/>
        <v>1.9967011025262549E-2</v>
      </c>
      <c r="AL76" s="55">
        <f t="shared" si="14"/>
        <v>25.054145397230361</v>
      </c>
      <c r="AM76" s="56">
        <v>25</v>
      </c>
      <c r="AN76" s="57">
        <f t="shared" si="12"/>
        <v>-5.4145397230360715E-2</v>
      </c>
      <c r="AO76" s="76">
        <f t="shared" si="15"/>
        <v>-0.48898087854533401</v>
      </c>
      <c r="AP76" s="63" t="str">
        <f t="shared" si="16"/>
        <v/>
      </c>
      <c r="AQ76" s="63" t="str">
        <f t="shared" si="17"/>
        <v>Sell Stocks</v>
      </c>
      <c r="AR76" s="63" t="str">
        <f t="shared" si="18"/>
        <v/>
      </c>
      <c r="AS76" s="63" t="str">
        <f t="shared" si="19"/>
        <v>Sell Stocks</v>
      </c>
      <c r="AT76" s="78" t="str">
        <f t="shared" si="20"/>
        <v/>
      </c>
      <c r="AU76" s="77">
        <f t="shared" si="21"/>
        <v>117.49</v>
      </c>
      <c r="AV76" s="64">
        <f ca="1">IFERROR(__xludf.DUMMYFUNCTION("IF(TRIM(AU76)="""","""",AU76/INDEX(FILTER(AT$3:AT76,TRIM(AT$3:AT76)&lt;&gt;""""),ROWS(FILTER(AT$3:AT76,TRIM(AT$3:AT76)&lt;&gt;"""")))-1)"),0.0199670110252625)</f>
        <v>1.99670110252625E-2</v>
      </c>
      <c r="AW76" s="65" t="e">
        <f t="shared" ca="1" si="13"/>
        <v>#VALUE!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ht="19" x14ac:dyDescent="0.25">
      <c r="A77" s="5"/>
      <c r="B77" s="5"/>
      <c r="C77" s="5"/>
      <c r="D77" s="5"/>
      <c r="E77" s="5"/>
      <c r="F77" s="5"/>
      <c r="G77" s="5"/>
      <c r="H77" s="6"/>
      <c r="I77" s="5"/>
      <c r="J77" s="83"/>
      <c r="K77" s="83"/>
      <c r="L77" s="83"/>
      <c r="M77" s="83"/>
      <c r="N77" s="83"/>
      <c r="O77" s="83"/>
      <c r="P77" s="83"/>
      <c r="Q77" s="84"/>
      <c r="R77" s="83"/>
      <c r="S77" s="83"/>
      <c r="T77" s="85"/>
      <c r="U77" s="6"/>
      <c r="V77" s="87">
        <v>44028</v>
      </c>
      <c r="W77" s="45">
        <v>118.45</v>
      </c>
      <c r="X77" s="46"/>
      <c r="Y77" s="61"/>
      <c r="Z77" s="5"/>
      <c r="AA77" s="5"/>
      <c r="AB77" s="5"/>
      <c r="AC77" s="5"/>
      <c r="AD77" s="5"/>
      <c r="AE77" s="5"/>
      <c r="AF77" s="5"/>
      <c r="AG77" s="5"/>
      <c r="AH77" s="6"/>
      <c r="AI77" s="87">
        <v>44028</v>
      </c>
      <c r="AJ77" s="53">
        <v>118.45</v>
      </c>
      <c r="AK77" s="54">
        <f t="shared" si="11"/>
        <v>8.1709081623968505E-3</v>
      </c>
      <c r="AL77" s="55">
        <f t="shared" si="14"/>
        <v>11.166692129774972</v>
      </c>
      <c r="AM77" s="56">
        <v>25</v>
      </c>
      <c r="AN77" s="57">
        <f t="shared" si="12"/>
        <v>13.833307870225028</v>
      </c>
      <c r="AO77" s="76">
        <f t="shared" si="15"/>
        <v>1.64918691100941</v>
      </c>
      <c r="AP77" s="63" t="str">
        <f t="shared" si="16"/>
        <v>Buy Stocks</v>
      </c>
      <c r="AQ77" s="63" t="str">
        <f t="shared" si="17"/>
        <v/>
      </c>
      <c r="AR77" s="63" t="str">
        <f t="shared" si="18"/>
        <v>Buy Stocks</v>
      </c>
      <c r="AS77" s="63" t="str">
        <f t="shared" si="19"/>
        <v/>
      </c>
      <c r="AT77" s="77">
        <f t="shared" si="20"/>
        <v>118.45</v>
      </c>
      <c r="AU77" s="78" t="str">
        <f t="shared" si="21"/>
        <v/>
      </c>
      <c r="AV77" s="64" t="str">
        <f ca="1">IFERROR(__xludf.DUMMYFUNCTION("IF(TRIM(AU77)="""","""",AU77/INDEX(FILTER(AT$3:AT77,TRIM(AT$3:AT77)&lt;&gt;""""),ROWS(FILTER(AT$3:AT77,TRIM(AT$3:AT77)&lt;&gt;"""")))-1)"),"")</f>
        <v/>
      </c>
      <c r="AW77" s="65" t="e">
        <f t="shared" ca="1" si="13"/>
        <v>#VALUE!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ht="19" x14ac:dyDescent="0.25">
      <c r="A78" s="5"/>
      <c r="B78" s="5"/>
      <c r="C78" s="5"/>
      <c r="D78" s="5"/>
      <c r="E78" s="5"/>
      <c r="F78" s="5"/>
      <c r="G78" s="5"/>
      <c r="H78" s="6"/>
      <c r="I78" s="5"/>
      <c r="J78" s="83"/>
      <c r="K78" s="83"/>
      <c r="L78" s="83"/>
      <c r="M78" s="83"/>
      <c r="N78" s="83"/>
      <c r="O78" s="83"/>
      <c r="P78" s="83"/>
      <c r="Q78" s="84"/>
      <c r="R78" s="83"/>
      <c r="S78" s="83"/>
      <c r="T78" s="85"/>
      <c r="U78" s="6"/>
      <c r="V78" s="87">
        <v>44029</v>
      </c>
      <c r="W78" s="45">
        <v>119.5</v>
      </c>
      <c r="X78" s="46"/>
      <c r="Y78" s="61"/>
      <c r="Z78" s="5"/>
      <c r="AA78" s="5"/>
      <c r="AB78" s="5"/>
      <c r="AC78" s="5"/>
      <c r="AD78" s="5"/>
      <c r="AE78" s="5"/>
      <c r="AF78" s="5"/>
      <c r="AG78" s="5"/>
      <c r="AH78" s="6"/>
      <c r="AI78" s="87">
        <v>44029</v>
      </c>
      <c r="AJ78" s="53">
        <v>119.5</v>
      </c>
      <c r="AK78" s="54">
        <f t="shared" si="11"/>
        <v>8.8644997889404387E-3</v>
      </c>
      <c r="AL78" s="55">
        <f t="shared" si="14"/>
        <v>8.2215316334747826</v>
      </c>
      <c r="AM78" s="56">
        <v>25</v>
      </c>
      <c r="AN78" s="57">
        <f t="shared" si="12"/>
        <v>16.778468366525217</v>
      </c>
      <c r="AO78" s="76">
        <f t="shared" si="15"/>
        <v>5.6712318037784577</v>
      </c>
      <c r="AP78" s="63" t="str">
        <f t="shared" si="16"/>
        <v>Buy Stocks</v>
      </c>
      <c r="AQ78" s="63" t="str">
        <f t="shared" si="17"/>
        <v/>
      </c>
      <c r="AR78" s="63" t="str">
        <f t="shared" si="18"/>
        <v/>
      </c>
      <c r="AS78" s="63" t="str">
        <f t="shared" si="19"/>
        <v/>
      </c>
      <c r="AT78" s="78" t="str">
        <f t="shared" si="20"/>
        <v/>
      </c>
      <c r="AU78" s="78" t="str">
        <f t="shared" si="21"/>
        <v/>
      </c>
      <c r="AV78" s="64" t="str">
        <f ca="1">IFERROR(__xludf.DUMMYFUNCTION("IF(TRIM(AU78)="""","""",AU78/INDEX(FILTER(AT$3:AT78,TRIM(AT$3:AT78)&lt;&gt;""""),ROWS(FILTER(AT$3:AT78,TRIM(AT$3:AT78)&lt;&gt;"""")))-1)"),"")</f>
        <v/>
      </c>
      <c r="AW78" s="65" t="e">
        <f t="shared" ca="1" si="13"/>
        <v>#VALUE!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ht="19" x14ac:dyDescent="0.25">
      <c r="A79" s="5"/>
      <c r="B79" s="5"/>
      <c r="C79" s="5"/>
      <c r="D79" s="5"/>
      <c r="E79" s="5"/>
      <c r="F79" s="5"/>
      <c r="G79" s="5"/>
      <c r="H79" s="6"/>
      <c r="I79" s="5"/>
      <c r="J79" s="83"/>
      <c r="K79" s="83"/>
      <c r="L79" s="83"/>
      <c r="M79" s="83"/>
      <c r="N79" s="83"/>
      <c r="O79" s="83"/>
      <c r="P79" s="83"/>
      <c r="Q79" s="84"/>
      <c r="R79" s="83"/>
      <c r="S79" s="83"/>
      <c r="T79" s="85"/>
      <c r="U79" s="6"/>
      <c r="V79" s="87">
        <v>44032</v>
      </c>
      <c r="W79" s="45">
        <v>120.7</v>
      </c>
      <c r="X79" s="46"/>
      <c r="Y79" s="61"/>
      <c r="Z79" s="5"/>
      <c r="AA79" s="5"/>
      <c r="AB79" s="5"/>
      <c r="AC79" s="5"/>
      <c r="AD79" s="5"/>
      <c r="AE79" s="5"/>
      <c r="AF79" s="5"/>
      <c r="AG79" s="5"/>
      <c r="AH79" s="6"/>
      <c r="AI79" s="87">
        <v>44032</v>
      </c>
      <c r="AJ79" s="53">
        <v>120.7</v>
      </c>
      <c r="AK79" s="54">
        <f t="shared" si="11"/>
        <v>1.0041841004184038E-2</v>
      </c>
      <c r="AL79" s="55">
        <f t="shared" si="14"/>
        <v>7.5956544347428281</v>
      </c>
      <c r="AM79" s="56">
        <v>25</v>
      </c>
      <c r="AN79" s="57">
        <f t="shared" si="12"/>
        <v>17.404345565257174</v>
      </c>
      <c r="AO79" s="76">
        <f t="shared" si="15"/>
        <v>9.9224448272099899</v>
      </c>
      <c r="AP79" s="63" t="str">
        <f t="shared" si="16"/>
        <v>Buy Stocks</v>
      </c>
      <c r="AQ79" s="63" t="str">
        <f t="shared" si="17"/>
        <v/>
      </c>
      <c r="AR79" s="63" t="str">
        <f t="shared" si="18"/>
        <v/>
      </c>
      <c r="AS79" s="63" t="str">
        <f t="shared" si="19"/>
        <v/>
      </c>
      <c r="AT79" s="78" t="str">
        <f t="shared" si="20"/>
        <v/>
      </c>
      <c r="AU79" s="78" t="str">
        <f t="shared" si="21"/>
        <v/>
      </c>
      <c r="AV79" s="64" t="str">
        <f ca="1">IFERROR(__xludf.DUMMYFUNCTION("IF(TRIM(AU79)="""","""",AU79/INDEX(FILTER(AT$3:AT79,TRIM(AT$3:AT79)&lt;&gt;""""),ROWS(FILTER(AT$3:AT79,TRIM(AT$3:AT79)&lt;&gt;"""")))-1)"),"")</f>
        <v/>
      </c>
      <c r="AW79" s="65" t="e">
        <f t="shared" ca="1" si="13"/>
        <v>#VALUE!</v>
      </c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ht="19" x14ac:dyDescent="0.25">
      <c r="A80" s="5"/>
      <c r="B80" s="5"/>
      <c r="C80" s="5"/>
      <c r="D80" s="5"/>
      <c r="E80" s="5"/>
      <c r="F80" s="5"/>
      <c r="G80" s="5"/>
      <c r="H80" s="6"/>
      <c r="I80" s="5"/>
      <c r="J80" s="83"/>
      <c r="K80" s="83"/>
      <c r="L80" s="83"/>
      <c r="M80" s="83"/>
      <c r="N80" s="83"/>
      <c r="O80" s="83"/>
      <c r="P80" s="83"/>
      <c r="Q80" s="84"/>
      <c r="R80" s="83"/>
      <c r="S80" s="83"/>
      <c r="T80" s="85"/>
      <c r="U80" s="6"/>
      <c r="V80" s="87">
        <v>44033</v>
      </c>
      <c r="W80" s="45">
        <v>120.41</v>
      </c>
      <c r="X80" s="46"/>
      <c r="Y80" s="61"/>
      <c r="Z80" s="5"/>
      <c r="AA80" s="5"/>
      <c r="AB80" s="5"/>
      <c r="AC80" s="5"/>
      <c r="AD80" s="5"/>
      <c r="AE80" s="5"/>
      <c r="AF80" s="5"/>
      <c r="AG80" s="5"/>
      <c r="AH80" s="6"/>
      <c r="AI80" s="87">
        <v>44033</v>
      </c>
      <c r="AJ80" s="53">
        <v>120.41</v>
      </c>
      <c r="AK80" s="54">
        <f t="shared" si="11"/>
        <v>-2.4026512013256562E-3</v>
      </c>
      <c r="AL80" s="55">
        <f t="shared" si="14"/>
        <v>12.601531973225086</v>
      </c>
      <c r="AM80" s="56">
        <v>25</v>
      </c>
      <c r="AN80" s="57">
        <f t="shared" si="12"/>
        <v>12.398468026774914</v>
      </c>
      <c r="AO80" s="76">
        <f t="shared" si="15"/>
        <v>12.072088886310395</v>
      </c>
      <c r="AP80" s="63" t="str">
        <f t="shared" si="16"/>
        <v>Buy Stocks</v>
      </c>
      <c r="AQ80" s="63" t="str">
        <f t="shared" si="17"/>
        <v/>
      </c>
      <c r="AR80" s="63" t="str">
        <f t="shared" si="18"/>
        <v/>
      </c>
      <c r="AS80" s="63" t="str">
        <f t="shared" si="19"/>
        <v/>
      </c>
      <c r="AT80" s="78" t="str">
        <f t="shared" si="20"/>
        <v/>
      </c>
      <c r="AU80" s="78" t="str">
        <f t="shared" si="21"/>
        <v/>
      </c>
      <c r="AV80" s="64" t="str">
        <f ca="1">IFERROR(__xludf.DUMMYFUNCTION("IF(TRIM(AU80)="""","""",AU80/INDEX(FILTER(AT$3:AT80,TRIM(AT$3:AT80)&lt;&gt;""""),ROWS(FILTER(AT$3:AT80,TRIM(AT$3:AT80)&lt;&gt;"""")))-1)"),"")</f>
        <v/>
      </c>
      <c r="AW80" s="65" t="e">
        <f t="shared" ca="1" si="13"/>
        <v>#VALUE!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ht="19" x14ac:dyDescent="0.25">
      <c r="A81" s="5"/>
      <c r="B81" s="5"/>
      <c r="C81" s="5"/>
      <c r="D81" s="5"/>
      <c r="E81" s="5"/>
      <c r="F81" s="5"/>
      <c r="G81" s="5"/>
      <c r="H81" s="6"/>
      <c r="I81" s="5"/>
      <c r="J81" s="83"/>
      <c r="K81" s="83"/>
      <c r="L81" s="83"/>
      <c r="M81" s="83"/>
      <c r="N81" s="83"/>
      <c r="O81" s="83"/>
      <c r="P81" s="83"/>
      <c r="Q81" s="84"/>
      <c r="R81" s="83"/>
      <c r="S81" s="83"/>
      <c r="T81" s="85"/>
      <c r="U81" s="6"/>
      <c r="V81" s="87">
        <v>44034</v>
      </c>
      <c r="W81" s="45">
        <v>122.9</v>
      </c>
      <c r="X81" s="46"/>
      <c r="Y81" s="61"/>
      <c r="Z81" s="5"/>
      <c r="AA81" s="5"/>
      <c r="AB81" s="5"/>
      <c r="AC81" s="5"/>
      <c r="AD81" s="5"/>
      <c r="AE81" s="5"/>
      <c r="AF81" s="5"/>
      <c r="AG81" s="5"/>
      <c r="AH81" s="6"/>
      <c r="AI81" s="87">
        <v>44034</v>
      </c>
      <c r="AJ81" s="53">
        <v>122.9</v>
      </c>
      <c r="AK81" s="54">
        <f t="shared" si="11"/>
        <v>2.0679345569304841E-2</v>
      </c>
      <c r="AL81" s="55">
        <f t="shared" si="14"/>
        <v>12.998539533802255</v>
      </c>
      <c r="AM81" s="56">
        <v>25</v>
      </c>
      <c r="AN81" s="57">
        <f t="shared" si="12"/>
        <v>12.001460466197745</v>
      </c>
      <c r="AO81" s="76">
        <f t="shared" si="15"/>
        <v>14.483210058996017</v>
      </c>
      <c r="AP81" s="63" t="str">
        <f t="shared" si="16"/>
        <v>Buy Stocks</v>
      </c>
      <c r="AQ81" s="63" t="str">
        <f t="shared" si="17"/>
        <v/>
      </c>
      <c r="AR81" s="63" t="str">
        <f t="shared" si="18"/>
        <v/>
      </c>
      <c r="AS81" s="63" t="str">
        <f t="shared" si="19"/>
        <v/>
      </c>
      <c r="AT81" s="78" t="str">
        <f t="shared" si="20"/>
        <v/>
      </c>
      <c r="AU81" s="78" t="str">
        <f t="shared" si="21"/>
        <v/>
      </c>
      <c r="AV81" s="64" t="str">
        <f ca="1">IFERROR(__xludf.DUMMYFUNCTION("IF(TRIM(AU81)="""","""",AU81/INDEX(FILTER(AT$3:AT81,TRIM(AT$3:AT81)&lt;&gt;""""),ROWS(FILTER(AT$3:AT81,TRIM(AT$3:AT81)&lt;&gt;"""")))-1)"),"")</f>
        <v/>
      </c>
      <c r="AW81" s="65" t="e">
        <f t="shared" ca="1" si="13"/>
        <v>#VALUE!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ht="19" x14ac:dyDescent="0.25">
      <c r="A82" s="5"/>
      <c r="B82" s="5"/>
      <c r="C82" s="5"/>
      <c r="D82" s="5"/>
      <c r="E82" s="5"/>
      <c r="F82" s="5"/>
      <c r="G82" s="5"/>
      <c r="H82" s="6"/>
      <c r="I82" s="5"/>
      <c r="J82" s="83"/>
      <c r="K82" s="83"/>
      <c r="L82" s="83"/>
      <c r="M82" s="83"/>
      <c r="N82" s="83"/>
      <c r="O82" s="83"/>
      <c r="P82" s="83"/>
      <c r="Q82" s="84"/>
      <c r="R82" s="83"/>
      <c r="S82" s="83"/>
      <c r="T82" s="85"/>
      <c r="U82" s="6"/>
      <c r="V82" s="87">
        <v>44035</v>
      </c>
      <c r="W82" s="45">
        <v>121.62</v>
      </c>
      <c r="X82" s="46"/>
      <c r="Y82" s="61"/>
      <c r="Z82" s="5"/>
      <c r="AA82" s="5"/>
      <c r="AB82" s="5"/>
      <c r="AC82" s="5"/>
      <c r="AD82" s="5"/>
      <c r="AE82" s="5"/>
      <c r="AF82" s="5"/>
      <c r="AG82" s="5"/>
      <c r="AH82" s="6"/>
      <c r="AI82" s="87">
        <v>44035</v>
      </c>
      <c r="AJ82" s="53">
        <v>121.62</v>
      </c>
      <c r="AK82" s="54">
        <f t="shared" si="11"/>
        <v>-1.0414971521562233E-2</v>
      </c>
      <c r="AL82" s="55">
        <f t="shared" si="14"/>
        <v>19.082316962551264</v>
      </c>
      <c r="AM82" s="56">
        <v>25</v>
      </c>
      <c r="AN82" s="57">
        <f t="shared" si="12"/>
        <v>5.9176830374487359</v>
      </c>
      <c r="AO82" s="76">
        <f t="shared" si="15"/>
        <v>12.900085092440758</v>
      </c>
      <c r="AP82" s="63" t="str">
        <f t="shared" si="16"/>
        <v>Buy Stocks</v>
      </c>
      <c r="AQ82" s="63" t="str">
        <f t="shared" si="17"/>
        <v/>
      </c>
      <c r="AR82" s="63" t="str">
        <f t="shared" si="18"/>
        <v/>
      </c>
      <c r="AS82" s="63" t="str">
        <f t="shared" si="19"/>
        <v/>
      </c>
      <c r="AT82" s="78" t="str">
        <f t="shared" si="20"/>
        <v/>
      </c>
      <c r="AU82" s="78" t="str">
        <f t="shared" si="21"/>
        <v/>
      </c>
      <c r="AV82" s="64" t="str">
        <f ca="1">IFERROR(__xludf.DUMMYFUNCTION("IF(TRIM(AU82)="""","""",AU82/INDEX(FILTER(AT$3:AT82,TRIM(AT$3:AT82)&lt;&gt;""""),ROWS(FILTER(AT$3:AT82,TRIM(AT$3:AT82)&lt;&gt;"""")))-1)"),"")</f>
        <v/>
      </c>
      <c r="AW82" s="65" t="e">
        <f t="shared" ca="1" si="13"/>
        <v>#VALUE!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ht="19" x14ac:dyDescent="0.25">
      <c r="A83" s="5"/>
      <c r="B83" s="5"/>
      <c r="C83" s="5"/>
      <c r="D83" s="5"/>
      <c r="E83" s="5"/>
      <c r="F83" s="5"/>
      <c r="G83" s="5"/>
      <c r="H83" s="6"/>
      <c r="I83" s="5"/>
      <c r="J83" s="83"/>
      <c r="K83" s="83"/>
      <c r="L83" s="83"/>
      <c r="M83" s="83"/>
      <c r="N83" s="83"/>
      <c r="O83" s="83"/>
      <c r="P83" s="83"/>
      <c r="Q83" s="84"/>
      <c r="R83" s="83"/>
      <c r="S83" s="83"/>
      <c r="T83" s="85"/>
      <c r="U83" s="6"/>
      <c r="V83" s="87">
        <v>44036</v>
      </c>
      <c r="W83" s="45">
        <v>120.15</v>
      </c>
      <c r="X83" s="46"/>
      <c r="Y83" s="61"/>
      <c r="Z83" s="5"/>
      <c r="AA83" s="5"/>
      <c r="AB83" s="5"/>
      <c r="AC83" s="5"/>
      <c r="AD83" s="5"/>
      <c r="AE83" s="5"/>
      <c r="AF83" s="5"/>
      <c r="AG83" s="5"/>
      <c r="AH83" s="6"/>
      <c r="AI83" s="87">
        <v>44036</v>
      </c>
      <c r="AJ83" s="53">
        <v>120.15</v>
      </c>
      <c r="AK83" s="54">
        <f t="shared" si="11"/>
        <v>-1.2086827824370983E-2</v>
      </c>
      <c r="AL83" s="55">
        <f t="shared" si="14"/>
        <v>22.19655285889905</v>
      </c>
      <c r="AM83" s="56">
        <v>25</v>
      </c>
      <c r="AN83" s="57">
        <f t="shared" si="12"/>
        <v>2.8034471411009498</v>
      </c>
      <c r="AO83" s="76">
        <f t="shared" si="15"/>
        <v>10.105080847355904</v>
      </c>
      <c r="AP83" s="63" t="str">
        <f t="shared" si="16"/>
        <v>Buy Stocks</v>
      </c>
      <c r="AQ83" s="63" t="str">
        <f t="shared" si="17"/>
        <v/>
      </c>
      <c r="AR83" s="63" t="str">
        <f t="shared" si="18"/>
        <v/>
      </c>
      <c r="AS83" s="63" t="str">
        <f t="shared" si="19"/>
        <v/>
      </c>
      <c r="AT83" s="78" t="str">
        <f t="shared" si="20"/>
        <v/>
      </c>
      <c r="AU83" s="78" t="str">
        <f t="shared" si="21"/>
        <v/>
      </c>
      <c r="AV83" s="64" t="str">
        <f ca="1">IFERROR(__xludf.DUMMYFUNCTION("IF(TRIM(AU83)="""","""",AU83/INDEX(FILTER(AT$3:AT83,TRIM(AT$3:AT83)&lt;&gt;""""),ROWS(FILTER(AT$3:AT83,TRIM(AT$3:AT83)&lt;&gt;"""")))-1)"),"")</f>
        <v/>
      </c>
      <c r="AW83" s="65" t="e">
        <f t="shared" ca="1" si="13"/>
        <v>#VALUE!</v>
      </c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ht="19" x14ac:dyDescent="0.25">
      <c r="A84" s="5"/>
      <c r="B84" s="5"/>
      <c r="C84" s="5"/>
      <c r="D84" s="5"/>
      <c r="E84" s="5"/>
      <c r="F84" s="5"/>
      <c r="G84" s="5"/>
      <c r="H84" s="6"/>
      <c r="I84" s="5"/>
      <c r="J84" s="83"/>
      <c r="K84" s="83"/>
      <c r="L84" s="83"/>
      <c r="M84" s="83"/>
      <c r="N84" s="83"/>
      <c r="O84" s="83"/>
      <c r="P84" s="83"/>
      <c r="Q84" s="84"/>
      <c r="R84" s="83"/>
      <c r="S84" s="83"/>
      <c r="T84" s="85"/>
      <c r="U84" s="6"/>
      <c r="V84" s="87">
        <v>44039</v>
      </c>
      <c r="W84" s="45">
        <v>120.55</v>
      </c>
      <c r="X84" s="46"/>
      <c r="Y84" s="61"/>
      <c r="Z84" s="5"/>
      <c r="AA84" s="5"/>
      <c r="AB84" s="5"/>
      <c r="AC84" s="5"/>
      <c r="AD84" s="5"/>
      <c r="AE84" s="5"/>
      <c r="AF84" s="5"/>
      <c r="AG84" s="5"/>
      <c r="AH84" s="6"/>
      <c r="AI84" s="87">
        <v>44039</v>
      </c>
      <c r="AJ84" s="53">
        <v>120.55</v>
      </c>
      <c r="AK84" s="54">
        <f t="shared" si="11"/>
        <v>3.3291718684975713E-3</v>
      </c>
      <c r="AL84" s="55">
        <f t="shared" si="14"/>
        <v>20.983402702036923</v>
      </c>
      <c r="AM84" s="56">
        <v>25</v>
      </c>
      <c r="AN84" s="57">
        <f t="shared" si="12"/>
        <v>4.0165972979630773</v>
      </c>
      <c r="AO84" s="76">
        <f t="shared" si="15"/>
        <v>7.4275311938970843</v>
      </c>
      <c r="AP84" s="63" t="str">
        <f t="shared" si="16"/>
        <v>Buy Stocks</v>
      </c>
      <c r="AQ84" s="63" t="str">
        <f t="shared" si="17"/>
        <v/>
      </c>
      <c r="AR84" s="63" t="str">
        <f t="shared" si="18"/>
        <v/>
      </c>
      <c r="AS84" s="63" t="str">
        <f t="shared" si="19"/>
        <v/>
      </c>
      <c r="AT84" s="78" t="str">
        <f t="shared" si="20"/>
        <v/>
      </c>
      <c r="AU84" s="78" t="str">
        <f t="shared" si="21"/>
        <v/>
      </c>
      <c r="AV84" s="64" t="str">
        <f ca="1">IFERROR(__xludf.DUMMYFUNCTION("IF(TRIM(AU84)="""","""",AU84/INDEX(FILTER(AT$3:AT84,TRIM(AT$3:AT84)&lt;&gt;""""),ROWS(FILTER(AT$3:AT84,TRIM(AT$3:AT84)&lt;&gt;"""")))-1)"),"")</f>
        <v/>
      </c>
      <c r="AW84" s="65" t="e">
        <f t="shared" ca="1" si="13"/>
        <v>#VALUE!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ht="19" x14ac:dyDescent="0.25">
      <c r="A85" s="5"/>
      <c r="B85" s="5"/>
      <c r="C85" s="5"/>
      <c r="D85" s="5"/>
      <c r="E85" s="5"/>
      <c r="F85" s="5"/>
      <c r="G85" s="5"/>
      <c r="H85" s="6"/>
      <c r="I85" s="5"/>
      <c r="J85" s="83"/>
      <c r="K85" s="83"/>
      <c r="L85" s="83"/>
      <c r="M85" s="83"/>
      <c r="N85" s="83"/>
      <c r="O85" s="83"/>
      <c r="P85" s="83"/>
      <c r="Q85" s="84"/>
      <c r="R85" s="83"/>
      <c r="S85" s="83"/>
      <c r="T85" s="85"/>
      <c r="U85" s="6"/>
      <c r="V85" s="44">
        <v>44040</v>
      </c>
      <c r="W85" s="45">
        <v>118.89</v>
      </c>
      <c r="X85" s="46"/>
      <c r="Y85" s="61"/>
      <c r="Z85" s="5"/>
      <c r="AA85" s="5"/>
      <c r="AB85" s="5"/>
      <c r="AC85" s="5"/>
      <c r="AD85" s="5"/>
      <c r="AE85" s="5"/>
      <c r="AF85" s="5"/>
      <c r="AG85" s="5"/>
      <c r="AH85" s="6"/>
      <c r="AI85" s="44">
        <v>44040</v>
      </c>
      <c r="AJ85" s="53">
        <v>118.89</v>
      </c>
      <c r="AK85" s="54">
        <f t="shared" si="11"/>
        <v>-1.3770219825798402E-2</v>
      </c>
      <c r="AL85" s="55">
        <f t="shared" si="14"/>
        <v>23.179255170044637</v>
      </c>
      <c r="AM85" s="56">
        <v>25</v>
      </c>
      <c r="AN85" s="57">
        <f t="shared" si="12"/>
        <v>1.8207448299553626</v>
      </c>
      <c r="AO85" s="76">
        <f t="shared" si="15"/>
        <v>5.3119865545331741</v>
      </c>
      <c r="AP85" s="63" t="str">
        <f t="shared" si="16"/>
        <v>Buy Stocks</v>
      </c>
      <c r="AQ85" s="63" t="str">
        <f t="shared" si="17"/>
        <v/>
      </c>
      <c r="AR85" s="63" t="str">
        <f t="shared" si="18"/>
        <v/>
      </c>
      <c r="AS85" s="63" t="str">
        <f t="shared" si="19"/>
        <v/>
      </c>
      <c r="AT85" s="78" t="str">
        <f t="shared" si="20"/>
        <v/>
      </c>
      <c r="AU85" s="78" t="str">
        <f t="shared" si="21"/>
        <v/>
      </c>
      <c r="AV85" s="64" t="str">
        <f ca="1">IFERROR(__xludf.DUMMYFUNCTION("IF(TRIM(AU85)="""","""",AU85/INDEX(FILTER(AT$3:AT85,TRIM(AT$3:AT85)&lt;&gt;""""),ROWS(FILTER(AT$3:AT85,TRIM(AT$3:AT85)&lt;&gt;"""")))-1)"),"")</f>
        <v/>
      </c>
      <c r="AW85" s="65" t="e">
        <f t="shared" ca="1" si="13"/>
        <v>#VALUE!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ht="19" x14ac:dyDescent="0.25">
      <c r="A86" s="5"/>
      <c r="B86" s="5"/>
      <c r="C86" s="5"/>
      <c r="D86" s="5"/>
      <c r="E86" s="5"/>
      <c r="F86" s="5"/>
      <c r="G86" s="5"/>
      <c r="H86" s="6"/>
      <c r="I86" s="5"/>
      <c r="J86" s="83"/>
      <c r="K86" s="83"/>
      <c r="L86" s="83"/>
      <c r="M86" s="83"/>
      <c r="N86" s="83"/>
      <c r="O86" s="83"/>
      <c r="P86" s="83"/>
      <c r="Q86" s="84"/>
      <c r="R86" s="83"/>
      <c r="S86" s="83"/>
      <c r="T86" s="85"/>
      <c r="U86" s="6"/>
      <c r="V86" s="44">
        <v>44041</v>
      </c>
      <c r="W86" s="45">
        <v>119.7</v>
      </c>
      <c r="X86" s="46"/>
      <c r="Y86" s="61"/>
      <c r="Z86" s="5"/>
      <c r="AA86" s="5"/>
      <c r="AB86" s="5"/>
      <c r="AC86" s="5"/>
      <c r="AD86" s="5"/>
      <c r="AE86" s="5"/>
      <c r="AF86" s="5"/>
      <c r="AG86" s="5"/>
      <c r="AH86" s="6"/>
      <c r="AI86" s="44">
        <v>44041</v>
      </c>
      <c r="AJ86" s="53">
        <v>119.7</v>
      </c>
      <c r="AK86" s="54">
        <f t="shared" si="11"/>
        <v>6.8130204390612903E-3</v>
      </c>
      <c r="AL86" s="55">
        <f t="shared" si="14"/>
        <v>15.166782939734652</v>
      </c>
      <c r="AM86" s="56">
        <v>25</v>
      </c>
      <c r="AN86" s="57">
        <f t="shared" si="12"/>
        <v>9.8332170602653477</v>
      </c>
      <c r="AO86" s="76">
        <f t="shared" si="15"/>
        <v>4.8783378733466947</v>
      </c>
      <c r="AP86" s="63" t="str">
        <f t="shared" si="16"/>
        <v>Buy Stocks</v>
      </c>
      <c r="AQ86" s="63" t="str">
        <f t="shared" si="17"/>
        <v/>
      </c>
      <c r="AR86" s="63" t="str">
        <f t="shared" si="18"/>
        <v/>
      </c>
      <c r="AS86" s="63" t="str">
        <f t="shared" si="19"/>
        <v/>
      </c>
      <c r="AT86" s="78" t="str">
        <f t="shared" si="20"/>
        <v/>
      </c>
      <c r="AU86" s="78" t="str">
        <f t="shared" si="21"/>
        <v/>
      </c>
      <c r="AV86" s="64" t="str">
        <f ca="1">IFERROR(__xludf.DUMMYFUNCTION("IF(TRIM(AU86)="""","""",AU86/INDEX(FILTER(AT$3:AT86,TRIM(AT$3:AT86)&lt;&gt;""""),ROWS(FILTER(AT$3:AT86,TRIM(AT$3:AT86)&lt;&gt;"""")))-1)"),"")</f>
        <v/>
      </c>
      <c r="AW86" s="65" t="e">
        <f t="shared" ca="1" si="13"/>
        <v>#VALUE!</v>
      </c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ht="19" x14ac:dyDescent="0.25">
      <c r="A87" s="5"/>
      <c r="B87" s="5"/>
      <c r="C87" s="5"/>
      <c r="D87" s="5"/>
      <c r="E87" s="5"/>
      <c r="F87" s="5"/>
      <c r="G87" s="5"/>
      <c r="H87" s="6"/>
      <c r="I87" s="5"/>
      <c r="J87" s="83"/>
      <c r="K87" s="83"/>
      <c r="L87" s="83"/>
      <c r="M87" s="83"/>
      <c r="N87" s="83"/>
      <c r="O87" s="83"/>
      <c r="P87" s="83"/>
      <c r="Q87" s="84"/>
      <c r="R87" s="83"/>
      <c r="S87" s="83"/>
      <c r="T87" s="85"/>
      <c r="U87" s="6"/>
      <c r="V87" s="44">
        <v>44042</v>
      </c>
      <c r="W87" s="45">
        <v>117.39</v>
      </c>
      <c r="X87" s="46"/>
      <c r="Y87" s="61"/>
      <c r="Z87" s="5"/>
      <c r="AA87" s="5"/>
      <c r="AB87" s="5"/>
      <c r="AC87" s="5"/>
      <c r="AD87" s="5"/>
      <c r="AE87" s="5"/>
      <c r="AF87" s="5"/>
      <c r="AG87" s="5"/>
      <c r="AH87" s="6"/>
      <c r="AI87" s="44">
        <v>44042</v>
      </c>
      <c r="AJ87" s="53">
        <v>117.39</v>
      </c>
      <c r="AK87" s="54">
        <f t="shared" si="11"/>
        <v>-1.9298245614035148E-2</v>
      </c>
      <c r="AL87" s="55">
        <f t="shared" si="14"/>
        <v>18.107550711613243</v>
      </c>
      <c r="AM87" s="56">
        <v>25</v>
      </c>
      <c r="AN87" s="57">
        <f t="shared" si="12"/>
        <v>6.8924492883867572</v>
      </c>
      <c r="AO87" s="76">
        <f t="shared" si="15"/>
        <v>5.0732911235342986</v>
      </c>
      <c r="AP87" s="63" t="str">
        <f t="shared" si="16"/>
        <v>Buy Stocks</v>
      </c>
      <c r="AQ87" s="63" t="str">
        <f t="shared" si="17"/>
        <v/>
      </c>
      <c r="AR87" s="63" t="str">
        <f t="shared" si="18"/>
        <v/>
      </c>
      <c r="AS87" s="63" t="str">
        <f t="shared" si="19"/>
        <v/>
      </c>
      <c r="AT87" s="78" t="str">
        <f t="shared" si="20"/>
        <v/>
      </c>
      <c r="AU87" s="78" t="str">
        <f t="shared" si="21"/>
        <v/>
      </c>
      <c r="AV87" s="64" t="str">
        <f ca="1">IFERROR(__xludf.DUMMYFUNCTION("IF(TRIM(AU87)="""","""",AU87/INDEX(FILTER(AT$3:AT87,TRIM(AT$3:AT87)&lt;&gt;""""),ROWS(FILTER(AT$3:AT87,TRIM(AT$3:AT87)&lt;&gt;"""")))-1)"),"")</f>
        <v/>
      </c>
      <c r="AW87" s="65" t="e">
        <f t="shared" ca="1" si="13"/>
        <v>#VALUE!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ht="19" x14ac:dyDescent="0.25">
      <c r="A88" s="5"/>
      <c r="B88" s="5"/>
      <c r="C88" s="5"/>
      <c r="D88" s="5"/>
      <c r="E88" s="5"/>
      <c r="F88" s="5"/>
      <c r="G88" s="5"/>
      <c r="H88" s="6"/>
      <c r="I88" s="5"/>
      <c r="J88" s="83"/>
      <c r="K88" s="83"/>
      <c r="L88" s="83"/>
      <c r="M88" s="83"/>
      <c r="N88" s="83"/>
      <c r="O88" s="83"/>
      <c r="P88" s="83"/>
      <c r="Q88" s="84"/>
      <c r="R88" s="83"/>
      <c r="S88" s="83"/>
      <c r="T88" s="85"/>
      <c r="U88" s="6"/>
      <c r="V88" s="44">
        <v>44043</v>
      </c>
      <c r="W88" s="45">
        <v>117.43</v>
      </c>
      <c r="X88" s="46"/>
      <c r="Y88" s="61"/>
      <c r="Z88" s="5"/>
      <c r="AA88" s="5"/>
      <c r="AB88" s="5"/>
      <c r="AC88" s="5"/>
      <c r="AD88" s="5"/>
      <c r="AE88" s="5"/>
      <c r="AF88" s="5"/>
      <c r="AG88" s="5"/>
      <c r="AH88" s="6"/>
      <c r="AI88" s="44">
        <v>44043</v>
      </c>
      <c r="AJ88" s="53">
        <v>117.43</v>
      </c>
      <c r="AK88" s="54">
        <f t="shared" si="11"/>
        <v>3.4074452679111467E-4</v>
      </c>
      <c r="AL88" s="55">
        <f t="shared" si="14"/>
        <v>18.058548029159923</v>
      </c>
      <c r="AM88" s="56">
        <v>25</v>
      </c>
      <c r="AN88" s="57">
        <f t="shared" si="12"/>
        <v>6.9414519708400775</v>
      </c>
      <c r="AO88" s="76">
        <f t="shared" si="15"/>
        <v>5.9008920894821246</v>
      </c>
      <c r="AP88" s="63" t="str">
        <f t="shared" si="16"/>
        <v>Buy Stocks</v>
      </c>
      <c r="AQ88" s="63" t="str">
        <f t="shared" si="17"/>
        <v/>
      </c>
      <c r="AR88" s="63" t="str">
        <f t="shared" si="18"/>
        <v/>
      </c>
      <c r="AS88" s="63" t="str">
        <f t="shared" si="19"/>
        <v/>
      </c>
      <c r="AT88" s="78" t="str">
        <f t="shared" si="20"/>
        <v/>
      </c>
      <c r="AU88" s="78" t="str">
        <f t="shared" si="21"/>
        <v/>
      </c>
      <c r="AV88" s="64" t="str">
        <f ca="1">IFERROR(__xludf.DUMMYFUNCTION("IF(TRIM(AU88)="""","""",AU88/INDEX(FILTER(AT$3:AT88,TRIM(AT$3:AT88)&lt;&gt;""""),ROWS(FILTER(AT$3:AT88,TRIM(AT$3:AT88)&lt;&gt;"""")))-1)"),"")</f>
        <v/>
      </c>
      <c r="AW88" s="65" t="e">
        <f t="shared" ca="1" si="13"/>
        <v>#VALUE!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ht="19" x14ac:dyDescent="0.25">
      <c r="A89" s="5"/>
      <c r="B89" s="5"/>
      <c r="C89" s="5"/>
      <c r="D89" s="5"/>
      <c r="E89" s="5"/>
      <c r="F89" s="5"/>
      <c r="G89" s="5"/>
      <c r="H89" s="6"/>
      <c r="I89" s="5"/>
      <c r="J89" s="83"/>
      <c r="K89" s="83"/>
      <c r="L89" s="83"/>
      <c r="M89" s="83"/>
      <c r="N89" s="83"/>
      <c r="O89" s="83"/>
      <c r="P89" s="83"/>
      <c r="Q89" s="84"/>
      <c r="R89" s="83"/>
      <c r="S89" s="83"/>
      <c r="T89" s="85"/>
      <c r="U89" s="6"/>
      <c r="V89" s="44">
        <v>44046</v>
      </c>
      <c r="W89" s="45">
        <v>118.74</v>
      </c>
      <c r="X89" s="46"/>
      <c r="Y89" s="61"/>
      <c r="Z89" s="5"/>
      <c r="AA89" s="5"/>
      <c r="AB89" s="5"/>
      <c r="AC89" s="5"/>
      <c r="AD89" s="5"/>
      <c r="AE89" s="5"/>
      <c r="AF89" s="5"/>
      <c r="AG89" s="5"/>
      <c r="AH89" s="6"/>
      <c r="AI89" s="44">
        <v>44046</v>
      </c>
      <c r="AJ89" s="53">
        <v>118.74</v>
      </c>
      <c r="AK89" s="54">
        <f t="shared" si="11"/>
        <v>1.1155582048880008E-2</v>
      </c>
      <c r="AL89" s="55">
        <f t="shared" si="14"/>
        <v>20.841229120116843</v>
      </c>
      <c r="AM89" s="56">
        <v>25</v>
      </c>
      <c r="AN89" s="57">
        <f t="shared" si="12"/>
        <v>4.1587708798831571</v>
      </c>
      <c r="AO89" s="76">
        <f t="shared" si="15"/>
        <v>5.9293268058661406</v>
      </c>
      <c r="AP89" s="63" t="str">
        <f t="shared" si="16"/>
        <v>Buy Stocks</v>
      </c>
      <c r="AQ89" s="63" t="str">
        <f t="shared" si="17"/>
        <v/>
      </c>
      <c r="AR89" s="63" t="str">
        <f t="shared" si="18"/>
        <v/>
      </c>
      <c r="AS89" s="63" t="str">
        <f t="shared" si="19"/>
        <v/>
      </c>
      <c r="AT89" s="78" t="str">
        <f t="shared" si="20"/>
        <v/>
      </c>
      <c r="AU89" s="78" t="str">
        <f t="shared" si="21"/>
        <v/>
      </c>
      <c r="AV89" s="64" t="str">
        <f ca="1">IFERROR(__xludf.DUMMYFUNCTION("IF(TRIM(AU89)="""","""",AU89/INDEX(FILTER(AT$3:AT89,TRIM(AT$3:AT89)&lt;&gt;""""),ROWS(FILTER(AT$3:AT89,TRIM(AT$3:AT89)&lt;&gt;"""")))-1)"),"")</f>
        <v/>
      </c>
      <c r="AW89" s="65" t="e">
        <f t="shared" ca="1" si="13"/>
        <v>#VALUE!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ht="19" x14ac:dyDescent="0.25">
      <c r="A90" s="5"/>
      <c r="B90" s="5"/>
      <c r="C90" s="5"/>
      <c r="D90" s="5"/>
      <c r="E90" s="5"/>
      <c r="F90" s="5"/>
      <c r="G90" s="5"/>
      <c r="H90" s="6"/>
      <c r="I90" s="5"/>
      <c r="J90" s="83"/>
      <c r="K90" s="83"/>
      <c r="L90" s="83"/>
      <c r="M90" s="83"/>
      <c r="N90" s="83"/>
      <c r="O90" s="83"/>
      <c r="P90" s="83"/>
      <c r="Q90" s="84"/>
      <c r="R90" s="83"/>
      <c r="S90" s="83"/>
      <c r="T90" s="85"/>
      <c r="U90" s="6"/>
      <c r="V90" s="87">
        <v>44047</v>
      </c>
      <c r="W90" s="45">
        <v>120.2</v>
      </c>
      <c r="X90" s="46"/>
      <c r="Y90" s="61"/>
      <c r="Z90" s="5"/>
      <c r="AA90" s="5"/>
      <c r="AB90" s="5"/>
      <c r="AC90" s="5"/>
      <c r="AD90" s="5"/>
      <c r="AE90" s="5"/>
      <c r="AF90" s="5"/>
      <c r="AG90" s="5"/>
      <c r="AH90" s="6"/>
      <c r="AI90" s="87">
        <v>44047</v>
      </c>
      <c r="AJ90" s="53">
        <v>120.2</v>
      </c>
      <c r="AK90" s="54">
        <f t="shared" si="11"/>
        <v>1.2295772275560113E-2</v>
      </c>
      <c r="AL90" s="55">
        <f t="shared" si="14"/>
        <v>20.530035056009957</v>
      </c>
      <c r="AM90" s="56">
        <v>25</v>
      </c>
      <c r="AN90" s="57">
        <f t="shared" si="12"/>
        <v>4.4699649439900426</v>
      </c>
      <c r="AO90" s="76">
        <f t="shared" si="15"/>
        <v>6.4591708286730762</v>
      </c>
      <c r="AP90" s="63" t="str">
        <f t="shared" si="16"/>
        <v>Buy Stocks</v>
      </c>
      <c r="AQ90" s="63" t="str">
        <f t="shared" si="17"/>
        <v/>
      </c>
      <c r="AR90" s="63" t="str">
        <f t="shared" si="18"/>
        <v/>
      </c>
      <c r="AS90" s="63" t="str">
        <f t="shared" si="19"/>
        <v/>
      </c>
      <c r="AT90" s="78" t="str">
        <f t="shared" si="20"/>
        <v/>
      </c>
      <c r="AU90" s="78" t="str">
        <f t="shared" si="21"/>
        <v/>
      </c>
      <c r="AV90" s="64" t="str">
        <f ca="1">IFERROR(__xludf.DUMMYFUNCTION("IF(TRIM(AU90)="""","""",AU90/INDEX(FILTER(AT$3:AT90,TRIM(AT$3:AT90)&lt;&gt;""""),ROWS(FILTER(AT$3:AT90,TRIM(AT$3:AT90)&lt;&gt;"""")))-1)"),"")</f>
        <v/>
      </c>
      <c r="AW90" s="65" t="e">
        <f t="shared" ca="1" si="13"/>
        <v>#VALUE!</v>
      </c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ht="19" x14ac:dyDescent="0.25">
      <c r="A91" s="5"/>
      <c r="B91" s="5"/>
      <c r="C91" s="5"/>
      <c r="D91" s="5"/>
      <c r="E91" s="5"/>
      <c r="F91" s="5"/>
      <c r="G91" s="5"/>
      <c r="H91" s="6"/>
      <c r="I91" s="5"/>
      <c r="J91" s="83"/>
      <c r="K91" s="83"/>
      <c r="L91" s="83"/>
      <c r="M91" s="83"/>
      <c r="N91" s="83"/>
      <c r="O91" s="83"/>
      <c r="P91" s="83"/>
      <c r="Q91" s="84"/>
      <c r="R91" s="83"/>
      <c r="S91" s="83"/>
      <c r="T91" s="85"/>
      <c r="U91" s="6"/>
      <c r="V91" s="87">
        <v>44048</v>
      </c>
      <c r="W91" s="45">
        <v>119.83</v>
      </c>
      <c r="X91" s="46"/>
      <c r="Y91" s="61"/>
      <c r="Z91" s="5"/>
      <c r="AA91" s="5"/>
      <c r="AB91" s="5"/>
      <c r="AC91" s="5"/>
      <c r="AD91" s="5"/>
      <c r="AE91" s="5"/>
      <c r="AF91" s="5"/>
      <c r="AG91" s="5"/>
      <c r="AH91" s="6"/>
      <c r="AI91" s="87">
        <v>44048</v>
      </c>
      <c r="AJ91" s="53">
        <v>119.83</v>
      </c>
      <c r="AK91" s="54">
        <f t="shared" si="11"/>
        <v>-3.0782029950083833E-3</v>
      </c>
      <c r="AL91" s="55">
        <f t="shared" si="14"/>
        <v>20.348585721336001</v>
      </c>
      <c r="AM91" s="56">
        <v>25</v>
      </c>
      <c r="AN91" s="57">
        <f t="shared" si="12"/>
        <v>4.6514142786639994</v>
      </c>
      <c r="AO91" s="76">
        <f t="shared" si="15"/>
        <v>5.4228102723528071</v>
      </c>
      <c r="AP91" s="63" t="str">
        <f t="shared" si="16"/>
        <v>Buy Stocks</v>
      </c>
      <c r="AQ91" s="63" t="str">
        <f t="shared" si="17"/>
        <v/>
      </c>
      <c r="AR91" s="63" t="str">
        <f t="shared" si="18"/>
        <v/>
      </c>
      <c r="AS91" s="63" t="str">
        <f t="shared" si="19"/>
        <v/>
      </c>
      <c r="AT91" s="78" t="str">
        <f t="shared" si="20"/>
        <v/>
      </c>
      <c r="AU91" s="78" t="str">
        <f t="shared" si="21"/>
        <v/>
      </c>
      <c r="AV91" s="64" t="str">
        <f ca="1">IFERROR(__xludf.DUMMYFUNCTION("IF(TRIM(AU91)="""","""",AU91/INDEX(FILTER(AT$3:AT91,TRIM(AT$3:AT91)&lt;&gt;""""),ROWS(FILTER(AT$3:AT91,TRIM(AT$3:AT91)&lt;&gt;"""")))-1)"),"")</f>
        <v/>
      </c>
      <c r="AW91" s="65" t="e">
        <f t="shared" ca="1" si="13"/>
        <v>#VALUE!</v>
      </c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ht="19" x14ac:dyDescent="0.25">
      <c r="A92" s="5"/>
      <c r="B92" s="5"/>
      <c r="C92" s="5"/>
      <c r="D92" s="5"/>
      <c r="E92" s="5"/>
      <c r="F92" s="5"/>
      <c r="G92" s="5"/>
      <c r="H92" s="6"/>
      <c r="I92" s="5"/>
      <c r="J92" s="83"/>
      <c r="K92" s="83"/>
      <c r="L92" s="83"/>
      <c r="M92" s="83"/>
      <c r="N92" s="83"/>
      <c r="O92" s="83"/>
      <c r="P92" s="83"/>
      <c r="Q92" s="84"/>
      <c r="R92" s="83"/>
      <c r="S92" s="83"/>
      <c r="T92" s="85"/>
      <c r="U92" s="6"/>
      <c r="V92" s="87">
        <v>44049</v>
      </c>
      <c r="W92" s="45">
        <v>120.47</v>
      </c>
      <c r="X92" s="46"/>
      <c r="Y92" s="61"/>
      <c r="Z92" s="5"/>
      <c r="AA92" s="5"/>
      <c r="AB92" s="5"/>
      <c r="AC92" s="5"/>
      <c r="AD92" s="5"/>
      <c r="AE92" s="5"/>
      <c r="AF92" s="5"/>
      <c r="AG92" s="5"/>
      <c r="AH92" s="6"/>
      <c r="AI92" s="87">
        <v>44049</v>
      </c>
      <c r="AJ92" s="53">
        <v>120.47</v>
      </c>
      <c r="AK92" s="54">
        <f t="shared" si="11"/>
        <v>5.3408996077777271E-3</v>
      </c>
      <c r="AL92" s="55">
        <f t="shared" si="14"/>
        <v>10.588998893867222</v>
      </c>
      <c r="AM92" s="56">
        <v>25</v>
      </c>
      <c r="AN92" s="57">
        <f t="shared" si="12"/>
        <v>14.411001106132778</v>
      </c>
      <c r="AO92" s="76">
        <f t="shared" si="15"/>
        <v>6.9265206359020111</v>
      </c>
      <c r="AP92" s="63" t="str">
        <f t="shared" si="16"/>
        <v>Buy Stocks</v>
      </c>
      <c r="AQ92" s="63" t="str">
        <f t="shared" si="17"/>
        <v/>
      </c>
      <c r="AR92" s="63" t="str">
        <f t="shared" si="18"/>
        <v/>
      </c>
      <c r="AS92" s="63" t="str">
        <f t="shared" si="19"/>
        <v/>
      </c>
      <c r="AT92" s="78" t="str">
        <f t="shared" si="20"/>
        <v/>
      </c>
      <c r="AU92" s="78" t="str">
        <f t="shared" si="21"/>
        <v/>
      </c>
      <c r="AV92" s="64" t="str">
        <f ca="1">IFERROR(__xludf.DUMMYFUNCTION("IF(TRIM(AU92)="""","""",AU92/INDEX(FILTER(AT$3:AT92,TRIM(AT$3:AT92)&lt;&gt;""""),ROWS(FILTER(AT$3:AT92,TRIM(AT$3:AT92)&lt;&gt;"""")))-1)"),"")</f>
        <v/>
      </c>
      <c r="AW92" s="65" t="e">
        <f t="shared" ca="1" si="13"/>
        <v>#VALUE!</v>
      </c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ht="19" x14ac:dyDescent="0.25">
      <c r="A93" s="5"/>
      <c r="B93" s="5"/>
      <c r="C93" s="5"/>
      <c r="D93" s="5"/>
      <c r="E93" s="5"/>
      <c r="F93" s="5"/>
      <c r="G93" s="5"/>
      <c r="H93" s="6"/>
      <c r="I93" s="5"/>
      <c r="J93" s="83"/>
      <c r="K93" s="83"/>
      <c r="L93" s="83"/>
      <c r="M93" s="83"/>
      <c r="N93" s="83"/>
      <c r="O93" s="83"/>
      <c r="P93" s="83"/>
      <c r="Q93" s="84"/>
      <c r="R93" s="83"/>
      <c r="S93" s="83"/>
      <c r="T93" s="85"/>
      <c r="U93" s="6"/>
      <c r="V93" s="87">
        <v>44050</v>
      </c>
      <c r="W93" s="45">
        <v>119.36</v>
      </c>
      <c r="X93" s="46"/>
      <c r="Y93" s="61"/>
      <c r="Z93" s="5"/>
      <c r="AA93" s="5"/>
      <c r="AB93" s="5"/>
      <c r="AC93" s="5"/>
      <c r="AD93" s="5"/>
      <c r="AE93" s="5"/>
      <c r="AF93" s="5"/>
      <c r="AG93" s="5"/>
      <c r="AH93" s="6"/>
      <c r="AI93" s="87">
        <v>44050</v>
      </c>
      <c r="AJ93" s="53">
        <v>119.36</v>
      </c>
      <c r="AK93" s="54">
        <f t="shared" si="11"/>
        <v>-9.2139121773054944E-3</v>
      </c>
      <c r="AL93" s="55">
        <f t="shared" si="14"/>
        <v>14.723099653240196</v>
      </c>
      <c r="AM93" s="56">
        <v>25</v>
      </c>
      <c r="AN93" s="57">
        <f t="shared" si="12"/>
        <v>10.276900346759804</v>
      </c>
      <c r="AO93" s="76">
        <f t="shared" si="15"/>
        <v>7.5936103110859561</v>
      </c>
      <c r="AP93" s="63" t="str">
        <f t="shared" si="16"/>
        <v>Buy Stocks</v>
      </c>
      <c r="AQ93" s="63" t="str">
        <f t="shared" si="17"/>
        <v/>
      </c>
      <c r="AR93" s="63" t="str">
        <f t="shared" si="18"/>
        <v/>
      </c>
      <c r="AS93" s="63" t="str">
        <f t="shared" si="19"/>
        <v/>
      </c>
      <c r="AT93" s="78" t="str">
        <f t="shared" si="20"/>
        <v/>
      </c>
      <c r="AU93" s="78" t="str">
        <f t="shared" si="21"/>
        <v/>
      </c>
      <c r="AV93" s="64" t="str">
        <f ca="1">IFERROR(__xludf.DUMMYFUNCTION("IF(TRIM(AU93)="""","""",AU93/INDEX(FILTER(AT$3:AT93,TRIM(AT$3:AT93)&lt;&gt;""""),ROWS(FILTER(AT$3:AT93,TRIM(AT$3:AT93)&lt;&gt;"""")))-1)"),"")</f>
        <v/>
      </c>
      <c r="AW93" s="65" t="e">
        <f t="shared" ca="1" si="13"/>
        <v>#VALUE!</v>
      </c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ht="19" x14ac:dyDescent="0.25">
      <c r="A94" s="5"/>
      <c r="B94" s="5"/>
      <c r="C94" s="5"/>
      <c r="D94" s="5"/>
      <c r="E94" s="5"/>
      <c r="F94" s="5"/>
      <c r="G94" s="5"/>
      <c r="H94" s="6"/>
      <c r="I94" s="5"/>
      <c r="J94" s="83"/>
      <c r="K94" s="83"/>
      <c r="L94" s="83"/>
      <c r="M94" s="83"/>
      <c r="N94" s="83"/>
      <c r="O94" s="83"/>
      <c r="P94" s="83"/>
      <c r="Q94" s="84"/>
      <c r="R94" s="83"/>
      <c r="S94" s="83"/>
      <c r="T94" s="85"/>
      <c r="U94" s="6"/>
      <c r="V94" s="87">
        <v>44053</v>
      </c>
      <c r="W94" s="45">
        <v>121.41</v>
      </c>
      <c r="X94" s="46"/>
      <c r="Y94" s="61"/>
      <c r="Z94" s="5"/>
      <c r="AA94" s="5"/>
      <c r="AB94" s="5"/>
      <c r="AC94" s="5"/>
      <c r="AD94" s="5"/>
      <c r="AE94" s="5"/>
      <c r="AF94" s="5"/>
      <c r="AG94" s="5"/>
      <c r="AH94" s="6"/>
      <c r="AI94" s="87">
        <v>44053</v>
      </c>
      <c r="AJ94" s="53">
        <v>121.41</v>
      </c>
      <c r="AK94" s="54">
        <f t="shared" si="11"/>
        <v>1.7174932975871249E-2</v>
      </c>
      <c r="AL94" s="55">
        <f t="shared" si="14"/>
        <v>17.164218958692366</v>
      </c>
      <c r="AM94" s="56">
        <v>25</v>
      </c>
      <c r="AN94" s="57">
        <f t="shared" si="12"/>
        <v>7.8357810413076336</v>
      </c>
      <c r="AO94" s="76">
        <f t="shared" si="15"/>
        <v>8.3290123433708523</v>
      </c>
      <c r="AP94" s="63" t="str">
        <f t="shared" si="16"/>
        <v>Buy Stocks</v>
      </c>
      <c r="AQ94" s="63" t="str">
        <f t="shared" si="17"/>
        <v/>
      </c>
      <c r="AR94" s="63" t="str">
        <f t="shared" si="18"/>
        <v/>
      </c>
      <c r="AS94" s="63" t="str">
        <f t="shared" si="19"/>
        <v/>
      </c>
      <c r="AT94" s="78" t="str">
        <f t="shared" si="20"/>
        <v/>
      </c>
      <c r="AU94" s="78" t="str">
        <f t="shared" si="21"/>
        <v/>
      </c>
      <c r="AV94" s="64" t="str">
        <f ca="1">IFERROR(__xludf.DUMMYFUNCTION("IF(TRIM(AU94)="""","""",AU94/INDEX(FILTER(AT$3:AT94,TRIM(AT$3:AT94)&lt;&gt;""""),ROWS(FILTER(AT$3:AT94,TRIM(AT$3:AT94)&lt;&gt;"""")))-1)"),"")</f>
        <v/>
      </c>
      <c r="AW94" s="65" t="e">
        <f t="shared" ca="1" si="13"/>
        <v>#VALUE!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ht="19" x14ac:dyDescent="0.25">
      <c r="A95" s="5"/>
      <c r="B95" s="5"/>
      <c r="C95" s="5"/>
      <c r="D95" s="5"/>
      <c r="E95" s="5"/>
      <c r="F95" s="5"/>
      <c r="G95" s="5"/>
      <c r="H95" s="6"/>
      <c r="I95" s="5"/>
      <c r="J95" s="83"/>
      <c r="K95" s="83"/>
      <c r="L95" s="83"/>
      <c r="M95" s="83"/>
      <c r="N95" s="83"/>
      <c r="O95" s="83"/>
      <c r="P95" s="83"/>
      <c r="Q95" s="84"/>
      <c r="R95" s="83"/>
      <c r="S95" s="83"/>
      <c r="T95" s="85"/>
      <c r="U95" s="6"/>
      <c r="V95" s="87">
        <v>44054</v>
      </c>
      <c r="W95" s="45">
        <v>121.07</v>
      </c>
      <c r="X95" s="46"/>
      <c r="Y95" s="61"/>
      <c r="Z95" s="5"/>
      <c r="AA95" s="5"/>
      <c r="AB95" s="5"/>
      <c r="AC95" s="5"/>
      <c r="AD95" s="5"/>
      <c r="AE95" s="5"/>
      <c r="AF95" s="5"/>
      <c r="AG95" s="5"/>
      <c r="AH95" s="6"/>
      <c r="AI95" s="87">
        <v>44054</v>
      </c>
      <c r="AJ95" s="53">
        <v>121.07</v>
      </c>
      <c r="AK95" s="54">
        <f t="shared" si="11"/>
        <v>-2.8004283007989628E-3</v>
      </c>
      <c r="AL95" s="55">
        <f t="shared" si="14"/>
        <v>16.163499934966907</v>
      </c>
      <c r="AM95" s="56">
        <v>25</v>
      </c>
      <c r="AN95" s="57">
        <f t="shared" si="12"/>
        <v>8.8365000650330927</v>
      </c>
      <c r="AO95" s="76">
        <f t="shared" si="15"/>
        <v>9.2023193675794612</v>
      </c>
      <c r="AP95" s="63" t="str">
        <f t="shared" si="16"/>
        <v>Buy Stocks</v>
      </c>
      <c r="AQ95" s="63" t="str">
        <f t="shared" si="17"/>
        <v/>
      </c>
      <c r="AR95" s="63" t="str">
        <f t="shared" si="18"/>
        <v/>
      </c>
      <c r="AS95" s="63" t="str">
        <f t="shared" si="19"/>
        <v/>
      </c>
      <c r="AT95" s="78" t="str">
        <f t="shared" si="20"/>
        <v/>
      </c>
      <c r="AU95" s="78" t="str">
        <f t="shared" si="21"/>
        <v/>
      </c>
      <c r="AV95" s="64" t="str">
        <f ca="1">IFERROR(__xludf.DUMMYFUNCTION("IF(TRIM(AU95)="""","""",AU95/INDEX(FILTER(AT$3:AT95,TRIM(AT$3:AT95)&lt;&gt;""""),ROWS(FILTER(AT$3:AT95,TRIM(AT$3:AT95)&lt;&gt;"""")))-1)"),"")</f>
        <v/>
      </c>
      <c r="AW95" s="65" t="e">
        <f t="shared" ca="1" si="13"/>
        <v>#VALUE!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ht="19" x14ac:dyDescent="0.25">
      <c r="A96" s="5"/>
      <c r="B96" s="5"/>
      <c r="C96" s="5"/>
      <c r="D96" s="5"/>
      <c r="E96" s="5"/>
      <c r="F96" s="5"/>
      <c r="G96" s="5"/>
      <c r="H96" s="6"/>
      <c r="I96" s="5"/>
      <c r="J96" s="83"/>
      <c r="K96" s="83"/>
      <c r="L96" s="83"/>
      <c r="M96" s="83"/>
      <c r="N96" s="83"/>
      <c r="O96" s="83"/>
      <c r="P96" s="83"/>
      <c r="Q96" s="84"/>
      <c r="R96" s="83"/>
      <c r="S96" s="83"/>
      <c r="T96" s="85"/>
      <c r="U96" s="6"/>
      <c r="V96" s="87">
        <v>44055</v>
      </c>
      <c r="W96" s="45">
        <v>121.02</v>
      </c>
      <c r="X96" s="46"/>
      <c r="Y96" s="61"/>
      <c r="Z96" s="5"/>
      <c r="AA96" s="5"/>
      <c r="AB96" s="5"/>
      <c r="AC96" s="5"/>
      <c r="AD96" s="5"/>
      <c r="AE96" s="5"/>
      <c r="AF96" s="5"/>
      <c r="AG96" s="5"/>
      <c r="AH96" s="6"/>
      <c r="AI96" s="87">
        <v>44055</v>
      </c>
      <c r="AJ96" s="53">
        <v>121.02</v>
      </c>
      <c r="AK96" s="54">
        <f t="shared" si="11"/>
        <v>-4.1298422400259938E-4</v>
      </c>
      <c r="AL96" s="55">
        <f t="shared" si="14"/>
        <v>15.796073916124017</v>
      </c>
      <c r="AM96" s="56">
        <v>25</v>
      </c>
      <c r="AN96" s="57">
        <f t="shared" si="12"/>
        <v>9.2039260838759827</v>
      </c>
      <c r="AO96" s="76">
        <f t="shared" si="15"/>
        <v>10.112821728621858</v>
      </c>
      <c r="AP96" s="63" t="str">
        <f t="shared" si="16"/>
        <v>Buy Stocks</v>
      </c>
      <c r="AQ96" s="63" t="str">
        <f t="shared" si="17"/>
        <v/>
      </c>
      <c r="AR96" s="63" t="str">
        <f t="shared" si="18"/>
        <v/>
      </c>
      <c r="AS96" s="63" t="str">
        <f t="shared" si="19"/>
        <v/>
      </c>
      <c r="AT96" s="78" t="str">
        <f t="shared" si="20"/>
        <v/>
      </c>
      <c r="AU96" s="78" t="str">
        <f t="shared" si="21"/>
        <v/>
      </c>
      <c r="AV96" s="64" t="str">
        <f ca="1">IFERROR(__xludf.DUMMYFUNCTION("IF(TRIM(AU96)="""","""",AU96/INDEX(FILTER(AT$3:AT96,TRIM(AT$3:AT96)&lt;&gt;""""),ROWS(FILTER(AT$3:AT96,TRIM(AT$3:AT96)&lt;&gt;"""")))-1)"),"")</f>
        <v/>
      </c>
      <c r="AW96" s="65" t="e">
        <f t="shared" ca="1" si="13"/>
        <v>#VALUE!</v>
      </c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ht="19" x14ac:dyDescent="0.25">
      <c r="A97" s="5"/>
      <c r="B97" s="5"/>
      <c r="C97" s="5"/>
      <c r="D97" s="5"/>
      <c r="E97" s="5"/>
      <c r="F97" s="5"/>
      <c r="G97" s="5"/>
      <c r="H97" s="6"/>
      <c r="I97" s="5"/>
      <c r="J97" s="83"/>
      <c r="K97" s="83"/>
      <c r="L97" s="83"/>
      <c r="M97" s="83"/>
      <c r="N97" s="83"/>
      <c r="O97" s="83"/>
      <c r="P97" s="83"/>
      <c r="Q97" s="84"/>
      <c r="R97" s="83"/>
      <c r="S97" s="83"/>
      <c r="T97" s="85"/>
      <c r="U97" s="6"/>
      <c r="V97" s="87">
        <v>44056</v>
      </c>
      <c r="W97" s="45">
        <v>119.42</v>
      </c>
      <c r="X97" s="46"/>
      <c r="Y97" s="61"/>
      <c r="Z97" s="5"/>
      <c r="AA97" s="5"/>
      <c r="AB97" s="5"/>
      <c r="AC97" s="5"/>
      <c r="AD97" s="5"/>
      <c r="AE97" s="5"/>
      <c r="AF97" s="5"/>
      <c r="AG97" s="5"/>
      <c r="AH97" s="6"/>
      <c r="AI97" s="87">
        <v>44056</v>
      </c>
      <c r="AJ97" s="53">
        <v>119.42</v>
      </c>
      <c r="AK97" s="54">
        <f t="shared" si="11"/>
        <v>-1.3220955214014118E-2</v>
      </c>
      <c r="AL97" s="55">
        <f t="shared" si="14"/>
        <v>18.586086240645265</v>
      </c>
      <c r="AM97" s="56">
        <v>25</v>
      </c>
      <c r="AN97" s="57">
        <f t="shared" si="12"/>
        <v>6.4139137593547346</v>
      </c>
      <c r="AO97" s="76">
        <f t="shared" si="15"/>
        <v>8.5134042592662489</v>
      </c>
      <c r="AP97" s="63" t="str">
        <f t="shared" si="16"/>
        <v>Buy Stocks</v>
      </c>
      <c r="AQ97" s="63" t="str">
        <f t="shared" si="17"/>
        <v/>
      </c>
      <c r="AR97" s="63" t="str">
        <f t="shared" si="18"/>
        <v/>
      </c>
      <c r="AS97" s="63" t="str">
        <f t="shared" si="19"/>
        <v/>
      </c>
      <c r="AT97" s="78" t="str">
        <f t="shared" si="20"/>
        <v/>
      </c>
      <c r="AU97" s="78" t="str">
        <f t="shared" si="21"/>
        <v/>
      </c>
      <c r="AV97" s="64" t="str">
        <f ca="1">IFERROR(__xludf.DUMMYFUNCTION("IF(TRIM(AU97)="""","""",AU97/INDEX(FILTER(AT$3:AT97,TRIM(AT$3:AT97)&lt;&gt;""""),ROWS(FILTER(AT$3:AT97,TRIM(AT$3:AT97)&lt;&gt;"""")))-1)"),"")</f>
        <v/>
      </c>
      <c r="AW97" s="65" t="e">
        <f t="shared" ca="1" si="13"/>
        <v>#VALUE!</v>
      </c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ht="19" x14ac:dyDescent="0.25">
      <c r="A98" s="5"/>
      <c r="B98" s="5"/>
      <c r="C98" s="5"/>
      <c r="D98" s="5"/>
      <c r="E98" s="5"/>
      <c r="F98" s="5"/>
      <c r="G98" s="5"/>
      <c r="H98" s="6"/>
      <c r="I98" s="5"/>
      <c r="J98" s="83"/>
      <c r="K98" s="83"/>
      <c r="L98" s="83"/>
      <c r="M98" s="83"/>
      <c r="N98" s="83"/>
      <c r="O98" s="83"/>
      <c r="P98" s="83"/>
      <c r="Q98" s="84"/>
      <c r="R98" s="83"/>
      <c r="S98" s="83"/>
      <c r="T98" s="85"/>
      <c r="U98" s="6"/>
      <c r="V98" s="87">
        <v>44057</v>
      </c>
      <c r="W98" s="45">
        <v>119.65</v>
      </c>
      <c r="X98" s="46"/>
      <c r="Y98" s="61"/>
      <c r="Z98" s="5"/>
      <c r="AA98" s="5"/>
      <c r="AB98" s="5"/>
      <c r="AC98" s="5"/>
      <c r="AD98" s="5"/>
      <c r="AE98" s="5"/>
      <c r="AF98" s="5"/>
      <c r="AG98" s="5"/>
      <c r="AH98" s="6"/>
      <c r="AI98" s="87">
        <v>44057</v>
      </c>
      <c r="AJ98" s="53">
        <v>119.65</v>
      </c>
      <c r="AK98" s="54">
        <f t="shared" si="11"/>
        <v>1.9259755484843932E-3</v>
      </c>
      <c r="AL98" s="55">
        <f t="shared" si="14"/>
        <v>17.390960400071314</v>
      </c>
      <c r="AM98" s="56">
        <v>25</v>
      </c>
      <c r="AN98" s="57">
        <f t="shared" si="12"/>
        <v>7.6090395999286855</v>
      </c>
      <c r="AO98" s="76">
        <f t="shared" si="15"/>
        <v>7.979832109900026</v>
      </c>
      <c r="AP98" s="63" t="str">
        <f t="shared" si="16"/>
        <v>Buy Stocks</v>
      </c>
      <c r="AQ98" s="63" t="str">
        <f t="shared" si="17"/>
        <v/>
      </c>
      <c r="AR98" s="63" t="str">
        <f t="shared" si="18"/>
        <v/>
      </c>
      <c r="AS98" s="63" t="str">
        <f t="shared" si="19"/>
        <v/>
      </c>
      <c r="AT98" s="78" t="str">
        <f t="shared" si="20"/>
        <v/>
      </c>
      <c r="AU98" s="78" t="str">
        <f t="shared" si="21"/>
        <v/>
      </c>
      <c r="AV98" s="64" t="str">
        <f ca="1">IFERROR(__xludf.DUMMYFUNCTION("IF(TRIM(AU98)="""","""",AU98/INDEX(FILTER(AT$3:AT98,TRIM(AT$3:AT98)&lt;&gt;""""),ROWS(FILTER(AT$3:AT98,TRIM(AT$3:AT98)&lt;&gt;"""")))-1)"),"")</f>
        <v/>
      </c>
      <c r="AW98" s="65" t="e">
        <f t="shared" ca="1" si="13"/>
        <v>#VALUE!</v>
      </c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ht="19" x14ac:dyDescent="0.25">
      <c r="A99" s="5"/>
      <c r="B99" s="5"/>
      <c r="C99" s="5"/>
      <c r="D99" s="5"/>
      <c r="E99" s="5"/>
      <c r="F99" s="5"/>
      <c r="G99" s="5"/>
      <c r="H99" s="6"/>
      <c r="I99" s="5"/>
      <c r="J99" s="83"/>
      <c r="K99" s="83"/>
      <c r="L99" s="83"/>
      <c r="M99" s="83"/>
      <c r="N99" s="83"/>
      <c r="O99" s="83"/>
      <c r="P99" s="83"/>
      <c r="Q99" s="84"/>
      <c r="R99" s="83"/>
      <c r="S99" s="83"/>
      <c r="T99" s="85"/>
      <c r="U99" s="6"/>
      <c r="V99" s="87">
        <v>44060</v>
      </c>
      <c r="W99" s="45">
        <v>118.86</v>
      </c>
      <c r="X99" s="46"/>
      <c r="Y99" s="61"/>
      <c r="Z99" s="5"/>
      <c r="AA99" s="5"/>
      <c r="AB99" s="5"/>
      <c r="AC99" s="5"/>
      <c r="AD99" s="5"/>
      <c r="AE99" s="5"/>
      <c r="AF99" s="5"/>
      <c r="AG99" s="5"/>
      <c r="AH99" s="6"/>
      <c r="AI99" s="87">
        <v>44060</v>
      </c>
      <c r="AJ99" s="53">
        <v>118.86</v>
      </c>
      <c r="AK99" s="54">
        <f t="shared" si="11"/>
        <v>-6.6025908900961827E-3</v>
      </c>
      <c r="AL99" s="55">
        <f t="shared" si="14"/>
        <v>9.4241472487552027</v>
      </c>
      <c r="AM99" s="56">
        <v>25</v>
      </c>
      <c r="AN99" s="57">
        <f t="shared" si="12"/>
        <v>15.575852751244797</v>
      </c>
      <c r="AO99" s="76">
        <f t="shared" si="15"/>
        <v>9.5278464518874593</v>
      </c>
      <c r="AP99" s="63" t="str">
        <f t="shared" si="16"/>
        <v>Buy Stocks</v>
      </c>
      <c r="AQ99" s="63" t="str">
        <f t="shared" si="17"/>
        <v/>
      </c>
      <c r="AR99" s="63" t="str">
        <f t="shared" si="18"/>
        <v/>
      </c>
      <c r="AS99" s="63" t="str">
        <f t="shared" si="19"/>
        <v/>
      </c>
      <c r="AT99" s="78" t="str">
        <f t="shared" si="20"/>
        <v/>
      </c>
      <c r="AU99" s="78" t="str">
        <f t="shared" si="21"/>
        <v/>
      </c>
      <c r="AV99" s="64" t="str">
        <f ca="1">IFERROR(__xludf.DUMMYFUNCTION("IF(TRIM(AU99)="""","""",AU99/INDEX(FILTER(AT$3:AT99,TRIM(AT$3:AT99)&lt;&gt;""""),ROWS(FILTER(AT$3:AT99,TRIM(AT$3:AT99)&lt;&gt;"""")))-1)"),"")</f>
        <v/>
      </c>
      <c r="AW99" s="65" t="e">
        <f t="shared" ca="1" si="13"/>
        <v>#VALUE!</v>
      </c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ht="19" x14ac:dyDescent="0.25">
      <c r="A100" s="5"/>
      <c r="B100" s="5"/>
      <c r="C100" s="5"/>
      <c r="D100" s="5"/>
      <c r="E100" s="5"/>
      <c r="F100" s="5"/>
      <c r="G100" s="5"/>
      <c r="H100" s="6"/>
      <c r="I100" s="5"/>
      <c r="J100" s="83"/>
      <c r="K100" s="83"/>
      <c r="L100" s="83"/>
      <c r="M100" s="83"/>
      <c r="N100" s="83"/>
      <c r="O100" s="83"/>
      <c r="P100" s="83"/>
      <c r="Q100" s="84"/>
      <c r="R100" s="83"/>
      <c r="S100" s="83"/>
      <c r="T100" s="85"/>
      <c r="U100" s="6"/>
      <c r="V100" s="87">
        <v>44061</v>
      </c>
      <c r="W100" s="45">
        <v>119.32</v>
      </c>
      <c r="X100" s="46"/>
      <c r="Y100" s="61"/>
      <c r="Z100" s="5"/>
      <c r="AA100" s="5"/>
      <c r="AB100" s="5"/>
      <c r="AC100" s="5"/>
      <c r="AD100" s="5"/>
      <c r="AE100" s="5"/>
      <c r="AF100" s="5"/>
      <c r="AG100" s="5"/>
      <c r="AH100" s="6"/>
      <c r="AI100" s="87">
        <v>44061</v>
      </c>
      <c r="AJ100" s="53">
        <v>119.32</v>
      </c>
      <c r="AK100" s="54">
        <f t="shared" si="11"/>
        <v>3.8700992764595377E-3</v>
      </c>
      <c r="AL100" s="55">
        <f t="shared" si="14"/>
        <v>11.099111432469902</v>
      </c>
      <c r="AM100" s="56">
        <v>25</v>
      </c>
      <c r="AN100" s="57">
        <f t="shared" si="12"/>
        <v>13.900888567530098</v>
      </c>
      <c r="AO100" s="76">
        <f t="shared" si="15"/>
        <v>10.54072415238686</v>
      </c>
      <c r="AP100" s="63" t="str">
        <f t="shared" si="16"/>
        <v>Buy Stocks</v>
      </c>
      <c r="AQ100" s="63" t="str">
        <f t="shared" si="17"/>
        <v/>
      </c>
      <c r="AR100" s="63" t="str">
        <f t="shared" si="18"/>
        <v/>
      </c>
      <c r="AS100" s="63" t="str">
        <f t="shared" si="19"/>
        <v/>
      </c>
      <c r="AT100" s="78" t="str">
        <f t="shared" si="20"/>
        <v/>
      </c>
      <c r="AU100" s="78" t="str">
        <f t="shared" si="21"/>
        <v/>
      </c>
      <c r="AV100" s="64" t="str">
        <f ca="1">IFERROR(__xludf.DUMMYFUNCTION("IF(TRIM(AU100)="""","""",AU100/INDEX(FILTER(AT$3:AT100,TRIM(AT$3:AT100)&lt;&gt;""""),ROWS(FILTER(AT$3:AT100,TRIM(AT$3:AT100)&lt;&gt;"""")))-1)"),"")</f>
        <v/>
      </c>
      <c r="AW100" s="65" t="e">
        <f t="shared" ca="1" si="13"/>
        <v>#VALUE!</v>
      </c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ht="19" x14ac:dyDescent="0.25">
      <c r="A101" s="5"/>
      <c r="B101" s="5"/>
      <c r="C101" s="5"/>
      <c r="D101" s="5"/>
      <c r="E101" s="5"/>
      <c r="F101" s="5"/>
      <c r="G101" s="5"/>
      <c r="H101" s="6"/>
      <c r="I101" s="5"/>
      <c r="J101" s="83"/>
      <c r="K101" s="83"/>
      <c r="L101" s="83"/>
      <c r="M101" s="83"/>
      <c r="N101" s="83"/>
      <c r="O101" s="83"/>
      <c r="P101" s="83"/>
      <c r="Q101" s="84"/>
      <c r="R101" s="83"/>
      <c r="S101" s="83"/>
      <c r="T101" s="85"/>
      <c r="U101" s="6"/>
      <c r="V101" s="87">
        <v>44062</v>
      </c>
      <c r="W101" s="45">
        <v>118.29</v>
      </c>
      <c r="X101" s="46"/>
      <c r="Y101" s="61"/>
      <c r="Z101" s="5"/>
      <c r="AA101" s="5"/>
      <c r="AB101" s="5"/>
      <c r="AC101" s="5"/>
      <c r="AD101" s="5"/>
      <c r="AE101" s="5"/>
      <c r="AF101" s="5"/>
      <c r="AG101" s="5"/>
      <c r="AH101" s="6"/>
      <c r="AI101" s="87">
        <v>44062</v>
      </c>
      <c r="AJ101" s="53">
        <v>118.29</v>
      </c>
      <c r="AK101" s="54">
        <f t="shared" si="11"/>
        <v>-8.6322494133421745E-3</v>
      </c>
      <c r="AL101" s="55">
        <f t="shared" si="14"/>
        <v>11.471956008505803</v>
      </c>
      <c r="AM101" s="56">
        <v>25</v>
      </c>
      <c r="AN101" s="57">
        <f t="shared" si="12"/>
        <v>13.528043991494197</v>
      </c>
      <c r="AO101" s="76">
        <f t="shared" si="15"/>
        <v>11.405547733910501</v>
      </c>
      <c r="AP101" s="63" t="str">
        <f t="shared" si="16"/>
        <v>Buy Stocks</v>
      </c>
      <c r="AQ101" s="63" t="str">
        <f t="shared" si="17"/>
        <v/>
      </c>
      <c r="AR101" s="63" t="str">
        <f t="shared" si="18"/>
        <v/>
      </c>
      <c r="AS101" s="63" t="str">
        <f t="shared" si="19"/>
        <v/>
      </c>
      <c r="AT101" s="78" t="str">
        <f t="shared" si="20"/>
        <v/>
      </c>
      <c r="AU101" s="78" t="str">
        <f t="shared" si="21"/>
        <v/>
      </c>
      <c r="AV101" s="64" t="str">
        <f ca="1">IFERROR(__xludf.DUMMYFUNCTION("IF(TRIM(AU101)="""","""",AU101/INDEX(FILTER(AT$3:AT101,TRIM(AT$3:AT101)&lt;&gt;""""),ROWS(FILTER(AT$3:AT101,TRIM(AT$3:AT101)&lt;&gt;"""")))-1)"),"")</f>
        <v/>
      </c>
      <c r="AW101" s="65" t="e">
        <f t="shared" ca="1" si="13"/>
        <v>#VALUE!</v>
      </c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ht="19" x14ac:dyDescent="0.25">
      <c r="A102" s="5"/>
      <c r="B102" s="5"/>
      <c r="C102" s="5"/>
      <c r="D102" s="5"/>
      <c r="E102" s="5"/>
      <c r="F102" s="5"/>
      <c r="G102" s="5"/>
      <c r="H102" s="6"/>
      <c r="I102" s="5"/>
      <c r="J102" s="83"/>
      <c r="K102" s="83"/>
      <c r="L102" s="83"/>
      <c r="M102" s="83"/>
      <c r="N102" s="83"/>
      <c r="O102" s="83"/>
      <c r="P102" s="83"/>
      <c r="Q102" s="84"/>
      <c r="R102" s="83"/>
      <c r="S102" s="83"/>
      <c r="T102" s="85"/>
      <c r="U102" s="6"/>
      <c r="V102" s="87">
        <v>44063</v>
      </c>
      <c r="W102" s="45">
        <v>117.63</v>
      </c>
      <c r="X102" s="46"/>
      <c r="Y102" s="61"/>
      <c r="Z102" s="5"/>
      <c r="AA102" s="5"/>
      <c r="AB102" s="5"/>
      <c r="AC102" s="5"/>
      <c r="AD102" s="5"/>
      <c r="AE102" s="5"/>
      <c r="AF102" s="5"/>
      <c r="AG102" s="5"/>
      <c r="AH102" s="6"/>
      <c r="AI102" s="87">
        <v>44063</v>
      </c>
      <c r="AJ102" s="53">
        <v>117.63</v>
      </c>
      <c r="AK102" s="54">
        <f t="shared" si="11"/>
        <v>-5.5795079888411037E-3</v>
      </c>
      <c r="AL102" s="55">
        <f t="shared" si="14"/>
        <v>8.7963321168604338</v>
      </c>
      <c r="AM102" s="56">
        <v>25</v>
      </c>
      <c r="AN102" s="57">
        <f t="shared" si="12"/>
        <v>16.203667883139566</v>
      </c>
      <c r="AO102" s="76">
        <f t="shared" si="15"/>
        <v>13.363498558667469</v>
      </c>
      <c r="AP102" s="63" t="str">
        <f t="shared" si="16"/>
        <v>Buy Stocks</v>
      </c>
      <c r="AQ102" s="63" t="str">
        <f t="shared" si="17"/>
        <v/>
      </c>
      <c r="AR102" s="63" t="str">
        <f t="shared" si="18"/>
        <v/>
      </c>
      <c r="AS102" s="63" t="str">
        <f t="shared" si="19"/>
        <v/>
      </c>
      <c r="AT102" s="78" t="str">
        <f t="shared" si="20"/>
        <v/>
      </c>
      <c r="AU102" s="78" t="str">
        <f t="shared" si="21"/>
        <v/>
      </c>
      <c r="AV102" s="64" t="str">
        <f ca="1">IFERROR(__xludf.DUMMYFUNCTION("IF(TRIM(AU102)="""","""",AU102/INDEX(FILTER(AT$3:AT102,TRIM(AT$3:AT102)&lt;&gt;""""),ROWS(FILTER(AT$3:AT102,TRIM(AT$3:AT102)&lt;&gt;"""")))-1)"),"")</f>
        <v/>
      </c>
      <c r="AW102" s="65" t="e">
        <f t="shared" ca="1" si="13"/>
        <v>#VALUE!</v>
      </c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ht="19" x14ac:dyDescent="0.25">
      <c r="A103" s="5"/>
      <c r="B103" s="5"/>
      <c r="C103" s="5"/>
      <c r="D103" s="5"/>
      <c r="E103" s="5"/>
      <c r="F103" s="5"/>
      <c r="G103" s="5"/>
      <c r="H103" s="6"/>
      <c r="I103" s="5"/>
      <c r="J103" s="83"/>
      <c r="K103" s="83"/>
      <c r="L103" s="83"/>
      <c r="M103" s="83"/>
      <c r="N103" s="83"/>
      <c r="O103" s="83"/>
      <c r="P103" s="83"/>
      <c r="Q103" s="84"/>
      <c r="R103" s="83"/>
      <c r="S103" s="83"/>
      <c r="T103" s="85"/>
      <c r="U103" s="6"/>
      <c r="V103" s="87">
        <v>44064</v>
      </c>
      <c r="W103" s="45">
        <v>117.64</v>
      </c>
      <c r="X103" s="46"/>
      <c r="Y103" s="61"/>
      <c r="Z103" s="5"/>
      <c r="AA103" s="5"/>
      <c r="AB103" s="5"/>
      <c r="AC103" s="5"/>
      <c r="AD103" s="5"/>
      <c r="AE103" s="5"/>
      <c r="AF103" s="5"/>
      <c r="AG103" s="5"/>
      <c r="AH103" s="6"/>
      <c r="AI103" s="87">
        <v>44064</v>
      </c>
      <c r="AJ103" s="53">
        <v>117.64</v>
      </c>
      <c r="AK103" s="54">
        <f t="shared" si="11"/>
        <v>8.5012326787481385E-5</v>
      </c>
      <c r="AL103" s="55">
        <f t="shared" si="14"/>
        <v>8.2248860441679277</v>
      </c>
      <c r="AM103" s="56">
        <v>25</v>
      </c>
      <c r="AN103" s="57">
        <f t="shared" si="12"/>
        <v>16.775113955832072</v>
      </c>
      <c r="AO103" s="76">
        <f t="shared" si="15"/>
        <v>15.196713429848145</v>
      </c>
      <c r="AP103" s="63" t="str">
        <f t="shared" si="16"/>
        <v>Buy Stocks</v>
      </c>
      <c r="AQ103" s="63" t="str">
        <f t="shared" si="17"/>
        <v/>
      </c>
      <c r="AR103" s="63" t="str">
        <f t="shared" si="18"/>
        <v/>
      </c>
      <c r="AS103" s="63" t="str">
        <f t="shared" si="19"/>
        <v/>
      </c>
      <c r="AT103" s="78" t="str">
        <f t="shared" si="20"/>
        <v/>
      </c>
      <c r="AU103" s="78" t="str">
        <f t="shared" si="21"/>
        <v/>
      </c>
      <c r="AV103" s="64" t="str">
        <f ca="1">IFERROR(__xludf.DUMMYFUNCTION("IF(TRIM(AU103)="""","""",AU103/INDEX(FILTER(AT$3:AT103,TRIM(AT$3:AT103)&lt;&gt;""""),ROWS(FILTER(AT$3:AT103,TRIM(AT$3:AT103)&lt;&gt;"""")))-1)"),"")</f>
        <v/>
      </c>
      <c r="AW103" s="65" t="e">
        <f t="shared" ca="1" si="13"/>
        <v>#VALUE!</v>
      </c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ht="19" x14ac:dyDescent="0.25">
      <c r="A104" s="5"/>
      <c r="B104" s="5"/>
      <c r="C104" s="5"/>
      <c r="D104" s="5"/>
      <c r="E104" s="5"/>
      <c r="F104" s="5"/>
      <c r="G104" s="5"/>
      <c r="H104" s="6"/>
      <c r="I104" s="5"/>
      <c r="J104" s="83"/>
      <c r="K104" s="83"/>
      <c r="L104" s="83"/>
      <c r="M104" s="83"/>
      <c r="N104" s="83"/>
      <c r="O104" s="83"/>
      <c r="P104" s="83"/>
      <c r="Q104" s="84"/>
      <c r="R104" s="83"/>
      <c r="S104" s="83"/>
      <c r="T104" s="85"/>
      <c r="U104" s="6"/>
      <c r="V104" s="87">
        <v>44067</v>
      </c>
      <c r="W104" s="45">
        <v>120.05</v>
      </c>
      <c r="X104" s="46"/>
      <c r="Y104" s="61"/>
      <c r="Z104" s="5"/>
      <c r="AA104" s="5"/>
      <c r="AB104" s="5"/>
      <c r="AC104" s="5"/>
      <c r="AD104" s="5"/>
      <c r="AE104" s="5"/>
      <c r="AF104" s="5"/>
      <c r="AG104" s="5"/>
      <c r="AH104" s="6"/>
      <c r="AI104" s="87">
        <v>44067</v>
      </c>
      <c r="AJ104" s="53">
        <v>120.05</v>
      </c>
      <c r="AK104" s="54">
        <f t="shared" si="11"/>
        <v>2.0486229173750425E-2</v>
      </c>
      <c r="AL104" s="55">
        <f t="shared" si="14"/>
        <v>18.089073901031234</v>
      </c>
      <c r="AM104" s="56">
        <v>25</v>
      </c>
      <c r="AN104" s="57">
        <f t="shared" si="12"/>
        <v>6.9109260989687655</v>
      </c>
      <c r="AO104" s="76">
        <f t="shared" si="15"/>
        <v>13.463728099392938</v>
      </c>
      <c r="AP104" s="63" t="str">
        <f t="shared" si="16"/>
        <v>Buy Stocks</v>
      </c>
      <c r="AQ104" s="63" t="str">
        <f t="shared" si="17"/>
        <v/>
      </c>
      <c r="AR104" s="63" t="str">
        <f t="shared" si="18"/>
        <v/>
      </c>
      <c r="AS104" s="63" t="str">
        <f t="shared" si="19"/>
        <v/>
      </c>
      <c r="AT104" s="78" t="str">
        <f t="shared" si="20"/>
        <v/>
      </c>
      <c r="AU104" s="78" t="str">
        <f t="shared" si="21"/>
        <v/>
      </c>
      <c r="AV104" s="64" t="str">
        <f ca="1">IFERROR(__xludf.DUMMYFUNCTION("IF(TRIM(AU104)="""","""",AU104/INDEX(FILTER(AT$3:AT104,TRIM(AT$3:AT104)&lt;&gt;""""),ROWS(FILTER(AT$3:AT104,TRIM(AT$3:AT104)&lt;&gt;"""")))-1)"),"")</f>
        <v/>
      </c>
      <c r="AW104" s="65" t="e">
        <f t="shared" ca="1" si="13"/>
        <v>#VALUE!</v>
      </c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ht="19" x14ac:dyDescent="0.25">
      <c r="A105" s="5"/>
      <c r="B105" s="5"/>
      <c r="C105" s="5"/>
      <c r="D105" s="5"/>
      <c r="E105" s="5"/>
      <c r="F105" s="5"/>
      <c r="G105" s="5"/>
      <c r="H105" s="6"/>
      <c r="I105" s="5"/>
      <c r="J105" s="83"/>
      <c r="K105" s="83"/>
      <c r="L105" s="83"/>
      <c r="M105" s="83"/>
      <c r="N105" s="83"/>
      <c r="O105" s="83"/>
      <c r="P105" s="83"/>
      <c r="Q105" s="84"/>
      <c r="R105" s="83"/>
      <c r="S105" s="83"/>
      <c r="T105" s="85"/>
      <c r="U105" s="6"/>
      <c r="V105" s="87">
        <v>44068</v>
      </c>
      <c r="W105" s="45">
        <v>119.05</v>
      </c>
      <c r="X105" s="46"/>
      <c r="Y105" s="61"/>
      <c r="Z105" s="5"/>
      <c r="AA105" s="5"/>
      <c r="AB105" s="5"/>
      <c r="AC105" s="5"/>
      <c r="AD105" s="5"/>
      <c r="AE105" s="5"/>
      <c r="AF105" s="5"/>
      <c r="AG105" s="5"/>
      <c r="AH105" s="6"/>
      <c r="AI105" s="87">
        <v>44068</v>
      </c>
      <c r="AJ105" s="53">
        <v>119.05</v>
      </c>
      <c r="AK105" s="54">
        <f t="shared" si="11"/>
        <v>-8.3298625572677532E-3</v>
      </c>
      <c r="AL105" s="55">
        <f t="shared" si="14"/>
        <v>19.343945771687238</v>
      </c>
      <c r="AM105" s="56">
        <v>25</v>
      </c>
      <c r="AN105" s="57">
        <f t="shared" si="12"/>
        <v>5.6560542283127617</v>
      </c>
      <c r="AO105" s="76">
        <f t="shared" si="15"/>
        <v>11.814761231549472</v>
      </c>
      <c r="AP105" s="63" t="str">
        <f t="shared" si="16"/>
        <v>Buy Stocks</v>
      </c>
      <c r="AQ105" s="63" t="str">
        <f t="shared" si="17"/>
        <v/>
      </c>
      <c r="AR105" s="63" t="str">
        <f t="shared" si="18"/>
        <v/>
      </c>
      <c r="AS105" s="63" t="str">
        <f t="shared" si="19"/>
        <v/>
      </c>
      <c r="AT105" s="78" t="str">
        <f t="shared" si="20"/>
        <v/>
      </c>
      <c r="AU105" s="78" t="str">
        <f t="shared" si="21"/>
        <v/>
      </c>
      <c r="AV105" s="64" t="str">
        <f ca="1">IFERROR(__xludf.DUMMYFUNCTION("IF(TRIM(AU105)="""","""",AU105/INDEX(FILTER(AT$3:AT105,TRIM(AT$3:AT105)&lt;&gt;""""),ROWS(FILTER(AT$3:AT105,TRIM(AT$3:AT105)&lt;&gt;"""")))-1)"),"")</f>
        <v/>
      </c>
      <c r="AW105" s="65" t="e">
        <f t="shared" ca="1" si="13"/>
        <v>#VALUE!</v>
      </c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ht="19" x14ac:dyDescent="0.25">
      <c r="A106" s="5"/>
      <c r="B106" s="5"/>
      <c r="C106" s="5"/>
      <c r="D106" s="5"/>
      <c r="E106" s="5"/>
      <c r="F106" s="5"/>
      <c r="G106" s="5"/>
      <c r="H106" s="6"/>
      <c r="I106" s="5"/>
      <c r="J106" s="83"/>
      <c r="K106" s="83"/>
      <c r="L106" s="83"/>
      <c r="M106" s="83"/>
      <c r="N106" s="83"/>
      <c r="O106" s="83"/>
      <c r="P106" s="83"/>
      <c r="Q106" s="84"/>
      <c r="R106" s="83"/>
      <c r="S106" s="83"/>
      <c r="T106" s="85"/>
      <c r="U106" s="6"/>
      <c r="V106" s="44">
        <v>44069</v>
      </c>
      <c r="W106" s="45">
        <v>118.6</v>
      </c>
      <c r="X106" s="46"/>
      <c r="Y106" s="61"/>
      <c r="Z106" s="5"/>
      <c r="AA106" s="5"/>
      <c r="AB106" s="5"/>
      <c r="AC106" s="5"/>
      <c r="AD106" s="5"/>
      <c r="AE106" s="5"/>
      <c r="AF106" s="5"/>
      <c r="AG106" s="5"/>
      <c r="AH106" s="6"/>
      <c r="AI106" s="44">
        <v>44069</v>
      </c>
      <c r="AJ106" s="53">
        <v>118.6</v>
      </c>
      <c r="AK106" s="54">
        <f t="shared" si="11"/>
        <v>-3.7799244015119804E-3</v>
      </c>
      <c r="AL106" s="55">
        <f t="shared" si="14"/>
        <v>18.32177212485486</v>
      </c>
      <c r="AM106" s="56">
        <v>25</v>
      </c>
      <c r="AN106" s="57">
        <f t="shared" si="12"/>
        <v>6.67822787514514</v>
      </c>
      <c r="AO106" s="76">
        <f t="shared" si="15"/>
        <v>10.444798008279662</v>
      </c>
      <c r="AP106" s="63" t="str">
        <f t="shared" si="16"/>
        <v>Buy Stocks</v>
      </c>
      <c r="AQ106" s="63" t="str">
        <f t="shared" si="17"/>
        <v/>
      </c>
      <c r="AR106" s="63" t="str">
        <f t="shared" si="18"/>
        <v/>
      </c>
      <c r="AS106" s="63" t="str">
        <f t="shared" si="19"/>
        <v/>
      </c>
      <c r="AT106" s="78" t="str">
        <f t="shared" si="20"/>
        <v/>
      </c>
      <c r="AU106" s="78" t="str">
        <f t="shared" si="21"/>
        <v/>
      </c>
      <c r="AV106" s="64" t="str">
        <f ca="1">IFERROR(__xludf.DUMMYFUNCTION("IF(TRIM(AU106)="""","""",AU106/INDEX(FILTER(AT$3:AT106,TRIM(AT$3:AT106)&lt;&gt;""""),ROWS(FILTER(AT$3:AT106,TRIM(AT$3:AT106)&lt;&gt;"""")))-1)"),"")</f>
        <v/>
      </c>
      <c r="AW106" s="65" t="e">
        <f t="shared" ca="1" si="13"/>
        <v>#VALUE!</v>
      </c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ht="19" x14ac:dyDescent="0.25">
      <c r="A107" s="5"/>
      <c r="B107" s="5"/>
      <c r="C107" s="5"/>
      <c r="D107" s="5"/>
      <c r="E107" s="5"/>
      <c r="F107" s="5"/>
      <c r="G107" s="5"/>
      <c r="H107" s="6"/>
      <c r="I107" s="5"/>
      <c r="J107" s="83"/>
      <c r="K107" s="83"/>
      <c r="L107" s="83"/>
      <c r="M107" s="83"/>
      <c r="N107" s="83"/>
      <c r="O107" s="83"/>
      <c r="P107" s="83"/>
      <c r="Q107" s="84"/>
      <c r="R107" s="83"/>
      <c r="S107" s="83"/>
      <c r="T107" s="85"/>
      <c r="U107" s="6"/>
      <c r="V107" s="44">
        <v>44070</v>
      </c>
      <c r="W107" s="45">
        <v>119.06</v>
      </c>
      <c r="X107" s="46"/>
      <c r="Y107" s="61"/>
      <c r="Z107" s="5"/>
      <c r="AA107" s="5"/>
      <c r="AB107" s="5"/>
      <c r="AC107" s="5"/>
      <c r="AD107" s="5"/>
      <c r="AE107" s="5"/>
      <c r="AF107" s="5"/>
      <c r="AG107" s="5"/>
      <c r="AH107" s="6"/>
      <c r="AI107" s="44">
        <v>44070</v>
      </c>
      <c r="AJ107" s="53">
        <v>119.06</v>
      </c>
      <c r="AK107" s="54">
        <f t="shared" si="11"/>
        <v>3.8785834738617186E-3</v>
      </c>
      <c r="AL107" s="55">
        <f t="shared" si="14"/>
        <v>17.533164940103347</v>
      </c>
      <c r="AM107" s="56">
        <v>25</v>
      </c>
      <c r="AN107" s="57">
        <f t="shared" si="12"/>
        <v>7.4668350598966526</v>
      </c>
      <c r="AO107" s="76">
        <f t="shared" si="15"/>
        <v>8.6974314436310785</v>
      </c>
      <c r="AP107" s="63" t="str">
        <f t="shared" si="16"/>
        <v>Buy Stocks</v>
      </c>
      <c r="AQ107" s="63" t="str">
        <f t="shared" si="17"/>
        <v/>
      </c>
      <c r="AR107" s="63" t="str">
        <f t="shared" si="18"/>
        <v/>
      </c>
      <c r="AS107" s="63" t="str">
        <f t="shared" si="19"/>
        <v/>
      </c>
      <c r="AT107" s="78" t="str">
        <f t="shared" si="20"/>
        <v/>
      </c>
      <c r="AU107" s="78" t="str">
        <f t="shared" si="21"/>
        <v/>
      </c>
      <c r="AV107" s="64" t="str">
        <f ca="1">IFERROR(__xludf.DUMMYFUNCTION("IF(TRIM(AU107)="""","""",AU107/INDEX(FILTER(AT$3:AT107,TRIM(AT$3:AT107)&lt;&gt;""""),ROWS(FILTER(AT$3:AT107,TRIM(AT$3:AT107)&lt;&gt;"""")))-1)"),"")</f>
        <v/>
      </c>
      <c r="AW107" s="65" t="e">
        <f t="shared" ca="1" si="13"/>
        <v>#VALUE!</v>
      </c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ht="19" x14ac:dyDescent="0.25">
      <c r="A108" s="5"/>
      <c r="B108" s="5"/>
      <c r="C108" s="5"/>
      <c r="D108" s="5"/>
      <c r="E108" s="5"/>
      <c r="F108" s="5"/>
      <c r="G108" s="5"/>
      <c r="H108" s="6"/>
      <c r="I108" s="5"/>
      <c r="J108" s="83"/>
      <c r="K108" s="83"/>
      <c r="L108" s="83"/>
      <c r="M108" s="83"/>
      <c r="N108" s="83"/>
      <c r="O108" s="83"/>
      <c r="P108" s="83"/>
      <c r="Q108" s="84"/>
      <c r="R108" s="83"/>
      <c r="S108" s="83"/>
      <c r="T108" s="85"/>
      <c r="U108" s="6"/>
      <c r="V108" s="44">
        <v>44071</v>
      </c>
      <c r="W108" s="45">
        <v>119.46</v>
      </c>
      <c r="X108" s="46"/>
      <c r="Y108" s="61"/>
      <c r="Z108" s="5"/>
      <c r="AA108" s="5"/>
      <c r="AB108" s="5"/>
      <c r="AC108" s="5"/>
      <c r="AD108" s="5"/>
      <c r="AE108" s="5"/>
      <c r="AF108" s="5"/>
      <c r="AG108" s="5"/>
      <c r="AH108" s="6"/>
      <c r="AI108" s="44">
        <v>44071</v>
      </c>
      <c r="AJ108" s="53">
        <v>119.46</v>
      </c>
      <c r="AK108" s="54">
        <f t="shared" si="11"/>
        <v>3.3596505963378043E-3</v>
      </c>
      <c r="AL108" s="55">
        <f t="shared" si="14"/>
        <v>17.406437023495496</v>
      </c>
      <c r="AM108" s="56">
        <v>25</v>
      </c>
      <c r="AN108" s="57">
        <f t="shared" si="12"/>
        <v>7.5935629765045043</v>
      </c>
      <c r="AO108" s="76">
        <f t="shared" si="15"/>
        <v>6.8611212477655643</v>
      </c>
      <c r="AP108" s="63" t="str">
        <f t="shared" si="16"/>
        <v>Buy Stocks</v>
      </c>
      <c r="AQ108" s="63" t="str">
        <f t="shared" si="17"/>
        <v/>
      </c>
      <c r="AR108" s="63" t="str">
        <f t="shared" si="18"/>
        <v/>
      </c>
      <c r="AS108" s="63" t="str">
        <f t="shared" si="19"/>
        <v/>
      </c>
      <c r="AT108" s="78" t="str">
        <f t="shared" si="20"/>
        <v/>
      </c>
      <c r="AU108" s="78" t="str">
        <f t="shared" si="21"/>
        <v/>
      </c>
      <c r="AV108" s="64" t="str">
        <f ca="1">IFERROR(__xludf.DUMMYFUNCTION("IF(TRIM(AU108)="""","""",AU108/INDEX(FILTER(AT$3:AT108,TRIM(AT$3:AT108)&lt;&gt;""""),ROWS(FILTER(AT$3:AT108,TRIM(AT$3:AT108)&lt;&gt;"""")))-1)"),"")</f>
        <v/>
      </c>
      <c r="AW108" s="65" t="e">
        <f t="shared" ca="1" si="13"/>
        <v>#VALUE!</v>
      </c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ht="19" x14ac:dyDescent="0.25">
      <c r="A109" s="5"/>
      <c r="B109" s="5"/>
      <c r="C109" s="5"/>
      <c r="D109" s="5"/>
      <c r="E109" s="5"/>
      <c r="F109" s="5"/>
      <c r="G109" s="5"/>
      <c r="H109" s="6"/>
      <c r="I109" s="5"/>
      <c r="J109" s="83"/>
      <c r="K109" s="83"/>
      <c r="L109" s="83"/>
      <c r="M109" s="83"/>
      <c r="N109" s="83"/>
      <c r="O109" s="83"/>
      <c r="P109" s="83"/>
      <c r="Q109" s="84"/>
      <c r="R109" s="83"/>
      <c r="S109" s="83"/>
      <c r="T109" s="85"/>
      <c r="U109" s="6"/>
      <c r="V109" s="44">
        <v>44074</v>
      </c>
      <c r="W109" s="45">
        <v>117.78</v>
      </c>
      <c r="X109" s="46"/>
      <c r="Y109" s="61"/>
      <c r="Z109" s="5"/>
      <c r="AA109" s="5"/>
      <c r="AB109" s="5"/>
      <c r="AC109" s="5"/>
      <c r="AD109" s="5"/>
      <c r="AE109" s="5"/>
      <c r="AF109" s="5"/>
      <c r="AG109" s="5"/>
      <c r="AH109" s="6"/>
      <c r="AI109" s="44">
        <v>44074</v>
      </c>
      <c r="AJ109" s="53">
        <v>117.78</v>
      </c>
      <c r="AK109" s="54">
        <f t="shared" si="11"/>
        <v>-1.4063284781516749E-2</v>
      </c>
      <c r="AL109" s="55">
        <f t="shared" si="14"/>
        <v>12.195390205835904</v>
      </c>
      <c r="AM109" s="56">
        <v>25</v>
      </c>
      <c r="AN109" s="57">
        <f t="shared" si="12"/>
        <v>12.804609794164096</v>
      </c>
      <c r="AO109" s="76">
        <f t="shared" si="15"/>
        <v>8.0398579868046305</v>
      </c>
      <c r="AP109" s="63" t="str">
        <f t="shared" si="16"/>
        <v>Buy Stocks</v>
      </c>
      <c r="AQ109" s="63" t="str">
        <f t="shared" si="17"/>
        <v/>
      </c>
      <c r="AR109" s="63" t="str">
        <f t="shared" si="18"/>
        <v/>
      </c>
      <c r="AS109" s="63" t="str">
        <f t="shared" si="19"/>
        <v/>
      </c>
      <c r="AT109" s="78" t="str">
        <f t="shared" si="20"/>
        <v/>
      </c>
      <c r="AU109" s="78" t="str">
        <f t="shared" si="21"/>
        <v/>
      </c>
      <c r="AV109" s="64" t="str">
        <f ca="1">IFERROR(__xludf.DUMMYFUNCTION("IF(TRIM(AU109)="""","""",AU109/INDEX(FILTER(AT$3:AT109,TRIM(AT$3:AT109)&lt;&gt;""""),ROWS(FILTER(AT$3:AT109,TRIM(AT$3:AT109)&lt;&gt;"""")))-1)"),"")</f>
        <v/>
      </c>
      <c r="AW109" s="65" t="e">
        <f t="shared" ca="1" si="13"/>
        <v>#VALUE!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ht="19" x14ac:dyDescent="0.25">
      <c r="A110" s="5"/>
      <c r="B110" s="5"/>
      <c r="C110" s="5"/>
      <c r="D110" s="5"/>
      <c r="E110" s="5"/>
      <c r="F110" s="5"/>
      <c r="G110" s="5"/>
      <c r="H110" s="6"/>
      <c r="I110" s="5"/>
      <c r="J110" s="83"/>
      <c r="K110" s="83"/>
      <c r="L110" s="83"/>
      <c r="M110" s="83"/>
      <c r="N110" s="83"/>
      <c r="O110" s="83"/>
      <c r="P110" s="83"/>
      <c r="Q110" s="84"/>
      <c r="R110" s="83"/>
      <c r="S110" s="83"/>
      <c r="T110" s="85"/>
      <c r="U110" s="6"/>
      <c r="V110" s="44">
        <v>44075</v>
      </c>
      <c r="W110" s="45">
        <v>117.87</v>
      </c>
      <c r="X110" s="46"/>
      <c r="Y110" s="61"/>
      <c r="Z110" s="5"/>
      <c r="AA110" s="5"/>
      <c r="AB110" s="5"/>
      <c r="AC110" s="5"/>
      <c r="AD110" s="5"/>
      <c r="AE110" s="5"/>
      <c r="AF110" s="5"/>
      <c r="AG110" s="5"/>
      <c r="AH110" s="6"/>
      <c r="AI110" s="44">
        <v>44075</v>
      </c>
      <c r="AJ110" s="53">
        <v>117.87</v>
      </c>
      <c r="AK110" s="54">
        <f t="shared" si="11"/>
        <v>7.6413652572604462E-4</v>
      </c>
      <c r="AL110" s="55">
        <f t="shared" si="14"/>
        <v>11.762409209402112</v>
      </c>
      <c r="AM110" s="56">
        <v>25</v>
      </c>
      <c r="AN110" s="57">
        <f t="shared" si="12"/>
        <v>13.237590790597888</v>
      </c>
      <c r="AO110" s="76">
        <f t="shared" si="15"/>
        <v>9.5561652992616555</v>
      </c>
      <c r="AP110" s="63" t="str">
        <f t="shared" si="16"/>
        <v>Buy Stocks</v>
      </c>
      <c r="AQ110" s="63" t="str">
        <f t="shared" si="17"/>
        <v/>
      </c>
      <c r="AR110" s="63" t="str">
        <f t="shared" si="18"/>
        <v/>
      </c>
      <c r="AS110" s="63" t="str">
        <f t="shared" si="19"/>
        <v/>
      </c>
      <c r="AT110" s="78" t="str">
        <f t="shared" si="20"/>
        <v/>
      </c>
      <c r="AU110" s="78" t="str">
        <f t="shared" si="21"/>
        <v/>
      </c>
      <c r="AV110" s="64" t="str">
        <f ca="1">IFERROR(__xludf.DUMMYFUNCTION("IF(TRIM(AU110)="""","""",AU110/INDEX(FILTER(AT$3:AT110,TRIM(AT$3:AT110)&lt;&gt;""""),ROWS(FILTER(AT$3:AT110,TRIM(AT$3:AT110)&lt;&gt;"""")))-1)"),"")</f>
        <v/>
      </c>
      <c r="AW110" s="65" t="e">
        <f t="shared" ca="1" si="13"/>
        <v>#VALUE!</v>
      </c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ht="19" x14ac:dyDescent="0.25">
      <c r="A111" s="5"/>
      <c r="B111" s="5"/>
      <c r="C111" s="5"/>
      <c r="D111" s="5"/>
      <c r="E111" s="5"/>
      <c r="F111" s="5"/>
      <c r="G111" s="5"/>
      <c r="H111" s="6"/>
      <c r="I111" s="5"/>
      <c r="J111" s="83"/>
      <c r="K111" s="83"/>
      <c r="L111" s="83"/>
      <c r="M111" s="83"/>
      <c r="N111" s="83"/>
      <c r="O111" s="83"/>
      <c r="P111" s="83"/>
      <c r="Q111" s="84"/>
      <c r="R111" s="83"/>
      <c r="S111" s="83"/>
      <c r="T111" s="85"/>
      <c r="U111" s="6"/>
      <c r="V111" s="44">
        <v>44076</v>
      </c>
      <c r="W111" s="45">
        <v>122.43</v>
      </c>
      <c r="X111" s="46"/>
      <c r="Y111" s="61"/>
      <c r="Z111" s="5"/>
      <c r="AA111" s="5"/>
      <c r="AB111" s="5"/>
      <c r="AC111" s="5"/>
      <c r="AD111" s="5"/>
      <c r="AE111" s="5"/>
      <c r="AF111" s="5"/>
      <c r="AG111" s="5"/>
      <c r="AH111" s="6"/>
      <c r="AI111" s="44">
        <v>44076</v>
      </c>
      <c r="AJ111" s="53">
        <v>122.43</v>
      </c>
      <c r="AK111" s="54">
        <f t="shared" si="11"/>
        <v>3.8686688724866469E-2</v>
      </c>
      <c r="AL111" s="55">
        <f t="shared" si="14"/>
        <v>30.8274420624548</v>
      </c>
      <c r="AM111" s="56">
        <v>25</v>
      </c>
      <c r="AN111" s="57">
        <f t="shared" si="12"/>
        <v>-5.8274420624548</v>
      </c>
      <c r="AO111" s="76">
        <f t="shared" si="15"/>
        <v>7.0550313117416676</v>
      </c>
      <c r="AP111" s="63" t="str">
        <f t="shared" si="16"/>
        <v>Buy Stocks</v>
      </c>
      <c r="AQ111" s="63" t="str">
        <f t="shared" si="17"/>
        <v/>
      </c>
      <c r="AR111" s="63" t="str">
        <f t="shared" si="18"/>
        <v/>
      </c>
      <c r="AS111" s="63" t="str">
        <f t="shared" si="19"/>
        <v/>
      </c>
      <c r="AT111" s="78" t="str">
        <f t="shared" si="20"/>
        <v/>
      </c>
      <c r="AU111" s="78" t="str">
        <f t="shared" si="21"/>
        <v/>
      </c>
      <c r="AV111" s="64" t="str">
        <f ca="1">IFERROR(__xludf.DUMMYFUNCTION("IF(TRIM(AU111)="""","""",AU111/INDEX(FILTER(AT$3:AT111,TRIM(AT$3:AT111)&lt;&gt;""""),ROWS(FILTER(AT$3:AT111,TRIM(AT$3:AT111)&lt;&gt;"""")))-1)"),"")</f>
        <v/>
      </c>
      <c r="AW111" s="65" t="e">
        <f t="shared" ca="1" si="13"/>
        <v>#VALUE!</v>
      </c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ht="19" x14ac:dyDescent="0.25">
      <c r="A112" s="5"/>
      <c r="B112" s="5"/>
      <c r="C112" s="5"/>
      <c r="D112" s="5"/>
      <c r="E112" s="5"/>
      <c r="F112" s="5"/>
      <c r="G112" s="5"/>
      <c r="H112" s="6"/>
      <c r="I112" s="5"/>
      <c r="J112" s="83"/>
      <c r="K112" s="83"/>
      <c r="L112" s="83"/>
      <c r="M112" s="83"/>
      <c r="N112" s="83"/>
      <c r="O112" s="83"/>
      <c r="P112" s="83"/>
      <c r="Q112" s="84"/>
      <c r="R112" s="83"/>
      <c r="S112" s="83"/>
      <c r="T112" s="85"/>
      <c r="U112" s="6"/>
      <c r="V112" s="44">
        <v>44077</v>
      </c>
      <c r="W112" s="45">
        <v>118.87</v>
      </c>
      <c r="X112" s="46"/>
      <c r="Y112" s="61"/>
      <c r="Z112" s="5"/>
      <c r="AA112" s="5"/>
      <c r="AB112" s="5"/>
      <c r="AC112" s="5"/>
      <c r="AD112" s="5"/>
      <c r="AE112" s="5"/>
      <c r="AF112" s="5"/>
      <c r="AG112" s="5"/>
      <c r="AH112" s="6"/>
      <c r="AI112" s="44">
        <v>44077</v>
      </c>
      <c r="AJ112" s="53">
        <v>118.87</v>
      </c>
      <c r="AK112" s="54">
        <f t="shared" si="11"/>
        <v>-2.9077840398595178E-2</v>
      </c>
      <c r="AL112" s="55">
        <f t="shared" si="14"/>
        <v>40.095358242900453</v>
      </c>
      <c r="AM112" s="56">
        <v>25</v>
      </c>
      <c r="AN112" s="57">
        <f t="shared" si="12"/>
        <v>-15.095358242900453</v>
      </c>
      <c r="AO112" s="76">
        <f t="shared" si="15"/>
        <v>2.5425926511822468</v>
      </c>
      <c r="AP112" s="63" t="str">
        <f t="shared" si="16"/>
        <v>Buy Stocks</v>
      </c>
      <c r="AQ112" s="63" t="str">
        <f t="shared" si="17"/>
        <v/>
      </c>
      <c r="AR112" s="63" t="str">
        <f t="shared" si="18"/>
        <v/>
      </c>
      <c r="AS112" s="63" t="str">
        <f t="shared" si="19"/>
        <v/>
      </c>
      <c r="AT112" s="78" t="str">
        <f t="shared" si="20"/>
        <v/>
      </c>
      <c r="AU112" s="78" t="str">
        <f t="shared" si="21"/>
        <v/>
      </c>
      <c r="AV112" s="64" t="str">
        <f ca="1">IFERROR(__xludf.DUMMYFUNCTION("IF(TRIM(AU112)="""","""",AU112/INDEX(FILTER(AT$3:AT112,TRIM(AT$3:AT112)&lt;&gt;""""),ROWS(FILTER(AT$3:AT112,TRIM(AT$3:AT112)&lt;&gt;"""")))-1)"),"")</f>
        <v/>
      </c>
      <c r="AW112" s="65" t="e">
        <f t="shared" ca="1" si="13"/>
        <v>#VALUE!</v>
      </c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ht="19" x14ac:dyDescent="0.25">
      <c r="A113" s="5"/>
      <c r="B113" s="5"/>
      <c r="C113" s="5"/>
      <c r="D113" s="5"/>
      <c r="E113" s="5"/>
      <c r="F113" s="5"/>
      <c r="G113" s="5"/>
      <c r="H113" s="6"/>
      <c r="I113" s="5"/>
      <c r="J113" s="83"/>
      <c r="K113" s="83"/>
      <c r="L113" s="83"/>
      <c r="M113" s="83"/>
      <c r="N113" s="83"/>
      <c r="O113" s="83"/>
      <c r="P113" s="83"/>
      <c r="Q113" s="84"/>
      <c r="R113" s="83"/>
      <c r="S113" s="83"/>
      <c r="T113" s="85"/>
      <c r="U113" s="6"/>
      <c r="V113" s="44">
        <v>44078</v>
      </c>
      <c r="W113" s="45">
        <v>116.82</v>
      </c>
      <c r="X113" s="46"/>
      <c r="Y113" s="61"/>
      <c r="Z113" s="5"/>
      <c r="AA113" s="5"/>
      <c r="AB113" s="5"/>
      <c r="AC113" s="5"/>
      <c r="AD113" s="5"/>
      <c r="AE113" s="5"/>
      <c r="AF113" s="5"/>
      <c r="AG113" s="5"/>
      <c r="AH113" s="6"/>
      <c r="AI113" s="44">
        <v>44078</v>
      </c>
      <c r="AJ113" s="53">
        <v>116.82</v>
      </c>
      <c r="AK113" s="54">
        <f t="shared" si="11"/>
        <v>-1.7245730630100153E-2</v>
      </c>
      <c r="AL113" s="55">
        <f t="shared" si="14"/>
        <v>41.625522959362755</v>
      </c>
      <c r="AM113" s="56">
        <v>25</v>
      </c>
      <c r="AN113" s="57">
        <f t="shared" si="12"/>
        <v>-16.625522959362755</v>
      </c>
      <c r="AO113" s="76">
        <f t="shared" si="15"/>
        <v>-2.3012245359912042</v>
      </c>
      <c r="AP113" s="63" t="str">
        <f t="shared" si="16"/>
        <v/>
      </c>
      <c r="AQ113" s="63" t="str">
        <f t="shared" si="17"/>
        <v>Sell Stocks</v>
      </c>
      <c r="AR113" s="63" t="str">
        <f t="shared" si="18"/>
        <v/>
      </c>
      <c r="AS113" s="63" t="str">
        <f t="shared" si="19"/>
        <v>Sell Stocks</v>
      </c>
      <c r="AT113" s="78" t="str">
        <f t="shared" si="20"/>
        <v/>
      </c>
      <c r="AU113" s="77">
        <f t="shared" si="21"/>
        <v>116.82</v>
      </c>
      <c r="AV113" s="64">
        <f ca="1">IFERROR(__xludf.DUMMYFUNCTION("IF(TRIM(AU113)="""","""",AU113/INDEX(FILTER(AT$3:AT113,TRIM(AT$3:AT113)&lt;&gt;""""),ROWS(FILTER(AT$3:AT113,TRIM(AT$3:AT113)&lt;&gt;"""")))-1)"),-0.0137610806247362)</f>
        <v>-1.37610806247362E-2</v>
      </c>
      <c r="AW113" s="65" t="e">
        <f t="shared" ca="1" si="13"/>
        <v>#VALUE!</v>
      </c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ht="19" x14ac:dyDescent="0.25">
      <c r="A114" s="5"/>
      <c r="B114" s="5"/>
      <c r="C114" s="5"/>
      <c r="D114" s="5"/>
      <c r="E114" s="5"/>
      <c r="F114" s="5"/>
      <c r="G114" s="5"/>
      <c r="H114" s="6"/>
      <c r="I114" s="5"/>
      <c r="J114" s="83"/>
      <c r="K114" s="83"/>
      <c r="L114" s="83"/>
      <c r="M114" s="83"/>
      <c r="N114" s="83"/>
      <c r="O114" s="83"/>
      <c r="P114" s="83"/>
      <c r="Q114" s="84"/>
      <c r="R114" s="83"/>
      <c r="S114" s="83"/>
      <c r="T114" s="85"/>
      <c r="U114" s="6"/>
      <c r="V114" s="44">
        <v>44082</v>
      </c>
      <c r="W114" s="45">
        <v>115.78</v>
      </c>
      <c r="X114" s="46"/>
      <c r="Y114" s="61"/>
      <c r="Z114" s="5"/>
      <c r="AA114" s="5"/>
      <c r="AB114" s="5"/>
      <c r="AC114" s="5"/>
      <c r="AD114" s="5"/>
      <c r="AE114" s="5"/>
      <c r="AF114" s="5"/>
      <c r="AG114" s="5"/>
      <c r="AH114" s="6"/>
      <c r="AI114" s="44">
        <v>44082</v>
      </c>
      <c r="AJ114" s="53">
        <v>115.78</v>
      </c>
      <c r="AK114" s="54">
        <f t="shared" si="11"/>
        <v>-8.9025851737715156E-3</v>
      </c>
      <c r="AL114" s="55">
        <f t="shared" si="14"/>
        <v>41.010828865611145</v>
      </c>
      <c r="AM114" s="56">
        <v>25</v>
      </c>
      <c r="AN114" s="57">
        <f t="shared" si="12"/>
        <v>-16.010828865611145</v>
      </c>
      <c r="AO114" s="76">
        <f t="shared" si="15"/>
        <v>-8.0643122679462529</v>
      </c>
      <c r="AP114" s="63" t="str">
        <f t="shared" si="16"/>
        <v/>
      </c>
      <c r="AQ114" s="63" t="str">
        <f t="shared" si="17"/>
        <v>Sell Stocks</v>
      </c>
      <c r="AR114" s="63" t="str">
        <f t="shared" si="18"/>
        <v/>
      </c>
      <c r="AS114" s="63" t="str">
        <f t="shared" si="19"/>
        <v/>
      </c>
      <c r="AT114" s="78" t="str">
        <f t="shared" si="20"/>
        <v/>
      </c>
      <c r="AU114" s="78" t="str">
        <f t="shared" si="21"/>
        <v/>
      </c>
      <c r="AV114" s="64" t="str">
        <f ca="1">IFERROR(__xludf.DUMMYFUNCTION("IF(TRIM(AU114)="""","""",AU114/INDEX(FILTER(AT$3:AT114,TRIM(AT$3:AT114)&lt;&gt;""""),ROWS(FILTER(AT$3:AT114,TRIM(AT$3:AT114)&lt;&gt;"""")))-1)"),"")</f>
        <v/>
      </c>
      <c r="AW114" s="65" t="e">
        <f t="shared" ca="1" si="13"/>
        <v>#VALUE!</v>
      </c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ht="19" x14ac:dyDescent="0.25">
      <c r="A115" s="5"/>
      <c r="B115" s="5"/>
      <c r="C115" s="5"/>
      <c r="D115" s="5"/>
      <c r="E115" s="5"/>
      <c r="F115" s="5"/>
      <c r="G115" s="5"/>
      <c r="H115" s="6"/>
      <c r="I115" s="5"/>
      <c r="J115" s="83"/>
      <c r="K115" s="83"/>
      <c r="L115" s="83"/>
      <c r="M115" s="83"/>
      <c r="N115" s="83"/>
      <c r="O115" s="83"/>
      <c r="P115" s="83"/>
      <c r="Q115" s="84"/>
      <c r="R115" s="83"/>
      <c r="S115" s="83"/>
      <c r="T115" s="85"/>
      <c r="U115" s="6"/>
      <c r="V115" s="44">
        <v>44083</v>
      </c>
      <c r="W115" s="45">
        <v>116.78</v>
      </c>
      <c r="X115" s="46"/>
      <c r="Y115" s="61"/>
      <c r="Z115" s="5"/>
      <c r="AA115" s="5"/>
      <c r="AB115" s="5"/>
      <c r="AC115" s="5"/>
      <c r="AD115" s="5"/>
      <c r="AE115" s="5"/>
      <c r="AF115" s="5"/>
      <c r="AG115" s="5"/>
      <c r="AH115" s="6"/>
      <c r="AI115" s="44">
        <v>44083</v>
      </c>
      <c r="AJ115" s="53">
        <v>116.78</v>
      </c>
      <c r="AK115" s="54">
        <f t="shared" si="11"/>
        <v>8.6370703057523368E-3</v>
      </c>
      <c r="AL115" s="55">
        <f t="shared" si="14"/>
        <v>41.856966508509636</v>
      </c>
      <c r="AM115" s="56">
        <v>25</v>
      </c>
      <c r="AN115" s="57">
        <f t="shared" si="12"/>
        <v>-16.856966508509636</v>
      </c>
      <c r="AO115" s="76">
        <f t="shared" si="15"/>
        <v>-14.083223727767756</v>
      </c>
      <c r="AP115" s="63" t="str">
        <f t="shared" si="16"/>
        <v/>
      </c>
      <c r="AQ115" s="63" t="str">
        <f t="shared" si="17"/>
        <v>Sell Stocks</v>
      </c>
      <c r="AR115" s="63" t="str">
        <f t="shared" si="18"/>
        <v/>
      </c>
      <c r="AS115" s="63" t="str">
        <f t="shared" si="19"/>
        <v/>
      </c>
      <c r="AT115" s="78" t="str">
        <f t="shared" si="20"/>
        <v/>
      </c>
      <c r="AU115" s="78" t="str">
        <f t="shared" si="21"/>
        <v/>
      </c>
      <c r="AV115" s="64" t="str">
        <f ca="1">IFERROR(__xludf.DUMMYFUNCTION("IF(TRIM(AU115)="""","""",AU115/INDEX(FILTER(AT$3:AT115,TRIM(AT$3:AT115)&lt;&gt;""""),ROWS(FILTER(AT$3:AT115,TRIM(AT$3:AT115)&lt;&gt;"""")))-1)"),"")</f>
        <v/>
      </c>
      <c r="AW115" s="65" t="e">
        <f t="shared" ca="1" si="13"/>
        <v>#VALUE!</v>
      </c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ht="19" x14ac:dyDescent="0.25">
      <c r="A116" s="5"/>
      <c r="B116" s="5"/>
      <c r="C116" s="5"/>
      <c r="D116" s="5"/>
      <c r="E116" s="5"/>
      <c r="F116" s="5"/>
      <c r="G116" s="5"/>
      <c r="H116" s="6"/>
      <c r="I116" s="5"/>
      <c r="J116" s="83"/>
      <c r="K116" s="83"/>
      <c r="L116" s="83"/>
      <c r="M116" s="83"/>
      <c r="N116" s="83"/>
      <c r="O116" s="83"/>
      <c r="P116" s="83"/>
      <c r="Q116" s="84"/>
      <c r="R116" s="83"/>
      <c r="S116" s="83"/>
      <c r="T116" s="85"/>
      <c r="U116" s="6"/>
      <c r="V116" s="44">
        <v>44084</v>
      </c>
      <c r="W116" s="45">
        <v>115.15</v>
      </c>
      <c r="X116" s="46"/>
      <c r="Y116" s="61"/>
      <c r="Z116" s="5"/>
      <c r="AA116" s="5"/>
      <c r="AB116" s="5"/>
      <c r="AC116" s="5"/>
      <c r="AD116" s="5"/>
      <c r="AE116" s="5"/>
      <c r="AF116" s="5"/>
      <c r="AG116" s="5"/>
      <c r="AH116" s="6"/>
      <c r="AI116" s="44">
        <v>44084</v>
      </c>
      <c r="AJ116" s="53">
        <v>115.15</v>
      </c>
      <c r="AK116" s="54">
        <f t="shared" si="11"/>
        <v>-1.3957869498201658E-2</v>
      </c>
      <c r="AL116" s="55">
        <f t="shared" si="14"/>
        <v>21.85883408384165</v>
      </c>
      <c r="AM116" s="56">
        <v>25</v>
      </c>
      <c r="AN116" s="57">
        <f t="shared" si="12"/>
        <v>3.1411659161583501</v>
      </c>
      <c r="AO116" s="76">
        <f t="shared" si="15"/>
        <v>-12.289502132045127</v>
      </c>
      <c r="AP116" s="63" t="str">
        <f t="shared" si="16"/>
        <v/>
      </c>
      <c r="AQ116" s="63" t="str">
        <f t="shared" si="17"/>
        <v>Sell Stocks</v>
      </c>
      <c r="AR116" s="63" t="str">
        <f t="shared" si="18"/>
        <v/>
      </c>
      <c r="AS116" s="63" t="str">
        <f t="shared" si="19"/>
        <v/>
      </c>
      <c r="AT116" s="78" t="str">
        <f t="shared" si="20"/>
        <v/>
      </c>
      <c r="AU116" s="78" t="str">
        <f t="shared" si="21"/>
        <v/>
      </c>
      <c r="AV116" s="64" t="str">
        <f ca="1">IFERROR(__xludf.DUMMYFUNCTION("IF(TRIM(AU116)="""","""",AU116/INDEX(FILTER(AT$3:AT116,TRIM(AT$3:AT116)&lt;&gt;""""),ROWS(FILTER(AT$3:AT116,TRIM(AT$3:AT116)&lt;&gt;"""")))-1)"),"")</f>
        <v/>
      </c>
      <c r="AW116" s="65" t="e">
        <f t="shared" ca="1" si="13"/>
        <v>#VALUE!</v>
      </c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ht="19" x14ac:dyDescent="0.25">
      <c r="A117" s="5"/>
      <c r="B117" s="5"/>
      <c r="C117" s="5"/>
      <c r="D117" s="5"/>
      <c r="E117" s="5"/>
      <c r="F117" s="5"/>
      <c r="G117" s="5"/>
      <c r="H117" s="6"/>
      <c r="I117" s="5"/>
      <c r="J117" s="83"/>
      <c r="K117" s="83"/>
      <c r="L117" s="83"/>
      <c r="M117" s="83"/>
      <c r="N117" s="83"/>
      <c r="O117" s="83"/>
      <c r="P117" s="83"/>
      <c r="Q117" s="84"/>
      <c r="R117" s="83"/>
      <c r="S117" s="83"/>
      <c r="T117" s="85"/>
      <c r="U117" s="6"/>
      <c r="V117" s="44">
        <v>44085</v>
      </c>
      <c r="W117" s="45">
        <v>116.01</v>
      </c>
      <c r="X117" s="46"/>
      <c r="Y117" s="61"/>
      <c r="Z117" s="5"/>
      <c r="AA117" s="5"/>
      <c r="AB117" s="5"/>
      <c r="AC117" s="5"/>
      <c r="AD117" s="5"/>
      <c r="AE117" s="5"/>
      <c r="AF117" s="5"/>
      <c r="AG117" s="5"/>
      <c r="AH117" s="6"/>
      <c r="AI117" s="44">
        <v>44085</v>
      </c>
      <c r="AJ117" s="53">
        <v>116.01</v>
      </c>
      <c r="AK117" s="54">
        <f t="shared" si="11"/>
        <v>7.4685193226227131E-3</v>
      </c>
      <c r="AL117" s="55">
        <f t="shared" si="14"/>
        <v>19.224963227976207</v>
      </c>
      <c r="AM117" s="56">
        <v>25</v>
      </c>
      <c r="AN117" s="57">
        <f t="shared" si="12"/>
        <v>5.7750367720237925</v>
      </c>
      <c r="AO117" s="76">
        <f t="shared" si="15"/>
        <v>-8.1154231290602787</v>
      </c>
      <c r="AP117" s="63" t="str">
        <f t="shared" si="16"/>
        <v/>
      </c>
      <c r="AQ117" s="63" t="str">
        <f t="shared" si="17"/>
        <v>Sell Stocks</v>
      </c>
      <c r="AR117" s="63" t="str">
        <f t="shared" si="18"/>
        <v/>
      </c>
      <c r="AS117" s="63" t="str">
        <f t="shared" si="19"/>
        <v/>
      </c>
      <c r="AT117" s="78" t="str">
        <f t="shared" si="20"/>
        <v/>
      </c>
      <c r="AU117" s="78" t="str">
        <f t="shared" si="21"/>
        <v/>
      </c>
      <c r="AV117" s="64" t="str">
        <f ca="1">IFERROR(__xludf.DUMMYFUNCTION("IF(TRIM(AU117)="""","""",AU117/INDEX(FILTER(AT$3:AT117,TRIM(AT$3:AT117)&lt;&gt;""""),ROWS(FILTER(AT$3:AT117,TRIM(AT$3:AT117)&lt;&gt;"""")))-1)"),"")</f>
        <v/>
      </c>
      <c r="AW117" s="65" t="e">
        <f t="shared" ca="1" si="13"/>
        <v>#VALUE!</v>
      </c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ht="19" x14ac:dyDescent="0.25">
      <c r="A118" s="5"/>
      <c r="B118" s="5"/>
      <c r="C118" s="5"/>
      <c r="D118" s="5"/>
      <c r="E118" s="5"/>
      <c r="F118" s="5"/>
      <c r="G118" s="5"/>
      <c r="H118" s="6"/>
      <c r="I118" s="5"/>
      <c r="J118" s="83"/>
      <c r="K118" s="83"/>
      <c r="L118" s="83"/>
      <c r="M118" s="83"/>
      <c r="N118" s="83"/>
      <c r="O118" s="83"/>
      <c r="P118" s="83"/>
      <c r="Q118" s="84"/>
      <c r="R118" s="83"/>
      <c r="S118" s="83"/>
      <c r="T118" s="85"/>
      <c r="U118" s="6"/>
      <c r="V118" s="44">
        <v>44088</v>
      </c>
      <c r="W118" s="45">
        <v>116.62</v>
      </c>
      <c r="X118" s="46"/>
      <c r="Y118" s="61"/>
      <c r="Z118" s="5"/>
      <c r="AA118" s="5"/>
      <c r="AB118" s="5"/>
      <c r="AC118" s="5"/>
      <c r="AD118" s="5"/>
      <c r="AE118" s="5"/>
      <c r="AF118" s="5"/>
      <c r="AG118" s="5"/>
      <c r="AH118" s="6"/>
      <c r="AI118" s="44">
        <v>44088</v>
      </c>
      <c r="AJ118" s="53">
        <v>116.62</v>
      </c>
      <c r="AK118" s="54">
        <f t="shared" si="11"/>
        <v>5.2581673993621347E-3</v>
      </c>
      <c r="AL118" s="55">
        <f t="shared" si="14"/>
        <v>16.490706878600083</v>
      </c>
      <c r="AM118" s="56">
        <v>25</v>
      </c>
      <c r="AN118" s="57">
        <f t="shared" si="12"/>
        <v>8.5092931213999172</v>
      </c>
      <c r="AO118" s="76">
        <f t="shared" si="15"/>
        <v>-3.0884599129077444</v>
      </c>
      <c r="AP118" s="63" t="str">
        <f t="shared" si="16"/>
        <v/>
      </c>
      <c r="AQ118" s="63" t="str">
        <f t="shared" si="17"/>
        <v>Sell Stocks</v>
      </c>
      <c r="AR118" s="63" t="str">
        <f t="shared" si="18"/>
        <v/>
      </c>
      <c r="AS118" s="63" t="str">
        <f t="shared" si="19"/>
        <v/>
      </c>
      <c r="AT118" s="78" t="str">
        <f t="shared" si="20"/>
        <v/>
      </c>
      <c r="AU118" s="78" t="str">
        <f t="shared" si="21"/>
        <v/>
      </c>
      <c r="AV118" s="64" t="str">
        <f ca="1">IFERROR(__xludf.DUMMYFUNCTION("IF(TRIM(AU118)="""","""",AU118/INDEX(FILTER(AT$3:AT118,TRIM(AT$3:AT118)&lt;&gt;""""),ROWS(FILTER(AT$3:AT118,TRIM(AT$3:AT118)&lt;&gt;"""")))-1)"),"")</f>
        <v/>
      </c>
      <c r="AW118" s="65" t="e">
        <f t="shared" ca="1" si="13"/>
        <v>#VALUE!</v>
      </c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ht="19" x14ac:dyDescent="0.25">
      <c r="A119" s="5"/>
      <c r="B119" s="5"/>
      <c r="C119" s="5"/>
      <c r="D119" s="5"/>
      <c r="E119" s="5"/>
      <c r="F119" s="5"/>
      <c r="G119" s="5"/>
      <c r="H119" s="6"/>
      <c r="I119" s="5"/>
      <c r="J119" s="83"/>
      <c r="K119" s="83"/>
      <c r="L119" s="83"/>
      <c r="M119" s="83"/>
      <c r="N119" s="83"/>
      <c r="O119" s="83"/>
      <c r="P119" s="83"/>
      <c r="Q119" s="84"/>
      <c r="R119" s="83"/>
      <c r="S119" s="83"/>
      <c r="T119" s="85"/>
      <c r="U119" s="6"/>
      <c r="V119" s="44">
        <v>44089</v>
      </c>
      <c r="W119" s="45">
        <v>116.95</v>
      </c>
      <c r="X119" s="46"/>
      <c r="Y119" s="61"/>
      <c r="Z119" s="5"/>
      <c r="AA119" s="5"/>
      <c r="AB119" s="5"/>
      <c r="AC119" s="5"/>
      <c r="AD119" s="5"/>
      <c r="AE119" s="5"/>
      <c r="AF119" s="5"/>
      <c r="AG119" s="5"/>
      <c r="AH119" s="6"/>
      <c r="AI119" s="44">
        <v>44089</v>
      </c>
      <c r="AJ119" s="53">
        <v>116.95</v>
      </c>
      <c r="AK119" s="54">
        <f t="shared" si="11"/>
        <v>2.8297033098954039E-3</v>
      </c>
      <c r="AL119" s="55">
        <f t="shared" si="14"/>
        <v>14.633462984184769</v>
      </c>
      <c r="AM119" s="56">
        <v>25</v>
      </c>
      <c r="AN119" s="57">
        <f t="shared" si="12"/>
        <v>10.366537015815231</v>
      </c>
      <c r="AO119" s="76">
        <f t="shared" si="15"/>
        <v>2.1870132633775308</v>
      </c>
      <c r="AP119" s="63" t="str">
        <f t="shared" si="16"/>
        <v>Buy Stocks</v>
      </c>
      <c r="AQ119" s="63" t="str">
        <f t="shared" si="17"/>
        <v/>
      </c>
      <c r="AR119" s="63" t="str">
        <f t="shared" si="18"/>
        <v>Buy Stocks</v>
      </c>
      <c r="AS119" s="63" t="str">
        <f t="shared" si="19"/>
        <v/>
      </c>
      <c r="AT119" s="77">
        <f t="shared" si="20"/>
        <v>116.95</v>
      </c>
      <c r="AU119" s="78" t="str">
        <f t="shared" si="21"/>
        <v/>
      </c>
      <c r="AV119" s="64" t="str">
        <f ca="1">IFERROR(__xludf.DUMMYFUNCTION("IF(TRIM(AU119)="""","""",AU119/INDEX(FILTER(AT$3:AT119,TRIM(AT$3:AT119)&lt;&gt;""""),ROWS(FILTER(AT$3:AT119,TRIM(AT$3:AT119)&lt;&gt;"""")))-1)"),"")</f>
        <v/>
      </c>
      <c r="AW119" s="65" t="e">
        <f t="shared" ca="1" si="13"/>
        <v>#VALUE!</v>
      </c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ht="19" x14ac:dyDescent="0.25">
      <c r="A120" s="5"/>
      <c r="B120" s="5"/>
      <c r="C120" s="5"/>
      <c r="D120" s="5"/>
      <c r="E120" s="5"/>
      <c r="F120" s="5"/>
      <c r="G120" s="5"/>
      <c r="H120" s="6"/>
      <c r="I120" s="5"/>
      <c r="J120" s="83"/>
      <c r="K120" s="83"/>
      <c r="L120" s="83"/>
      <c r="M120" s="83"/>
      <c r="N120" s="83"/>
      <c r="O120" s="83"/>
      <c r="P120" s="83"/>
      <c r="Q120" s="84"/>
      <c r="R120" s="83"/>
      <c r="S120" s="83"/>
      <c r="T120" s="85"/>
      <c r="U120" s="6"/>
      <c r="V120" s="44">
        <v>44090</v>
      </c>
      <c r="W120" s="45">
        <v>118.65</v>
      </c>
      <c r="X120" s="46"/>
      <c r="Y120" s="61"/>
      <c r="Z120" s="5"/>
      <c r="AA120" s="5"/>
      <c r="AB120" s="5"/>
      <c r="AC120" s="5"/>
      <c r="AD120" s="5"/>
      <c r="AE120" s="5"/>
      <c r="AF120" s="5"/>
      <c r="AG120" s="5"/>
      <c r="AH120" s="6"/>
      <c r="AI120" s="44">
        <v>44090</v>
      </c>
      <c r="AJ120" s="53">
        <v>118.65</v>
      </c>
      <c r="AK120" s="54">
        <f t="shared" si="11"/>
        <v>1.4536126549807626E-2</v>
      </c>
      <c r="AL120" s="55">
        <f t="shared" si="14"/>
        <v>16.752872425937941</v>
      </c>
      <c r="AM120" s="56">
        <v>25</v>
      </c>
      <c r="AN120" s="57">
        <f t="shared" si="12"/>
        <v>8.2471275740620591</v>
      </c>
      <c r="AO120" s="76">
        <f t="shared" si="15"/>
        <v>7.2078320798918698</v>
      </c>
      <c r="AP120" s="63" t="str">
        <f t="shared" si="16"/>
        <v>Buy Stocks</v>
      </c>
      <c r="AQ120" s="63" t="str">
        <f t="shared" si="17"/>
        <v/>
      </c>
      <c r="AR120" s="63" t="str">
        <f t="shared" si="18"/>
        <v/>
      </c>
      <c r="AS120" s="63" t="str">
        <f t="shared" si="19"/>
        <v/>
      </c>
      <c r="AT120" s="78" t="str">
        <f t="shared" si="20"/>
        <v/>
      </c>
      <c r="AU120" s="78" t="str">
        <f t="shared" si="21"/>
        <v/>
      </c>
      <c r="AV120" s="64" t="str">
        <f ca="1">IFERROR(__xludf.DUMMYFUNCTION("IF(TRIM(AU120)="""","""",AU120/INDEX(FILTER(AT$3:AT120,TRIM(AT$3:AT120)&lt;&gt;""""),ROWS(FILTER(AT$3:AT120,TRIM(AT$3:AT120)&lt;&gt;"""")))-1)"),"")</f>
        <v/>
      </c>
      <c r="AW120" s="65" t="e">
        <f t="shared" ca="1" si="13"/>
        <v>#VALUE!</v>
      </c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ht="19" x14ac:dyDescent="0.25">
      <c r="A121" s="5"/>
      <c r="B121" s="5"/>
      <c r="C121" s="5"/>
      <c r="D121" s="5"/>
      <c r="E121" s="5"/>
      <c r="F121" s="5"/>
      <c r="G121" s="5"/>
      <c r="H121" s="6"/>
      <c r="I121" s="5"/>
      <c r="J121" s="83"/>
      <c r="K121" s="83"/>
      <c r="L121" s="83"/>
      <c r="M121" s="83"/>
      <c r="N121" s="83"/>
      <c r="O121" s="83"/>
      <c r="P121" s="83"/>
      <c r="Q121" s="84"/>
      <c r="R121" s="83"/>
      <c r="S121" s="83"/>
      <c r="T121" s="85"/>
      <c r="U121" s="6"/>
      <c r="V121" s="44">
        <v>44091</v>
      </c>
      <c r="W121" s="45">
        <v>119.32</v>
      </c>
      <c r="X121" s="46"/>
      <c r="Y121" s="61"/>
      <c r="Z121" s="5"/>
      <c r="AA121" s="5"/>
      <c r="AB121" s="5"/>
      <c r="AC121" s="5"/>
      <c r="AD121" s="5"/>
      <c r="AE121" s="5"/>
      <c r="AF121" s="5"/>
      <c r="AG121" s="5"/>
      <c r="AH121" s="6"/>
      <c r="AI121" s="44">
        <v>44091</v>
      </c>
      <c r="AJ121" s="53">
        <v>119.32</v>
      </c>
      <c r="AK121" s="54">
        <f t="shared" si="11"/>
        <v>5.6468605141171135E-3</v>
      </c>
      <c r="AL121" s="55">
        <f t="shared" si="14"/>
        <v>7.0619135841129443</v>
      </c>
      <c r="AM121" s="56">
        <v>25</v>
      </c>
      <c r="AN121" s="57">
        <f t="shared" si="12"/>
        <v>17.938086415887057</v>
      </c>
      <c r="AO121" s="76">
        <f t="shared" si="15"/>
        <v>10.167216179837613</v>
      </c>
      <c r="AP121" s="63" t="str">
        <f t="shared" si="16"/>
        <v>Buy Stocks</v>
      </c>
      <c r="AQ121" s="63" t="str">
        <f t="shared" si="17"/>
        <v/>
      </c>
      <c r="AR121" s="63" t="str">
        <f t="shared" si="18"/>
        <v/>
      </c>
      <c r="AS121" s="63" t="str">
        <f t="shared" si="19"/>
        <v/>
      </c>
      <c r="AT121" s="78" t="str">
        <f t="shared" si="20"/>
        <v/>
      </c>
      <c r="AU121" s="78" t="str">
        <f t="shared" si="21"/>
        <v/>
      </c>
      <c r="AV121" s="64" t="str">
        <f ca="1">IFERROR(__xludf.DUMMYFUNCTION("IF(TRIM(AU121)="""","""",AU121/INDEX(FILTER(AT$3:AT121,TRIM(AT$3:AT121)&lt;&gt;""""),ROWS(FILTER(AT$3:AT121,TRIM(AT$3:AT121)&lt;&gt;"""")))-1)"),"")</f>
        <v/>
      </c>
      <c r="AW121" s="65" t="e">
        <f t="shared" ca="1" si="13"/>
        <v>#VALUE!</v>
      </c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ht="19" x14ac:dyDescent="0.25">
      <c r="A122" s="5"/>
      <c r="B122" s="5"/>
      <c r="C122" s="5"/>
      <c r="D122" s="5"/>
      <c r="E122" s="5"/>
      <c r="F122" s="5"/>
      <c r="G122" s="5"/>
      <c r="H122" s="6"/>
      <c r="I122" s="5"/>
      <c r="J122" s="83"/>
      <c r="K122" s="83"/>
      <c r="L122" s="83"/>
      <c r="M122" s="83"/>
      <c r="N122" s="83"/>
      <c r="O122" s="83"/>
      <c r="P122" s="83"/>
      <c r="Q122" s="84"/>
      <c r="R122" s="83"/>
      <c r="S122" s="83"/>
      <c r="T122" s="85"/>
      <c r="U122" s="6"/>
      <c r="V122" s="44">
        <v>44092</v>
      </c>
      <c r="W122" s="45">
        <v>117.26</v>
      </c>
      <c r="X122" s="46"/>
      <c r="Y122" s="61"/>
      <c r="Z122" s="5"/>
      <c r="AA122" s="5"/>
      <c r="AB122" s="5"/>
      <c r="AC122" s="5"/>
      <c r="AD122" s="5"/>
      <c r="AE122" s="5"/>
      <c r="AF122" s="5"/>
      <c r="AG122" s="5"/>
      <c r="AH122" s="6"/>
      <c r="AI122" s="44">
        <v>44092</v>
      </c>
      <c r="AJ122" s="53">
        <v>117.26</v>
      </c>
      <c r="AK122" s="54">
        <f t="shared" si="11"/>
        <v>-1.726449882668446E-2</v>
      </c>
      <c r="AL122" s="55">
        <f t="shared" si="14"/>
        <v>18.659747756440513</v>
      </c>
      <c r="AM122" s="56">
        <v>25</v>
      </c>
      <c r="AN122" s="57">
        <f t="shared" si="12"/>
        <v>6.3402522435594868</v>
      </c>
      <c r="AO122" s="76">
        <f t="shared" si="15"/>
        <v>10.28025927414475</v>
      </c>
      <c r="AP122" s="63" t="str">
        <f t="shared" si="16"/>
        <v>Buy Stocks</v>
      </c>
      <c r="AQ122" s="63" t="str">
        <f t="shared" si="17"/>
        <v/>
      </c>
      <c r="AR122" s="63" t="str">
        <f t="shared" si="18"/>
        <v/>
      </c>
      <c r="AS122" s="63" t="str">
        <f t="shared" si="19"/>
        <v/>
      </c>
      <c r="AT122" s="78" t="str">
        <f t="shared" si="20"/>
        <v/>
      </c>
      <c r="AU122" s="78" t="str">
        <f t="shared" si="21"/>
        <v/>
      </c>
      <c r="AV122" s="64" t="str">
        <f ca="1">IFERROR(__xludf.DUMMYFUNCTION("IF(TRIM(AU122)="""","""",AU122/INDEX(FILTER(AT$3:AT122,TRIM(AT$3:AT122)&lt;&gt;""""),ROWS(FILTER(AT$3:AT122,TRIM(AT$3:AT122)&lt;&gt;"""")))-1)"),"")</f>
        <v/>
      </c>
      <c r="AW122" s="65" t="e">
        <f t="shared" ca="1" si="13"/>
        <v>#VALUE!</v>
      </c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ht="19" x14ac:dyDescent="0.25">
      <c r="A123" s="5"/>
      <c r="B123" s="5"/>
      <c r="C123" s="5"/>
      <c r="D123" s="5"/>
      <c r="E123" s="5"/>
      <c r="F123" s="5"/>
      <c r="G123" s="5"/>
      <c r="H123" s="6"/>
      <c r="I123" s="5"/>
      <c r="J123" s="83"/>
      <c r="K123" s="83"/>
      <c r="L123" s="83"/>
      <c r="M123" s="83"/>
      <c r="N123" s="83"/>
      <c r="O123" s="83"/>
      <c r="P123" s="83"/>
      <c r="Q123" s="84"/>
      <c r="R123" s="83"/>
      <c r="S123" s="83"/>
      <c r="T123" s="85"/>
      <c r="U123" s="6"/>
      <c r="V123" s="44">
        <v>44095</v>
      </c>
      <c r="W123" s="45">
        <v>114.86</v>
      </c>
      <c r="X123" s="46"/>
      <c r="Y123" s="61"/>
      <c r="Z123" s="5"/>
      <c r="AA123" s="5"/>
      <c r="AB123" s="5"/>
      <c r="AC123" s="5"/>
      <c r="AD123" s="5"/>
      <c r="AE123" s="5"/>
      <c r="AF123" s="5"/>
      <c r="AG123" s="5"/>
      <c r="AH123" s="6"/>
      <c r="AI123" s="44">
        <v>44095</v>
      </c>
      <c r="AJ123" s="53">
        <v>114.86</v>
      </c>
      <c r="AK123" s="54">
        <f t="shared" si="11"/>
        <v>-2.0467337540508335E-2</v>
      </c>
      <c r="AL123" s="55">
        <f t="shared" si="14"/>
        <v>24.138093632875037</v>
      </c>
      <c r="AM123" s="56">
        <v>25</v>
      </c>
      <c r="AN123" s="57">
        <f t="shared" si="12"/>
        <v>0.86190636712496271</v>
      </c>
      <c r="AO123" s="76">
        <f t="shared" si="15"/>
        <v>8.7507819232897592</v>
      </c>
      <c r="AP123" s="63" t="str">
        <f t="shared" si="16"/>
        <v>Buy Stocks</v>
      </c>
      <c r="AQ123" s="63" t="str">
        <f t="shared" si="17"/>
        <v/>
      </c>
      <c r="AR123" s="63" t="str">
        <f t="shared" si="18"/>
        <v/>
      </c>
      <c r="AS123" s="63" t="str">
        <f t="shared" si="19"/>
        <v/>
      </c>
      <c r="AT123" s="78" t="str">
        <f t="shared" si="20"/>
        <v/>
      </c>
      <c r="AU123" s="78" t="str">
        <f t="shared" si="21"/>
        <v/>
      </c>
      <c r="AV123" s="64" t="str">
        <f ca="1">IFERROR(__xludf.DUMMYFUNCTION("IF(TRIM(AU123)="""","""",AU123/INDEX(FILTER(AT$3:AT123,TRIM(AT$3:AT123)&lt;&gt;""""),ROWS(FILTER(AT$3:AT123,TRIM(AT$3:AT123)&lt;&gt;"""")))-1)"),"")</f>
        <v/>
      </c>
      <c r="AW123" s="65" t="e">
        <f t="shared" ca="1" si="13"/>
        <v>#VALUE!</v>
      </c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ht="19" x14ac:dyDescent="0.25">
      <c r="A124" s="5"/>
      <c r="B124" s="5"/>
      <c r="C124" s="5"/>
      <c r="D124" s="5"/>
      <c r="E124" s="5"/>
      <c r="F124" s="5"/>
      <c r="G124" s="5"/>
      <c r="H124" s="6"/>
      <c r="I124" s="5"/>
      <c r="J124" s="83"/>
      <c r="K124" s="83"/>
      <c r="L124" s="83"/>
      <c r="M124" s="83"/>
      <c r="N124" s="83"/>
      <c r="O124" s="83"/>
      <c r="P124" s="83"/>
      <c r="Q124" s="84"/>
      <c r="R124" s="83"/>
      <c r="S124" s="83"/>
      <c r="T124" s="85"/>
      <c r="U124" s="6"/>
      <c r="V124" s="44">
        <v>44096</v>
      </c>
      <c r="W124" s="45">
        <v>115.11</v>
      </c>
      <c r="X124" s="46"/>
      <c r="Y124" s="61"/>
      <c r="Z124" s="5"/>
      <c r="AA124" s="5"/>
      <c r="AB124" s="5"/>
      <c r="AC124" s="5"/>
      <c r="AD124" s="5"/>
      <c r="AE124" s="5"/>
      <c r="AF124" s="5"/>
      <c r="AG124" s="5"/>
      <c r="AH124" s="6"/>
      <c r="AI124" s="44">
        <v>44096</v>
      </c>
      <c r="AJ124" s="53">
        <v>115.11</v>
      </c>
      <c r="AK124" s="54">
        <f t="shared" si="11"/>
        <v>2.1765627720704561E-3</v>
      </c>
      <c r="AL124" s="55">
        <f t="shared" si="14"/>
        <v>24.04394305100022</v>
      </c>
      <c r="AM124" s="56">
        <v>25</v>
      </c>
      <c r="AN124" s="57">
        <f t="shared" si="12"/>
        <v>0.95605694899978033</v>
      </c>
      <c r="AO124" s="76">
        <f t="shared" si="15"/>
        <v>6.8686859099266702</v>
      </c>
      <c r="AP124" s="63" t="str">
        <f t="shared" si="16"/>
        <v>Buy Stocks</v>
      </c>
      <c r="AQ124" s="63" t="str">
        <f t="shared" si="17"/>
        <v/>
      </c>
      <c r="AR124" s="63" t="str">
        <f t="shared" si="18"/>
        <v/>
      </c>
      <c r="AS124" s="63" t="str">
        <f t="shared" si="19"/>
        <v/>
      </c>
      <c r="AT124" s="78" t="str">
        <f t="shared" si="20"/>
        <v/>
      </c>
      <c r="AU124" s="78" t="str">
        <f t="shared" si="21"/>
        <v/>
      </c>
      <c r="AV124" s="64" t="str">
        <f ca="1">IFERROR(__xludf.DUMMYFUNCTION("IF(TRIM(AU124)="""","""",AU124/INDEX(FILTER(AT$3:AT124,TRIM(AT$3:AT124)&lt;&gt;""""),ROWS(FILTER(AT$3:AT124,TRIM(AT$3:AT124)&lt;&gt;"""")))-1)"),"")</f>
        <v/>
      </c>
      <c r="AW124" s="65" t="e">
        <f t="shared" ca="1" si="13"/>
        <v>#VALUE!</v>
      </c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ht="19" x14ac:dyDescent="0.25">
      <c r="A125" s="5"/>
      <c r="B125" s="5"/>
      <c r="C125" s="5"/>
      <c r="D125" s="5"/>
      <c r="E125" s="5"/>
      <c r="F125" s="5"/>
      <c r="G125" s="5"/>
      <c r="H125" s="6"/>
      <c r="I125" s="5"/>
      <c r="J125" s="83"/>
      <c r="K125" s="83"/>
      <c r="L125" s="83"/>
      <c r="M125" s="83"/>
      <c r="N125" s="83"/>
      <c r="O125" s="83"/>
      <c r="P125" s="83"/>
      <c r="Q125" s="84"/>
      <c r="R125" s="83"/>
      <c r="S125" s="83"/>
      <c r="T125" s="85"/>
      <c r="U125" s="6"/>
      <c r="V125" s="44">
        <v>44097</v>
      </c>
      <c r="W125" s="45">
        <v>113.5</v>
      </c>
      <c r="X125" s="46"/>
      <c r="Y125" s="61"/>
      <c r="Z125" s="5"/>
      <c r="AA125" s="5"/>
      <c r="AB125" s="5"/>
      <c r="AC125" s="5"/>
      <c r="AD125" s="5"/>
      <c r="AE125" s="5"/>
      <c r="AF125" s="5"/>
      <c r="AG125" s="5"/>
      <c r="AH125" s="6"/>
      <c r="AI125" s="44">
        <v>44097</v>
      </c>
      <c r="AJ125" s="53">
        <v>113.5</v>
      </c>
      <c r="AK125" s="54">
        <f t="shared" si="11"/>
        <v>-1.3986621492485418E-2</v>
      </c>
      <c r="AL125" s="55">
        <f t="shared" si="14"/>
        <v>18.847762036609922</v>
      </c>
      <c r="AM125" s="56">
        <v>25</v>
      </c>
      <c r="AN125" s="57">
        <f t="shared" si="12"/>
        <v>6.1522379633900783</v>
      </c>
      <c r="AO125" s="76">
        <f t="shared" si="15"/>
        <v>6.4497079877922729</v>
      </c>
      <c r="AP125" s="63" t="str">
        <f t="shared" si="16"/>
        <v>Buy Stocks</v>
      </c>
      <c r="AQ125" s="63" t="str">
        <f t="shared" si="17"/>
        <v/>
      </c>
      <c r="AR125" s="63" t="str">
        <f t="shared" si="18"/>
        <v/>
      </c>
      <c r="AS125" s="63" t="str">
        <f t="shared" si="19"/>
        <v/>
      </c>
      <c r="AT125" s="78" t="str">
        <f t="shared" si="20"/>
        <v/>
      </c>
      <c r="AU125" s="78" t="str">
        <f t="shared" si="21"/>
        <v/>
      </c>
      <c r="AV125" s="64" t="str">
        <f ca="1">IFERROR(__xludf.DUMMYFUNCTION("IF(TRIM(AU125)="""","""",AU125/INDEX(FILTER(AT$3:AT125,TRIM(AT$3:AT125)&lt;&gt;""""),ROWS(FILTER(AT$3:AT125,TRIM(AT$3:AT125)&lt;&gt;"""")))-1)"),"")</f>
        <v/>
      </c>
      <c r="AW125" s="65" t="e">
        <f t="shared" ca="1" si="13"/>
        <v>#VALUE!</v>
      </c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ht="19" x14ac:dyDescent="0.25">
      <c r="A126" s="5"/>
      <c r="B126" s="5"/>
      <c r="C126" s="5"/>
      <c r="D126" s="5"/>
      <c r="E126" s="5"/>
      <c r="F126" s="5"/>
      <c r="G126" s="5"/>
      <c r="H126" s="6"/>
      <c r="I126" s="5"/>
      <c r="J126" s="83"/>
      <c r="K126" s="83"/>
      <c r="L126" s="83"/>
      <c r="M126" s="83"/>
      <c r="N126" s="83"/>
      <c r="O126" s="83"/>
      <c r="P126" s="83"/>
      <c r="Q126" s="84"/>
      <c r="R126" s="83"/>
      <c r="S126" s="83"/>
      <c r="T126" s="85"/>
      <c r="U126" s="6"/>
      <c r="V126" s="44">
        <v>44098</v>
      </c>
      <c r="W126" s="45">
        <v>112.8</v>
      </c>
      <c r="X126" s="46"/>
      <c r="Y126" s="61"/>
      <c r="Z126" s="5"/>
      <c r="AA126" s="5"/>
      <c r="AB126" s="5"/>
      <c r="AC126" s="5"/>
      <c r="AD126" s="5"/>
      <c r="AE126" s="5"/>
      <c r="AF126" s="5"/>
      <c r="AG126" s="5"/>
      <c r="AH126" s="6"/>
      <c r="AI126" s="44">
        <v>44098</v>
      </c>
      <c r="AJ126" s="53">
        <v>112.8</v>
      </c>
      <c r="AK126" s="54">
        <f t="shared" si="11"/>
        <v>-6.1674008810572722E-3</v>
      </c>
      <c r="AL126" s="55">
        <f t="shared" si="14"/>
        <v>14.520392781461736</v>
      </c>
      <c r="AM126" s="56">
        <v>25</v>
      </c>
      <c r="AN126" s="57">
        <f t="shared" si="12"/>
        <v>10.479607218538264</v>
      </c>
      <c r="AO126" s="76">
        <f t="shared" si="15"/>
        <v>4.9580121483225144</v>
      </c>
      <c r="AP126" s="63" t="str">
        <f t="shared" si="16"/>
        <v>Buy Stocks</v>
      </c>
      <c r="AQ126" s="63" t="str">
        <f t="shared" si="17"/>
        <v/>
      </c>
      <c r="AR126" s="63" t="str">
        <f t="shared" si="18"/>
        <v/>
      </c>
      <c r="AS126" s="63" t="str">
        <f t="shared" si="19"/>
        <v/>
      </c>
      <c r="AT126" s="78" t="str">
        <f t="shared" si="20"/>
        <v/>
      </c>
      <c r="AU126" s="78" t="str">
        <f t="shared" si="21"/>
        <v/>
      </c>
      <c r="AV126" s="64" t="str">
        <f ca="1">IFERROR(__xludf.DUMMYFUNCTION("IF(TRIM(AU126)="""","""",AU126/INDEX(FILTER(AT$3:AT126,TRIM(AT$3:AT126)&lt;&gt;""""),ROWS(FILTER(AT$3:AT126,TRIM(AT$3:AT126)&lt;&gt;"""")))-1)"),"")</f>
        <v/>
      </c>
      <c r="AW126" s="65" t="e">
        <f t="shared" ca="1" si="13"/>
        <v>#VALUE!</v>
      </c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ht="19" x14ac:dyDescent="0.25">
      <c r="A127" s="5"/>
      <c r="B127" s="5"/>
      <c r="C127" s="5"/>
      <c r="D127" s="5"/>
      <c r="E127" s="5"/>
      <c r="F127" s="5"/>
      <c r="G127" s="5"/>
      <c r="H127" s="6"/>
      <c r="I127" s="5"/>
      <c r="J127" s="83"/>
      <c r="K127" s="83"/>
      <c r="L127" s="83"/>
      <c r="M127" s="83"/>
      <c r="N127" s="83"/>
      <c r="O127" s="83"/>
      <c r="P127" s="83"/>
      <c r="Q127" s="84"/>
      <c r="R127" s="83"/>
      <c r="S127" s="83"/>
      <c r="T127" s="85"/>
      <c r="U127" s="6"/>
      <c r="V127" s="44">
        <v>44099</v>
      </c>
      <c r="W127" s="45">
        <v>113.62</v>
      </c>
      <c r="X127" s="46"/>
      <c r="Y127" s="61"/>
      <c r="Z127" s="5"/>
      <c r="AA127" s="5"/>
      <c r="AB127" s="5"/>
      <c r="AC127" s="5"/>
      <c r="AD127" s="5"/>
      <c r="AE127" s="5"/>
      <c r="AF127" s="5"/>
      <c r="AG127" s="5"/>
      <c r="AH127" s="6"/>
      <c r="AI127" s="44">
        <v>44099</v>
      </c>
      <c r="AJ127" s="53">
        <v>113.62</v>
      </c>
      <c r="AK127" s="54">
        <f t="shared" si="11"/>
        <v>7.2695035460994539E-3</v>
      </c>
      <c r="AL127" s="55">
        <f t="shared" si="14"/>
        <v>18.026089819357122</v>
      </c>
      <c r="AM127" s="56">
        <v>25</v>
      </c>
      <c r="AN127" s="57">
        <f t="shared" si="12"/>
        <v>6.9739101806428785</v>
      </c>
      <c r="AO127" s="76">
        <f t="shared" si="15"/>
        <v>5.0847437357391936</v>
      </c>
      <c r="AP127" s="63" t="str">
        <f t="shared" si="16"/>
        <v>Buy Stocks</v>
      </c>
      <c r="AQ127" s="63" t="str">
        <f t="shared" si="17"/>
        <v/>
      </c>
      <c r="AR127" s="63" t="str">
        <f t="shared" si="18"/>
        <v/>
      </c>
      <c r="AS127" s="63" t="str">
        <f t="shared" si="19"/>
        <v/>
      </c>
      <c r="AT127" s="78" t="str">
        <f t="shared" si="20"/>
        <v/>
      </c>
      <c r="AU127" s="78" t="str">
        <f t="shared" si="21"/>
        <v/>
      </c>
      <c r="AV127" s="64" t="str">
        <f ca="1">IFERROR(__xludf.DUMMYFUNCTION("IF(TRIM(AU127)="""","""",AU127/INDEX(FILTER(AT$3:AT127,TRIM(AT$3:AT127)&lt;&gt;""""),ROWS(FILTER(AT$3:AT127,TRIM(AT$3:AT127)&lt;&gt;"""")))-1)"),"")</f>
        <v/>
      </c>
      <c r="AW127" s="65" t="e">
        <f t="shared" ca="1" si="13"/>
        <v>#VALUE!</v>
      </c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ht="19" x14ac:dyDescent="0.25">
      <c r="A128" s="5"/>
      <c r="B128" s="5"/>
      <c r="C128" s="5"/>
      <c r="D128" s="5"/>
      <c r="E128" s="5"/>
      <c r="F128" s="5"/>
      <c r="G128" s="5"/>
      <c r="H128" s="6"/>
      <c r="I128" s="5"/>
      <c r="J128" s="83"/>
      <c r="K128" s="83"/>
      <c r="L128" s="83"/>
      <c r="M128" s="83"/>
      <c r="N128" s="83"/>
      <c r="O128" s="83"/>
      <c r="P128" s="83"/>
      <c r="Q128" s="84"/>
      <c r="R128" s="83"/>
      <c r="S128" s="83"/>
      <c r="T128" s="85"/>
      <c r="U128" s="6"/>
      <c r="V128" s="44">
        <v>44102</v>
      </c>
      <c r="W128" s="45">
        <v>116.27</v>
      </c>
      <c r="X128" s="46"/>
      <c r="Y128" s="61"/>
      <c r="Z128" s="5"/>
      <c r="AA128" s="5"/>
      <c r="AB128" s="5"/>
      <c r="AC128" s="5"/>
      <c r="AD128" s="5"/>
      <c r="AE128" s="5"/>
      <c r="AF128" s="5"/>
      <c r="AG128" s="5"/>
      <c r="AH128" s="6"/>
      <c r="AI128" s="44">
        <v>44102</v>
      </c>
      <c r="AJ128" s="53">
        <v>116.27</v>
      </c>
      <c r="AK128" s="54">
        <f t="shared" si="11"/>
        <v>2.332335856363299E-2</v>
      </c>
      <c r="AL128" s="55">
        <f t="shared" si="14"/>
        <v>22.497528468567509</v>
      </c>
      <c r="AM128" s="56">
        <v>25</v>
      </c>
      <c r="AN128" s="57">
        <f t="shared" si="12"/>
        <v>2.5024715314324908</v>
      </c>
      <c r="AO128" s="76">
        <f t="shared" si="15"/>
        <v>5.4128567686006983</v>
      </c>
      <c r="AP128" s="63" t="str">
        <f t="shared" si="16"/>
        <v>Buy Stocks</v>
      </c>
      <c r="AQ128" s="63" t="str">
        <f t="shared" si="17"/>
        <v/>
      </c>
      <c r="AR128" s="63" t="str">
        <f t="shared" si="18"/>
        <v/>
      </c>
      <c r="AS128" s="63" t="str">
        <f t="shared" si="19"/>
        <v/>
      </c>
      <c r="AT128" s="78" t="str">
        <f t="shared" si="20"/>
        <v/>
      </c>
      <c r="AU128" s="78" t="str">
        <f t="shared" si="21"/>
        <v/>
      </c>
      <c r="AV128" s="64" t="str">
        <f ca="1">IFERROR(__xludf.DUMMYFUNCTION("IF(TRIM(AU128)="""","""",AU128/INDEX(FILTER(AT$3:AT128,TRIM(AT$3:AT128)&lt;&gt;""""),ROWS(FILTER(AT$3:AT128,TRIM(AT$3:AT128)&lt;&gt;"""")))-1)"),"")</f>
        <v/>
      </c>
      <c r="AW128" s="65" t="e">
        <f t="shared" ca="1" si="13"/>
        <v>#VALUE!</v>
      </c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ht="19" x14ac:dyDescent="0.25">
      <c r="A129" s="5"/>
      <c r="B129" s="5"/>
      <c r="C129" s="5"/>
      <c r="D129" s="5"/>
      <c r="E129" s="5"/>
      <c r="F129" s="5"/>
      <c r="G129" s="5"/>
      <c r="H129" s="6"/>
      <c r="I129" s="5"/>
      <c r="J129" s="83"/>
      <c r="K129" s="83"/>
      <c r="L129" s="83"/>
      <c r="M129" s="83"/>
      <c r="N129" s="83"/>
      <c r="O129" s="83"/>
      <c r="P129" s="83"/>
      <c r="Q129" s="84"/>
      <c r="R129" s="83"/>
      <c r="S129" s="83"/>
      <c r="T129" s="85"/>
      <c r="U129" s="6"/>
      <c r="V129" s="44">
        <v>44103</v>
      </c>
      <c r="W129" s="45">
        <v>115.52</v>
      </c>
      <c r="X129" s="46"/>
      <c r="Y129" s="61"/>
      <c r="Z129" s="5"/>
      <c r="AA129" s="5"/>
      <c r="AB129" s="5"/>
      <c r="AC129" s="5"/>
      <c r="AD129" s="5"/>
      <c r="AE129" s="5"/>
      <c r="AF129" s="5"/>
      <c r="AG129" s="5"/>
      <c r="AH129" s="6"/>
      <c r="AI129" s="44">
        <v>44103</v>
      </c>
      <c r="AJ129" s="53">
        <v>115.52</v>
      </c>
      <c r="AK129" s="54">
        <f t="shared" si="11"/>
        <v>-6.4505031392448897E-3</v>
      </c>
      <c r="AL129" s="55">
        <f t="shared" si="14"/>
        <v>23.396929473899945</v>
      </c>
      <c r="AM129" s="56">
        <v>25</v>
      </c>
      <c r="AN129" s="57">
        <f t="shared" si="12"/>
        <v>1.6030705261000548</v>
      </c>
      <c r="AO129" s="76">
        <f t="shared" si="15"/>
        <v>5.5422594840207529</v>
      </c>
      <c r="AP129" s="63" t="str">
        <f t="shared" si="16"/>
        <v>Buy Stocks</v>
      </c>
      <c r="AQ129" s="63" t="str">
        <f t="shared" si="17"/>
        <v/>
      </c>
      <c r="AR129" s="63" t="str">
        <f t="shared" si="18"/>
        <v/>
      </c>
      <c r="AS129" s="63" t="str">
        <f t="shared" si="19"/>
        <v/>
      </c>
      <c r="AT129" s="78" t="str">
        <f t="shared" si="20"/>
        <v/>
      </c>
      <c r="AU129" s="78" t="str">
        <f t="shared" si="21"/>
        <v/>
      </c>
      <c r="AV129" s="64" t="str">
        <f ca="1">IFERROR(__xludf.DUMMYFUNCTION("IF(TRIM(AU129)="""","""",AU129/INDEX(FILTER(AT$3:AT129,TRIM(AT$3:AT129)&lt;&gt;""""),ROWS(FILTER(AT$3:AT129,TRIM(AT$3:AT129)&lt;&gt;"""")))-1)"),"")</f>
        <v/>
      </c>
      <c r="AW129" s="65" t="e">
        <f t="shared" ca="1" si="13"/>
        <v>#VALUE!</v>
      </c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ht="19" x14ac:dyDescent="0.25">
      <c r="A130" s="5"/>
      <c r="B130" s="5"/>
      <c r="C130" s="5"/>
      <c r="D130" s="5"/>
      <c r="E130" s="5"/>
      <c r="F130" s="5"/>
      <c r="G130" s="5"/>
      <c r="H130" s="6"/>
      <c r="I130" s="5"/>
      <c r="J130" s="83"/>
      <c r="K130" s="83"/>
      <c r="L130" s="83"/>
      <c r="M130" s="83"/>
      <c r="N130" s="83"/>
      <c r="O130" s="83"/>
      <c r="P130" s="83"/>
      <c r="Q130" s="84"/>
      <c r="R130" s="83"/>
      <c r="S130" s="83"/>
      <c r="T130" s="85"/>
      <c r="U130" s="6"/>
      <c r="V130" s="44">
        <v>44104</v>
      </c>
      <c r="W130" s="45">
        <v>116.21</v>
      </c>
      <c r="X130" s="46"/>
      <c r="Y130" s="61"/>
      <c r="Z130" s="5"/>
      <c r="AA130" s="5"/>
      <c r="AB130" s="5"/>
      <c r="AC130" s="5"/>
      <c r="AD130" s="5"/>
      <c r="AE130" s="5"/>
      <c r="AF130" s="5"/>
      <c r="AG130" s="5"/>
      <c r="AH130" s="6"/>
      <c r="AI130" s="44">
        <v>44104</v>
      </c>
      <c r="AJ130" s="53">
        <v>116.21</v>
      </c>
      <c r="AK130" s="54">
        <f t="shared" si="11"/>
        <v>5.9729916897506286E-3</v>
      </c>
      <c r="AL130" s="55">
        <f t="shared" si="14"/>
        <v>19.40080380936562</v>
      </c>
      <c r="AM130" s="56">
        <v>25</v>
      </c>
      <c r="AN130" s="57">
        <f t="shared" si="12"/>
        <v>5.5991961906343803</v>
      </c>
      <c r="AO130" s="76">
        <f t="shared" si="15"/>
        <v>5.4316511294696141</v>
      </c>
      <c r="AP130" s="63" t="str">
        <f t="shared" si="16"/>
        <v>Buy Stocks</v>
      </c>
      <c r="AQ130" s="63" t="str">
        <f t="shared" si="17"/>
        <v/>
      </c>
      <c r="AR130" s="63" t="str">
        <f t="shared" si="18"/>
        <v/>
      </c>
      <c r="AS130" s="63" t="str">
        <f t="shared" si="19"/>
        <v/>
      </c>
      <c r="AT130" s="78" t="str">
        <f t="shared" si="20"/>
        <v/>
      </c>
      <c r="AU130" s="78" t="str">
        <f t="shared" si="21"/>
        <v/>
      </c>
      <c r="AV130" s="64" t="str">
        <f ca="1">IFERROR(__xludf.DUMMYFUNCTION("IF(TRIM(AU130)="""","""",AU130/INDEX(FILTER(AT$3:AT130,TRIM(AT$3:AT130)&lt;&gt;""""),ROWS(FILTER(AT$3:AT130,TRIM(AT$3:AT130)&lt;&gt;"""")))-1)"),"")</f>
        <v/>
      </c>
      <c r="AW130" s="65" t="e">
        <f t="shared" ca="1" si="13"/>
        <v>#VALUE!</v>
      </c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ht="19" x14ac:dyDescent="0.25">
      <c r="A131" s="5"/>
      <c r="B131" s="5"/>
      <c r="C131" s="5"/>
      <c r="D131" s="5"/>
      <c r="E131" s="5"/>
      <c r="F131" s="5"/>
      <c r="G131" s="5"/>
      <c r="H131" s="6"/>
      <c r="I131" s="5"/>
      <c r="J131" s="83"/>
      <c r="K131" s="83"/>
      <c r="L131" s="83"/>
      <c r="M131" s="83"/>
      <c r="N131" s="83"/>
      <c r="O131" s="83"/>
      <c r="P131" s="83"/>
      <c r="Q131" s="84"/>
      <c r="R131" s="83"/>
      <c r="S131" s="83"/>
      <c r="T131" s="85"/>
      <c r="U131" s="6"/>
      <c r="V131" s="44">
        <v>44105</v>
      </c>
      <c r="W131" s="45">
        <v>115.66</v>
      </c>
      <c r="X131" s="46"/>
      <c r="Y131" s="61"/>
      <c r="Z131" s="5"/>
      <c r="AA131" s="5"/>
      <c r="AB131" s="5"/>
      <c r="AC131" s="5"/>
      <c r="AD131" s="5"/>
      <c r="AE131" s="5"/>
      <c r="AF131" s="5"/>
      <c r="AG131" s="5"/>
      <c r="AH131" s="6"/>
      <c r="AI131" s="44">
        <v>44105</v>
      </c>
      <c r="AJ131" s="53">
        <v>115.66</v>
      </c>
      <c r="AK131" s="54">
        <f t="shared" ref="AK131:AK194" si="22">AJ131/AJ130-1</f>
        <v>-4.7328112899062136E-3</v>
      </c>
      <c r="AL131" s="55">
        <f t="shared" si="14"/>
        <v>18.91091682547318</v>
      </c>
      <c r="AM131" s="56">
        <v>25</v>
      </c>
      <c r="AN131" s="57">
        <f t="shared" ref="AN131:AN194" si="23">AM131-AL131</f>
        <v>6.0890831745268201</v>
      </c>
      <c r="AO131" s="76">
        <f t="shared" si="15"/>
        <v>4.5535463206673246</v>
      </c>
      <c r="AP131" s="63" t="str">
        <f t="shared" si="16"/>
        <v>Buy Stocks</v>
      </c>
      <c r="AQ131" s="63" t="str">
        <f t="shared" si="17"/>
        <v/>
      </c>
      <c r="AR131" s="63" t="str">
        <f t="shared" si="18"/>
        <v/>
      </c>
      <c r="AS131" s="63" t="str">
        <f t="shared" si="19"/>
        <v/>
      </c>
      <c r="AT131" s="78" t="str">
        <f t="shared" si="20"/>
        <v/>
      </c>
      <c r="AU131" s="78" t="str">
        <f t="shared" si="21"/>
        <v/>
      </c>
      <c r="AV131" s="64" t="str">
        <f ca="1">IFERROR(__xludf.DUMMYFUNCTION("IF(TRIM(AU131)="""","""",AU131/INDEX(FILTER(AT$3:AT131,TRIM(AT$3:AT131)&lt;&gt;""""),ROWS(FILTER(AT$3:AT131,TRIM(AT$3:AT131)&lt;&gt;"""")))-1)"),"")</f>
        <v/>
      </c>
      <c r="AW131" s="65" t="e">
        <f t="shared" ref="AW131:AW194" ca="1" si="24">AW130*(1+AV131)</f>
        <v>#VALUE!</v>
      </c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ht="19" x14ac:dyDescent="0.25">
      <c r="A132" s="5"/>
      <c r="B132" s="5"/>
      <c r="C132" s="5"/>
      <c r="D132" s="5"/>
      <c r="E132" s="5"/>
      <c r="F132" s="5"/>
      <c r="G132" s="5"/>
      <c r="H132" s="6"/>
      <c r="I132" s="5"/>
      <c r="J132" s="83"/>
      <c r="K132" s="83"/>
      <c r="L132" s="83"/>
      <c r="M132" s="83"/>
      <c r="N132" s="83"/>
      <c r="O132" s="83"/>
      <c r="P132" s="83"/>
      <c r="Q132" s="84"/>
      <c r="R132" s="83"/>
      <c r="S132" s="83"/>
      <c r="T132" s="85"/>
      <c r="U132" s="6"/>
      <c r="V132" s="44">
        <v>44106</v>
      </c>
      <c r="W132" s="45">
        <v>115.16</v>
      </c>
      <c r="X132" s="46"/>
      <c r="Y132" s="61"/>
      <c r="Z132" s="5"/>
      <c r="AA132" s="5"/>
      <c r="AB132" s="5"/>
      <c r="AC132" s="5"/>
      <c r="AD132" s="5"/>
      <c r="AE132" s="5"/>
      <c r="AF132" s="5"/>
      <c r="AG132" s="5"/>
      <c r="AH132" s="6"/>
      <c r="AI132" s="44">
        <v>44106</v>
      </c>
      <c r="AJ132" s="53">
        <v>115.16</v>
      </c>
      <c r="AK132" s="54">
        <f t="shared" si="22"/>
        <v>-4.3230157357773136E-3</v>
      </c>
      <c r="AL132" s="55">
        <f t="shared" si="14"/>
        <v>19.832332657329648</v>
      </c>
      <c r="AM132" s="56">
        <v>25</v>
      </c>
      <c r="AN132" s="57">
        <f t="shared" si="23"/>
        <v>5.1676673426703523</v>
      </c>
      <c r="AO132" s="76">
        <f t="shared" si="15"/>
        <v>4.19229775307282</v>
      </c>
      <c r="AP132" s="63" t="str">
        <f t="shared" si="16"/>
        <v>Buy Stocks</v>
      </c>
      <c r="AQ132" s="63" t="str">
        <f t="shared" si="17"/>
        <v/>
      </c>
      <c r="AR132" s="63" t="str">
        <f t="shared" si="18"/>
        <v/>
      </c>
      <c r="AS132" s="63" t="str">
        <f t="shared" si="19"/>
        <v/>
      </c>
      <c r="AT132" s="78" t="str">
        <f t="shared" si="20"/>
        <v/>
      </c>
      <c r="AU132" s="78" t="str">
        <f t="shared" si="21"/>
        <v/>
      </c>
      <c r="AV132" s="64" t="str">
        <f ca="1">IFERROR(__xludf.DUMMYFUNCTION("IF(TRIM(AU132)="""","""",AU132/INDEX(FILTER(AT$3:AT132,TRIM(AT$3:AT132)&lt;&gt;""""),ROWS(FILTER(AT$3:AT132,TRIM(AT$3:AT132)&lt;&gt;"""")))-1)"),"")</f>
        <v/>
      </c>
      <c r="AW132" s="65" t="e">
        <f t="shared" ca="1" si="24"/>
        <v>#VALUE!</v>
      </c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ht="19" x14ac:dyDescent="0.25">
      <c r="A133" s="5"/>
      <c r="B133" s="5"/>
      <c r="C133" s="5"/>
      <c r="D133" s="5"/>
      <c r="E133" s="5"/>
      <c r="F133" s="5"/>
      <c r="G133" s="5"/>
      <c r="H133" s="6"/>
      <c r="I133" s="5"/>
      <c r="J133" s="83"/>
      <c r="K133" s="83"/>
      <c r="L133" s="83"/>
      <c r="M133" s="83"/>
      <c r="N133" s="83"/>
      <c r="O133" s="83"/>
      <c r="P133" s="83"/>
      <c r="Q133" s="84"/>
      <c r="R133" s="83"/>
      <c r="S133" s="83"/>
      <c r="T133" s="85"/>
      <c r="U133" s="6"/>
      <c r="V133" s="44">
        <v>44109</v>
      </c>
      <c r="W133" s="45">
        <v>116.54</v>
      </c>
      <c r="X133" s="46"/>
      <c r="Y133" s="61"/>
      <c r="Z133" s="5"/>
      <c r="AA133" s="5"/>
      <c r="AB133" s="5"/>
      <c r="AC133" s="5"/>
      <c r="AD133" s="5"/>
      <c r="AE133" s="5"/>
      <c r="AF133" s="5"/>
      <c r="AG133" s="5"/>
      <c r="AH133" s="6"/>
      <c r="AI133" s="44">
        <v>44109</v>
      </c>
      <c r="AJ133" s="53">
        <v>116.54</v>
      </c>
      <c r="AK133" s="54">
        <f t="shared" si="22"/>
        <v>1.1983327544286215E-2</v>
      </c>
      <c r="AL133" s="55">
        <f t="shared" si="14"/>
        <v>12.817454502615977</v>
      </c>
      <c r="AM133" s="56">
        <v>25</v>
      </c>
      <c r="AN133" s="57">
        <f t="shared" si="23"/>
        <v>12.182545497384023</v>
      </c>
      <c r="AO133" s="76">
        <f t="shared" si="15"/>
        <v>6.1283125462631265</v>
      </c>
      <c r="AP133" s="63" t="str">
        <f t="shared" si="16"/>
        <v>Buy Stocks</v>
      </c>
      <c r="AQ133" s="63" t="str">
        <f t="shared" si="17"/>
        <v/>
      </c>
      <c r="AR133" s="63" t="str">
        <f t="shared" si="18"/>
        <v/>
      </c>
      <c r="AS133" s="63" t="str">
        <f t="shared" si="19"/>
        <v/>
      </c>
      <c r="AT133" s="78" t="str">
        <f t="shared" si="20"/>
        <v/>
      </c>
      <c r="AU133" s="78" t="str">
        <f t="shared" si="21"/>
        <v/>
      </c>
      <c r="AV133" s="64" t="str">
        <f ca="1">IFERROR(__xludf.DUMMYFUNCTION("IF(TRIM(AU133)="""","""",AU133/INDEX(FILTER(AT$3:AT133,TRIM(AT$3:AT133)&lt;&gt;""""),ROWS(FILTER(AT$3:AT133,TRIM(AT$3:AT133)&lt;&gt;"""")))-1)"),"")</f>
        <v/>
      </c>
      <c r="AW133" s="65" t="e">
        <f t="shared" ca="1" si="24"/>
        <v>#VALUE!</v>
      </c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ht="19" x14ac:dyDescent="0.25">
      <c r="A134" s="5"/>
      <c r="B134" s="5"/>
      <c r="C134" s="5"/>
      <c r="D134" s="5"/>
      <c r="E134" s="5"/>
      <c r="F134" s="5"/>
      <c r="G134" s="5"/>
      <c r="H134" s="6"/>
      <c r="I134" s="5"/>
      <c r="J134" s="83"/>
      <c r="K134" s="83"/>
      <c r="L134" s="83"/>
      <c r="M134" s="83"/>
      <c r="N134" s="83"/>
      <c r="O134" s="83"/>
      <c r="P134" s="83"/>
      <c r="Q134" s="84"/>
      <c r="R134" s="83"/>
      <c r="S134" s="83"/>
      <c r="T134" s="85"/>
      <c r="U134" s="6"/>
      <c r="V134" s="44">
        <v>44110</v>
      </c>
      <c r="W134" s="45">
        <v>116.5</v>
      </c>
      <c r="X134" s="46"/>
      <c r="Y134" s="61"/>
      <c r="Z134" s="5"/>
      <c r="AA134" s="5"/>
      <c r="AB134" s="5"/>
      <c r="AC134" s="5"/>
      <c r="AD134" s="5"/>
      <c r="AE134" s="5"/>
      <c r="AF134" s="5"/>
      <c r="AG134" s="5"/>
      <c r="AH134" s="6"/>
      <c r="AI134" s="44">
        <v>44110</v>
      </c>
      <c r="AJ134" s="53">
        <v>116.5</v>
      </c>
      <c r="AK134" s="54">
        <f t="shared" si="22"/>
        <v>-3.4322979234602258E-4</v>
      </c>
      <c r="AL134" s="55">
        <f t="shared" si="14"/>
        <v>11.387599965471269</v>
      </c>
      <c r="AM134" s="56">
        <v>25</v>
      </c>
      <c r="AN134" s="57">
        <f t="shared" si="23"/>
        <v>13.612400034528731</v>
      </c>
      <c r="AO134" s="76">
        <f t="shared" si="15"/>
        <v>8.5301784479488614</v>
      </c>
      <c r="AP134" s="63" t="str">
        <f t="shared" si="16"/>
        <v>Buy Stocks</v>
      </c>
      <c r="AQ134" s="63" t="str">
        <f t="shared" si="17"/>
        <v/>
      </c>
      <c r="AR134" s="63" t="str">
        <f t="shared" si="18"/>
        <v/>
      </c>
      <c r="AS134" s="63" t="str">
        <f t="shared" si="19"/>
        <v/>
      </c>
      <c r="AT134" s="78" t="str">
        <f t="shared" si="20"/>
        <v/>
      </c>
      <c r="AU134" s="78" t="str">
        <f t="shared" si="21"/>
        <v/>
      </c>
      <c r="AV134" s="64" t="str">
        <f ca="1">IFERROR(__xludf.DUMMYFUNCTION("IF(TRIM(AU134)="""","""",AU134/INDEX(FILTER(AT$3:AT134,TRIM(AT$3:AT134)&lt;&gt;""""),ROWS(FILTER(AT$3:AT134,TRIM(AT$3:AT134)&lt;&gt;"""")))-1)"),"")</f>
        <v/>
      </c>
      <c r="AW134" s="65" t="e">
        <f t="shared" ca="1" si="24"/>
        <v>#VALUE!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ht="19" x14ac:dyDescent="0.25">
      <c r="A135" s="5"/>
      <c r="B135" s="5"/>
      <c r="C135" s="5"/>
      <c r="D135" s="5"/>
      <c r="E135" s="5"/>
      <c r="F135" s="5"/>
      <c r="G135" s="5"/>
      <c r="H135" s="6"/>
      <c r="I135" s="5"/>
      <c r="J135" s="83"/>
      <c r="K135" s="83"/>
      <c r="L135" s="83"/>
      <c r="M135" s="83"/>
      <c r="N135" s="83"/>
      <c r="O135" s="83"/>
      <c r="P135" s="83"/>
      <c r="Q135" s="84"/>
      <c r="R135" s="83"/>
      <c r="S135" s="83"/>
      <c r="T135" s="85"/>
      <c r="U135" s="6"/>
      <c r="V135" s="44">
        <v>44111</v>
      </c>
      <c r="W135" s="45">
        <v>118.51</v>
      </c>
      <c r="X135" s="46"/>
      <c r="Y135" s="61"/>
      <c r="Z135" s="5"/>
      <c r="AA135" s="5"/>
      <c r="AB135" s="5"/>
      <c r="AC135" s="5"/>
      <c r="AD135" s="5"/>
      <c r="AE135" s="5"/>
      <c r="AF135" s="5"/>
      <c r="AG135" s="5"/>
      <c r="AH135" s="6"/>
      <c r="AI135" s="44">
        <v>44111</v>
      </c>
      <c r="AJ135" s="53">
        <v>118.51</v>
      </c>
      <c r="AK135" s="54">
        <f t="shared" si="22"/>
        <v>1.7253218884120125E-2</v>
      </c>
      <c r="AL135" s="55">
        <f t="shared" ref="AL135:AL198" si="25">_xlfn.STDEV.S(AK131:AK135)*SQRT(252)*100</f>
        <v>15.949225505274065</v>
      </c>
      <c r="AM135" s="56">
        <v>25</v>
      </c>
      <c r="AN135" s="57">
        <f t="shared" si="23"/>
        <v>9.0507744947259354</v>
      </c>
      <c r="AO135" s="76">
        <f t="shared" ref="AO135:AO198" si="26">AVERAGE(AN131:AN135)</f>
        <v>9.2204941087671735</v>
      </c>
      <c r="AP135" s="63" t="str">
        <f t="shared" ref="AP135:AP198" si="27">IF(AO135&gt;0,"Buy Stocks","")</f>
        <v>Buy Stocks</v>
      </c>
      <c r="AQ135" s="63" t="str">
        <f t="shared" ref="AQ135:AQ198" si="28">IF(AO135&lt;0,"Sell Stocks","")</f>
        <v/>
      </c>
      <c r="AR135" s="63" t="str">
        <f t="shared" ref="AR135:AR198" si="29">IF(AND(AP135="Buy Stocks",AP134=""),"Buy Stocks","")</f>
        <v/>
      </c>
      <c r="AS135" s="63" t="str">
        <f t="shared" ref="AS135:AS198" si="30">IF(AND(AQ135="Sell Stocks",AQ134=""),"Sell Stocks","")</f>
        <v/>
      </c>
      <c r="AT135" s="78" t="str">
        <f t="shared" ref="AT135:AT198" si="31">IF(AR135="Buy Stocks",AJ135,"")</f>
        <v/>
      </c>
      <c r="AU135" s="78" t="str">
        <f t="shared" ref="AU135:AU198" si="32">IF(AS135="Sell Stocks",AJ135,"")</f>
        <v/>
      </c>
      <c r="AV135" s="64" t="str">
        <f ca="1">IFERROR(__xludf.DUMMYFUNCTION("IF(TRIM(AU135)="""","""",AU135/INDEX(FILTER(AT$3:AT135,TRIM(AT$3:AT135)&lt;&gt;""""),ROWS(FILTER(AT$3:AT135,TRIM(AT$3:AT135)&lt;&gt;"""")))-1)"),"")</f>
        <v/>
      </c>
      <c r="AW135" s="65" t="e">
        <f t="shared" ca="1" si="24"/>
        <v>#VALUE!</v>
      </c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ht="19" x14ac:dyDescent="0.25">
      <c r="A136" s="5"/>
      <c r="B136" s="5"/>
      <c r="C136" s="5"/>
      <c r="D136" s="5"/>
      <c r="E136" s="5"/>
      <c r="F136" s="5"/>
      <c r="G136" s="5"/>
      <c r="H136" s="6"/>
      <c r="I136" s="5"/>
      <c r="J136" s="83"/>
      <c r="K136" s="83"/>
      <c r="L136" s="83"/>
      <c r="M136" s="83"/>
      <c r="N136" s="83"/>
      <c r="O136" s="83"/>
      <c r="P136" s="83"/>
      <c r="Q136" s="84"/>
      <c r="R136" s="83"/>
      <c r="S136" s="83"/>
      <c r="T136" s="85"/>
      <c r="U136" s="6"/>
      <c r="V136" s="44">
        <v>44112</v>
      </c>
      <c r="W136" s="45">
        <v>125.59</v>
      </c>
      <c r="X136" s="46"/>
      <c r="Y136" s="61"/>
      <c r="Z136" s="5"/>
      <c r="AA136" s="5"/>
      <c r="AB136" s="5"/>
      <c r="AC136" s="5"/>
      <c r="AD136" s="5"/>
      <c r="AE136" s="5"/>
      <c r="AF136" s="5"/>
      <c r="AG136" s="5"/>
      <c r="AH136" s="6"/>
      <c r="AI136" s="44">
        <v>44112</v>
      </c>
      <c r="AJ136" s="53">
        <v>125.59</v>
      </c>
      <c r="AK136" s="54">
        <f t="shared" si="22"/>
        <v>5.9741793941439525E-2</v>
      </c>
      <c r="AL136" s="55">
        <f t="shared" si="25"/>
        <v>40.530202450224721</v>
      </c>
      <c r="AM136" s="56">
        <v>25</v>
      </c>
      <c r="AN136" s="57">
        <f t="shared" si="23"/>
        <v>-15.530202450224721</v>
      </c>
      <c r="AO136" s="76">
        <f t="shared" si="26"/>
        <v>4.8966369838168644</v>
      </c>
      <c r="AP136" s="63" t="str">
        <f t="shared" si="27"/>
        <v>Buy Stocks</v>
      </c>
      <c r="AQ136" s="63" t="str">
        <f t="shared" si="28"/>
        <v/>
      </c>
      <c r="AR136" s="63" t="str">
        <f t="shared" si="29"/>
        <v/>
      </c>
      <c r="AS136" s="63" t="str">
        <f t="shared" si="30"/>
        <v/>
      </c>
      <c r="AT136" s="78" t="str">
        <f t="shared" si="31"/>
        <v/>
      </c>
      <c r="AU136" s="78" t="str">
        <f t="shared" si="32"/>
        <v/>
      </c>
      <c r="AV136" s="64" t="str">
        <f ca="1">IFERROR(__xludf.DUMMYFUNCTION("IF(TRIM(AU136)="""","""",AU136/INDEX(FILTER(AT$3:AT136,TRIM(AT$3:AT136)&lt;&gt;""""),ROWS(FILTER(AT$3:AT136,TRIM(AT$3:AT136)&lt;&gt;"""")))-1)"),"")</f>
        <v/>
      </c>
      <c r="AW136" s="65" t="e">
        <f t="shared" ca="1" si="24"/>
        <v>#VALUE!</v>
      </c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ht="19" x14ac:dyDescent="0.25">
      <c r="A137" s="5"/>
      <c r="B137" s="5"/>
      <c r="C137" s="5"/>
      <c r="D137" s="5"/>
      <c r="E137" s="5"/>
      <c r="F137" s="5"/>
      <c r="G137" s="5"/>
      <c r="H137" s="6"/>
      <c r="I137" s="5"/>
      <c r="J137" s="83"/>
      <c r="K137" s="83"/>
      <c r="L137" s="83"/>
      <c r="M137" s="83"/>
      <c r="N137" s="83"/>
      <c r="O137" s="83"/>
      <c r="P137" s="83"/>
      <c r="Q137" s="84"/>
      <c r="R137" s="83"/>
      <c r="S137" s="83"/>
      <c r="T137" s="85"/>
      <c r="U137" s="6"/>
      <c r="V137" s="44">
        <v>44113</v>
      </c>
      <c r="W137" s="45">
        <v>122.06</v>
      </c>
      <c r="X137" s="46"/>
      <c r="Y137" s="61"/>
      <c r="Z137" s="5"/>
      <c r="AA137" s="5"/>
      <c r="AB137" s="5"/>
      <c r="AC137" s="5"/>
      <c r="AD137" s="5"/>
      <c r="AE137" s="5"/>
      <c r="AF137" s="5"/>
      <c r="AG137" s="5"/>
      <c r="AH137" s="6"/>
      <c r="AI137" s="44">
        <v>44113</v>
      </c>
      <c r="AJ137" s="53">
        <v>122.06</v>
      </c>
      <c r="AK137" s="54">
        <f t="shared" si="22"/>
        <v>-2.8107333386416133E-2</v>
      </c>
      <c r="AL137" s="55">
        <f t="shared" si="25"/>
        <v>50.623089253538197</v>
      </c>
      <c r="AM137" s="56">
        <v>25</v>
      </c>
      <c r="AN137" s="57">
        <f t="shared" si="23"/>
        <v>-25.623089253538197</v>
      </c>
      <c r="AO137" s="76">
        <f t="shared" si="26"/>
        <v>-1.2615143354248459</v>
      </c>
      <c r="AP137" s="63" t="str">
        <f t="shared" si="27"/>
        <v/>
      </c>
      <c r="AQ137" s="63" t="str">
        <f t="shared" si="28"/>
        <v>Sell Stocks</v>
      </c>
      <c r="AR137" s="63" t="str">
        <f t="shared" si="29"/>
        <v/>
      </c>
      <c r="AS137" s="63" t="str">
        <f t="shared" si="30"/>
        <v>Sell Stocks</v>
      </c>
      <c r="AT137" s="78" t="str">
        <f t="shared" si="31"/>
        <v/>
      </c>
      <c r="AU137" s="77">
        <f t="shared" si="32"/>
        <v>122.06</v>
      </c>
      <c r="AV137" s="64">
        <f ca="1">IFERROR(__xludf.DUMMYFUNCTION("IF(TRIM(AU137)="""","""",AU137/INDEX(FILTER(AT$3:AT137,TRIM(AT$3:AT137)&lt;&gt;""""),ROWS(FILTER(AT$3:AT137,TRIM(AT$3:AT137)&lt;&gt;"""")))-1)"),0.0436938862761864)</f>
        <v>4.3693886276186401E-2</v>
      </c>
      <c r="AW137" s="65" t="e">
        <f t="shared" ca="1" si="24"/>
        <v>#VALUE!</v>
      </c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ht="19" x14ac:dyDescent="0.25">
      <c r="A138" s="5"/>
      <c r="B138" s="5"/>
      <c r="C138" s="5"/>
      <c r="D138" s="5"/>
      <c r="E138" s="5"/>
      <c r="F138" s="5"/>
      <c r="G138" s="5"/>
      <c r="H138" s="6"/>
      <c r="I138" s="5"/>
      <c r="J138" s="83"/>
      <c r="K138" s="83"/>
      <c r="L138" s="83"/>
      <c r="M138" s="83"/>
      <c r="N138" s="83"/>
      <c r="O138" s="83"/>
      <c r="P138" s="83"/>
      <c r="Q138" s="84"/>
      <c r="R138" s="83"/>
      <c r="S138" s="83"/>
      <c r="T138" s="85"/>
      <c r="U138" s="6"/>
      <c r="V138" s="44">
        <v>44116</v>
      </c>
      <c r="W138" s="45">
        <v>121.51</v>
      </c>
      <c r="X138" s="46"/>
      <c r="Y138" s="61"/>
      <c r="Z138" s="5"/>
      <c r="AA138" s="5"/>
      <c r="AB138" s="5"/>
      <c r="AC138" s="5"/>
      <c r="AD138" s="5"/>
      <c r="AE138" s="5"/>
      <c r="AF138" s="5"/>
      <c r="AG138" s="5"/>
      <c r="AH138" s="6"/>
      <c r="AI138" s="44">
        <v>44116</v>
      </c>
      <c r="AJ138" s="53">
        <v>121.51</v>
      </c>
      <c r="AK138" s="54">
        <f t="shared" si="22"/>
        <v>-4.5059806652465451E-3</v>
      </c>
      <c r="AL138" s="55">
        <f t="shared" si="25"/>
        <v>51.983390314885867</v>
      </c>
      <c r="AM138" s="56">
        <v>25</v>
      </c>
      <c r="AN138" s="57">
        <f t="shared" si="23"/>
        <v>-26.983390314885867</v>
      </c>
      <c r="AO138" s="76">
        <f t="shared" si="26"/>
        <v>-9.0947014978788232</v>
      </c>
      <c r="AP138" s="63" t="str">
        <f t="shared" si="27"/>
        <v/>
      </c>
      <c r="AQ138" s="63" t="str">
        <f t="shared" si="28"/>
        <v>Sell Stocks</v>
      </c>
      <c r="AR138" s="63" t="str">
        <f t="shared" si="29"/>
        <v/>
      </c>
      <c r="AS138" s="63" t="str">
        <f t="shared" si="30"/>
        <v/>
      </c>
      <c r="AT138" s="78" t="str">
        <f t="shared" si="31"/>
        <v/>
      </c>
      <c r="AU138" s="78" t="str">
        <f t="shared" si="32"/>
        <v/>
      </c>
      <c r="AV138" s="64" t="str">
        <f ca="1">IFERROR(__xludf.DUMMYFUNCTION("IF(TRIM(AU138)="""","""",AU138/INDEX(FILTER(AT$3:AT138,TRIM(AT$3:AT138)&lt;&gt;""""),ROWS(FILTER(AT$3:AT138,TRIM(AT$3:AT138)&lt;&gt;"""")))-1)"),"")</f>
        <v/>
      </c>
      <c r="AW138" s="65" t="e">
        <f t="shared" ca="1" si="24"/>
        <v>#VALUE!</v>
      </c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ht="19" x14ac:dyDescent="0.25">
      <c r="A139" s="5"/>
      <c r="B139" s="5"/>
      <c r="C139" s="5"/>
      <c r="D139" s="5"/>
      <c r="E139" s="5"/>
      <c r="F139" s="5"/>
      <c r="G139" s="5"/>
      <c r="H139" s="6"/>
      <c r="I139" s="5"/>
      <c r="J139" s="83"/>
      <c r="K139" s="83"/>
      <c r="L139" s="83"/>
      <c r="M139" s="83"/>
      <c r="N139" s="83"/>
      <c r="O139" s="83"/>
      <c r="P139" s="83"/>
      <c r="Q139" s="84"/>
      <c r="R139" s="83"/>
      <c r="S139" s="83"/>
      <c r="T139" s="85"/>
      <c r="U139" s="6"/>
      <c r="V139" s="44">
        <v>44117</v>
      </c>
      <c r="W139" s="45">
        <v>119.49</v>
      </c>
      <c r="X139" s="46"/>
      <c r="Y139" s="61"/>
      <c r="Z139" s="5"/>
      <c r="AA139" s="5"/>
      <c r="AB139" s="5"/>
      <c r="AC139" s="5"/>
      <c r="AD139" s="5"/>
      <c r="AE139" s="5"/>
      <c r="AF139" s="5"/>
      <c r="AG139" s="5"/>
      <c r="AH139" s="6"/>
      <c r="AI139" s="44">
        <v>44117</v>
      </c>
      <c r="AJ139" s="53">
        <v>119.49</v>
      </c>
      <c r="AK139" s="54">
        <f t="shared" si="22"/>
        <v>-1.6624146160809872E-2</v>
      </c>
      <c r="AL139" s="55">
        <f t="shared" si="25"/>
        <v>54.987170246769558</v>
      </c>
      <c r="AM139" s="56">
        <v>25</v>
      </c>
      <c r="AN139" s="57">
        <f t="shared" si="23"/>
        <v>-29.987170246769558</v>
      </c>
      <c r="AO139" s="76">
        <f t="shared" si="26"/>
        <v>-17.814615554138481</v>
      </c>
      <c r="AP139" s="63" t="str">
        <f t="shared" si="27"/>
        <v/>
      </c>
      <c r="AQ139" s="63" t="str">
        <f t="shared" si="28"/>
        <v>Sell Stocks</v>
      </c>
      <c r="AR139" s="63" t="str">
        <f t="shared" si="29"/>
        <v/>
      </c>
      <c r="AS139" s="63" t="str">
        <f t="shared" si="30"/>
        <v/>
      </c>
      <c r="AT139" s="78" t="str">
        <f t="shared" si="31"/>
        <v/>
      </c>
      <c r="AU139" s="78" t="str">
        <f t="shared" si="32"/>
        <v/>
      </c>
      <c r="AV139" s="64" t="str">
        <f ca="1">IFERROR(__xludf.DUMMYFUNCTION("IF(TRIM(AU139)="""","""",AU139/INDEX(FILTER(AT$3:AT139,TRIM(AT$3:AT139)&lt;&gt;""""),ROWS(FILTER(AT$3:AT139,TRIM(AT$3:AT139)&lt;&gt;"""")))-1)"),"")</f>
        <v/>
      </c>
      <c r="AW139" s="65" t="e">
        <f t="shared" ca="1" si="24"/>
        <v>#VALUE!</v>
      </c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ht="19" x14ac:dyDescent="0.25">
      <c r="A140" s="5"/>
      <c r="B140" s="5"/>
      <c r="C140" s="5"/>
      <c r="D140" s="5"/>
      <c r="E140" s="5"/>
      <c r="F140" s="5"/>
      <c r="G140" s="5"/>
      <c r="H140" s="6"/>
      <c r="I140" s="5"/>
      <c r="J140" s="83"/>
      <c r="K140" s="83"/>
      <c r="L140" s="83"/>
      <c r="M140" s="83"/>
      <c r="N140" s="83"/>
      <c r="O140" s="83"/>
      <c r="P140" s="83"/>
      <c r="Q140" s="84"/>
      <c r="R140" s="83"/>
      <c r="S140" s="83"/>
      <c r="T140" s="85"/>
      <c r="U140" s="6"/>
      <c r="V140" s="44">
        <v>44118</v>
      </c>
      <c r="W140" s="45">
        <v>120.29</v>
      </c>
      <c r="X140" s="46"/>
      <c r="Y140" s="61"/>
      <c r="Z140" s="5"/>
      <c r="AA140" s="5"/>
      <c r="AB140" s="5"/>
      <c r="AC140" s="5"/>
      <c r="AD140" s="5"/>
      <c r="AE140" s="5"/>
      <c r="AF140" s="5"/>
      <c r="AG140" s="5"/>
      <c r="AH140" s="6"/>
      <c r="AI140" s="44">
        <v>44118</v>
      </c>
      <c r="AJ140" s="53">
        <v>120.29</v>
      </c>
      <c r="AK140" s="54">
        <f t="shared" si="22"/>
        <v>6.6951209306218562E-3</v>
      </c>
      <c r="AL140" s="55">
        <f t="shared" si="25"/>
        <v>54.074959962662717</v>
      </c>
      <c r="AM140" s="56">
        <v>25</v>
      </c>
      <c r="AN140" s="57">
        <f t="shared" si="23"/>
        <v>-29.074959962662717</v>
      </c>
      <c r="AO140" s="76">
        <f t="shared" si="26"/>
        <v>-25.439762445616214</v>
      </c>
      <c r="AP140" s="63" t="str">
        <f t="shared" si="27"/>
        <v/>
      </c>
      <c r="AQ140" s="63" t="str">
        <f t="shared" si="28"/>
        <v>Sell Stocks</v>
      </c>
      <c r="AR140" s="63" t="str">
        <f t="shared" si="29"/>
        <v/>
      </c>
      <c r="AS140" s="63" t="str">
        <f t="shared" si="30"/>
        <v/>
      </c>
      <c r="AT140" s="78" t="str">
        <f t="shared" si="31"/>
        <v/>
      </c>
      <c r="AU140" s="78" t="str">
        <f t="shared" si="32"/>
        <v/>
      </c>
      <c r="AV140" s="64" t="str">
        <f ca="1">IFERROR(__xludf.DUMMYFUNCTION("IF(TRIM(AU140)="""","""",AU140/INDEX(FILTER(AT$3:AT140,TRIM(AT$3:AT140)&lt;&gt;""""),ROWS(FILTER(AT$3:AT140,TRIM(AT$3:AT140)&lt;&gt;"""")))-1)"),"")</f>
        <v/>
      </c>
      <c r="AW140" s="65" t="e">
        <f t="shared" ca="1" si="24"/>
        <v>#VALUE!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ht="19" x14ac:dyDescent="0.25">
      <c r="A141" s="5"/>
      <c r="B141" s="5"/>
      <c r="C141" s="5"/>
      <c r="D141" s="5"/>
      <c r="E141" s="5"/>
      <c r="F141" s="5"/>
      <c r="G141" s="5"/>
      <c r="H141" s="6"/>
      <c r="I141" s="5"/>
      <c r="J141" s="83"/>
      <c r="K141" s="83"/>
      <c r="L141" s="83"/>
      <c r="M141" s="83"/>
      <c r="N141" s="83"/>
      <c r="O141" s="83"/>
      <c r="P141" s="83"/>
      <c r="Q141" s="84"/>
      <c r="R141" s="83"/>
      <c r="S141" s="83"/>
      <c r="T141" s="85"/>
      <c r="U141" s="6"/>
      <c r="V141" s="44">
        <v>44119</v>
      </c>
      <c r="W141" s="45">
        <v>119.29</v>
      </c>
      <c r="X141" s="46"/>
      <c r="Y141" s="61"/>
      <c r="Z141" s="5"/>
      <c r="AA141" s="5"/>
      <c r="AB141" s="5"/>
      <c r="AC141" s="5"/>
      <c r="AD141" s="5"/>
      <c r="AE141" s="5"/>
      <c r="AF141" s="5"/>
      <c r="AG141" s="5"/>
      <c r="AH141" s="6"/>
      <c r="AI141" s="44">
        <v>44119</v>
      </c>
      <c r="AJ141" s="53">
        <v>119.29</v>
      </c>
      <c r="AK141" s="54">
        <f t="shared" si="22"/>
        <v>-8.3132429960928178E-3</v>
      </c>
      <c r="AL141" s="55">
        <f t="shared" si="25"/>
        <v>20.748973019421324</v>
      </c>
      <c r="AM141" s="56">
        <v>25</v>
      </c>
      <c r="AN141" s="57">
        <f t="shared" si="23"/>
        <v>4.2510269805786756</v>
      </c>
      <c r="AO141" s="76">
        <f t="shared" si="26"/>
        <v>-21.483516559455534</v>
      </c>
      <c r="AP141" s="63" t="str">
        <f t="shared" si="27"/>
        <v/>
      </c>
      <c r="AQ141" s="63" t="str">
        <f t="shared" si="28"/>
        <v>Sell Stocks</v>
      </c>
      <c r="AR141" s="63" t="str">
        <f t="shared" si="29"/>
        <v/>
      </c>
      <c r="AS141" s="63" t="str">
        <f t="shared" si="30"/>
        <v/>
      </c>
      <c r="AT141" s="78" t="str">
        <f t="shared" si="31"/>
        <v/>
      </c>
      <c r="AU141" s="78" t="str">
        <f t="shared" si="32"/>
        <v/>
      </c>
      <c r="AV141" s="64" t="str">
        <f ca="1">IFERROR(__xludf.DUMMYFUNCTION("IF(TRIM(AU141)="""","""",AU141/INDEX(FILTER(AT$3:AT141,TRIM(AT$3:AT141)&lt;&gt;""""),ROWS(FILTER(AT$3:AT141,TRIM(AT$3:AT141)&lt;&gt;"""")))-1)"),"")</f>
        <v/>
      </c>
      <c r="AW141" s="65" t="e">
        <f t="shared" ca="1" si="24"/>
        <v>#VALUE!</v>
      </c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ht="19" x14ac:dyDescent="0.25">
      <c r="A142" s="5"/>
      <c r="B142" s="5"/>
      <c r="C142" s="5"/>
      <c r="D142" s="5"/>
      <c r="E142" s="5"/>
      <c r="F142" s="5"/>
      <c r="G142" s="5"/>
      <c r="H142" s="6"/>
      <c r="I142" s="5"/>
      <c r="J142" s="83"/>
      <c r="K142" s="83"/>
      <c r="L142" s="83"/>
      <c r="M142" s="83"/>
      <c r="N142" s="83"/>
      <c r="O142" s="83"/>
      <c r="P142" s="83"/>
      <c r="Q142" s="84"/>
      <c r="R142" s="83"/>
      <c r="S142" s="83"/>
      <c r="T142" s="85"/>
      <c r="U142" s="6"/>
      <c r="V142" s="44">
        <v>44120</v>
      </c>
      <c r="W142" s="45">
        <v>120.28</v>
      </c>
      <c r="X142" s="46"/>
      <c r="Y142" s="61"/>
      <c r="Z142" s="5"/>
      <c r="AA142" s="5"/>
      <c r="AB142" s="5"/>
      <c r="AC142" s="5"/>
      <c r="AD142" s="5"/>
      <c r="AE142" s="5"/>
      <c r="AF142" s="5"/>
      <c r="AG142" s="5"/>
      <c r="AH142" s="6"/>
      <c r="AI142" s="44">
        <v>44120</v>
      </c>
      <c r="AJ142" s="53">
        <v>120.28</v>
      </c>
      <c r="AK142" s="54">
        <f t="shared" si="22"/>
        <v>8.2991030262384857E-3</v>
      </c>
      <c r="AL142" s="55">
        <f t="shared" si="25"/>
        <v>16.606137060214763</v>
      </c>
      <c r="AM142" s="56">
        <v>25</v>
      </c>
      <c r="AN142" s="57">
        <f t="shared" si="23"/>
        <v>8.3938629397852367</v>
      </c>
      <c r="AO142" s="76">
        <f t="shared" si="26"/>
        <v>-14.680126120790845</v>
      </c>
      <c r="AP142" s="63" t="str">
        <f t="shared" si="27"/>
        <v/>
      </c>
      <c r="AQ142" s="63" t="str">
        <f t="shared" si="28"/>
        <v>Sell Stocks</v>
      </c>
      <c r="AR142" s="63" t="str">
        <f t="shared" si="29"/>
        <v/>
      </c>
      <c r="AS142" s="63" t="str">
        <f t="shared" si="30"/>
        <v/>
      </c>
      <c r="AT142" s="78" t="str">
        <f t="shared" si="31"/>
        <v/>
      </c>
      <c r="AU142" s="78" t="str">
        <f t="shared" si="32"/>
        <v/>
      </c>
      <c r="AV142" s="64" t="str">
        <f ca="1">IFERROR(__xludf.DUMMYFUNCTION("IF(TRIM(AU142)="""","""",AU142/INDEX(FILTER(AT$3:AT142,TRIM(AT$3:AT142)&lt;&gt;""""),ROWS(FILTER(AT$3:AT142,TRIM(AT$3:AT142)&lt;&gt;"""")))-1)"),"")</f>
        <v/>
      </c>
      <c r="AW142" s="65" t="e">
        <f t="shared" ca="1" si="24"/>
        <v>#VALUE!</v>
      </c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ht="19" x14ac:dyDescent="0.25">
      <c r="A143" s="5"/>
      <c r="B143" s="5"/>
      <c r="C143" s="5"/>
      <c r="D143" s="5"/>
      <c r="E143" s="5"/>
      <c r="F143" s="5"/>
      <c r="G143" s="5"/>
      <c r="H143" s="6"/>
      <c r="I143" s="5"/>
      <c r="J143" s="83"/>
      <c r="K143" s="83"/>
      <c r="L143" s="83"/>
      <c r="M143" s="83"/>
      <c r="N143" s="83"/>
      <c r="O143" s="83"/>
      <c r="P143" s="83"/>
      <c r="Q143" s="84"/>
      <c r="R143" s="83"/>
      <c r="S143" s="83"/>
      <c r="T143" s="85"/>
      <c r="U143" s="6"/>
      <c r="V143" s="44">
        <v>44123</v>
      </c>
      <c r="W143" s="45">
        <v>119.89</v>
      </c>
      <c r="X143" s="46"/>
      <c r="Y143" s="61"/>
      <c r="Z143" s="5"/>
      <c r="AA143" s="5"/>
      <c r="AB143" s="5"/>
      <c r="AC143" s="5"/>
      <c r="AD143" s="5"/>
      <c r="AE143" s="5"/>
      <c r="AF143" s="5"/>
      <c r="AG143" s="5"/>
      <c r="AH143" s="6"/>
      <c r="AI143" s="44">
        <v>44123</v>
      </c>
      <c r="AJ143" s="53">
        <v>119.89</v>
      </c>
      <c r="AK143" s="54">
        <f t="shared" si="22"/>
        <v>-3.2424343199202177E-3</v>
      </c>
      <c r="AL143" s="55">
        <f t="shared" si="25"/>
        <v>16.552807170721035</v>
      </c>
      <c r="AM143" s="56">
        <v>25</v>
      </c>
      <c r="AN143" s="57">
        <f t="shared" si="23"/>
        <v>8.4471928292789649</v>
      </c>
      <c r="AO143" s="76">
        <f t="shared" si="26"/>
        <v>-7.5940094919578796</v>
      </c>
      <c r="AP143" s="63" t="str">
        <f t="shared" si="27"/>
        <v/>
      </c>
      <c r="AQ143" s="63" t="str">
        <f t="shared" si="28"/>
        <v>Sell Stocks</v>
      </c>
      <c r="AR143" s="63" t="str">
        <f t="shared" si="29"/>
        <v/>
      </c>
      <c r="AS143" s="63" t="str">
        <f t="shared" si="30"/>
        <v/>
      </c>
      <c r="AT143" s="78" t="str">
        <f t="shared" si="31"/>
        <v/>
      </c>
      <c r="AU143" s="78" t="str">
        <f t="shared" si="32"/>
        <v/>
      </c>
      <c r="AV143" s="64" t="str">
        <f ca="1">IFERROR(__xludf.DUMMYFUNCTION("IF(TRIM(AU143)="""","""",AU143/INDEX(FILTER(AT$3:AT143,TRIM(AT$3:AT143)&lt;&gt;""""),ROWS(FILTER(AT$3:AT143,TRIM(AT$3:AT143)&lt;&gt;"""")))-1)"),"")</f>
        <v/>
      </c>
      <c r="AW143" s="65" t="e">
        <f t="shared" ca="1" si="24"/>
        <v>#VALUE!</v>
      </c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ht="19" x14ac:dyDescent="0.25">
      <c r="A144" s="5"/>
      <c r="B144" s="5"/>
      <c r="C144" s="5"/>
      <c r="D144" s="5"/>
      <c r="E144" s="5"/>
      <c r="F144" s="5"/>
      <c r="G144" s="5"/>
      <c r="H144" s="6"/>
      <c r="I144" s="5"/>
      <c r="J144" s="83"/>
      <c r="K144" s="83"/>
      <c r="L144" s="83"/>
      <c r="M144" s="83"/>
      <c r="N144" s="83"/>
      <c r="O144" s="83"/>
      <c r="P144" s="83"/>
      <c r="Q144" s="84"/>
      <c r="R144" s="83"/>
      <c r="S144" s="83"/>
      <c r="T144" s="85"/>
      <c r="U144" s="6"/>
      <c r="V144" s="44">
        <v>44124</v>
      </c>
      <c r="W144" s="45">
        <v>112.11</v>
      </c>
      <c r="X144" s="46"/>
      <c r="Y144" s="61"/>
      <c r="Z144" s="5"/>
      <c r="AA144" s="5"/>
      <c r="AB144" s="5"/>
      <c r="AC144" s="5"/>
      <c r="AD144" s="5"/>
      <c r="AE144" s="5"/>
      <c r="AF144" s="5"/>
      <c r="AG144" s="5"/>
      <c r="AH144" s="6"/>
      <c r="AI144" s="44">
        <v>44124</v>
      </c>
      <c r="AJ144" s="53">
        <v>112.11</v>
      </c>
      <c r="AK144" s="54">
        <f t="shared" si="22"/>
        <v>-6.4892818416882103E-2</v>
      </c>
      <c r="AL144" s="55">
        <f t="shared" si="25"/>
        <v>47.947028890694625</v>
      </c>
      <c r="AM144" s="56">
        <v>25</v>
      </c>
      <c r="AN144" s="57">
        <f t="shared" si="23"/>
        <v>-22.947028890694625</v>
      </c>
      <c r="AO144" s="76">
        <f t="shared" si="26"/>
        <v>-6.1859812207428932</v>
      </c>
      <c r="AP144" s="63" t="str">
        <f t="shared" si="27"/>
        <v/>
      </c>
      <c r="AQ144" s="63" t="str">
        <f t="shared" si="28"/>
        <v>Sell Stocks</v>
      </c>
      <c r="AR144" s="63" t="str">
        <f t="shared" si="29"/>
        <v/>
      </c>
      <c r="AS144" s="63" t="str">
        <f t="shared" si="30"/>
        <v/>
      </c>
      <c r="AT144" s="78" t="str">
        <f t="shared" si="31"/>
        <v/>
      </c>
      <c r="AU144" s="78" t="str">
        <f t="shared" si="32"/>
        <v/>
      </c>
      <c r="AV144" s="64" t="str">
        <f ca="1">IFERROR(__xludf.DUMMYFUNCTION("IF(TRIM(AU144)="""","""",AU144/INDEX(FILTER(AT$3:AT144,TRIM(AT$3:AT144)&lt;&gt;""""),ROWS(FILTER(AT$3:AT144,TRIM(AT$3:AT144)&lt;&gt;"""")))-1)"),"")</f>
        <v/>
      </c>
      <c r="AW144" s="65" t="e">
        <f t="shared" ca="1" si="24"/>
        <v>#VALUE!</v>
      </c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ht="19" x14ac:dyDescent="0.25">
      <c r="A145" s="5"/>
      <c r="B145" s="5"/>
      <c r="C145" s="5"/>
      <c r="D145" s="5"/>
      <c r="E145" s="5"/>
      <c r="F145" s="5"/>
      <c r="G145" s="5"/>
      <c r="H145" s="6"/>
      <c r="I145" s="5"/>
      <c r="J145" s="83"/>
      <c r="K145" s="83"/>
      <c r="L145" s="83"/>
      <c r="M145" s="83"/>
      <c r="N145" s="83"/>
      <c r="O145" s="83"/>
      <c r="P145" s="83"/>
      <c r="Q145" s="84"/>
      <c r="R145" s="83"/>
      <c r="S145" s="83"/>
      <c r="T145" s="85"/>
      <c r="U145" s="6"/>
      <c r="V145" s="44">
        <v>44125</v>
      </c>
      <c r="W145" s="45">
        <v>109.9</v>
      </c>
      <c r="X145" s="46"/>
      <c r="Y145" s="61"/>
      <c r="Z145" s="5"/>
      <c r="AA145" s="5"/>
      <c r="AB145" s="5"/>
      <c r="AC145" s="5"/>
      <c r="AD145" s="5"/>
      <c r="AE145" s="5"/>
      <c r="AF145" s="5"/>
      <c r="AG145" s="5"/>
      <c r="AH145" s="6"/>
      <c r="AI145" s="44">
        <v>44125</v>
      </c>
      <c r="AJ145" s="53">
        <v>109.9</v>
      </c>
      <c r="AK145" s="54">
        <f t="shared" si="22"/>
        <v>-1.9712782089019609E-2</v>
      </c>
      <c r="AL145" s="55">
        <f t="shared" si="25"/>
        <v>44.929469384997397</v>
      </c>
      <c r="AM145" s="56">
        <v>25</v>
      </c>
      <c r="AN145" s="57">
        <f t="shared" si="23"/>
        <v>-19.929469384997397</v>
      </c>
      <c r="AO145" s="76">
        <f t="shared" si="26"/>
        <v>-4.3568831052098291</v>
      </c>
      <c r="AP145" s="63" t="str">
        <f t="shared" si="27"/>
        <v/>
      </c>
      <c r="AQ145" s="63" t="str">
        <f t="shared" si="28"/>
        <v>Sell Stocks</v>
      </c>
      <c r="AR145" s="63" t="str">
        <f t="shared" si="29"/>
        <v/>
      </c>
      <c r="AS145" s="63" t="str">
        <f t="shared" si="30"/>
        <v/>
      </c>
      <c r="AT145" s="78" t="str">
        <f t="shared" si="31"/>
        <v/>
      </c>
      <c r="AU145" s="78" t="str">
        <f t="shared" si="32"/>
        <v/>
      </c>
      <c r="AV145" s="64" t="str">
        <f ca="1">IFERROR(__xludf.DUMMYFUNCTION("IF(TRIM(AU145)="""","""",AU145/INDEX(FILTER(AT$3:AT145,TRIM(AT$3:AT145)&lt;&gt;""""),ROWS(FILTER(AT$3:AT145,TRIM(AT$3:AT145)&lt;&gt;"""")))-1)"),"")</f>
        <v/>
      </c>
      <c r="AW145" s="65" t="e">
        <f t="shared" ca="1" si="24"/>
        <v>#VALUE!</v>
      </c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ht="19" x14ac:dyDescent="0.25">
      <c r="A146" s="5"/>
      <c r="B146" s="5"/>
      <c r="C146" s="5"/>
      <c r="D146" s="5"/>
      <c r="E146" s="5"/>
      <c r="F146" s="5"/>
      <c r="G146" s="5"/>
      <c r="H146" s="6"/>
      <c r="I146" s="5"/>
      <c r="J146" s="83"/>
      <c r="K146" s="83"/>
      <c r="L146" s="83"/>
      <c r="M146" s="83"/>
      <c r="N146" s="83"/>
      <c r="O146" s="83"/>
      <c r="P146" s="83"/>
      <c r="Q146" s="84"/>
      <c r="R146" s="83"/>
      <c r="S146" s="83"/>
      <c r="T146" s="85"/>
      <c r="U146" s="6"/>
      <c r="V146" s="44">
        <v>44126</v>
      </c>
      <c r="W146" s="45">
        <v>110.57</v>
      </c>
      <c r="X146" s="46"/>
      <c r="Y146" s="61"/>
      <c r="Z146" s="5"/>
      <c r="AA146" s="5"/>
      <c r="AB146" s="5"/>
      <c r="AC146" s="5"/>
      <c r="AD146" s="5"/>
      <c r="AE146" s="5"/>
      <c r="AF146" s="5"/>
      <c r="AG146" s="5"/>
      <c r="AH146" s="6"/>
      <c r="AI146" s="44">
        <v>44126</v>
      </c>
      <c r="AJ146" s="53">
        <v>110.57</v>
      </c>
      <c r="AK146" s="54">
        <f t="shared" si="22"/>
        <v>6.0964513193810799E-3</v>
      </c>
      <c r="AL146" s="55">
        <f t="shared" si="25"/>
        <v>47.868771657666386</v>
      </c>
      <c r="AM146" s="56">
        <v>25</v>
      </c>
      <c r="AN146" s="57">
        <f t="shared" si="23"/>
        <v>-22.868771657666386</v>
      </c>
      <c r="AO146" s="76">
        <f t="shared" si="26"/>
        <v>-9.7808428328588413</v>
      </c>
      <c r="AP146" s="63" t="str">
        <f t="shared" si="27"/>
        <v/>
      </c>
      <c r="AQ146" s="63" t="str">
        <f t="shared" si="28"/>
        <v>Sell Stocks</v>
      </c>
      <c r="AR146" s="63" t="str">
        <f t="shared" si="29"/>
        <v/>
      </c>
      <c r="AS146" s="63" t="str">
        <f t="shared" si="30"/>
        <v/>
      </c>
      <c r="AT146" s="78" t="str">
        <f t="shared" si="31"/>
        <v/>
      </c>
      <c r="AU146" s="78" t="str">
        <f t="shared" si="32"/>
        <v/>
      </c>
      <c r="AV146" s="64" t="str">
        <f ca="1">IFERROR(__xludf.DUMMYFUNCTION("IF(TRIM(AU146)="""","""",AU146/INDEX(FILTER(AT$3:AT146,TRIM(AT$3:AT146)&lt;&gt;""""),ROWS(FILTER(AT$3:AT146,TRIM(AT$3:AT146)&lt;&gt;"""")))-1)"),"")</f>
        <v/>
      </c>
      <c r="AW146" s="65" t="e">
        <f t="shared" ca="1" si="24"/>
        <v>#VALUE!</v>
      </c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ht="19" x14ac:dyDescent="0.25">
      <c r="A147" s="5"/>
      <c r="B147" s="5"/>
      <c r="C147" s="5"/>
      <c r="D147" s="5"/>
      <c r="E147" s="5"/>
      <c r="F147" s="5"/>
      <c r="G147" s="5"/>
      <c r="H147" s="6"/>
      <c r="I147" s="5"/>
      <c r="J147" s="83"/>
      <c r="K147" s="83"/>
      <c r="L147" s="83"/>
      <c r="M147" s="83"/>
      <c r="N147" s="83"/>
      <c r="O147" s="83"/>
      <c r="P147" s="83"/>
      <c r="Q147" s="84"/>
      <c r="R147" s="83"/>
      <c r="S147" s="83"/>
      <c r="T147" s="85"/>
      <c r="U147" s="6"/>
      <c r="V147" s="44">
        <v>44127</v>
      </c>
      <c r="W147" s="45">
        <v>110.8</v>
      </c>
      <c r="X147" s="46"/>
      <c r="Y147" s="61"/>
      <c r="Z147" s="5"/>
      <c r="AA147" s="5"/>
      <c r="AB147" s="5"/>
      <c r="AC147" s="5"/>
      <c r="AD147" s="5"/>
      <c r="AE147" s="5"/>
      <c r="AF147" s="5"/>
      <c r="AG147" s="5"/>
      <c r="AH147" s="6"/>
      <c r="AI147" s="44">
        <v>44127</v>
      </c>
      <c r="AJ147" s="53">
        <v>110.8</v>
      </c>
      <c r="AK147" s="54">
        <f t="shared" si="22"/>
        <v>2.0801302342408068E-3</v>
      </c>
      <c r="AL147" s="55">
        <f t="shared" si="25"/>
        <v>46.160237029104081</v>
      </c>
      <c r="AM147" s="56">
        <v>25</v>
      </c>
      <c r="AN147" s="57">
        <f t="shared" si="23"/>
        <v>-21.160237029104081</v>
      </c>
      <c r="AO147" s="76">
        <f t="shared" si="26"/>
        <v>-15.691662826636705</v>
      </c>
      <c r="AP147" s="63" t="str">
        <f t="shared" si="27"/>
        <v/>
      </c>
      <c r="AQ147" s="63" t="str">
        <f t="shared" si="28"/>
        <v>Sell Stocks</v>
      </c>
      <c r="AR147" s="63" t="str">
        <f t="shared" si="29"/>
        <v/>
      </c>
      <c r="AS147" s="63" t="str">
        <f t="shared" si="30"/>
        <v/>
      </c>
      <c r="AT147" s="78" t="str">
        <f t="shared" si="31"/>
        <v/>
      </c>
      <c r="AU147" s="78" t="str">
        <f t="shared" si="32"/>
        <v/>
      </c>
      <c r="AV147" s="64" t="str">
        <f ca="1">IFERROR(__xludf.DUMMYFUNCTION("IF(TRIM(AU147)="""","""",AU147/INDEX(FILTER(AT$3:AT147,TRIM(AT$3:AT147)&lt;&gt;""""),ROWS(FILTER(AT$3:AT147,TRIM(AT$3:AT147)&lt;&gt;"""")))-1)"),"")</f>
        <v/>
      </c>
      <c r="AW147" s="65" t="e">
        <f t="shared" ca="1" si="24"/>
        <v>#VALUE!</v>
      </c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ht="19" x14ac:dyDescent="0.25">
      <c r="A148" s="5"/>
      <c r="B148" s="5"/>
      <c r="C148" s="5"/>
      <c r="D148" s="5"/>
      <c r="E148" s="5"/>
      <c r="F148" s="5"/>
      <c r="G148" s="5"/>
      <c r="H148" s="6"/>
      <c r="I148" s="5"/>
      <c r="J148" s="83"/>
      <c r="K148" s="83"/>
      <c r="L148" s="83"/>
      <c r="M148" s="83"/>
      <c r="N148" s="83"/>
      <c r="O148" s="83"/>
      <c r="P148" s="83"/>
      <c r="Q148" s="84"/>
      <c r="R148" s="83"/>
      <c r="S148" s="83"/>
      <c r="T148" s="85"/>
      <c r="U148" s="6"/>
      <c r="V148" s="44">
        <v>44130</v>
      </c>
      <c r="W148" s="45">
        <v>107.19</v>
      </c>
      <c r="X148" s="46"/>
      <c r="Y148" s="61"/>
      <c r="Z148" s="5"/>
      <c r="AA148" s="5"/>
      <c r="AB148" s="5"/>
      <c r="AC148" s="5"/>
      <c r="AD148" s="5"/>
      <c r="AE148" s="5"/>
      <c r="AF148" s="5"/>
      <c r="AG148" s="5"/>
      <c r="AH148" s="6"/>
      <c r="AI148" s="44">
        <v>44130</v>
      </c>
      <c r="AJ148" s="53">
        <v>107.19</v>
      </c>
      <c r="AK148" s="54">
        <f t="shared" si="22"/>
        <v>-3.2581227436823124E-2</v>
      </c>
      <c r="AL148" s="55">
        <f t="shared" si="25"/>
        <v>45.775698912522586</v>
      </c>
      <c r="AM148" s="56">
        <v>25</v>
      </c>
      <c r="AN148" s="57">
        <f t="shared" si="23"/>
        <v>-20.775698912522586</v>
      </c>
      <c r="AO148" s="76">
        <f t="shared" si="26"/>
        <v>-21.536241174997013</v>
      </c>
      <c r="AP148" s="63" t="str">
        <f t="shared" si="27"/>
        <v/>
      </c>
      <c r="AQ148" s="63" t="str">
        <f t="shared" si="28"/>
        <v>Sell Stocks</v>
      </c>
      <c r="AR148" s="63" t="str">
        <f t="shared" si="29"/>
        <v/>
      </c>
      <c r="AS148" s="63" t="str">
        <f t="shared" si="30"/>
        <v/>
      </c>
      <c r="AT148" s="78" t="str">
        <f t="shared" si="31"/>
        <v/>
      </c>
      <c r="AU148" s="78" t="str">
        <f t="shared" si="32"/>
        <v/>
      </c>
      <c r="AV148" s="64" t="str">
        <f ca="1">IFERROR(__xludf.DUMMYFUNCTION("IF(TRIM(AU148)="""","""",AU148/INDEX(FILTER(AT$3:AT148,TRIM(AT$3:AT148)&lt;&gt;""""),ROWS(FILTER(AT$3:AT148,TRIM(AT$3:AT148)&lt;&gt;"""")))-1)"),"")</f>
        <v/>
      </c>
      <c r="AW148" s="65" t="e">
        <f t="shared" ca="1" si="24"/>
        <v>#VALUE!</v>
      </c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ht="19" x14ac:dyDescent="0.25">
      <c r="A149" s="5"/>
      <c r="B149" s="5"/>
      <c r="C149" s="5"/>
      <c r="D149" s="5"/>
      <c r="E149" s="5"/>
      <c r="F149" s="5"/>
      <c r="G149" s="5"/>
      <c r="H149" s="6"/>
      <c r="I149" s="5"/>
      <c r="J149" s="83"/>
      <c r="K149" s="83"/>
      <c r="L149" s="83"/>
      <c r="M149" s="83"/>
      <c r="N149" s="83"/>
      <c r="O149" s="83"/>
      <c r="P149" s="83"/>
      <c r="Q149" s="84"/>
      <c r="R149" s="83"/>
      <c r="S149" s="83"/>
      <c r="T149" s="85"/>
      <c r="U149" s="6"/>
      <c r="V149" s="44">
        <v>44131</v>
      </c>
      <c r="W149" s="45">
        <v>105.6</v>
      </c>
      <c r="X149" s="46"/>
      <c r="Y149" s="61"/>
      <c r="Z149" s="5"/>
      <c r="AA149" s="5"/>
      <c r="AB149" s="5"/>
      <c r="AC149" s="5"/>
      <c r="AD149" s="5"/>
      <c r="AE149" s="5"/>
      <c r="AF149" s="5"/>
      <c r="AG149" s="5"/>
      <c r="AH149" s="6"/>
      <c r="AI149" s="44">
        <v>44131</v>
      </c>
      <c r="AJ149" s="53">
        <v>105.6</v>
      </c>
      <c r="AK149" s="54">
        <f t="shared" si="22"/>
        <v>-1.4833473271760433E-2</v>
      </c>
      <c r="AL149" s="55">
        <f t="shared" si="25"/>
        <v>25.307445905884201</v>
      </c>
      <c r="AM149" s="56">
        <v>25</v>
      </c>
      <c r="AN149" s="57">
        <f t="shared" si="23"/>
        <v>-0.30744590588420095</v>
      </c>
      <c r="AO149" s="76">
        <f t="shared" si="26"/>
        <v>-17.008324578034934</v>
      </c>
      <c r="AP149" s="63" t="str">
        <f t="shared" si="27"/>
        <v/>
      </c>
      <c r="AQ149" s="63" t="str">
        <f t="shared" si="28"/>
        <v>Sell Stocks</v>
      </c>
      <c r="AR149" s="63" t="str">
        <f t="shared" si="29"/>
        <v/>
      </c>
      <c r="AS149" s="63" t="str">
        <f t="shared" si="30"/>
        <v/>
      </c>
      <c r="AT149" s="78" t="str">
        <f t="shared" si="31"/>
        <v/>
      </c>
      <c r="AU149" s="78" t="str">
        <f t="shared" si="32"/>
        <v/>
      </c>
      <c r="AV149" s="64" t="str">
        <f ca="1">IFERROR(__xludf.DUMMYFUNCTION("IF(TRIM(AU149)="""","""",AU149/INDEX(FILTER(AT$3:AT149,TRIM(AT$3:AT149)&lt;&gt;""""),ROWS(FILTER(AT$3:AT149,TRIM(AT$3:AT149)&lt;&gt;"""")))-1)"),"")</f>
        <v/>
      </c>
      <c r="AW149" s="65" t="e">
        <f t="shared" ca="1" si="24"/>
        <v>#VALUE!</v>
      </c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ht="19" x14ac:dyDescent="0.25">
      <c r="A150" s="5"/>
      <c r="B150" s="5"/>
      <c r="C150" s="5"/>
      <c r="D150" s="5"/>
      <c r="E150" s="5"/>
      <c r="F150" s="5"/>
      <c r="G150" s="5"/>
      <c r="H150" s="6"/>
      <c r="I150" s="5"/>
      <c r="J150" s="83"/>
      <c r="K150" s="83"/>
      <c r="L150" s="83"/>
      <c r="M150" s="83"/>
      <c r="N150" s="83"/>
      <c r="O150" s="83"/>
      <c r="P150" s="83"/>
      <c r="Q150" s="84"/>
      <c r="R150" s="83"/>
      <c r="S150" s="83"/>
      <c r="T150" s="85"/>
      <c r="U150" s="6"/>
      <c r="V150" s="44">
        <v>44132</v>
      </c>
      <c r="W150" s="45">
        <v>101.87</v>
      </c>
      <c r="X150" s="46"/>
      <c r="Y150" s="61"/>
      <c r="Z150" s="5"/>
      <c r="AA150" s="5"/>
      <c r="AB150" s="5"/>
      <c r="AC150" s="5"/>
      <c r="AD150" s="5"/>
      <c r="AE150" s="5"/>
      <c r="AF150" s="5"/>
      <c r="AG150" s="5"/>
      <c r="AH150" s="6"/>
      <c r="AI150" s="44">
        <v>44132</v>
      </c>
      <c r="AJ150" s="53">
        <v>101.87</v>
      </c>
      <c r="AK150" s="54">
        <f t="shared" si="22"/>
        <v>-3.5321969696969657E-2</v>
      </c>
      <c r="AL150" s="55">
        <f t="shared" si="25"/>
        <v>30.316384200446112</v>
      </c>
      <c r="AM150" s="56">
        <v>25</v>
      </c>
      <c r="AN150" s="57">
        <f t="shared" si="23"/>
        <v>-5.3163842004461124</v>
      </c>
      <c r="AO150" s="76">
        <f t="shared" si="26"/>
        <v>-14.085707541124671</v>
      </c>
      <c r="AP150" s="63" t="str">
        <f t="shared" si="27"/>
        <v/>
      </c>
      <c r="AQ150" s="63" t="str">
        <f t="shared" si="28"/>
        <v>Sell Stocks</v>
      </c>
      <c r="AR150" s="63" t="str">
        <f t="shared" si="29"/>
        <v/>
      </c>
      <c r="AS150" s="63" t="str">
        <f t="shared" si="30"/>
        <v/>
      </c>
      <c r="AT150" s="78" t="str">
        <f t="shared" si="31"/>
        <v/>
      </c>
      <c r="AU150" s="78" t="str">
        <f t="shared" si="32"/>
        <v/>
      </c>
      <c r="AV150" s="64" t="str">
        <f ca="1">IFERROR(__xludf.DUMMYFUNCTION("IF(TRIM(AU150)="""","""",AU150/INDEX(FILTER(AT$3:AT150,TRIM(AT$3:AT150)&lt;&gt;""""),ROWS(FILTER(AT$3:AT150,TRIM(AT$3:AT150)&lt;&gt;"""")))-1)"),"")</f>
        <v/>
      </c>
      <c r="AW150" s="65" t="e">
        <f t="shared" ca="1" si="24"/>
        <v>#VALUE!</v>
      </c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ht="19" x14ac:dyDescent="0.25">
      <c r="A151" s="5"/>
      <c r="B151" s="5"/>
      <c r="C151" s="5"/>
      <c r="D151" s="5"/>
      <c r="E151" s="5"/>
      <c r="F151" s="5"/>
      <c r="G151" s="5"/>
      <c r="H151" s="6"/>
      <c r="I151" s="5"/>
      <c r="J151" s="83"/>
      <c r="K151" s="83"/>
      <c r="L151" s="83"/>
      <c r="M151" s="83"/>
      <c r="N151" s="83"/>
      <c r="O151" s="83"/>
      <c r="P151" s="83"/>
      <c r="Q151" s="84"/>
      <c r="R151" s="83"/>
      <c r="S151" s="83"/>
      <c r="T151" s="85"/>
      <c r="U151" s="6"/>
      <c r="V151" s="44">
        <v>44133</v>
      </c>
      <c r="W151" s="45">
        <v>104.03</v>
      </c>
      <c r="X151" s="46"/>
      <c r="Y151" s="61"/>
      <c r="Z151" s="5"/>
      <c r="AA151" s="5"/>
      <c r="AB151" s="5"/>
      <c r="AC151" s="5"/>
      <c r="AD151" s="5"/>
      <c r="AE151" s="5"/>
      <c r="AF151" s="5"/>
      <c r="AG151" s="5"/>
      <c r="AH151" s="6"/>
      <c r="AI151" s="44">
        <v>44133</v>
      </c>
      <c r="AJ151" s="53">
        <v>104.03</v>
      </c>
      <c r="AK151" s="54">
        <f t="shared" si="22"/>
        <v>2.1203494650044119E-2</v>
      </c>
      <c r="AL151" s="55">
        <f t="shared" si="25"/>
        <v>37.868205604571699</v>
      </c>
      <c r="AM151" s="56">
        <v>25</v>
      </c>
      <c r="AN151" s="57">
        <f t="shared" si="23"/>
        <v>-12.868205604571699</v>
      </c>
      <c r="AO151" s="76">
        <f t="shared" si="26"/>
        <v>-12.085594330505737</v>
      </c>
      <c r="AP151" s="63" t="str">
        <f t="shared" si="27"/>
        <v/>
      </c>
      <c r="AQ151" s="63" t="str">
        <f t="shared" si="28"/>
        <v>Sell Stocks</v>
      </c>
      <c r="AR151" s="63" t="str">
        <f t="shared" si="29"/>
        <v/>
      </c>
      <c r="AS151" s="63" t="str">
        <f t="shared" si="30"/>
        <v/>
      </c>
      <c r="AT151" s="78" t="str">
        <f t="shared" si="31"/>
        <v/>
      </c>
      <c r="AU151" s="78" t="str">
        <f t="shared" si="32"/>
        <v/>
      </c>
      <c r="AV151" s="64" t="str">
        <f ca="1">IFERROR(__xludf.DUMMYFUNCTION("IF(TRIM(AU151)="""","""",AU151/INDEX(FILTER(AT$3:AT151,TRIM(AT$3:AT151)&lt;&gt;""""),ROWS(FILTER(AT$3:AT151,TRIM(AT$3:AT151)&lt;&gt;"""")))-1)"),"")</f>
        <v/>
      </c>
      <c r="AW151" s="65" t="e">
        <f t="shared" ca="1" si="24"/>
        <v>#VALUE!</v>
      </c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ht="19" x14ac:dyDescent="0.25">
      <c r="A152" s="5"/>
      <c r="B152" s="5"/>
      <c r="C152" s="5"/>
      <c r="D152" s="5"/>
      <c r="E152" s="5"/>
      <c r="F152" s="5"/>
      <c r="G152" s="5"/>
      <c r="H152" s="6"/>
      <c r="I152" s="5"/>
      <c r="J152" s="83"/>
      <c r="K152" s="83"/>
      <c r="L152" s="83"/>
      <c r="M152" s="83"/>
      <c r="N152" s="83"/>
      <c r="O152" s="83"/>
      <c r="P152" s="83"/>
      <c r="Q152" s="84"/>
      <c r="R152" s="83"/>
      <c r="S152" s="83"/>
      <c r="T152" s="85"/>
      <c r="U152" s="6"/>
      <c r="V152" s="44">
        <v>44134</v>
      </c>
      <c r="W152" s="45">
        <v>106.65</v>
      </c>
      <c r="X152" s="46"/>
      <c r="Y152" s="61"/>
      <c r="Z152" s="5"/>
      <c r="AA152" s="5"/>
      <c r="AB152" s="5"/>
      <c r="AC152" s="5"/>
      <c r="AD152" s="5"/>
      <c r="AE152" s="5"/>
      <c r="AF152" s="5"/>
      <c r="AG152" s="5"/>
      <c r="AH152" s="6"/>
      <c r="AI152" s="44">
        <v>44134</v>
      </c>
      <c r="AJ152" s="53">
        <v>106.65</v>
      </c>
      <c r="AK152" s="54">
        <f t="shared" si="22"/>
        <v>2.5185042776122213E-2</v>
      </c>
      <c r="AL152" s="55">
        <f t="shared" si="25"/>
        <v>45.932272431653828</v>
      </c>
      <c r="AM152" s="56">
        <v>25</v>
      </c>
      <c r="AN152" s="57">
        <f t="shared" si="23"/>
        <v>-20.932272431653828</v>
      </c>
      <c r="AO152" s="76">
        <f t="shared" si="26"/>
        <v>-12.040001411015686</v>
      </c>
      <c r="AP152" s="63" t="str">
        <f t="shared" si="27"/>
        <v/>
      </c>
      <c r="AQ152" s="63" t="str">
        <f t="shared" si="28"/>
        <v>Sell Stocks</v>
      </c>
      <c r="AR152" s="63" t="str">
        <f t="shared" si="29"/>
        <v/>
      </c>
      <c r="AS152" s="63" t="str">
        <f t="shared" si="30"/>
        <v/>
      </c>
      <c r="AT152" s="78" t="str">
        <f t="shared" si="31"/>
        <v/>
      </c>
      <c r="AU152" s="78" t="str">
        <f t="shared" si="32"/>
        <v/>
      </c>
      <c r="AV152" s="64" t="str">
        <f ca="1">IFERROR(__xludf.DUMMYFUNCTION("IF(TRIM(AU152)="""","""",AU152/INDEX(FILTER(AT$3:AT152,TRIM(AT$3:AT152)&lt;&gt;""""),ROWS(FILTER(AT$3:AT152,TRIM(AT$3:AT152)&lt;&gt;"""")))-1)"),"")</f>
        <v/>
      </c>
      <c r="AW152" s="65" t="e">
        <f t="shared" ca="1" si="24"/>
        <v>#VALUE!</v>
      </c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ht="19" x14ac:dyDescent="0.25">
      <c r="A153" s="5"/>
      <c r="B153" s="5"/>
      <c r="C153" s="5"/>
      <c r="D153" s="5"/>
      <c r="E153" s="5"/>
      <c r="F153" s="5"/>
      <c r="G153" s="5"/>
      <c r="H153" s="6"/>
      <c r="I153" s="5"/>
      <c r="J153" s="83"/>
      <c r="K153" s="83"/>
      <c r="L153" s="83"/>
      <c r="M153" s="83"/>
      <c r="N153" s="83"/>
      <c r="O153" s="83"/>
      <c r="P153" s="83"/>
      <c r="Q153" s="84"/>
      <c r="R153" s="83"/>
      <c r="S153" s="83"/>
      <c r="T153" s="85"/>
      <c r="U153" s="6"/>
      <c r="V153" s="44">
        <v>44137</v>
      </c>
      <c r="W153" s="45">
        <v>107.85</v>
      </c>
      <c r="X153" s="46"/>
      <c r="Y153" s="61"/>
      <c r="Z153" s="5"/>
      <c r="AA153" s="5"/>
      <c r="AB153" s="5"/>
      <c r="AC153" s="5"/>
      <c r="AD153" s="5"/>
      <c r="AE153" s="5"/>
      <c r="AF153" s="5"/>
      <c r="AG153" s="5"/>
      <c r="AH153" s="6"/>
      <c r="AI153" s="44">
        <v>44137</v>
      </c>
      <c r="AJ153" s="53">
        <v>107.85</v>
      </c>
      <c r="AK153" s="54">
        <f t="shared" si="22"/>
        <v>1.1251758087200914E-2</v>
      </c>
      <c r="AL153" s="55">
        <f t="shared" si="25"/>
        <v>40.989945856194915</v>
      </c>
      <c r="AM153" s="56">
        <v>25</v>
      </c>
      <c r="AN153" s="57">
        <f t="shared" si="23"/>
        <v>-15.989945856194915</v>
      </c>
      <c r="AO153" s="76">
        <f t="shared" si="26"/>
        <v>-11.082850799750151</v>
      </c>
      <c r="AP153" s="63" t="str">
        <f t="shared" si="27"/>
        <v/>
      </c>
      <c r="AQ153" s="63" t="str">
        <f t="shared" si="28"/>
        <v>Sell Stocks</v>
      </c>
      <c r="AR153" s="63" t="str">
        <f t="shared" si="29"/>
        <v/>
      </c>
      <c r="AS153" s="63" t="str">
        <f t="shared" si="30"/>
        <v/>
      </c>
      <c r="AT153" s="78" t="str">
        <f t="shared" si="31"/>
        <v/>
      </c>
      <c r="AU153" s="78" t="str">
        <f t="shared" si="32"/>
        <v/>
      </c>
      <c r="AV153" s="64" t="str">
        <f ca="1">IFERROR(__xludf.DUMMYFUNCTION("IF(TRIM(AU153)="""","""",AU153/INDEX(FILTER(AT$3:AT153,TRIM(AT$3:AT153)&lt;&gt;""""),ROWS(FILTER(AT$3:AT153,TRIM(AT$3:AT153)&lt;&gt;"""")))-1)"),"")</f>
        <v/>
      </c>
      <c r="AW153" s="65" t="e">
        <f t="shared" ca="1" si="24"/>
        <v>#VALUE!</v>
      </c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ht="19" x14ac:dyDescent="0.25">
      <c r="A154" s="5"/>
      <c r="B154" s="5"/>
      <c r="C154" s="5"/>
      <c r="D154" s="5"/>
      <c r="E154" s="5"/>
      <c r="F154" s="5"/>
      <c r="G154" s="5"/>
      <c r="H154" s="6"/>
      <c r="I154" s="5"/>
      <c r="J154" s="83"/>
      <c r="K154" s="83"/>
      <c r="L154" s="83"/>
      <c r="M154" s="83"/>
      <c r="N154" s="83"/>
      <c r="O154" s="83"/>
      <c r="P154" s="83"/>
      <c r="Q154" s="84"/>
      <c r="R154" s="83"/>
      <c r="S154" s="83"/>
      <c r="T154" s="85"/>
      <c r="U154" s="6"/>
      <c r="V154" s="44">
        <v>44138</v>
      </c>
      <c r="W154" s="45">
        <v>109.04</v>
      </c>
      <c r="X154" s="46"/>
      <c r="Y154" s="61"/>
      <c r="Z154" s="5"/>
      <c r="AA154" s="5"/>
      <c r="AB154" s="5"/>
      <c r="AC154" s="5"/>
      <c r="AD154" s="5"/>
      <c r="AE154" s="5"/>
      <c r="AF154" s="5"/>
      <c r="AG154" s="5"/>
      <c r="AH154" s="6"/>
      <c r="AI154" s="44">
        <v>44138</v>
      </c>
      <c r="AJ154" s="53">
        <v>109.04</v>
      </c>
      <c r="AK154" s="54">
        <f t="shared" si="22"/>
        <v>1.1033843300880974E-2</v>
      </c>
      <c r="AL154" s="55">
        <f t="shared" si="25"/>
        <v>38.537721397303116</v>
      </c>
      <c r="AM154" s="56">
        <v>25</v>
      </c>
      <c r="AN154" s="57">
        <f t="shared" si="23"/>
        <v>-13.537721397303116</v>
      </c>
      <c r="AO154" s="76">
        <f t="shared" si="26"/>
        <v>-13.728905898033934</v>
      </c>
      <c r="AP154" s="63" t="str">
        <f t="shared" si="27"/>
        <v/>
      </c>
      <c r="AQ154" s="63" t="str">
        <f t="shared" si="28"/>
        <v>Sell Stocks</v>
      </c>
      <c r="AR154" s="63" t="str">
        <f t="shared" si="29"/>
        <v/>
      </c>
      <c r="AS154" s="63" t="str">
        <f t="shared" si="30"/>
        <v/>
      </c>
      <c r="AT154" s="78" t="str">
        <f t="shared" si="31"/>
        <v/>
      </c>
      <c r="AU154" s="78" t="str">
        <f t="shared" si="32"/>
        <v/>
      </c>
      <c r="AV154" s="64" t="str">
        <f ca="1">IFERROR(__xludf.DUMMYFUNCTION("IF(TRIM(AU154)="""","""",AU154/INDEX(FILTER(AT$3:AT154,TRIM(AT$3:AT154)&lt;&gt;""""),ROWS(FILTER(AT$3:AT154,TRIM(AT$3:AT154)&lt;&gt;"""")))-1)"),"")</f>
        <v/>
      </c>
      <c r="AW154" s="65" t="e">
        <f t="shared" ca="1" si="24"/>
        <v>#VALUE!</v>
      </c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ht="19" x14ac:dyDescent="0.25">
      <c r="A155" s="5"/>
      <c r="B155" s="5"/>
      <c r="C155" s="5"/>
      <c r="D155" s="5"/>
      <c r="E155" s="5"/>
      <c r="F155" s="5"/>
      <c r="G155" s="5"/>
      <c r="H155" s="6"/>
      <c r="I155" s="5"/>
      <c r="J155" s="83"/>
      <c r="K155" s="83"/>
      <c r="L155" s="83"/>
      <c r="M155" s="83"/>
      <c r="N155" s="83"/>
      <c r="O155" s="83"/>
      <c r="P155" s="83"/>
      <c r="Q155" s="84"/>
      <c r="R155" s="83"/>
      <c r="S155" s="83"/>
      <c r="T155" s="85"/>
      <c r="U155" s="6"/>
      <c r="V155" s="44">
        <v>44139</v>
      </c>
      <c r="W155" s="45">
        <v>106.88</v>
      </c>
      <c r="X155" s="46"/>
      <c r="Y155" s="61"/>
      <c r="Z155" s="5"/>
      <c r="AA155" s="5"/>
      <c r="AB155" s="5"/>
      <c r="AC155" s="5"/>
      <c r="AD155" s="5"/>
      <c r="AE155" s="5"/>
      <c r="AF155" s="5"/>
      <c r="AG155" s="5"/>
      <c r="AH155" s="6"/>
      <c r="AI155" s="44">
        <v>44139</v>
      </c>
      <c r="AJ155" s="53">
        <v>106.88</v>
      </c>
      <c r="AK155" s="54">
        <f t="shared" si="22"/>
        <v>-1.9809244314013319E-2</v>
      </c>
      <c r="AL155" s="55">
        <f t="shared" si="25"/>
        <v>28.029554532256757</v>
      </c>
      <c r="AM155" s="56">
        <v>25</v>
      </c>
      <c r="AN155" s="57">
        <f t="shared" si="23"/>
        <v>-3.029554532256757</v>
      </c>
      <c r="AO155" s="76">
        <f t="shared" si="26"/>
        <v>-13.271539964396064</v>
      </c>
      <c r="AP155" s="63" t="str">
        <f t="shared" si="27"/>
        <v/>
      </c>
      <c r="AQ155" s="63" t="str">
        <f t="shared" si="28"/>
        <v>Sell Stocks</v>
      </c>
      <c r="AR155" s="63" t="str">
        <f t="shared" si="29"/>
        <v/>
      </c>
      <c r="AS155" s="63" t="str">
        <f t="shared" si="30"/>
        <v/>
      </c>
      <c r="AT155" s="78" t="str">
        <f t="shared" si="31"/>
        <v/>
      </c>
      <c r="AU155" s="78" t="str">
        <f t="shared" si="32"/>
        <v/>
      </c>
      <c r="AV155" s="64" t="str">
        <f ca="1">IFERROR(__xludf.DUMMYFUNCTION("IF(TRIM(AU155)="""","""",AU155/INDEX(FILTER(AT$3:AT155,TRIM(AT$3:AT155)&lt;&gt;""""),ROWS(FILTER(AT$3:AT155,TRIM(AT$3:AT155)&lt;&gt;"""")))-1)"),"")</f>
        <v/>
      </c>
      <c r="AW155" s="65" t="e">
        <f t="shared" ca="1" si="24"/>
        <v>#VALUE!</v>
      </c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ht="19" x14ac:dyDescent="0.25">
      <c r="A156" s="5"/>
      <c r="B156" s="5"/>
      <c r="C156" s="5"/>
      <c r="D156" s="5"/>
      <c r="E156" s="5"/>
      <c r="F156" s="5"/>
      <c r="G156" s="5"/>
      <c r="H156" s="6"/>
      <c r="I156" s="5"/>
      <c r="J156" s="83"/>
      <c r="K156" s="83"/>
      <c r="L156" s="83"/>
      <c r="M156" s="83"/>
      <c r="N156" s="83"/>
      <c r="O156" s="83"/>
      <c r="P156" s="83"/>
      <c r="Q156" s="84"/>
      <c r="R156" s="83"/>
      <c r="S156" s="83"/>
      <c r="T156" s="85"/>
      <c r="U156" s="6"/>
      <c r="V156" s="44">
        <v>44140</v>
      </c>
      <c r="W156" s="45">
        <v>109.62</v>
      </c>
      <c r="X156" s="46"/>
      <c r="Y156" s="61"/>
      <c r="Z156" s="5"/>
      <c r="AA156" s="5"/>
      <c r="AB156" s="5"/>
      <c r="AC156" s="5"/>
      <c r="AD156" s="5"/>
      <c r="AE156" s="5"/>
      <c r="AF156" s="5"/>
      <c r="AG156" s="5"/>
      <c r="AH156" s="6"/>
      <c r="AI156" s="44">
        <v>44140</v>
      </c>
      <c r="AJ156" s="53">
        <v>109.62</v>
      </c>
      <c r="AK156" s="54">
        <f t="shared" si="22"/>
        <v>2.5636227544910239E-2</v>
      </c>
      <c r="AL156" s="55">
        <f t="shared" si="25"/>
        <v>29.315547025658812</v>
      </c>
      <c r="AM156" s="56">
        <v>25</v>
      </c>
      <c r="AN156" s="57">
        <f t="shared" si="23"/>
        <v>-4.3155470256588124</v>
      </c>
      <c r="AO156" s="76">
        <f t="shared" si="26"/>
        <v>-11.561008248613486</v>
      </c>
      <c r="AP156" s="63" t="str">
        <f t="shared" si="27"/>
        <v/>
      </c>
      <c r="AQ156" s="63" t="str">
        <f t="shared" si="28"/>
        <v>Sell Stocks</v>
      </c>
      <c r="AR156" s="63" t="str">
        <f t="shared" si="29"/>
        <v/>
      </c>
      <c r="AS156" s="63" t="str">
        <f t="shared" si="30"/>
        <v/>
      </c>
      <c r="AT156" s="78" t="str">
        <f t="shared" si="31"/>
        <v/>
      </c>
      <c r="AU156" s="78" t="str">
        <f t="shared" si="32"/>
        <v/>
      </c>
      <c r="AV156" s="64" t="str">
        <f ca="1">IFERROR(__xludf.DUMMYFUNCTION("IF(TRIM(AU156)="""","""",AU156/INDEX(FILTER(AT$3:AT156,TRIM(AT$3:AT156)&lt;&gt;""""),ROWS(FILTER(AT$3:AT156,TRIM(AT$3:AT156)&lt;&gt;"""")))-1)"),"")</f>
        <v/>
      </c>
      <c r="AW156" s="65" t="e">
        <f t="shared" ca="1" si="24"/>
        <v>#VALUE!</v>
      </c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ht="19" x14ac:dyDescent="0.25">
      <c r="A157" s="5"/>
      <c r="B157" s="5"/>
      <c r="C157" s="5"/>
      <c r="D157" s="5"/>
      <c r="E157" s="5"/>
      <c r="F157" s="5"/>
      <c r="G157" s="5"/>
      <c r="H157" s="6"/>
      <c r="I157" s="5"/>
      <c r="J157" s="83"/>
      <c r="K157" s="83"/>
      <c r="L157" s="83"/>
      <c r="M157" s="83"/>
      <c r="N157" s="83"/>
      <c r="O157" s="83"/>
      <c r="P157" s="83"/>
      <c r="Q157" s="84"/>
      <c r="R157" s="83"/>
      <c r="S157" s="83"/>
      <c r="T157" s="85"/>
      <c r="U157" s="6"/>
      <c r="V157" s="44">
        <v>44141</v>
      </c>
      <c r="W157" s="45">
        <v>108.93</v>
      </c>
      <c r="X157" s="46"/>
      <c r="Y157" s="61"/>
      <c r="Z157" s="5"/>
      <c r="AA157" s="5"/>
      <c r="AB157" s="5"/>
      <c r="AC157" s="5"/>
      <c r="AD157" s="5"/>
      <c r="AE157" s="5"/>
      <c r="AF157" s="5"/>
      <c r="AG157" s="5"/>
      <c r="AH157" s="6"/>
      <c r="AI157" s="44">
        <v>44141</v>
      </c>
      <c r="AJ157" s="53">
        <v>108.93</v>
      </c>
      <c r="AK157" s="54">
        <f t="shared" si="22"/>
        <v>-6.2944718117131648E-3</v>
      </c>
      <c r="AL157" s="55">
        <f t="shared" si="25"/>
        <v>27.976815431929602</v>
      </c>
      <c r="AM157" s="56">
        <v>25</v>
      </c>
      <c r="AN157" s="57">
        <f t="shared" si="23"/>
        <v>-2.9768154319296016</v>
      </c>
      <c r="AO157" s="76">
        <f t="shared" si="26"/>
        <v>-7.9699168486686416</v>
      </c>
      <c r="AP157" s="63" t="str">
        <f t="shared" si="27"/>
        <v/>
      </c>
      <c r="AQ157" s="63" t="str">
        <f t="shared" si="28"/>
        <v>Sell Stocks</v>
      </c>
      <c r="AR157" s="63" t="str">
        <f t="shared" si="29"/>
        <v/>
      </c>
      <c r="AS157" s="63" t="str">
        <f t="shared" si="30"/>
        <v/>
      </c>
      <c r="AT157" s="78" t="str">
        <f t="shared" si="31"/>
        <v/>
      </c>
      <c r="AU157" s="78" t="str">
        <f t="shared" si="32"/>
        <v/>
      </c>
      <c r="AV157" s="64" t="str">
        <f ca="1">IFERROR(__xludf.DUMMYFUNCTION("IF(TRIM(AU157)="""","""",AU157/INDEX(FILTER(AT$3:AT157,TRIM(AT$3:AT157)&lt;&gt;""""),ROWS(FILTER(AT$3:AT157,TRIM(AT$3:AT157)&lt;&gt;"""")))-1)"),"")</f>
        <v/>
      </c>
      <c r="AW157" s="65" t="e">
        <f t="shared" ca="1" si="24"/>
        <v>#VALUE!</v>
      </c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ht="19" x14ac:dyDescent="0.25">
      <c r="A158" s="5"/>
      <c r="B158" s="5"/>
      <c r="C158" s="5"/>
      <c r="D158" s="5"/>
      <c r="E158" s="5"/>
      <c r="F158" s="5"/>
      <c r="G158" s="5"/>
      <c r="H158" s="6"/>
      <c r="I158" s="5"/>
      <c r="J158" s="83"/>
      <c r="K158" s="83"/>
      <c r="L158" s="83"/>
      <c r="M158" s="83"/>
      <c r="N158" s="83"/>
      <c r="O158" s="83"/>
      <c r="P158" s="83"/>
      <c r="Q158" s="84"/>
      <c r="R158" s="83"/>
      <c r="S158" s="83"/>
      <c r="T158" s="85"/>
      <c r="U158" s="6"/>
      <c r="V158" s="44">
        <v>44144</v>
      </c>
      <c r="W158" s="45">
        <v>110.35</v>
      </c>
      <c r="X158" s="46"/>
      <c r="Y158" s="61"/>
      <c r="Z158" s="5"/>
      <c r="AA158" s="5"/>
      <c r="AB158" s="5"/>
      <c r="AC158" s="5"/>
      <c r="AD158" s="5"/>
      <c r="AE158" s="5"/>
      <c r="AF158" s="5"/>
      <c r="AG158" s="5"/>
      <c r="AH158" s="6"/>
      <c r="AI158" s="44">
        <v>44144</v>
      </c>
      <c r="AJ158" s="53">
        <v>110.35</v>
      </c>
      <c r="AK158" s="54">
        <f t="shared" si="22"/>
        <v>1.3035894611218124E-2</v>
      </c>
      <c r="AL158" s="55">
        <f t="shared" si="25"/>
        <v>28.280578447267281</v>
      </c>
      <c r="AM158" s="56">
        <v>25</v>
      </c>
      <c r="AN158" s="57">
        <f t="shared" si="23"/>
        <v>-3.2805784472672812</v>
      </c>
      <c r="AO158" s="76">
        <f t="shared" si="26"/>
        <v>-5.4280433668831138</v>
      </c>
      <c r="AP158" s="63" t="str">
        <f t="shared" si="27"/>
        <v/>
      </c>
      <c r="AQ158" s="63" t="str">
        <f t="shared" si="28"/>
        <v>Sell Stocks</v>
      </c>
      <c r="AR158" s="63" t="str">
        <f t="shared" si="29"/>
        <v/>
      </c>
      <c r="AS158" s="63" t="str">
        <f t="shared" si="30"/>
        <v/>
      </c>
      <c r="AT158" s="78" t="str">
        <f t="shared" si="31"/>
        <v/>
      </c>
      <c r="AU158" s="78" t="str">
        <f t="shared" si="32"/>
        <v/>
      </c>
      <c r="AV158" s="64" t="str">
        <f ca="1">IFERROR(__xludf.DUMMYFUNCTION("IF(TRIM(AU158)="""","""",AU158/INDEX(FILTER(AT$3:AT158,TRIM(AT$3:AT158)&lt;&gt;""""),ROWS(FILTER(AT$3:AT158,TRIM(AT$3:AT158)&lt;&gt;"""")))-1)"),"")</f>
        <v/>
      </c>
      <c r="AW158" s="65" t="e">
        <f t="shared" ca="1" si="24"/>
        <v>#VALUE!</v>
      </c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ht="19" x14ac:dyDescent="0.25">
      <c r="A159" s="5"/>
      <c r="B159" s="5"/>
      <c r="C159" s="5"/>
      <c r="D159" s="5"/>
      <c r="E159" s="5"/>
      <c r="F159" s="5"/>
      <c r="G159" s="5"/>
      <c r="H159" s="6"/>
      <c r="I159" s="5"/>
      <c r="J159" s="83"/>
      <c r="K159" s="83"/>
      <c r="L159" s="83"/>
      <c r="M159" s="83"/>
      <c r="N159" s="83"/>
      <c r="O159" s="83"/>
      <c r="P159" s="83"/>
      <c r="Q159" s="84"/>
      <c r="R159" s="83"/>
      <c r="S159" s="83"/>
      <c r="T159" s="85"/>
      <c r="U159" s="6"/>
      <c r="V159" s="44">
        <v>44145</v>
      </c>
      <c r="W159" s="45">
        <v>112.62</v>
      </c>
      <c r="X159" s="46"/>
      <c r="Y159" s="61"/>
      <c r="Z159" s="5"/>
      <c r="AA159" s="5"/>
      <c r="AB159" s="5"/>
      <c r="AC159" s="5"/>
      <c r="AD159" s="5"/>
      <c r="AE159" s="5"/>
      <c r="AF159" s="5"/>
      <c r="AG159" s="5"/>
      <c r="AH159" s="6"/>
      <c r="AI159" s="44">
        <v>44145</v>
      </c>
      <c r="AJ159" s="53">
        <v>112.62</v>
      </c>
      <c r="AK159" s="54">
        <f t="shared" si="22"/>
        <v>2.0570910738559212E-2</v>
      </c>
      <c r="AL159" s="55">
        <f t="shared" si="25"/>
        <v>30.356201242273702</v>
      </c>
      <c r="AM159" s="56">
        <v>25</v>
      </c>
      <c r="AN159" s="57">
        <f t="shared" si="23"/>
        <v>-5.356201242273702</v>
      </c>
      <c r="AO159" s="76">
        <f t="shared" si="26"/>
        <v>-3.7917393358772307</v>
      </c>
      <c r="AP159" s="63" t="str">
        <f t="shared" si="27"/>
        <v/>
      </c>
      <c r="AQ159" s="63" t="str">
        <f t="shared" si="28"/>
        <v>Sell Stocks</v>
      </c>
      <c r="AR159" s="63" t="str">
        <f t="shared" si="29"/>
        <v/>
      </c>
      <c r="AS159" s="63" t="str">
        <f t="shared" si="30"/>
        <v/>
      </c>
      <c r="AT159" s="78" t="str">
        <f t="shared" si="31"/>
        <v/>
      </c>
      <c r="AU159" s="78" t="str">
        <f t="shared" si="32"/>
        <v/>
      </c>
      <c r="AV159" s="64" t="str">
        <f ca="1">IFERROR(__xludf.DUMMYFUNCTION("IF(TRIM(AU159)="""","""",AU159/INDEX(FILTER(AT$3:AT159,TRIM(AT$3:AT159)&lt;&gt;""""),ROWS(FILTER(AT$3:AT159,TRIM(AT$3:AT159)&lt;&gt;"""")))-1)"),"")</f>
        <v/>
      </c>
      <c r="AW159" s="65" t="e">
        <f t="shared" ca="1" si="24"/>
        <v>#VALUE!</v>
      </c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ht="19" x14ac:dyDescent="0.25">
      <c r="A160" s="5"/>
      <c r="B160" s="5"/>
      <c r="C160" s="5"/>
      <c r="D160" s="5"/>
      <c r="E160" s="5"/>
      <c r="F160" s="5"/>
      <c r="G160" s="5"/>
      <c r="H160" s="6"/>
      <c r="I160" s="5"/>
      <c r="J160" s="83"/>
      <c r="K160" s="83"/>
      <c r="L160" s="83"/>
      <c r="M160" s="83"/>
      <c r="N160" s="83"/>
      <c r="O160" s="83"/>
      <c r="P160" s="83"/>
      <c r="Q160" s="84"/>
      <c r="R160" s="83"/>
      <c r="S160" s="83"/>
      <c r="T160" s="85"/>
      <c r="U160" s="6"/>
      <c r="V160" s="44">
        <v>44146</v>
      </c>
      <c r="W160" s="45">
        <v>111.95</v>
      </c>
      <c r="X160" s="46"/>
      <c r="Y160" s="61"/>
      <c r="Z160" s="5"/>
      <c r="AA160" s="5"/>
      <c r="AB160" s="5"/>
      <c r="AC160" s="5"/>
      <c r="AD160" s="5"/>
      <c r="AE160" s="5"/>
      <c r="AF160" s="5"/>
      <c r="AG160" s="5"/>
      <c r="AH160" s="6"/>
      <c r="AI160" s="44">
        <v>44146</v>
      </c>
      <c r="AJ160" s="53">
        <v>111.95</v>
      </c>
      <c r="AK160" s="54">
        <f t="shared" si="22"/>
        <v>-5.9492097318416537E-3</v>
      </c>
      <c r="AL160" s="55">
        <f t="shared" si="25"/>
        <v>23.592994934506152</v>
      </c>
      <c r="AM160" s="56">
        <v>25</v>
      </c>
      <c r="AN160" s="57">
        <f t="shared" si="23"/>
        <v>1.4070050654938484</v>
      </c>
      <c r="AO160" s="76">
        <f t="shared" si="26"/>
        <v>-2.9044274163271098</v>
      </c>
      <c r="AP160" s="63" t="str">
        <f t="shared" si="27"/>
        <v/>
      </c>
      <c r="AQ160" s="63" t="str">
        <f t="shared" si="28"/>
        <v>Sell Stocks</v>
      </c>
      <c r="AR160" s="63" t="str">
        <f t="shared" si="29"/>
        <v/>
      </c>
      <c r="AS160" s="63" t="str">
        <f t="shared" si="30"/>
        <v/>
      </c>
      <c r="AT160" s="78" t="str">
        <f t="shared" si="31"/>
        <v/>
      </c>
      <c r="AU160" s="78" t="str">
        <f t="shared" si="32"/>
        <v/>
      </c>
      <c r="AV160" s="64" t="str">
        <f ca="1">IFERROR(__xludf.DUMMYFUNCTION("IF(TRIM(AU160)="""","""",AU160/INDEX(FILTER(AT$3:AT160,TRIM(AT$3:AT160)&lt;&gt;""""),ROWS(FILTER(AT$3:AT160,TRIM(AT$3:AT160)&lt;&gt;"""")))-1)"),"")</f>
        <v/>
      </c>
      <c r="AW160" s="65" t="e">
        <f t="shared" ca="1" si="24"/>
        <v>#VALUE!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ht="19" x14ac:dyDescent="0.25">
      <c r="A161" s="5"/>
      <c r="B161" s="5"/>
      <c r="C161" s="5"/>
      <c r="D161" s="5"/>
      <c r="E161" s="5"/>
      <c r="F161" s="5"/>
      <c r="G161" s="5"/>
      <c r="H161" s="6"/>
      <c r="I161" s="5"/>
      <c r="J161" s="83"/>
      <c r="K161" s="83"/>
      <c r="L161" s="83"/>
      <c r="M161" s="83"/>
      <c r="N161" s="83"/>
      <c r="O161" s="83"/>
      <c r="P161" s="83"/>
      <c r="Q161" s="84"/>
      <c r="R161" s="83"/>
      <c r="S161" s="83"/>
      <c r="T161" s="85"/>
      <c r="U161" s="6"/>
      <c r="V161" s="44">
        <v>44147</v>
      </c>
      <c r="W161" s="45">
        <v>109.37</v>
      </c>
      <c r="X161" s="46"/>
      <c r="Y161" s="61"/>
      <c r="Z161" s="5"/>
      <c r="AA161" s="5"/>
      <c r="AB161" s="5"/>
      <c r="AC161" s="5"/>
      <c r="AD161" s="5"/>
      <c r="AE161" s="5"/>
      <c r="AF161" s="5"/>
      <c r="AG161" s="5"/>
      <c r="AH161" s="6"/>
      <c r="AI161" s="44">
        <v>44147</v>
      </c>
      <c r="AJ161" s="53">
        <v>109.37</v>
      </c>
      <c r="AK161" s="54">
        <f t="shared" si="22"/>
        <v>-2.3046002679767752E-2</v>
      </c>
      <c r="AL161" s="55">
        <f t="shared" si="25"/>
        <v>27.480123608957697</v>
      </c>
      <c r="AM161" s="56">
        <v>25</v>
      </c>
      <c r="AN161" s="57">
        <f t="shared" si="23"/>
        <v>-2.4801236089576975</v>
      </c>
      <c r="AO161" s="76">
        <f t="shared" si="26"/>
        <v>-2.537342732986887</v>
      </c>
      <c r="AP161" s="63" t="str">
        <f t="shared" si="27"/>
        <v/>
      </c>
      <c r="AQ161" s="63" t="str">
        <f t="shared" si="28"/>
        <v>Sell Stocks</v>
      </c>
      <c r="AR161" s="63" t="str">
        <f t="shared" si="29"/>
        <v/>
      </c>
      <c r="AS161" s="63" t="str">
        <f t="shared" si="30"/>
        <v/>
      </c>
      <c r="AT161" s="78" t="str">
        <f t="shared" si="31"/>
        <v/>
      </c>
      <c r="AU161" s="78" t="str">
        <f t="shared" si="32"/>
        <v/>
      </c>
      <c r="AV161" s="64" t="str">
        <f ca="1">IFERROR(__xludf.DUMMYFUNCTION("IF(TRIM(AU161)="""","""",AU161/INDEX(FILTER(AT$3:AT161,TRIM(AT$3:AT161)&lt;&gt;""""),ROWS(FILTER(AT$3:AT161,TRIM(AT$3:AT161)&lt;&gt;"""")))-1)"),"")</f>
        <v/>
      </c>
      <c r="AW161" s="65" t="e">
        <f t="shared" ca="1" si="24"/>
        <v>#VALUE!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ht="19" x14ac:dyDescent="0.25">
      <c r="A162" s="5"/>
      <c r="B162" s="5"/>
      <c r="C162" s="5"/>
      <c r="D162" s="5"/>
      <c r="E162" s="5"/>
      <c r="F162" s="5"/>
      <c r="G162" s="5"/>
      <c r="H162" s="6"/>
      <c r="I162" s="5"/>
      <c r="J162" s="83"/>
      <c r="K162" s="83"/>
      <c r="L162" s="83"/>
      <c r="M162" s="83"/>
      <c r="N162" s="83"/>
      <c r="O162" s="83"/>
      <c r="P162" s="83"/>
      <c r="Q162" s="84"/>
      <c r="R162" s="83"/>
      <c r="S162" s="83"/>
      <c r="T162" s="85"/>
      <c r="U162" s="6"/>
      <c r="V162" s="44">
        <v>44148</v>
      </c>
      <c r="W162" s="45">
        <v>111.61</v>
      </c>
      <c r="X162" s="46"/>
      <c r="Y162" s="61"/>
      <c r="Z162" s="5"/>
      <c r="AA162" s="5"/>
      <c r="AB162" s="5"/>
      <c r="AC162" s="5"/>
      <c r="AD162" s="5"/>
      <c r="AE162" s="5"/>
      <c r="AF162" s="5"/>
      <c r="AG162" s="5"/>
      <c r="AH162" s="6"/>
      <c r="AI162" s="44">
        <v>44148</v>
      </c>
      <c r="AJ162" s="53">
        <v>111.61</v>
      </c>
      <c r="AK162" s="54">
        <f t="shared" si="22"/>
        <v>2.0480936271372263E-2</v>
      </c>
      <c r="AL162" s="55">
        <f t="shared" si="25"/>
        <v>30.256974392232834</v>
      </c>
      <c r="AM162" s="56">
        <v>25</v>
      </c>
      <c r="AN162" s="57">
        <f t="shared" si="23"/>
        <v>-5.2569743922328342</v>
      </c>
      <c r="AO162" s="76">
        <f t="shared" si="26"/>
        <v>-2.9933745250475332</v>
      </c>
      <c r="AP162" s="63" t="str">
        <f t="shared" si="27"/>
        <v/>
      </c>
      <c r="AQ162" s="63" t="str">
        <f t="shared" si="28"/>
        <v>Sell Stocks</v>
      </c>
      <c r="AR162" s="63" t="str">
        <f t="shared" si="29"/>
        <v/>
      </c>
      <c r="AS162" s="63" t="str">
        <f t="shared" si="30"/>
        <v/>
      </c>
      <c r="AT162" s="78" t="str">
        <f t="shared" si="31"/>
        <v/>
      </c>
      <c r="AU162" s="78" t="str">
        <f t="shared" si="32"/>
        <v/>
      </c>
      <c r="AV162" s="64" t="str">
        <f ca="1">IFERROR(__xludf.DUMMYFUNCTION("IF(TRIM(AU162)="""","""",AU162/INDEX(FILTER(AT$3:AT162,TRIM(AT$3:AT162)&lt;&gt;""""),ROWS(FILTER(AT$3:AT162,TRIM(AT$3:AT162)&lt;&gt;"""")))-1)"),"")</f>
        <v/>
      </c>
      <c r="AW162" s="65" t="e">
        <f t="shared" ca="1" si="24"/>
        <v>#VALUE!</v>
      </c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ht="19" x14ac:dyDescent="0.25">
      <c r="A163" s="5"/>
      <c r="B163" s="5"/>
      <c r="C163" s="5"/>
      <c r="D163" s="5"/>
      <c r="E163" s="5"/>
      <c r="F163" s="5"/>
      <c r="G163" s="5"/>
      <c r="H163" s="6"/>
      <c r="I163" s="5"/>
      <c r="J163" s="83"/>
      <c r="K163" s="83"/>
      <c r="L163" s="83"/>
      <c r="M163" s="83"/>
      <c r="N163" s="83"/>
      <c r="O163" s="83"/>
      <c r="P163" s="83"/>
      <c r="Q163" s="84"/>
      <c r="R163" s="83"/>
      <c r="S163" s="83"/>
      <c r="T163" s="85"/>
      <c r="U163" s="6"/>
      <c r="V163" s="44">
        <v>44151</v>
      </c>
      <c r="W163" s="45">
        <v>113.05</v>
      </c>
      <c r="X163" s="46"/>
      <c r="Y163" s="61"/>
      <c r="Z163" s="5"/>
      <c r="AA163" s="5"/>
      <c r="AB163" s="5"/>
      <c r="AC163" s="5"/>
      <c r="AD163" s="5"/>
      <c r="AE163" s="5"/>
      <c r="AF163" s="5"/>
      <c r="AG163" s="5"/>
      <c r="AH163" s="6"/>
      <c r="AI163" s="44">
        <v>44151</v>
      </c>
      <c r="AJ163" s="53">
        <v>113.05</v>
      </c>
      <c r="AK163" s="54">
        <f t="shared" si="22"/>
        <v>1.2902069707015462E-2</v>
      </c>
      <c r="AL163" s="55">
        <f t="shared" si="25"/>
        <v>30.234775316567092</v>
      </c>
      <c r="AM163" s="56">
        <v>25</v>
      </c>
      <c r="AN163" s="57">
        <f t="shared" si="23"/>
        <v>-5.2347753165670916</v>
      </c>
      <c r="AO163" s="76">
        <f t="shared" si="26"/>
        <v>-3.3842138989074955</v>
      </c>
      <c r="AP163" s="63" t="str">
        <f t="shared" si="27"/>
        <v/>
      </c>
      <c r="AQ163" s="63" t="str">
        <f t="shared" si="28"/>
        <v>Sell Stocks</v>
      </c>
      <c r="AR163" s="63" t="str">
        <f t="shared" si="29"/>
        <v/>
      </c>
      <c r="AS163" s="63" t="str">
        <f t="shared" si="30"/>
        <v/>
      </c>
      <c r="AT163" s="78" t="str">
        <f t="shared" si="31"/>
        <v/>
      </c>
      <c r="AU163" s="78" t="str">
        <f t="shared" si="32"/>
        <v/>
      </c>
      <c r="AV163" s="64" t="str">
        <f ca="1">IFERROR(__xludf.DUMMYFUNCTION("IF(TRIM(AU163)="""","""",AU163/INDEX(FILTER(AT$3:AT163,TRIM(AT$3:AT163)&lt;&gt;""""),ROWS(FILTER(AT$3:AT163,TRIM(AT$3:AT163)&lt;&gt;"""")))-1)"),"")</f>
        <v/>
      </c>
      <c r="AW163" s="65" t="e">
        <f t="shared" ca="1" si="24"/>
        <v>#VALUE!</v>
      </c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ht="19" x14ac:dyDescent="0.25">
      <c r="A164" s="5"/>
      <c r="B164" s="5"/>
      <c r="C164" s="5"/>
      <c r="D164" s="5"/>
      <c r="E164" s="5"/>
      <c r="F164" s="5"/>
      <c r="G164" s="5"/>
      <c r="H164" s="6"/>
      <c r="I164" s="5"/>
      <c r="J164" s="83"/>
      <c r="K164" s="83"/>
      <c r="L164" s="83"/>
      <c r="M164" s="83"/>
      <c r="N164" s="83"/>
      <c r="O164" s="83"/>
      <c r="P164" s="83"/>
      <c r="Q164" s="84"/>
      <c r="R164" s="83"/>
      <c r="S164" s="83"/>
      <c r="T164" s="85"/>
      <c r="U164" s="6"/>
      <c r="V164" s="44">
        <v>44152</v>
      </c>
      <c r="W164" s="45">
        <v>112.42</v>
      </c>
      <c r="X164" s="46"/>
      <c r="Y164" s="61"/>
      <c r="Z164" s="5"/>
      <c r="AA164" s="5"/>
      <c r="AB164" s="5"/>
      <c r="AC164" s="5"/>
      <c r="AD164" s="5"/>
      <c r="AE164" s="5"/>
      <c r="AF164" s="5"/>
      <c r="AG164" s="5"/>
      <c r="AH164" s="6"/>
      <c r="AI164" s="44">
        <v>44152</v>
      </c>
      <c r="AJ164" s="53">
        <v>112.42</v>
      </c>
      <c r="AK164" s="54">
        <f t="shared" si="22"/>
        <v>-5.5727554179566541E-3</v>
      </c>
      <c r="AL164" s="55">
        <f t="shared" si="25"/>
        <v>27.302518329115134</v>
      </c>
      <c r="AM164" s="56">
        <v>25</v>
      </c>
      <c r="AN164" s="57">
        <f t="shared" si="23"/>
        <v>-2.3025183291151343</v>
      </c>
      <c r="AO164" s="76">
        <f t="shared" si="26"/>
        <v>-2.7734773162757818</v>
      </c>
      <c r="AP164" s="63" t="str">
        <f t="shared" si="27"/>
        <v/>
      </c>
      <c r="AQ164" s="63" t="str">
        <f t="shared" si="28"/>
        <v>Sell Stocks</v>
      </c>
      <c r="AR164" s="63" t="str">
        <f t="shared" si="29"/>
        <v/>
      </c>
      <c r="AS164" s="63" t="str">
        <f t="shared" si="30"/>
        <v/>
      </c>
      <c r="AT164" s="78" t="str">
        <f t="shared" si="31"/>
        <v/>
      </c>
      <c r="AU164" s="78" t="str">
        <f t="shared" si="32"/>
        <v/>
      </c>
      <c r="AV164" s="64" t="str">
        <f ca="1">IFERROR(__xludf.DUMMYFUNCTION("IF(TRIM(AU164)="""","""",AU164/INDEX(FILTER(AT$3:AT164,TRIM(AT$3:AT164)&lt;&gt;""""),ROWS(FILTER(AT$3:AT164,TRIM(AT$3:AT164)&lt;&gt;"""")))-1)"),"")</f>
        <v/>
      </c>
      <c r="AW164" s="65" t="e">
        <f t="shared" ca="1" si="24"/>
        <v>#VALUE!</v>
      </c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ht="19" x14ac:dyDescent="0.25">
      <c r="A165" s="5"/>
      <c r="B165" s="5"/>
      <c r="C165" s="5"/>
      <c r="D165" s="5"/>
      <c r="E165" s="5"/>
      <c r="F165" s="5"/>
      <c r="G165" s="5"/>
      <c r="H165" s="6"/>
      <c r="I165" s="5"/>
      <c r="J165" s="83"/>
      <c r="K165" s="83"/>
      <c r="L165" s="83"/>
      <c r="M165" s="83"/>
      <c r="N165" s="83"/>
      <c r="O165" s="83"/>
      <c r="P165" s="83"/>
      <c r="Q165" s="84"/>
      <c r="R165" s="83"/>
      <c r="S165" s="83"/>
      <c r="T165" s="85"/>
      <c r="U165" s="6"/>
      <c r="V165" s="44">
        <v>44153</v>
      </c>
      <c r="W165" s="45">
        <v>111.53</v>
      </c>
      <c r="X165" s="46"/>
      <c r="Y165" s="61"/>
      <c r="Z165" s="5"/>
      <c r="AA165" s="5"/>
      <c r="AB165" s="5"/>
      <c r="AC165" s="5"/>
      <c r="AD165" s="5"/>
      <c r="AE165" s="5"/>
      <c r="AF165" s="5"/>
      <c r="AG165" s="5"/>
      <c r="AH165" s="6"/>
      <c r="AI165" s="44">
        <v>44153</v>
      </c>
      <c r="AJ165" s="53">
        <v>111.53</v>
      </c>
      <c r="AK165" s="54">
        <f t="shared" si="22"/>
        <v>-7.9167407934531697E-3</v>
      </c>
      <c r="AL165" s="55">
        <f t="shared" si="25"/>
        <v>27.596008354066832</v>
      </c>
      <c r="AM165" s="56">
        <v>25</v>
      </c>
      <c r="AN165" s="57">
        <f t="shared" si="23"/>
        <v>-2.5960083540668322</v>
      </c>
      <c r="AO165" s="76">
        <f t="shared" si="26"/>
        <v>-3.574080000187918</v>
      </c>
      <c r="AP165" s="63" t="str">
        <f t="shared" si="27"/>
        <v/>
      </c>
      <c r="AQ165" s="63" t="str">
        <f t="shared" si="28"/>
        <v>Sell Stocks</v>
      </c>
      <c r="AR165" s="63" t="str">
        <f t="shared" si="29"/>
        <v/>
      </c>
      <c r="AS165" s="63" t="str">
        <f t="shared" si="30"/>
        <v/>
      </c>
      <c r="AT165" s="78" t="str">
        <f t="shared" si="31"/>
        <v/>
      </c>
      <c r="AU165" s="78" t="str">
        <f t="shared" si="32"/>
        <v/>
      </c>
      <c r="AV165" s="64" t="str">
        <f ca="1">IFERROR(__xludf.DUMMYFUNCTION("IF(TRIM(AU165)="""","""",AU165/INDEX(FILTER(AT$3:AT165,TRIM(AT$3:AT165)&lt;&gt;""""),ROWS(FILTER(AT$3:AT165,TRIM(AT$3:AT165)&lt;&gt;"""")))-1)"),"")</f>
        <v/>
      </c>
      <c r="AW165" s="65" t="e">
        <f t="shared" ca="1" si="24"/>
        <v>#VALUE!</v>
      </c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ht="19" x14ac:dyDescent="0.25">
      <c r="A166" s="5"/>
      <c r="B166" s="5"/>
      <c r="C166" s="5"/>
      <c r="D166" s="5"/>
      <c r="E166" s="5"/>
      <c r="F166" s="5"/>
      <c r="G166" s="5"/>
      <c r="H166" s="6"/>
      <c r="I166" s="5"/>
      <c r="J166" s="83"/>
      <c r="K166" s="83"/>
      <c r="L166" s="83"/>
      <c r="M166" s="83"/>
      <c r="N166" s="83"/>
      <c r="O166" s="83"/>
      <c r="P166" s="83"/>
      <c r="Q166" s="84"/>
      <c r="R166" s="83"/>
      <c r="S166" s="83"/>
      <c r="T166" s="85"/>
      <c r="U166" s="6"/>
      <c r="V166" s="44">
        <v>44154</v>
      </c>
      <c r="W166" s="45">
        <v>111.93</v>
      </c>
      <c r="X166" s="46"/>
      <c r="Y166" s="61"/>
      <c r="Z166" s="5"/>
      <c r="AA166" s="5"/>
      <c r="AB166" s="5"/>
      <c r="AC166" s="5"/>
      <c r="AD166" s="5"/>
      <c r="AE166" s="5"/>
      <c r="AF166" s="5"/>
      <c r="AG166" s="5"/>
      <c r="AH166" s="6"/>
      <c r="AI166" s="44">
        <v>44154</v>
      </c>
      <c r="AJ166" s="53">
        <v>111.93</v>
      </c>
      <c r="AK166" s="54">
        <f t="shared" si="22"/>
        <v>3.5864789742670045E-3</v>
      </c>
      <c r="AL166" s="55">
        <f t="shared" si="25"/>
        <v>19.152700615324093</v>
      </c>
      <c r="AM166" s="56">
        <v>25</v>
      </c>
      <c r="AN166" s="57">
        <f t="shared" si="23"/>
        <v>5.8472993846759067</v>
      </c>
      <c r="AO166" s="76">
        <f t="shared" si="26"/>
        <v>-1.9085954014611972</v>
      </c>
      <c r="AP166" s="63" t="str">
        <f t="shared" si="27"/>
        <v/>
      </c>
      <c r="AQ166" s="63" t="str">
        <f t="shared" si="28"/>
        <v>Sell Stocks</v>
      </c>
      <c r="AR166" s="63" t="str">
        <f t="shared" si="29"/>
        <v/>
      </c>
      <c r="AS166" s="63" t="str">
        <f t="shared" si="30"/>
        <v/>
      </c>
      <c r="AT166" s="78" t="str">
        <f t="shared" si="31"/>
        <v/>
      </c>
      <c r="AU166" s="78" t="str">
        <f t="shared" si="32"/>
        <v/>
      </c>
      <c r="AV166" s="64" t="str">
        <f ca="1">IFERROR(__xludf.DUMMYFUNCTION("IF(TRIM(AU166)="""","""",AU166/INDEX(FILTER(AT$3:AT166,TRIM(AT$3:AT166)&lt;&gt;""""),ROWS(FILTER(AT$3:AT166,TRIM(AT$3:AT166)&lt;&gt;"""")))-1)"),"")</f>
        <v/>
      </c>
      <c r="AW166" s="65" t="e">
        <f t="shared" ca="1" si="24"/>
        <v>#VALUE!</v>
      </c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ht="19" x14ac:dyDescent="0.25">
      <c r="A167" s="5"/>
      <c r="B167" s="5"/>
      <c r="C167" s="5"/>
      <c r="D167" s="5"/>
      <c r="E167" s="5"/>
      <c r="F167" s="5"/>
      <c r="G167" s="5"/>
      <c r="H167" s="6"/>
      <c r="I167" s="5"/>
      <c r="J167" s="83"/>
      <c r="K167" s="83"/>
      <c r="L167" s="83"/>
      <c r="M167" s="83"/>
      <c r="N167" s="83"/>
      <c r="O167" s="83"/>
      <c r="P167" s="83"/>
      <c r="Q167" s="84"/>
      <c r="R167" s="83"/>
      <c r="S167" s="83"/>
      <c r="T167" s="85"/>
      <c r="U167" s="6"/>
      <c r="V167" s="44">
        <v>44155</v>
      </c>
      <c r="W167" s="45">
        <v>111.7</v>
      </c>
      <c r="X167" s="46"/>
      <c r="Y167" s="61"/>
      <c r="Z167" s="5"/>
      <c r="AA167" s="5"/>
      <c r="AB167" s="5"/>
      <c r="AC167" s="5"/>
      <c r="AD167" s="5"/>
      <c r="AE167" s="5"/>
      <c r="AF167" s="5"/>
      <c r="AG167" s="5"/>
      <c r="AH167" s="6"/>
      <c r="AI167" s="44">
        <v>44155</v>
      </c>
      <c r="AJ167" s="53">
        <v>111.7</v>
      </c>
      <c r="AK167" s="54">
        <f t="shared" si="22"/>
        <v>-2.0548557133923673E-3</v>
      </c>
      <c r="AL167" s="55">
        <f t="shared" si="25"/>
        <v>13.212625553227486</v>
      </c>
      <c r="AM167" s="56">
        <v>25</v>
      </c>
      <c r="AN167" s="57">
        <f t="shared" si="23"/>
        <v>11.787374446772514</v>
      </c>
      <c r="AO167" s="76">
        <f t="shared" si="26"/>
        <v>1.5002743663398725</v>
      </c>
      <c r="AP167" s="63" t="str">
        <f t="shared" si="27"/>
        <v>Buy Stocks</v>
      </c>
      <c r="AQ167" s="63" t="str">
        <f t="shared" si="28"/>
        <v/>
      </c>
      <c r="AR167" s="63" t="str">
        <f t="shared" si="29"/>
        <v>Buy Stocks</v>
      </c>
      <c r="AS167" s="63" t="str">
        <f t="shared" si="30"/>
        <v/>
      </c>
      <c r="AT167" s="77">
        <f t="shared" si="31"/>
        <v>111.7</v>
      </c>
      <c r="AU167" s="78" t="str">
        <f t="shared" si="32"/>
        <v/>
      </c>
      <c r="AV167" s="64" t="str">
        <f ca="1">IFERROR(__xludf.DUMMYFUNCTION("IF(TRIM(AU167)="""","""",AU167/INDEX(FILTER(AT$3:AT167,TRIM(AT$3:AT167)&lt;&gt;""""),ROWS(FILTER(AT$3:AT167,TRIM(AT$3:AT167)&lt;&gt;"""")))-1)"),"")</f>
        <v/>
      </c>
      <c r="AW167" s="65" t="e">
        <f t="shared" ca="1" si="24"/>
        <v>#VALUE!</v>
      </c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ht="19" x14ac:dyDescent="0.25">
      <c r="A168" s="5"/>
      <c r="B168" s="5"/>
      <c r="C168" s="5"/>
      <c r="D168" s="5"/>
      <c r="E168" s="5"/>
      <c r="F168" s="5"/>
      <c r="G168" s="5"/>
      <c r="H168" s="6"/>
      <c r="I168" s="5"/>
      <c r="J168" s="83"/>
      <c r="K168" s="83"/>
      <c r="L168" s="83"/>
      <c r="M168" s="83"/>
      <c r="N168" s="83"/>
      <c r="O168" s="83"/>
      <c r="P168" s="83"/>
      <c r="Q168" s="84"/>
      <c r="R168" s="83"/>
      <c r="S168" s="83"/>
      <c r="T168" s="85"/>
      <c r="U168" s="6"/>
      <c r="V168" s="44">
        <v>44158</v>
      </c>
      <c r="W168" s="45">
        <v>114.71</v>
      </c>
      <c r="X168" s="46"/>
      <c r="Y168" s="61"/>
      <c r="Z168" s="5"/>
      <c r="AA168" s="5"/>
      <c r="AB168" s="5"/>
      <c r="AC168" s="5"/>
      <c r="AD168" s="5"/>
      <c r="AE168" s="5"/>
      <c r="AF168" s="5"/>
      <c r="AG168" s="5"/>
      <c r="AH168" s="6"/>
      <c r="AI168" s="44">
        <v>44158</v>
      </c>
      <c r="AJ168" s="53">
        <v>114.71</v>
      </c>
      <c r="AK168" s="54">
        <f t="shared" si="22"/>
        <v>2.6947179946284594E-2</v>
      </c>
      <c r="AL168" s="55">
        <f t="shared" si="25"/>
        <v>22.337839753107382</v>
      </c>
      <c r="AM168" s="56">
        <v>25</v>
      </c>
      <c r="AN168" s="57">
        <f t="shared" si="23"/>
        <v>2.6621602468926184</v>
      </c>
      <c r="AO168" s="76">
        <f t="shared" si="26"/>
        <v>3.0796614790318144</v>
      </c>
      <c r="AP168" s="63" t="str">
        <f t="shared" si="27"/>
        <v>Buy Stocks</v>
      </c>
      <c r="AQ168" s="63" t="str">
        <f t="shared" si="28"/>
        <v/>
      </c>
      <c r="AR168" s="63" t="str">
        <f t="shared" si="29"/>
        <v/>
      </c>
      <c r="AS168" s="63" t="str">
        <f t="shared" si="30"/>
        <v/>
      </c>
      <c r="AT168" s="78" t="str">
        <f t="shared" si="31"/>
        <v/>
      </c>
      <c r="AU168" s="78" t="str">
        <f t="shared" si="32"/>
        <v/>
      </c>
      <c r="AV168" s="64" t="str">
        <f ca="1">IFERROR(__xludf.DUMMYFUNCTION("IF(TRIM(AU168)="""","""",AU168/INDEX(FILTER(AT$3:AT168,TRIM(AT$3:AT168)&lt;&gt;""""),ROWS(FILTER(AT$3:AT168,TRIM(AT$3:AT168)&lt;&gt;"""")))-1)"),"")</f>
        <v/>
      </c>
      <c r="AW168" s="65" t="e">
        <f t="shared" ca="1" si="24"/>
        <v>#VALUE!</v>
      </c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ht="19" x14ac:dyDescent="0.25">
      <c r="A169" s="5"/>
      <c r="B169" s="5"/>
      <c r="C169" s="5"/>
      <c r="D169" s="5"/>
      <c r="E169" s="5"/>
      <c r="F169" s="5"/>
      <c r="G169" s="5"/>
      <c r="H169" s="6"/>
      <c r="I169" s="5"/>
      <c r="J169" s="83"/>
      <c r="K169" s="83"/>
      <c r="L169" s="83"/>
      <c r="M169" s="83"/>
      <c r="N169" s="83"/>
      <c r="O169" s="83"/>
      <c r="P169" s="83"/>
      <c r="Q169" s="84"/>
      <c r="R169" s="83"/>
      <c r="S169" s="83"/>
      <c r="T169" s="85"/>
      <c r="U169" s="6"/>
      <c r="V169" s="44">
        <v>44159</v>
      </c>
      <c r="W169" s="45">
        <v>118.84</v>
      </c>
      <c r="X169" s="46"/>
      <c r="Y169" s="61"/>
      <c r="Z169" s="5"/>
      <c r="AA169" s="5"/>
      <c r="AB169" s="5"/>
      <c r="AC169" s="5"/>
      <c r="AD169" s="5"/>
      <c r="AE169" s="5"/>
      <c r="AF169" s="5"/>
      <c r="AG169" s="5"/>
      <c r="AH169" s="6"/>
      <c r="AI169" s="44">
        <v>44159</v>
      </c>
      <c r="AJ169" s="53">
        <v>118.84</v>
      </c>
      <c r="AK169" s="54">
        <f t="shared" si="22"/>
        <v>3.6003835759742087E-2</v>
      </c>
      <c r="AL169" s="55">
        <f t="shared" si="25"/>
        <v>30.351529513398368</v>
      </c>
      <c r="AM169" s="56">
        <v>25</v>
      </c>
      <c r="AN169" s="57">
        <f t="shared" si="23"/>
        <v>-5.3515295133983685</v>
      </c>
      <c r="AO169" s="76">
        <f t="shared" si="26"/>
        <v>2.4698592421751675</v>
      </c>
      <c r="AP169" s="63" t="str">
        <f t="shared" si="27"/>
        <v>Buy Stocks</v>
      </c>
      <c r="AQ169" s="63" t="str">
        <f t="shared" si="28"/>
        <v/>
      </c>
      <c r="AR169" s="63" t="str">
        <f t="shared" si="29"/>
        <v/>
      </c>
      <c r="AS169" s="63" t="str">
        <f t="shared" si="30"/>
        <v/>
      </c>
      <c r="AT169" s="78" t="str">
        <f t="shared" si="31"/>
        <v/>
      </c>
      <c r="AU169" s="78" t="str">
        <f t="shared" si="32"/>
        <v/>
      </c>
      <c r="AV169" s="64" t="str">
        <f ca="1">IFERROR(__xludf.DUMMYFUNCTION("IF(TRIM(AU169)="""","""",AU169/INDEX(FILTER(AT$3:AT169,TRIM(AT$3:AT169)&lt;&gt;""""),ROWS(FILTER(AT$3:AT169,TRIM(AT$3:AT169)&lt;&gt;"""")))-1)"),"")</f>
        <v/>
      </c>
      <c r="AW169" s="65" t="e">
        <f t="shared" ca="1" si="24"/>
        <v>#VALUE!</v>
      </c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ht="19" x14ac:dyDescent="0.25">
      <c r="A170" s="5"/>
      <c r="B170" s="5"/>
      <c r="C170" s="5"/>
      <c r="D170" s="5"/>
      <c r="E170" s="5"/>
      <c r="F170" s="5"/>
      <c r="G170" s="5"/>
      <c r="H170" s="6"/>
      <c r="I170" s="5"/>
      <c r="J170" s="83"/>
      <c r="K170" s="83"/>
      <c r="L170" s="83"/>
      <c r="M170" s="83"/>
      <c r="N170" s="83"/>
      <c r="O170" s="83"/>
      <c r="P170" s="83"/>
      <c r="Q170" s="84"/>
      <c r="R170" s="83"/>
      <c r="S170" s="83"/>
      <c r="T170" s="85"/>
      <c r="U170" s="6"/>
      <c r="V170" s="44">
        <v>44160</v>
      </c>
      <c r="W170" s="45">
        <v>118.63</v>
      </c>
      <c r="X170" s="46"/>
      <c r="Y170" s="61"/>
      <c r="Z170" s="5"/>
      <c r="AA170" s="5"/>
      <c r="AB170" s="5"/>
      <c r="AC170" s="5"/>
      <c r="AD170" s="5"/>
      <c r="AE170" s="5"/>
      <c r="AF170" s="5"/>
      <c r="AG170" s="5"/>
      <c r="AH170" s="6"/>
      <c r="AI170" s="44">
        <v>44160</v>
      </c>
      <c r="AJ170" s="53">
        <v>118.63</v>
      </c>
      <c r="AK170" s="54">
        <f t="shared" si="22"/>
        <v>-1.7670817906429992E-3</v>
      </c>
      <c r="AL170" s="55">
        <f t="shared" si="25"/>
        <v>28.12954636700281</v>
      </c>
      <c r="AM170" s="56">
        <v>25</v>
      </c>
      <c r="AN170" s="57">
        <f t="shared" si="23"/>
        <v>-3.1295463670028099</v>
      </c>
      <c r="AO170" s="76">
        <f t="shared" si="26"/>
        <v>2.3631516395879721</v>
      </c>
      <c r="AP170" s="63" t="str">
        <f t="shared" si="27"/>
        <v>Buy Stocks</v>
      </c>
      <c r="AQ170" s="63" t="str">
        <f t="shared" si="28"/>
        <v/>
      </c>
      <c r="AR170" s="63" t="str">
        <f t="shared" si="29"/>
        <v/>
      </c>
      <c r="AS170" s="63" t="str">
        <f t="shared" si="30"/>
        <v/>
      </c>
      <c r="AT170" s="78" t="str">
        <f t="shared" si="31"/>
        <v/>
      </c>
      <c r="AU170" s="78" t="str">
        <f t="shared" si="32"/>
        <v/>
      </c>
      <c r="AV170" s="64" t="str">
        <f ca="1">IFERROR(__xludf.DUMMYFUNCTION("IF(TRIM(AU170)="""","""",AU170/INDEX(FILTER(AT$3:AT170,TRIM(AT$3:AT170)&lt;&gt;""""),ROWS(FILTER(AT$3:AT170,TRIM(AT$3:AT170)&lt;&gt;"""")))-1)"),"")</f>
        <v/>
      </c>
      <c r="AW170" s="65" t="e">
        <f t="shared" ca="1" si="24"/>
        <v>#VALUE!</v>
      </c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ht="19" x14ac:dyDescent="0.25">
      <c r="A171" s="5"/>
      <c r="B171" s="5"/>
      <c r="C171" s="5"/>
      <c r="D171" s="5"/>
      <c r="E171" s="5"/>
      <c r="F171" s="5"/>
      <c r="G171" s="5"/>
      <c r="H171" s="6"/>
      <c r="I171" s="5"/>
      <c r="J171" s="83"/>
      <c r="K171" s="83"/>
      <c r="L171" s="83"/>
      <c r="M171" s="83"/>
      <c r="N171" s="83"/>
      <c r="O171" s="83"/>
      <c r="P171" s="83"/>
      <c r="Q171" s="84"/>
      <c r="R171" s="83"/>
      <c r="S171" s="83"/>
      <c r="T171" s="85"/>
      <c r="U171" s="6"/>
      <c r="V171" s="44">
        <v>44162</v>
      </c>
      <c r="W171" s="45">
        <v>118.77</v>
      </c>
      <c r="X171" s="46"/>
      <c r="Y171" s="61"/>
      <c r="Z171" s="5"/>
      <c r="AA171" s="5"/>
      <c r="AB171" s="5"/>
      <c r="AC171" s="5"/>
      <c r="AD171" s="5"/>
      <c r="AE171" s="5"/>
      <c r="AF171" s="5"/>
      <c r="AG171" s="5"/>
      <c r="AH171" s="6"/>
      <c r="AI171" s="44">
        <v>44162</v>
      </c>
      <c r="AJ171" s="53">
        <v>118.77</v>
      </c>
      <c r="AK171" s="54">
        <f t="shared" si="22"/>
        <v>1.1801399308775107E-3</v>
      </c>
      <c r="AL171" s="55">
        <f t="shared" si="25"/>
        <v>28.659137624999747</v>
      </c>
      <c r="AM171" s="56">
        <v>25</v>
      </c>
      <c r="AN171" s="57">
        <f t="shared" si="23"/>
        <v>-3.6591376249997474</v>
      </c>
      <c r="AO171" s="76">
        <f t="shared" si="26"/>
        <v>0.46186423765284135</v>
      </c>
      <c r="AP171" s="63" t="str">
        <f t="shared" si="27"/>
        <v>Buy Stocks</v>
      </c>
      <c r="AQ171" s="63" t="str">
        <f t="shared" si="28"/>
        <v/>
      </c>
      <c r="AR171" s="63" t="str">
        <f t="shared" si="29"/>
        <v/>
      </c>
      <c r="AS171" s="63" t="str">
        <f t="shared" si="30"/>
        <v/>
      </c>
      <c r="AT171" s="78" t="str">
        <f t="shared" si="31"/>
        <v/>
      </c>
      <c r="AU171" s="78" t="str">
        <f t="shared" si="32"/>
        <v/>
      </c>
      <c r="AV171" s="64" t="str">
        <f ca="1">IFERROR(__xludf.DUMMYFUNCTION("IF(TRIM(AU171)="""","""",AU171/INDEX(FILTER(AT$3:AT171,TRIM(AT$3:AT171)&lt;&gt;""""),ROWS(FILTER(AT$3:AT171,TRIM(AT$3:AT171)&lt;&gt;"""")))-1)"),"")</f>
        <v/>
      </c>
      <c r="AW171" s="65" t="e">
        <f t="shared" ca="1" si="24"/>
        <v>#VALUE!</v>
      </c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ht="19" x14ac:dyDescent="0.25">
      <c r="A172" s="5"/>
      <c r="B172" s="5"/>
      <c r="C172" s="5"/>
      <c r="D172" s="5"/>
      <c r="E172" s="5"/>
      <c r="F172" s="5"/>
      <c r="G172" s="5"/>
      <c r="H172" s="6"/>
      <c r="I172" s="5"/>
      <c r="J172" s="83"/>
      <c r="K172" s="83"/>
      <c r="L172" s="83"/>
      <c r="M172" s="83"/>
      <c r="N172" s="83"/>
      <c r="O172" s="83"/>
      <c r="P172" s="83"/>
      <c r="Q172" s="84"/>
      <c r="R172" s="83"/>
      <c r="S172" s="83"/>
      <c r="T172" s="85"/>
      <c r="U172" s="6"/>
      <c r="V172" s="44">
        <v>44165</v>
      </c>
      <c r="W172" s="45">
        <v>117.98</v>
      </c>
      <c r="X172" s="46"/>
      <c r="Y172" s="61"/>
      <c r="Z172" s="5"/>
      <c r="AA172" s="5"/>
      <c r="AB172" s="5"/>
      <c r="AC172" s="5"/>
      <c r="AD172" s="5"/>
      <c r="AE172" s="5"/>
      <c r="AF172" s="5"/>
      <c r="AG172" s="5"/>
      <c r="AH172" s="6"/>
      <c r="AI172" s="44">
        <v>44165</v>
      </c>
      <c r="AJ172" s="53">
        <v>117.98</v>
      </c>
      <c r="AK172" s="54">
        <f t="shared" si="22"/>
        <v>-6.6515113244084434E-3</v>
      </c>
      <c r="AL172" s="55">
        <f t="shared" si="25"/>
        <v>30.228400724698417</v>
      </c>
      <c r="AM172" s="56">
        <v>25</v>
      </c>
      <c r="AN172" s="57">
        <f t="shared" si="23"/>
        <v>-5.2284007246984174</v>
      </c>
      <c r="AO172" s="76">
        <f t="shared" si="26"/>
        <v>-2.9412907966413449</v>
      </c>
      <c r="AP172" s="63" t="str">
        <f t="shared" si="27"/>
        <v/>
      </c>
      <c r="AQ172" s="63" t="str">
        <f t="shared" si="28"/>
        <v>Sell Stocks</v>
      </c>
      <c r="AR172" s="63" t="str">
        <f t="shared" si="29"/>
        <v/>
      </c>
      <c r="AS172" s="63" t="str">
        <f t="shared" si="30"/>
        <v>Sell Stocks</v>
      </c>
      <c r="AT172" s="78" t="str">
        <f t="shared" si="31"/>
        <v/>
      </c>
      <c r="AU172" s="77">
        <f t="shared" si="32"/>
        <v>117.98</v>
      </c>
      <c r="AV172" s="64">
        <f ca="1">IFERROR(__xludf.DUMMYFUNCTION("IF(TRIM(AU172)="""","""",AU172/INDEX(FILTER(AT$3:AT172,TRIM(AT$3:AT172)&lt;&gt;""""),ROWS(FILTER(AT$3:AT172,TRIM(AT$3:AT172)&lt;&gt;"""")))-1)"),0.0562220232766339)</f>
        <v>5.6222023276633899E-2</v>
      </c>
      <c r="AW172" s="65" t="e">
        <f t="shared" ca="1" si="24"/>
        <v>#VALUE!</v>
      </c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ht="19" x14ac:dyDescent="0.25">
      <c r="A173" s="5"/>
      <c r="B173" s="5"/>
      <c r="C173" s="5"/>
      <c r="D173" s="5"/>
      <c r="E173" s="5"/>
      <c r="F173" s="5"/>
      <c r="G173" s="5"/>
      <c r="H173" s="6"/>
      <c r="I173" s="5"/>
      <c r="J173" s="83"/>
      <c r="K173" s="83"/>
      <c r="L173" s="83"/>
      <c r="M173" s="83"/>
      <c r="N173" s="83"/>
      <c r="O173" s="83"/>
      <c r="P173" s="83"/>
      <c r="Q173" s="84"/>
      <c r="R173" s="83"/>
      <c r="S173" s="83"/>
      <c r="T173" s="85"/>
      <c r="U173" s="6"/>
      <c r="V173" s="44">
        <v>44166</v>
      </c>
      <c r="W173" s="45">
        <v>117.64</v>
      </c>
      <c r="X173" s="46"/>
      <c r="Y173" s="61"/>
      <c r="Z173" s="5"/>
      <c r="AA173" s="5"/>
      <c r="AB173" s="5"/>
      <c r="AC173" s="5"/>
      <c r="AD173" s="5"/>
      <c r="AE173" s="5"/>
      <c r="AF173" s="5"/>
      <c r="AG173" s="5"/>
      <c r="AH173" s="6"/>
      <c r="AI173" s="44">
        <v>44166</v>
      </c>
      <c r="AJ173" s="53">
        <v>117.64</v>
      </c>
      <c r="AK173" s="54">
        <f t="shared" si="22"/>
        <v>-2.8818443804035088E-3</v>
      </c>
      <c r="AL173" s="55">
        <f t="shared" si="25"/>
        <v>27.716222671696517</v>
      </c>
      <c r="AM173" s="56">
        <v>25</v>
      </c>
      <c r="AN173" s="57">
        <f t="shared" si="23"/>
        <v>-2.7162226716965172</v>
      </c>
      <c r="AO173" s="76">
        <f t="shared" si="26"/>
        <v>-4.0169673803591719</v>
      </c>
      <c r="AP173" s="63" t="str">
        <f t="shared" si="27"/>
        <v/>
      </c>
      <c r="AQ173" s="63" t="str">
        <f t="shared" si="28"/>
        <v>Sell Stocks</v>
      </c>
      <c r="AR173" s="63" t="str">
        <f t="shared" si="29"/>
        <v/>
      </c>
      <c r="AS173" s="63" t="str">
        <f t="shared" si="30"/>
        <v/>
      </c>
      <c r="AT173" s="78" t="str">
        <f t="shared" si="31"/>
        <v/>
      </c>
      <c r="AU173" s="78" t="str">
        <f t="shared" si="32"/>
        <v/>
      </c>
      <c r="AV173" s="64" t="str">
        <f ca="1">IFERROR(__xludf.DUMMYFUNCTION("IF(TRIM(AU173)="""","""",AU173/INDEX(FILTER(AT$3:AT173,TRIM(AT$3:AT173)&lt;&gt;""""),ROWS(FILTER(AT$3:AT173,TRIM(AT$3:AT173)&lt;&gt;"""")))-1)"),"")</f>
        <v/>
      </c>
      <c r="AW173" s="65" t="e">
        <f t="shared" ca="1" si="24"/>
        <v>#VALUE!</v>
      </c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ht="19" x14ac:dyDescent="0.25">
      <c r="A174" s="5"/>
      <c r="B174" s="5"/>
      <c r="C174" s="5"/>
      <c r="D174" s="5"/>
      <c r="E174" s="5"/>
      <c r="F174" s="5"/>
      <c r="G174" s="5"/>
      <c r="H174" s="6"/>
      <c r="I174" s="5"/>
      <c r="J174" s="83"/>
      <c r="K174" s="83"/>
      <c r="L174" s="83"/>
      <c r="M174" s="83"/>
      <c r="N174" s="83"/>
      <c r="O174" s="83"/>
      <c r="P174" s="83"/>
      <c r="Q174" s="84"/>
      <c r="R174" s="83"/>
      <c r="S174" s="83"/>
      <c r="T174" s="85"/>
      <c r="U174" s="6"/>
      <c r="V174" s="44">
        <v>44167</v>
      </c>
      <c r="W174" s="45">
        <v>119.03</v>
      </c>
      <c r="X174" s="46"/>
      <c r="Y174" s="61"/>
      <c r="Z174" s="5"/>
      <c r="AA174" s="5"/>
      <c r="AB174" s="5"/>
      <c r="AC174" s="5"/>
      <c r="AD174" s="5"/>
      <c r="AE174" s="5"/>
      <c r="AF174" s="5"/>
      <c r="AG174" s="5"/>
      <c r="AH174" s="6"/>
      <c r="AI174" s="44">
        <v>44167</v>
      </c>
      <c r="AJ174" s="53">
        <v>119.03</v>
      </c>
      <c r="AK174" s="54">
        <f t="shared" si="22"/>
        <v>1.1815708942536585E-2</v>
      </c>
      <c r="AL174" s="55">
        <f t="shared" si="25"/>
        <v>11.114962448384135</v>
      </c>
      <c r="AM174" s="56">
        <v>25</v>
      </c>
      <c r="AN174" s="57">
        <f t="shared" si="23"/>
        <v>13.885037551615865</v>
      </c>
      <c r="AO174" s="76">
        <f t="shared" si="26"/>
        <v>-0.16965396735632546</v>
      </c>
      <c r="AP174" s="63" t="str">
        <f t="shared" si="27"/>
        <v/>
      </c>
      <c r="AQ174" s="63" t="str">
        <f t="shared" si="28"/>
        <v>Sell Stocks</v>
      </c>
      <c r="AR174" s="63" t="str">
        <f t="shared" si="29"/>
        <v/>
      </c>
      <c r="AS174" s="63" t="str">
        <f t="shared" si="30"/>
        <v/>
      </c>
      <c r="AT174" s="78" t="str">
        <f t="shared" si="31"/>
        <v/>
      </c>
      <c r="AU174" s="78" t="str">
        <f t="shared" si="32"/>
        <v/>
      </c>
      <c r="AV174" s="64" t="str">
        <f ca="1">IFERROR(__xludf.DUMMYFUNCTION("IF(TRIM(AU174)="""","""",AU174/INDEX(FILTER(AT$3:AT174,TRIM(AT$3:AT174)&lt;&gt;""""),ROWS(FILTER(AT$3:AT174,TRIM(AT$3:AT174)&lt;&gt;"""")))-1)"),"")</f>
        <v/>
      </c>
      <c r="AW174" s="65" t="e">
        <f t="shared" ca="1" si="24"/>
        <v>#VALUE!</v>
      </c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ht="19" x14ac:dyDescent="0.25">
      <c r="A175" s="5"/>
      <c r="B175" s="5"/>
      <c r="C175" s="5"/>
      <c r="D175" s="5"/>
      <c r="E175" s="5"/>
      <c r="F175" s="5"/>
      <c r="G175" s="5"/>
      <c r="H175" s="6"/>
      <c r="I175" s="5"/>
      <c r="J175" s="83"/>
      <c r="K175" s="83"/>
      <c r="L175" s="83"/>
      <c r="M175" s="83"/>
      <c r="N175" s="83"/>
      <c r="O175" s="83"/>
      <c r="P175" s="83"/>
      <c r="Q175" s="84"/>
      <c r="R175" s="83"/>
      <c r="S175" s="83"/>
      <c r="T175" s="85"/>
      <c r="U175" s="6"/>
      <c r="V175" s="44">
        <v>44168</v>
      </c>
      <c r="W175" s="45">
        <v>118.07</v>
      </c>
      <c r="X175" s="46"/>
      <c r="Y175" s="61"/>
      <c r="Z175" s="5"/>
      <c r="AA175" s="5"/>
      <c r="AB175" s="5"/>
      <c r="AC175" s="5"/>
      <c r="AD175" s="5"/>
      <c r="AE175" s="5"/>
      <c r="AF175" s="5"/>
      <c r="AG175" s="5"/>
      <c r="AH175" s="6"/>
      <c r="AI175" s="44">
        <v>44168</v>
      </c>
      <c r="AJ175" s="53">
        <v>118.07</v>
      </c>
      <c r="AK175" s="54">
        <f t="shared" si="22"/>
        <v>-8.0651936486600961E-3</v>
      </c>
      <c r="AL175" s="55">
        <f t="shared" si="25"/>
        <v>12.65890521484185</v>
      </c>
      <c r="AM175" s="56">
        <v>25</v>
      </c>
      <c r="AN175" s="57">
        <f t="shared" si="23"/>
        <v>12.34109478515815</v>
      </c>
      <c r="AO175" s="76">
        <f t="shared" si="26"/>
        <v>2.9244742630758664</v>
      </c>
      <c r="AP175" s="63" t="str">
        <f t="shared" si="27"/>
        <v>Buy Stocks</v>
      </c>
      <c r="AQ175" s="63" t="str">
        <f t="shared" si="28"/>
        <v/>
      </c>
      <c r="AR175" s="63" t="str">
        <f t="shared" si="29"/>
        <v>Buy Stocks</v>
      </c>
      <c r="AS175" s="63" t="str">
        <f t="shared" si="30"/>
        <v/>
      </c>
      <c r="AT175" s="77">
        <f t="shared" si="31"/>
        <v>118.07</v>
      </c>
      <c r="AU175" s="78" t="str">
        <f t="shared" si="32"/>
        <v/>
      </c>
      <c r="AV175" s="64" t="str">
        <f ca="1">IFERROR(__xludf.DUMMYFUNCTION("IF(TRIM(AU175)="""","""",AU175/INDEX(FILTER(AT$3:AT175,TRIM(AT$3:AT175)&lt;&gt;""""),ROWS(FILTER(AT$3:AT175,TRIM(AT$3:AT175)&lt;&gt;"""")))-1)"),"")</f>
        <v/>
      </c>
      <c r="AW175" s="65" t="e">
        <f t="shared" ca="1" si="24"/>
        <v>#VALUE!</v>
      </c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ht="19" x14ac:dyDescent="0.25">
      <c r="A176" s="5"/>
      <c r="B176" s="5"/>
      <c r="C176" s="5"/>
      <c r="D176" s="5"/>
      <c r="E176" s="5"/>
      <c r="F176" s="5"/>
      <c r="G176" s="5"/>
      <c r="H176" s="6"/>
      <c r="I176" s="5"/>
      <c r="J176" s="83"/>
      <c r="K176" s="83"/>
      <c r="L176" s="83"/>
      <c r="M176" s="83"/>
      <c r="N176" s="83"/>
      <c r="O176" s="83"/>
      <c r="P176" s="83"/>
      <c r="Q176" s="84"/>
      <c r="R176" s="83"/>
      <c r="S176" s="83"/>
      <c r="T176" s="85"/>
      <c r="U176" s="6"/>
      <c r="V176" s="44">
        <v>44169</v>
      </c>
      <c r="W176" s="45">
        <v>121.5</v>
      </c>
      <c r="X176" s="46"/>
      <c r="Y176" s="61"/>
      <c r="Z176" s="5"/>
      <c r="AA176" s="5"/>
      <c r="AB176" s="5"/>
      <c r="AC176" s="5"/>
      <c r="AD176" s="5"/>
      <c r="AE176" s="5"/>
      <c r="AF176" s="5"/>
      <c r="AG176" s="5"/>
      <c r="AH176" s="6"/>
      <c r="AI176" s="44">
        <v>44169</v>
      </c>
      <c r="AJ176" s="53">
        <v>121.5</v>
      </c>
      <c r="AK176" s="54">
        <f t="shared" si="22"/>
        <v>2.9050563225205384E-2</v>
      </c>
      <c r="AL176" s="55">
        <f t="shared" si="25"/>
        <v>25.010081784732428</v>
      </c>
      <c r="AM176" s="56">
        <v>25</v>
      </c>
      <c r="AN176" s="57">
        <f t="shared" si="23"/>
        <v>-1.0081784732427934E-2</v>
      </c>
      <c r="AO176" s="76">
        <f t="shared" si="26"/>
        <v>3.6542854311293302</v>
      </c>
      <c r="AP176" s="63" t="str">
        <f t="shared" si="27"/>
        <v>Buy Stocks</v>
      </c>
      <c r="AQ176" s="63" t="str">
        <f t="shared" si="28"/>
        <v/>
      </c>
      <c r="AR176" s="63" t="str">
        <f t="shared" si="29"/>
        <v/>
      </c>
      <c r="AS176" s="63" t="str">
        <f t="shared" si="30"/>
        <v/>
      </c>
      <c r="AT176" s="78" t="str">
        <f t="shared" si="31"/>
        <v/>
      </c>
      <c r="AU176" s="78" t="str">
        <f t="shared" si="32"/>
        <v/>
      </c>
      <c r="AV176" s="64" t="str">
        <f ca="1">IFERROR(__xludf.DUMMYFUNCTION("IF(TRIM(AU176)="""","""",AU176/INDEX(FILTER(AT$3:AT176,TRIM(AT$3:AT176)&lt;&gt;""""),ROWS(FILTER(AT$3:AT176,TRIM(AT$3:AT176)&lt;&gt;"""")))-1)"),"")</f>
        <v/>
      </c>
      <c r="AW176" s="65" t="e">
        <f t="shared" ca="1" si="24"/>
        <v>#VALUE!</v>
      </c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ht="19" x14ac:dyDescent="0.25">
      <c r="A177" s="5"/>
      <c r="B177" s="5"/>
      <c r="C177" s="5"/>
      <c r="D177" s="5"/>
      <c r="E177" s="5"/>
      <c r="F177" s="5"/>
      <c r="G177" s="5"/>
      <c r="H177" s="6"/>
      <c r="I177" s="5"/>
      <c r="J177" s="83"/>
      <c r="K177" s="83"/>
      <c r="L177" s="83"/>
      <c r="M177" s="83"/>
      <c r="N177" s="83"/>
      <c r="O177" s="83"/>
      <c r="P177" s="83"/>
      <c r="Q177" s="84"/>
      <c r="R177" s="83"/>
      <c r="S177" s="83"/>
      <c r="T177" s="85"/>
      <c r="U177" s="6"/>
      <c r="V177" s="44">
        <v>44172</v>
      </c>
      <c r="W177" s="45">
        <v>119.11</v>
      </c>
      <c r="X177" s="46"/>
      <c r="Y177" s="61"/>
      <c r="Z177" s="5"/>
      <c r="AA177" s="5"/>
      <c r="AB177" s="5"/>
      <c r="AC177" s="5"/>
      <c r="AD177" s="5"/>
      <c r="AE177" s="5"/>
      <c r="AF177" s="5"/>
      <c r="AG177" s="5"/>
      <c r="AH177" s="6"/>
      <c r="AI177" s="44">
        <v>44172</v>
      </c>
      <c r="AJ177" s="53">
        <v>119.11</v>
      </c>
      <c r="AK177" s="54">
        <f t="shared" si="22"/>
        <v>-1.9670781893004086E-2</v>
      </c>
      <c r="AL177" s="55">
        <f t="shared" si="25"/>
        <v>29.939676219413393</v>
      </c>
      <c r="AM177" s="56">
        <v>25</v>
      </c>
      <c r="AN177" s="57">
        <f t="shared" si="23"/>
        <v>-4.9396762194133927</v>
      </c>
      <c r="AO177" s="76">
        <f t="shared" si="26"/>
        <v>3.7120303321863353</v>
      </c>
      <c r="AP177" s="63" t="str">
        <f t="shared" si="27"/>
        <v>Buy Stocks</v>
      </c>
      <c r="AQ177" s="63" t="str">
        <f t="shared" si="28"/>
        <v/>
      </c>
      <c r="AR177" s="63" t="str">
        <f t="shared" si="29"/>
        <v/>
      </c>
      <c r="AS177" s="63" t="str">
        <f t="shared" si="30"/>
        <v/>
      </c>
      <c r="AT177" s="78" t="str">
        <f t="shared" si="31"/>
        <v/>
      </c>
      <c r="AU177" s="78" t="str">
        <f t="shared" si="32"/>
        <v/>
      </c>
      <c r="AV177" s="64" t="str">
        <f ca="1">IFERROR(__xludf.DUMMYFUNCTION("IF(TRIM(AU177)="""","""",AU177/INDEX(FILTER(AT$3:AT177,TRIM(AT$3:AT177)&lt;&gt;""""),ROWS(FILTER(AT$3:AT177,TRIM(AT$3:AT177)&lt;&gt;"""")))-1)"),"")</f>
        <v/>
      </c>
      <c r="AW177" s="65" t="e">
        <f t="shared" ca="1" si="24"/>
        <v>#VALUE!</v>
      </c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ht="19" x14ac:dyDescent="0.25">
      <c r="A178" s="5"/>
      <c r="B178" s="5"/>
      <c r="C178" s="5"/>
      <c r="D178" s="5"/>
      <c r="E178" s="5"/>
      <c r="F178" s="5"/>
      <c r="G178" s="5"/>
      <c r="H178" s="6"/>
      <c r="I178" s="5"/>
      <c r="J178" s="83"/>
      <c r="K178" s="83"/>
      <c r="L178" s="83"/>
      <c r="M178" s="83"/>
      <c r="N178" s="83"/>
      <c r="O178" s="83"/>
      <c r="P178" s="83"/>
      <c r="Q178" s="84"/>
      <c r="R178" s="83"/>
      <c r="S178" s="83"/>
      <c r="T178" s="85"/>
      <c r="U178" s="6"/>
      <c r="V178" s="44">
        <v>44173</v>
      </c>
      <c r="W178" s="45">
        <v>120.07</v>
      </c>
      <c r="X178" s="46"/>
      <c r="Y178" s="61"/>
      <c r="Z178" s="5"/>
      <c r="AA178" s="5"/>
      <c r="AB178" s="5"/>
      <c r="AC178" s="5"/>
      <c r="AD178" s="5"/>
      <c r="AE178" s="5"/>
      <c r="AF178" s="5"/>
      <c r="AG178" s="5"/>
      <c r="AH178" s="6"/>
      <c r="AI178" s="44">
        <v>44173</v>
      </c>
      <c r="AJ178" s="53">
        <v>120.07</v>
      </c>
      <c r="AK178" s="54">
        <f t="shared" si="22"/>
        <v>8.0597766770211798E-3</v>
      </c>
      <c r="AL178" s="55">
        <f t="shared" si="25"/>
        <v>29.811647095844368</v>
      </c>
      <c r="AM178" s="56">
        <v>25</v>
      </c>
      <c r="AN178" s="57">
        <f t="shared" si="23"/>
        <v>-4.8116470958443678</v>
      </c>
      <c r="AO178" s="76">
        <f t="shared" si="26"/>
        <v>3.2929454473567654</v>
      </c>
      <c r="AP178" s="63" t="str">
        <f t="shared" si="27"/>
        <v>Buy Stocks</v>
      </c>
      <c r="AQ178" s="63" t="str">
        <f t="shared" si="28"/>
        <v/>
      </c>
      <c r="AR178" s="63" t="str">
        <f t="shared" si="29"/>
        <v/>
      </c>
      <c r="AS178" s="63" t="str">
        <f t="shared" si="30"/>
        <v/>
      </c>
      <c r="AT178" s="78" t="str">
        <f t="shared" si="31"/>
        <v/>
      </c>
      <c r="AU178" s="78" t="str">
        <f t="shared" si="32"/>
        <v/>
      </c>
      <c r="AV178" s="64" t="str">
        <f ca="1">IFERROR(__xludf.DUMMYFUNCTION("IF(TRIM(AU178)="""","""",AU178/INDEX(FILTER(AT$3:AT178,TRIM(AT$3:AT178)&lt;&gt;""""),ROWS(FILTER(AT$3:AT178,TRIM(AT$3:AT178)&lt;&gt;"""")))-1)"),"")</f>
        <v/>
      </c>
      <c r="AW178" s="65" t="e">
        <f t="shared" ca="1" si="24"/>
        <v>#VALUE!</v>
      </c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ht="19" x14ac:dyDescent="0.25">
      <c r="A179" s="5"/>
      <c r="B179" s="5"/>
      <c r="C179" s="5"/>
      <c r="D179" s="5"/>
      <c r="E179" s="5"/>
      <c r="F179" s="5"/>
      <c r="G179" s="5"/>
      <c r="H179" s="6"/>
      <c r="I179" s="5"/>
      <c r="J179" s="83"/>
      <c r="K179" s="83"/>
      <c r="L179" s="83"/>
      <c r="M179" s="83"/>
      <c r="N179" s="83"/>
      <c r="O179" s="83"/>
      <c r="P179" s="83"/>
      <c r="Q179" s="84"/>
      <c r="R179" s="83"/>
      <c r="S179" s="83"/>
      <c r="T179" s="85"/>
      <c r="U179" s="6"/>
      <c r="V179" s="44">
        <v>44174</v>
      </c>
      <c r="W179" s="45">
        <v>121.11</v>
      </c>
      <c r="X179" s="46"/>
      <c r="Y179" s="61"/>
      <c r="Z179" s="5"/>
      <c r="AA179" s="5"/>
      <c r="AB179" s="5"/>
      <c r="AC179" s="5"/>
      <c r="AD179" s="5"/>
      <c r="AE179" s="5"/>
      <c r="AF179" s="5"/>
      <c r="AG179" s="5"/>
      <c r="AH179" s="6"/>
      <c r="AI179" s="44">
        <v>44174</v>
      </c>
      <c r="AJ179" s="53">
        <v>121.11</v>
      </c>
      <c r="AK179" s="54">
        <f t="shared" si="22"/>
        <v>8.6616140584658829E-3</v>
      </c>
      <c r="AL179" s="55">
        <f t="shared" si="25"/>
        <v>29.387638335989919</v>
      </c>
      <c r="AM179" s="56">
        <v>25</v>
      </c>
      <c r="AN179" s="57">
        <f t="shared" si="23"/>
        <v>-4.3876383359899194</v>
      </c>
      <c r="AO179" s="76">
        <f t="shared" si="26"/>
        <v>-0.36158973016439155</v>
      </c>
      <c r="AP179" s="63" t="str">
        <f t="shared" si="27"/>
        <v/>
      </c>
      <c r="AQ179" s="63" t="str">
        <f t="shared" si="28"/>
        <v>Sell Stocks</v>
      </c>
      <c r="AR179" s="63" t="str">
        <f t="shared" si="29"/>
        <v/>
      </c>
      <c r="AS179" s="63" t="str">
        <f t="shared" si="30"/>
        <v>Sell Stocks</v>
      </c>
      <c r="AT179" s="78" t="str">
        <f t="shared" si="31"/>
        <v/>
      </c>
      <c r="AU179" s="77">
        <f t="shared" si="32"/>
        <v>121.11</v>
      </c>
      <c r="AV179" s="64">
        <f ca="1">IFERROR(__xludf.DUMMYFUNCTION("IF(TRIM(AU179)="""","""",AU179/INDEX(FILTER(AT$3:AT179,TRIM(AT$3:AT179)&lt;&gt;""""),ROWS(FILTER(AT$3:AT179,TRIM(AT$3:AT179)&lt;&gt;"""")))-1)"),0.025747437960532)</f>
        <v>2.5747437960531999E-2</v>
      </c>
      <c r="AW179" s="65" t="e">
        <f t="shared" ca="1" si="24"/>
        <v>#VALUE!</v>
      </c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ht="19" x14ac:dyDescent="0.25">
      <c r="A180" s="5"/>
      <c r="B180" s="5"/>
      <c r="C180" s="5"/>
      <c r="D180" s="5"/>
      <c r="E180" s="5"/>
      <c r="F180" s="5"/>
      <c r="G180" s="5"/>
      <c r="H180" s="6"/>
      <c r="I180" s="5"/>
      <c r="J180" s="83"/>
      <c r="K180" s="83"/>
      <c r="L180" s="83"/>
      <c r="M180" s="83"/>
      <c r="N180" s="83"/>
      <c r="O180" s="83"/>
      <c r="P180" s="83"/>
      <c r="Q180" s="84"/>
      <c r="R180" s="83"/>
      <c r="S180" s="83"/>
      <c r="T180" s="85"/>
      <c r="U180" s="6"/>
      <c r="V180" s="44">
        <v>44175</v>
      </c>
      <c r="W180" s="45">
        <v>119.36</v>
      </c>
      <c r="X180" s="46"/>
      <c r="Y180" s="61"/>
      <c r="Z180" s="5"/>
      <c r="AA180" s="5"/>
      <c r="AB180" s="5"/>
      <c r="AC180" s="5"/>
      <c r="AD180" s="5"/>
      <c r="AE180" s="5"/>
      <c r="AF180" s="5"/>
      <c r="AG180" s="5"/>
      <c r="AH180" s="6"/>
      <c r="AI180" s="44">
        <v>44175</v>
      </c>
      <c r="AJ180" s="53">
        <v>119.36</v>
      </c>
      <c r="AK180" s="54">
        <f t="shared" si="22"/>
        <v>-1.444967385021878E-2</v>
      </c>
      <c r="AL180" s="55">
        <f t="shared" si="25"/>
        <v>31.274190983497292</v>
      </c>
      <c r="AM180" s="56">
        <v>25</v>
      </c>
      <c r="AN180" s="57">
        <f t="shared" si="23"/>
        <v>-6.2741909834972915</v>
      </c>
      <c r="AO180" s="76">
        <f t="shared" si="26"/>
        <v>-4.0846468838954797</v>
      </c>
      <c r="AP180" s="63" t="str">
        <f t="shared" si="27"/>
        <v/>
      </c>
      <c r="AQ180" s="63" t="str">
        <f t="shared" si="28"/>
        <v>Sell Stocks</v>
      </c>
      <c r="AR180" s="63" t="str">
        <f t="shared" si="29"/>
        <v/>
      </c>
      <c r="AS180" s="63" t="str">
        <f t="shared" si="30"/>
        <v/>
      </c>
      <c r="AT180" s="78" t="str">
        <f t="shared" si="31"/>
        <v/>
      </c>
      <c r="AU180" s="78" t="str">
        <f t="shared" si="32"/>
        <v/>
      </c>
      <c r="AV180" s="64" t="str">
        <f ca="1">IFERROR(__xludf.DUMMYFUNCTION("IF(TRIM(AU180)="""","""",AU180/INDEX(FILTER(AT$3:AT180,TRIM(AT$3:AT180)&lt;&gt;""""),ROWS(FILTER(AT$3:AT180,TRIM(AT$3:AT180)&lt;&gt;"""")))-1)"),"")</f>
        <v/>
      </c>
      <c r="AW180" s="65" t="e">
        <f t="shared" ca="1" si="24"/>
        <v>#VALUE!</v>
      </c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ht="19" x14ac:dyDescent="0.25">
      <c r="A181" s="5"/>
      <c r="B181" s="5"/>
      <c r="C181" s="5"/>
      <c r="D181" s="5"/>
      <c r="E181" s="5"/>
      <c r="F181" s="5"/>
      <c r="G181" s="5"/>
      <c r="H181" s="6"/>
      <c r="I181" s="5"/>
      <c r="J181" s="83"/>
      <c r="K181" s="83"/>
      <c r="L181" s="83"/>
      <c r="M181" s="83"/>
      <c r="N181" s="83"/>
      <c r="O181" s="83"/>
      <c r="P181" s="83"/>
      <c r="Q181" s="84"/>
      <c r="R181" s="83"/>
      <c r="S181" s="83"/>
      <c r="T181" s="85"/>
      <c r="U181" s="6"/>
      <c r="V181" s="44">
        <v>44176</v>
      </c>
      <c r="W181" s="45">
        <v>118.7</v>
      </c>
      <c r="X181" s="46"/>
      <c r="Y181" s="61"/>
      <c r="Z181" s="5"/>
      <c r="AA181" s="5"/>
      <c r="AB181" s="5"/>
      <c r="AC181" s="5"/>
      <c r="AD181" s="5"/>
      <c r="AE181" s="5"/>
      <c r="AF181" s="5"/>
      <c r="AG181" s="5"/>
      <c r="AH181" s="6"/>
      <c r="AI181" s="44">
        <v>44176</v>
      </c>
      <c r="AJ181" s="53">
        <v>118.7</v>
      </c>
      <c r="AK181" s="54">
        <f t="shared" si="22"/>
        <v>-5.5294906166220015E-3</v>
      </c>
      <c r="AL181" s="55">
        <f t="shared" si="25"/>
        <v>20.408898324785497</v>
      </c>
      <c r="AM181" s="56">
        <v>25</v>
      </c>
      <c r="AN181" s="57">
        <f t="shared" si="23"/>
        <v>4.5911016752145031</v>
      </c>
      <c r="AO181" s="76">
        <f t="shared" si="26"/>
        <v>-3.1644101919060938</v>
      </c>
      <c r="AP181" s="63" t="str">
        <f t="shared" si="27"/>
        <v/>
      </c>
      <c r="AQ181" s="63" t="str">
        <f t="shared" si="28"/>
        <v>Sell Stocks</v>
      </c>
      <c r="AR181" s="63" t="str">
        <f t="shared" si="29"/>
        <v/>
      </c>
      <c r="AS181" s="63" t="str">
        <f t="shared" si="30"/>
        <v/>
      </c>
      <c r="AT181" s="78" t="str">
        <f t="shared" si="31"/>
        <v/>
      </c>
      <c r="AU181" s="78" t="str">
        <f t="shared" si="32"/>
        <v/>
      </c>
      <c r="AV181" s="64" t="str">
        <f ca="1">IFERROR(__xludf.DUMMYFUNCTION("IF(TRIM(AU181)="""","""",AU181/INDEX(FILTER(AT$3:AT181,TRIM(AT$3:AT181)&lt;&gt;""""),ROWS(FILTER(AT$3:AT181,TRIM(AT$3:AT181)&lt;&gt;"""")))-1)"),"")</f>
        <v/>
      </c>
      <c r="AW181" s="65" t="e">
        <f t="shared" ca="1" si="24"/>
        <v>#VALUE!</v>
      </c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ht="19" x14ac:dyDescent="0.25">
      <c r="A182" s="5"/>
      <c r="B182" s="5"/>
      <c r="C182" s="5"/>
      <c r="D182" s="5"/>
      <c r="E182" s="5"/>
      <c r="F182" s="5"/>
      <c r="G182" s="5"/>
      <c r="H182" s="6"/>
      <c r="I182" s="5"/>
      <c r="J182" s="83"/>
      <c r="K182" s="83"/>
      <c r="L182" s="83"/>
      <c r="M182" s="83"/>
      <c r="N182" s="83"/>
      <c r="O182" s="83"/>
      <c r="P182" s="83"/>
      <c r="Q182" s="84"/>
      <c r="R182" s="83"/>
      <c r="S182" s="83"/>
      <c r="T182" s="85"/>
      <c r="U182" s="6"/>
      <c r="V182" s="44">
        <v>44179</v>
      </c>
      <c r="W182" s="45">
        <v>117.99</v>
      </c>
      <c r="X182" s="46"/>
      <c r="Y182" s="61"/>
      <c r="Z182" s="5"/>
      <c r="AA182" s="5"/>
      <c r="AB182" s="5"/>
      <c r="AC182" s="5"/>
      <c r="AD182" s="5"/>
      <c r="AE182" s="5"/>
      <c r="AF182" s="5"/>
      <c r="AG182" s="5"/>
      <c r="AH182" s="6"/>
      <c r="AI182" s="44">
        <v>44179</v>
      </c>
      <c r="AJ182" s="53">
        <v>117.99</v>
      </c>
      <c r="AK182" s="54">
        <f t="shared" si="22"/>
        <v>-5.9814658803707399E-3</v>
      </c>
      <c r="AL182" s="55">
        <f t="shared" si="25"/>
        <v>15.835908175387928</v>
      </c>
      <c r="AM182" s="56">
        <v>25</v>
      </c>
      <c r="AN182" s="57">
        <f t="shared" si="23"/>
        <v>9.1640918246120719</v>
      </c>
      <c r="AO182" s="76">
        <f t="shared" si="26"/>
        <v>-0.34365658310100072</v>
      </c>
      <c r="AP182" s="63" t="str">
        <f t="shared" si="27"/>
        <v/>
      </c>
      <c r="AQ182" s="63" t="str">
        <f t="shared" si="28"/>
        <v>Sell Stocks</v>
      </c>
      <c r="AR182" s="63" t="str">
        <f t="shared" si="29"/>
        <v/>
      </c>
      <c r="AS182" s="63" t="str">
        <f t="shared" si="30"/>
        <v/>
      </c>
      <c r="AT182" s="78" t="str">
        <f t="shared" si="31"/>
        <v/>
      </c>
      <c r="AU182" s="78" t="str">
        <f t="shared" si="32"/>
        <v/>
      </c>
      <c r="AV182" s="64" t="str">
        <f ca="1">IFERROR(__xludf.DUMMYFUNCTION("IF(TRIM(AU182)="""","""",AU182/INDEX(FILTER(AT$3:AT182,TRIM(AT$3:AT182)&lt;&gt;""""),ROWS(FILTER(AT$3:AT182,TRIM(AT$3:AT182)&lt;&gt;"""")))-1)"),"")</f>
        <v/>
      </c>
      <c r="AW182" s="65" t="e">
        <f t="shared" ca="1" si="24"/>
        <v>#VALUE!</v>
      </c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ht="19" x14ac:dyDescent="0.25">
      <c r="A183" s="5"/>
      <c r="B183" s="5"/>
      <c r="C183" s="5"/>
      <c r="D183" s="5"/>
      <c r="E183" s="5"/>
      <c r="F183" s="5"/>
      <c r="G183" s="5"/>
      <c r="H183" s="6"/>
      <c r="I183" s="5"/>
      <c r="J183" s="83"/>
      <c r="K183" s="83"/>
      <c r="L183" s="83"/>
      <c r="M183" s="83"/>
      <c r="N183" s="83"/>
      <c r="O183" s="83"/>
      <c r="P183" s="83"/>
      <c r="Q183" s="84"/>
      <c r="R183" s="83"/>
      <c r="S183" s="83"/>
      <c r="T183" s="85"/>
      <c r="U183" s="6"/>
      <c r="V183" s="44">
        <v>44180</v>
      </c>
      <c r="W183" s="45">
        <v>120.28</v>
      </c>
      <c r="X183" s="46"/>
      <c r="Y183" s="61"/>
      <c r="Z183" s="5"/>
      <c r="AA183" s="5"/>
      <c r="AB183" s="5"/>
      <c r="AC183" s="5"/>
      <c r="AD183" s="5"/>
      <c r="AE183" s="5"/>
      <c r="AF183" s="5"/>
      <c r="AG183" s="5"/>
      <c r="AH183" s="6"/>
      <c r="AI183" s="44">
        <v>44180</v>
      </c>
      <c r="AJ183" s="53">
        <v>120.28</v>
      </c>
      <c r="AK183" s="54">
        <f t="shared" si="22"/>
        <v>1.9408424442749483E-2</v>
      </c>
      <c r="AL183" s="55">
        <f t="shared" si="25"/>
        <v>21.385956061241838</v>
      </c>
      <c r="AM183" s="56">
        <v>25</v>
      </c>
      <c r="AN183" s="57">
        <f t="shared" si="23"/>
        <v>3.6140439387581615</v>
      </c>
      <c r="AO183" s="76">
        <f t="shared" si="26"/>
        <v>1.3414816238195051</v>
      </c>
      <c r="AP183" s="63" t="str">
        <f t="shared" si="27"/>
        <v>Buy Stocks</v>
      </c>
      <c r="AQ183" s="63" t="str">
        <f t="shared" si="28"/>
        <v/>
      </c>
      <c r="AR183" s="63" t="str">
        <f t="shared" si="29"/>
        <v>Buy Stocks</v>
      </c>
      <c r="AS183" s="63" t="str">
        <f t="shared" si="30"/>
        <v/>
      </c>
      <c r="AT183" s="77">
        <f t="shared" si="31"/>
        <v>120.28</v>
      </c>
      <c r="AU183" s="78" t="str">
        <f t="shared" si="32"/>
        <v/>
      </c>
      <c r="AV183" s="64" t="str">
        <f ca="1">IFERROR(__xludf.DUMMYFUNCTION("IF(TRIM(AU183)="""","""",AU183/INDEX(FILTER(AT$3:AT183,TRIM(AT$3:AT183)&lt;&gt;""""),ROWS(FILTER(AT$3:AT183,TRIM(AT$3:AT183)&lt;&gt;"""")))-1)"),"")</f>
        <v/>
      </c>
      <c r="AW183" s="65" t="e">
        <f t="shared" ca="1" si="24"/>
        <v>#VALUE!</v>
      </c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ht="19" x14ac:dyDescent="0.25">
      <c r="A184" s="5"/>
      <c r="B184" s="5"/>
      <c r="C184" s="5"/>
      <c r="D184" s="5"/>
      <c r="E184" s="5"/>
      <c r="F184" s="5"/>
      <c r="G184" s="5"/>
      <c r="H184" s="6"/>
      <c r="I184" s="5"/>
      <c r="J184" s="83"/>
      <c r="K184" s="83"/>
      <c r="L184" s="83"/>
      <c r="M184" s="83"/>
      <c r="N184" s="83"/>
      <c r="O184" s="83"/>
      <c r="P184" s="83"/>
      <c r="Q184" s="84"/>
      <c r="R184" s="83"/>
      <c r="S184" s="83"/>
      <c r="T184" s="85"/>
      <c r="U184" s="6"/>
      <c r="V184" s="44">
        <v>44181</v>
      </c>
      <c r="W184" s="45">
        <v>119.92</v>
      </c>
      <c r="X184" s="46"/>
      <c r="Y184" s="61"/>
      <c r="Z184" s="5"/>
      <c r="AA184" s="5"/>
      <c r="AB184" s="5"/>
      <c r="AC184" s="5"/>
      <c r="AD184" s="5"/>
      <c r="AE184" s="5"/>
      <c r="AF184" s="5"/>
      <c r="AG184" s="5"/>
      <c r="AH184" s="6"/>
      <c r="AI184" s="44">
        <v>44181</v>
      </c>
      <c r="AJ184" s="53">
        <v>119.92</v>
      </c>
      <c r="AK184" s="54">
        <f t="shared" si="22"/>
        <v>-2.9930162953109019E-3</v>
      </c>
      <c r="AL184" s="55">
        <f t="shared" si="25"/>
        <v>20.120102825284498</v>
      </c>
      <c r="AM184" s="56">
        <v>25</v>
      </c>
      <c r="AN184" s="57">
        <f t="shared" si="23"/>
        <v>4.8798971747155022</v>
      </c>
      <c r="AO184" s="76">
        <f t="shared" si="26"/>
        <v>3.1949887259605894</v>
      </c>
      <c r="AP184" s="63" t="str">
        <f t="shared" si="27"/>
        <v>Buy Stocks</v>
      </c>
      <c r="AQ184" s="63" t="str">
        <f t="shared" si="28"/>
        <v/>
      </c>
      <c r="AR184" s="63" t="str">
        <f t="shared" si="29"/>
        <v/>
      </c>
      <c r="AS184" s="63" t="str">
        <f t="shared" si="30"/>
        <v/>
      </c>
      <c r="AT184" s="78" t="str">
        <f t="shared" si="31"/>
        <v/>
      </c>
      <c r="AU184" s="78" t="str">
        <f t="shared" si="32"/>
        <v/>
      </c>
      <c r="AV184" s="64" t="str">
        <f ca="1">IFERROR(__xludf.DUMMYFUNCTION("IF(TRIM(AU184)="""","""",AU184/INDEX(FILTER(AT$3:AT184,TRIM(AT$3:AT184)&lt;&gt;""""),ROWS(FILTER(AT$3:AT184,TRIM(AT$3:AT184)&lt;&gt;"""")))-1)"),"")</f>
        <v/>
      </c>
      <c r="AW184" s="65" t="e">
        <f t="shared" ca="1" si="24"/>
        <v>#VALUE!</v>
      </c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ht="19" x14ac:dyDescent="0.25">
      <c r="A185" s="5"/>
      <c r="B185" s="5"/>
      <c r="C185" s="5"/>
      <c r="D185" s="5"/>
      <c r="E185" s="5"/>
      <c r="F185" s="5"/>
      <c r="G185" s="5"/>
      <c r="H185" s="6"/>
      <c r="I185" s="5"/>
      <c r="J185" s="83"/>
      <c r="K185" s="83"/>
      <c r="L185" s="83"/>
      <c r="M185" s="83"/>
      <c r="N185" s="83"/>
      <c r="O185" s="83"/>
      <c r="P185" s="83"/>
      <c r="Q185" s="84"/>
      <c r="R185" s="83"/>
      <c r="S185" s="83"/>
      <c r="T185" s="85"/>
      <c r="U185" s="6"/>
      <c r="V185" s="44">
        <v>44182</v>
      </c>
      <c r="W185" s="45">
        <v>119.92</v>
      </c>
      <c r="X185" s="46"/>
      <c r="Y185" s="61"/>
      <c r="Z185" s="5"/>
      <c r="AA185" s="5"/>
      <c r="AB185" s="5"/>
      <c r="AC185" s="5"/>
      <c r="AD185" s="5"/>
      <c r="AE185" s="5"/>
      <c r="AF185" s="5"/>
      <c r="AG185" s="5"/>
      <c r="AH185" s="6"/>
      <c r="AI185" s="44">
        <v>44182</v>
      </c>
      <c r="AJ185" s="53">
        <v>119.92</v>
      </c>
      <c r="AK185" s="54">
        <f t="shared" si="22"/>
        <v>0</v>
      </c>
      <c r="AL185" s="55">
        <f t="shared" si="25"/>
        <v>16.784759785869994</v>
      </c>
      <c r="AM185" s="56">
        <v>25</v>
      </c>
      <c r="AN185" s="57">
        <f t="shared" si="23"/>
        <v>8.2152402141300058</v>
      </c>
      <c r="AO185" s="76">
        <f t="shared" si="26"/>
        <v>6.0928749654860486</v>
      </c>
      <c r="AP185" s="63" t="str">
        <f t="shared" si="27"/>
        <v>Buy Stocks</v>
      </c>
      <c r="AQ185" s="63" t="str">
        <f t="shared" si="28"/>
        <v/>
      </c>
      <c r="AR185" s="63" t="str">
        <f t="shared" si="29"/>
        <v/>
      </c>
      <c r="AS185" s="63" t="str">
        <f t="shared" si="30"/>
        <v/>
      </c>
      <c r="AT185" s="78" t="str">
        <f t="shared" si="31"/>
        <v/>
      </c>
      <c r="AU185" s="78" t="str">
        <f t="shared" si="32"/>
        <v/>
      </c>
      <c r="AV185" s="64" t="str">
        <f ca="1">IFERROR(__xludf.DUMMYFUNCTION("IF(TRIM(AU185)="""","""",AU185/INDEX(FILTER(AT$3:AT185,TRIM(AT$3:AT185)&lt;&gt;""""),ROWS(FILTER(AT$3:AT185,TRIM(AT$3:AT185)&lt;&gt;"""")))-1)"),"")</f>
        <v/>
      </c>
      <c r="AW185" s="65" t="e">
        <f t="shared" ca="1" si="24"/>
        <v>#VALUE!</v>
      </c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ht="19" x14ac:dyDescent="0.25">
      <c r="A186" s="5"/>
      <c r="B186" s="5"/>
      <c r="C186" s="5"/>
      <c r="D186" s="5"/>
      <c r="E186" s="5"/>
      <c r="F186" s="5"/>
      <c r="G186" s="5"/>
      <c r="H186" s="6"/>
      <c r="I186" s="5"/>
      <c r="J186" s="83"/>
      <c r="K186" s="83"/>
      <c r="L186" s="83"/>
      <c r="M186" s="83"/>
      <c r="N186" s="83"/>
      <c r="O186" s="83"/>
      <c r="P186" s="83"/>
      <c r="Q186" s="84"/>
      <c r="R186" s="83"/>
      <c r="S186" s="83"/>
      <c r="T186" s="85"/>
      <c r="U186" s="6"/>
      <c r="V186" s="44">
        <v>44183</v>
      </c>
      <c r="W186" s="45">
        <v>120.21</v>
      </c>
      <c r="X186" s="46"/>
      <c r="Y186" s="61"/>
      <c r="Z186" s="5"/>
      <c r="AA186" s="5"/>
      <c r="AB186" s="5"/>
      <c r="AC186" s="5"/>
      <c r="AD186" s="5"/>
      <c r="AE186" s="5"/>
      <c r="AF186" s="5"/>
      <c r="AG186" s="5"/>
      <c r="AH186" s="6"/>
      <c r="AI186" s="44">
        <v>44183</v>
      </c>
      <c r="AJ186" s="53">
        <v>120.21</v>
      </c>
      <c r="AK186" s="54">
        <f t="shared" si="22"/>
        <v>2.4182788525684007E-3</v>
      </c>
      <c r="AL186" s="55">
        <f t="shared" si="25"/>
        <v>15.75970051348215</v>
      </c>
      <c r="AM186" s="56">
        <v>25</v>
      </c>
      <c r="AN186" s="57">
        <f t="shared" si="23"/>
        <v>9.2402994865178503</v>
      </c>
      <c r="AO186" s="76">
        <f t="shared" si="26"/>
        <v>7.0227145277467189</v>
      </c>
      <c r="AP186" s="63" t="str">
        <f t="shared" si="27"/>
        <v>Buy Stocks</v>
      </c>
      <c r="AQ186" s="63" t="str">
        <f t="shared" si="28"/>
        <v/>
      </c>
      <c r="AR186" s="63" t="str">
        <f t="shared" si="29"/>
        <v/>
      </c>
      <c r="AS186" s="63" t="str">
        <f t="shared" si="30"/>
        <v/>
      </c>
      <c r="AT186" s="78" t="str">
        <f t="shared" si="31"/>
        <v/>
      </c>
      <c r="AU186" s="78" t="str">
        <f t="shared" si="32"/>
        <v/>
      </c>
      <c r="AV186" s="64" t="str">
        <f ca="1">IFERROR(__xludf.DUMMYFUNCTION("IF(TRIM(AU186)="""","""",AU186/INDEX(FILTER(AT$3:AT186,TRIM(AT$3:AT186)&lt;&gt;""""),ROWS(FILTER(AT$3:AT186,TRIM(AT$3:AT186)&lt;&gt;"""")))-1)"),"")</f>
        <v/>
      </c>
      <c r="AW186" s="65" t="e">
        <f t="shared" ca="1" si="24"/>
        <v>#VALUE!</v>
      </c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ht="19" x14ac:dyDescent="0.25">
      <c r="A187" s="5"/>
      <c r="B187" s="5"/>
      <c r="C187" s="5"/>
      <c r="D187" s="5"/>
      <c r="E187" s="5"/>
      <c r="F187" s="5"/>
      <c r="G187" s="5"/>
      <c r="H187" s="6"/>
      <c r="I187" s="5"/>
      <c r="J187" s="83"/>
      <c r="K187" s="83"/>
      <c r="L187" s="83"/>
      <c r="M187" s="83"/>
      <c r="N187" s="83"/>
      <c r="O187" s="83"/>
      <c r="P187" s="83"/>
      <c r="Q187" s="84"/>
      <c r="R187" s="83"/>
      <c r="S187" s="83"/>
      <c r="T187" s="85"/>
      <c r="U187" s="6"/>
      <c r="V187" s="44">
        <v>44186</v>
      </c>
      <c r="W187" s="45">
        <v>117.86</v>
      </c>
      <c r="X187" s="46"/>
      <c r="Y187" s="61"/>
      <c r="Z187" s="5"/>
      <c r="AA187" s="5"/>
      <c r="AB187" s="5"/>
      <c r="AC187" s="5"/>
      <c r="AD187" s="5"/>
      <c r="AE187" s="5"/>
      <c r="AF187" s="5"/>
      <c r="AG187" s="5"/>
      <c r="AH187" s="6"/>
      <c r="AI187" s="44">
        <v>44186</v>
      </c>
      <c r="AJ187" s="53">
        <v>117.86</v>
      </c>
      <c r="AK187" s="54">
        <f t="shared" si="22"/>
        <v>-1.9549122369187155E-2</v>
      </c>
      <c r="AL187" s="55">
        <f t="shared" si="25"/>
        <v>22.075827364867436</v>
      </c>
      <c r="AM187" s="56">
        <v>25</v>
      </c>
      <c r="AN187" s="57">
        <f t="shared" si="23"/>
        <v>2.9241726351325639</v>
      </c>
      <c r="AO187" s="76">
        <f t="shared" si="26"/>
        <v>5.7747306898508173</v>
      </c>
      <c r="AP187" s="63" t="str">
        <f t="shared" si="27"/>
        <v>Buy Stocks</v>
      </c>
      <c r="AQ187" s="63" t="str">
        <f t="shared" si="28"/>
        <v/>
      </c>
      <c r="AR187" s="63" t="str">
        <f t="shared" si="29"/>
        <v/>
      </c>
      <c r="AS187" s="63" t="str">
        <f t="shared" si="30"/>
        <v/>
      </c>
      <c r="AT187" s="78" t="str">
        <f t="shared" si="31"/>
        <v/>
      </c>
      <c r="AU187" s="78" t="str">
        <f t="shared" si="32"/>
        <v/>
      </c>
      <c r="AV187" s="64" t="str">
        <f ca="1">IFERROR(__xludf.DUMMYFUNCTION("IF(TRIM(AU187)="""","""",AU187/INDEX(FILTER(AT$3:AT187,TRIM(AT$3:AT187)&lt;&gt;""""),ROWS(FILTER(AT$3:AT187,TRIM(AT$3:AT187)&lt;&gt;"""")))-1)"),"")</f>
        <v/>
      </c>
      <c r="AW187" s="65" t="e">
        <f t="shared" ca="1" si="24"/>
        <v>#VALUE!</v>
      </c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ht="19" x14ac:dyDescent="0.25">
      <c r="A188" s="5"/>
      <c r="B188" s="5"/>
      <c r="C188" s="5"/>
      <c r="D188" s="5"/>
      <c r="E188" s="5"/>
      <c r="F188" s="5"/>
      <c r="G188" s="5"/>
      <c r="H188" s="6"/>
      <c r="I188" s="5"/>
      <c r="J188" s="83"/>
      <c r="K188" s="83"/>
      <c r="L188" s="83"/>
      <c r="M188" s="83"/>
      <c r="N188" s="83"/>
      <c r="O188" s="83"/>
      <c r="P188" s="83"/>
      <c r="Q188" s="84"/>
      <c r="R188" s="83"/>
      <c r="S188" s="83"/>
      <c r="T188" s="85"/>
      <c r="U188" s="6"/>
      <c r="V188" s="44">
        <v>44187</v>
      </c>
      <c r="W188" s="45">
        <v>118.07</v>
      </c>
      <c r="X188" s="46"/>
      <c r="Y188" s="61"/>
      <c r="Z188" s="5"/>
      <c r="AA188" s="5"/>
      <c r="AB188" s="5"/>
      <c r="AC188" s="5"/>
      <c r="AD188" s="5"/>
      <c r="AE188" s="5"/>
      <c r="AF188" s="5"/>
      <c r="AG188" s="5"/>
      <c r="AH188" s="6"/>
      <c r="AI188" s="44">
        <v>44187</v>
      </c>
      <c r="AJ188" s="53">
        <v>118.07</v>
      </c>
      <c r="AK188" s="54">
        <f t="shared" si="22"/>
        <v>1.7817749872730548E-3</v>
      </c>
      <c r="AL188" s="55">
        <f t="shared" si="25"/>
        <v>14.481143195822934</v>
      </c>
      <c r="AM188" s="56">
        <v>25</v>
      </c>
      <c r="AN188" s="57">
        <f t="shared" si="23"/>
        <v>10.518856804177066</v>
      </c>
      <c r="AO188" s="76">
        <f t="shared" si="26"/>
        <v>7.1556932629345962</v>
      </c>
      <c r="AP188" s="63" t="str">
        <f t="shared" si="27"/>
        <v>Buy Stocks</v>
      </c>
      <c r="AQ188" s="63" t="str">
        <f t="shared" si="28"/>
        <v/>
      </c>
      <c r="AR188" s="63" t="str">
        <f t="shared" si="29"/>
        <v/>
      </c>
      <c r="AS188" s="63" t="str">
        <f t="shared" si="30"/>
        <v/>
      </c>
      <c r="AT188" s="78" t="str">
        <f t="shared" si="31"/>
        <v/>
      </c>
      <c r="AU188" s="78" t="str">
        <f t="shared" si="32"/>
        <v/>
      </c>
      <c r="AV188" s="64" t="str">
        <f ca="1">IFERROR(__xludf.DUMMYFUNCTION("IF(TRIM(AU188)="""","""",AU188/INDEX(FILTER(AT$3:AT188,TRIM(AT$3:AT188)&lt;&gt;""""),ROWS(FILTER(AT$3:AT188,TRIM(AT$3:AT188)&lt;&gt;"""")))-1)"),"")</f>
        <v/>
      </c>
      <c r="AW188" s="65" t="e">
        <f t="shared" ca="1" si="24"/>
        <v>#VALUE!</v>
      </c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ht="19" x14ac:dyDescent="0.25">
      <c r="A189" s="5"/>
      <c r="B189" s="5"/>
      <c r="C189" s="5"/>
      <c r="D189" s="5"/>
      <c r="E189" s="5"/>
      <c r="F189" s="5"/>
      <c r="G189" s="5"/>
      <c r="H189" s="6"/>
      <c r="I189" s="5"/>
      <c r="J189" s="83"/>
      <c r="K189" s="83"/>
      <c r="L189" s="83"/>
      <c r="M189" s="83"/>
      <c r="N189" s="83"/>
      <c r="O189" s="83"/>
      <c r="P189" s="83"/>
      <c r="Q189" s="84"/>
      <c r="R189" s="83"/>
      <c r="S189" s="83"/>
      <c r="T189" s="85"/>
      <c r="U189" s="6"/>
      <c r="V189" s="44">
        <v>44188</v>
      </c>
      <c r="W189" s="45">
        <v>118.34</v>
      </c>
      <c r="X189" s="46"/>
      <c r="Y189" s="61"/>
      <c r="Z189" s="5"/>
      <c r="AA189" s="5"/>
      <c r="AB189" s="5"/>
      <c r="AC189" s="5"/>
      <c r="AD189" s="5"/>
      <c r="AE189" s="5"/>
      <c r="AF189" s="5"/>
      <c r="AG189" s="5"/>
      <c r="AH189" s="6"/>
      <c r="AI189" s="44">
        <v>44188</v>
      </c>
      <c r="AJ189" s="53">
        <v>118.34</v>
      </c>
      <c r="AK189" s="54">
        <f t="shared" si="22"/>
        <v>2.2867790293894519E-3</v>
      </c>
      <c r="AL189" s="55">
        <f t="shared" si="25"/>
        <v>15.107821283797177</v>
      </c>
      <c r="AM189" s="56">
        <v>25</v>
      </c>
      <c r="AN189" s="57">
        <f t="shared" si="23"/>
        <v>9.8921787162028227</v>
      </c>
      <c r="AO189" s="76">
        <f t="shared" si="26"/>
        <v>8.1581495712320624</v>
      </c>
      <c r="AP189" s="63" t="str">
        <f t="shared" si="27"/>
        <v>Buy Stocks</v>
      </c>
      <c r="AQ189" s="63" t="str">
        <f t="shared" si="28"/>
        <v/>
      </c>
      <c r="AR189" s="63" t="str">
        <f t="shared" si="29"/>
        <v/>
      </c>
      <c r="AS189" s="63" t="str">
        <f t="shared" si="30"/>
        <v/>
      </c>
      <c r="AT189" s="78" t="str">
        <f t="shared" si="31"/>
        <v/>
      </c>
      <c r="AU189" s="78" t="str">
        <f t="shared" si="32"/>
        <v/>
      </c>
      <c r="AV189" s="64" t="str">
        <f ca="1">IFERROR(__xludf.DUMMYFUNCTION("IF(TRIM(AU189)="""","""",AU189/INDEX(FILTER(AT$3:AT189,TRIM(AT$3:AT189)&lt;&gt;""""),ROWS(FILTER(AT$3:AT189,TRIM(AT$3:AT189)&lt;&gt;"""")))-1)"),"")</f>
        <v/>
      </c>
      <c r="AW189" s="65" t="e">
        <f t="shared" ca="1" si="24"/>
        <v>#VALUE!</v>
      </c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ht="19" x14ac:dyDescent="0.25">
      <c r="A190" s="5"/>
      <c r="B190" s="5"/>
      <c r="C190" s="5"/>
      <c r="D190" s="5"/>
      <c r="E190" s="5"/>
      <c r="F190" s="5"/>
      <c r="G190" s="5"/>
      <c r="H190" s="6"/>
      <c r="I190" s="5"/>
      <c r="J190" s="83"/>
      <c r="K190" s="83"/>
      <c r="L190" s="83"/>
      <c r="M190" s="83"/>
      <c r="N190" s="83"/>
      <c r="O190" s="83"/>
      <c r="P190" s="83"/>
      <c r="Q190" s="84"/>
      <c r="R190" s="83"/>
      <c r="S190" s="83"/>
      <c r="T190" s="85"/>
      <c r="U190" s="6"/>
      <c r="V190" s="44">
        <v>44189</v>
      </c>
      <c r="W190" s="45">
        <v>119.1</v>
      </c>
      <c r="X190" s="46"/>
      <c r="Y190" s="61"/>
      <c r="Z190" s="5"/>
      <c r="AA190" s="5"/>
      <c r="AB190" s="5"/>
      <c r="AC190" s="5"/>
      <c r="AD190" s="5"/>
      <c r="AE190" s="5"/>
      <c r="AF190" s="5"/>
      <c r="AG190" s="5"/>
      <c r="AH190" s="6"/>
      <c r="AI190" s="44">
        <v>44189</v>
      </c>
      <c r="AJ190" s="53">
        <v>119.1</v>
      </c>
      <c r="AK190" s="54">
        <f t="shared" si="22"/>
        <v>6.4221733986817853E-3</v>
      </c>
      <c r="AL190" s="55">
        <f t="shared" si="25"/>
        <v>16.436947568925437</v>
      </c>
      <c r="AM190" s="56">
        <v>25</v>
      </c>
      <c r="AN190" s="57">
        <f t="shared" si="23"/>
        <v>8.5630524310745635</v>
      </c>
      <c r="AO190" s="76">
        <f t="shared" si="26"/>
        <v>8.2277120146209732</v>
      </c>
      <c r="AP190" s="63" t="str">
        <f t="shared" si="27"/>
        <v>Buy Stocks</v>
      </c>
      <c r="AQ190" s="63" t="str">
        <f t="shared" si="28"/>
        <v/>
      </c>
      <c r="AR190" s="63" t="str">
        <f t="shared" si="29"/>
        <v/>
      </c>
      <c r="AS190" s="63" t="str">
        <f t="shared" si="30"/>
        <v/>
      </c>
      <c r="AT190" s="78" t="str">
        <f t="shared" si="31"/>
        <v/>
      </c>
      <c r="AU190" s="78" t="str">
        <f t="shared" si="32"/>
        <v/>
      </c>
      <c r="AV190" s="64" t="str">
        <f ca="1">IFERROR(__xludf.DUMMYFUNCTION("IF(TRIM(AU190)="""","""",AU190/INDEX(FILTER(AT$3:AT190,TRIM(AT$3:AT190)&lt;&gt;""""),ROWS(FILTER(AT$3:AT190,TRIM(AT$3:AT190)&lt;&gt;"""")))-1)"),"")</f>
        <v/>
      </c>
      <c r="AW190" s="65" t="e">
        <f t="shared" ca="1" si="24"/>
        <v>#VALUE!</v>
      </c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ht="19" x14ac:dyDescent="0.25">
      <c r="A191" s="5"/>
      <c r="B191" s="5"/>
      <c r="C191" s="5"/>
      <c r="D191" s="5"/>
      <c r="E191" s="5"/>
      <c r="F191" s="5"/>
      <c r="G191" s="5"/>
      <c r="H191" s="6"/>
      <c r="I191" s="5"/>
      <c r="J191" s="83"/>
      <c r="K191" s="83"/>
      <c r="L191" s="83"/>
      <c r="M191" s="83"/>
      <c r="N191" s="83"/>
      <c r="O191" s="83"/>
      <c r="P191" s="83"/>
      <c r="Q191" s="84"/>
      <c r="R191" s="83"/>
      <c r="S191" s="83"/>
      <c r="T191" s="85"/>
      <c r="U191" s="6"/>
      <c r="V191" s="44">
        <v>44193</v>
      </c>
      <c r="W191" s="45">
        <v>119.22</v>
      </c>
      <c r="X191" s="46"/>
      <c r="Y191" s="61"/>
      <c r="Z191" s="5"/>
      <c r="AA191" s="5"/>
      <c r="AB191" s="5"/>
      <c r="AC191" s="5"/>
      <c r="AD191" s="5"/>
      <c r="AE191" s="5"/>
      <c r="AF191" s="5"/>
      <c r="AG191" s="5"/>
      <c r="AH191" s="6"/>
      <c r="AI191" s="44">
        <v>44193</v>
      </c>
      <c r="AJ191" s="53">
        <v>119.22</v>
      </c>
      <c r="AK191" s="54">
        <f t="shared" si="22"/>
        <v>1.007556675062915E-3</v>
      </c>
      <c r="AL191" s="55">
        <f t="shared" si="25"/>
        <v>16.263984298950835</v>
      </c>
      <c r="AM191" s="56">
        <v>25</v>
      </c>
      <c r="AN191" s="57">
        <f t="shared" si="23"/>
        <v>8.7360157010491655</v>
      </c>
      <c r="AO191" s="76">
        <f t="shared" si="26"/>
        <v>8.1268552575272359</v>
      </c>
      <c r="AP191" s="63" t="str">
        <f t="shared" si="27"/>
        <v>Buy Stocks</v>
      </c>
      <c r="AQ191" s="63" t="str">
        <f t="shared" si="28"/>
        <v/>
      </c>
      <c r="AR191" s="63" t="str">
        <f t="shared" si="29"/>
        <v/>
      </c>
      <c r="AS191" s="63" t="str">
        <f t="shared" si="30"/>
        <v/>
      </c>
      <c r="AT191" s="78" t="str">
        <f t="shared" si="31"/>
        <v/>
      </c>
      <c r="AU191" s="78" t="str">
        <f t="shared" si="32"/>
        <v/>
      </c>
      <c r="AV191" s="64" t="str">
        <f ca="1">IFERROR(__xludf.DUMMYFUNCTION("IF(TRIM(AU191)="""","""",AU191/INDEX(FILTER(AT$3:AT191,TRIM(AT$3:AT191)&lt;&gt;""""),ROWS(FILTER(AT$3:AT191,TRIM(AT$3:AT191)&lt;&gt;"""")))-1)"),"")</f>
        <v/>
      </c>
      <c r="AW191" s="65" t="e">
        <f t="shared" ca="1" si="24"/>
        <v>#VALUE!</v>
      </c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ht="19" x14ac:dyDescent="0.25">
      <c r="A192" s="5"/>
      <c r="B192" s="5"/>
      <c r="C192" s="5"/>
      <c r="D192" s="5"/>
      <c r="E192" s="5"/>
      <c r="F192" s="5"/>
      <c r="G192" s="5"/>
      <c r="H192" s="6"/>
      <c r="I192" s="5"/>
      <c r="J192" s="83"/>
      <c r="K192" s="83"/>
      <c r="L192" s="83"/>
      <c r="M192" s="83"/>
      <c r="N192" s="83"/>
      <c r="O192" s="83"/>
      <c r="P192" s="83"/>
      <c r="Q192" s="84"/>
      <c r="R192" s="83"/>
      <c r="S192" s="83"/>
      <c r="T192" s="85"/>
      <c r="U192" s="6"/>
      <c r="V192" s="44">
        <v>44194</v>
      </c>
      <c r="W192" s="45">
        <v>118.25</v>
      </c>
      <c r="X192" s="46"/>
      <c r="Y192" s="61"/>
      <c r="Z192" s="5"/>
      <c r="AA192" s="5"/>
      <c r="AB192" s="5"/>
      <c r="AC192" s="5"/>
      <c r="AD192" s="5"/>
      <c r="AE192" s="5"/>
      <c r="AF192" s="5"/>
      <c r="AG192" s="5"/>
      <c r="AH192" s="6"/>
      <c r="AI192" s="44">
        <v>44194</v>
      </c>
      <c r="AJ192" s="53">
        <v>118.25</v>
      </c>
      <c r="AK192" s="54">
        <f t="shared" si="22"/>
        <v>-8.136218755242397E-3</v>
      </c>
      <c r="AL192" s="55">
        <f t="shared" si="25"/>
        <v>8.496974770045524</v>
      </c>
      <c r="AM192" s="56">
        <v>25</v>
      </c>
      <c r="AN192" s="57">
        <f t="shared" si="23"/>
        <v>16.503025229954474</v>
      </c>
      <c r="AO192" s="76">
        <f t="shared" si="26"/>
        <v>10.842625776491619</v>
      </c>
      <c r="AP192" s="63" t="str">
        <f t="shared" si="27"/>
        <v>Buy Stocks</v>
      </c>
      <c r="AQ192" s="63" t="str">
        <f t="shared" si="28"/>
        <v/>
      </c>
      <c r="AR192" s="63" t="str">
        <f t="shared" si="29"/>
        <v/>
      </c>
      <c r="AS192" s="63" t="str">
        <f t="shared" si="30"/>
        <v/>
      </c>
      <c r="AT192" s="78" t="str">
        <f t="shared" si="31"/>
        <v/>
      </c>
      <c r="AU192" s="78" t="str">
        <f t="shared" si="32"/>
        <v/>
      </c>
      <c r="AV192" s="64" t="str">
        <f ca="1">IFERROR(__xludf.DUMMYFUNCTION("IF(TRIM(AU192)="""","""",AU192/INDEX(FILTER(AT$3:AT192,TRIM(AT$3:AT192)&lt;&gt;""""),ROWS(FILTER(AT$3:AT192,TRIM(AT$3:AT192)&lt;&gt;"""")))-1)"),"")</f>
        <v/>
      </c>
      <c r="AW192" s="65" t="e">
        <f t="shared" ca="1" si="24"/>
        <v>#VALUE!</v>
      </c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</row>
    <row r="193" spans="1:68" ht="19" x14ac:dyDescent="0.25">
      <c r="A193" s="5"/>
      <c r="B193" s="5"/>
      <c r="C193" s="5"/>
      <c r="D193" s="5"/>
      <c r="E193" s="5"/>
      <c r="F193" s="5"/>
      <c r="G193" s="5"/>
      <c r="H193" s="6"/>
      <c r="I193" s="5"/>
      <c r="J193" s="83"/>
      <c r="K193" s="83"/>
      <c r="L193" s="83"/>
      <c r="M193" s="83"/>
      <c r="N193" s="83"/>
      <c r="O193" s="83"/>
      <c r="P193" s="83"/>
      <c r="Q193" s="84"/>
      <c r="R193" s="83"/>
      <c r="S193" s="83"/>
      <c r="T193" s="85"/>
      <c r="U193" s="6"/>
      <c r="V193" s="44">
        <v>44195</v>
      </c>
      <c r="W193" s="45">
        <v>118.77</v>
      </c>
      <c r="X193" s="46"/>
      <c r="Y193" s="61"/>
      <c r="Z193" s="5"/>
      <c r="AA193" s="5"/>
      <c r="AB193" s="5"/>
      <c r="AC193" s="5"/>
      <c r="AD193" s="5"/>
      <c r="AE193" s="5"/>
      <c r="AF193" s="5"/>
      <c r="AG193" s="5"/>
      <c r="AH193" s="6"/>
      <c r="AI193" s="44">
        <v>44195</v>
      </c>
      <c r="AJ193" s="53">
        <v>118.77</v>
      </c>
      <c r="AK193" s="54">
        <f t="shared" si="22"/>
        <v>4.3974630021141881E-3</v>
      </c>
      <c r="AL193" s="55">
        <f t="shared" si="25"/>
        <v>8.9052264277137425</v>
      </c>
      <c r="AM193" s="56">
        <v>25</v>
      </c>
      <c r="AN193" s="57">
        <f t="shared" si="23"/>
        <v>16.094773572286257</v>
      </c>
      <c r="AO193" s="76">
        <f t="shared" si="26"/>
        <v>11.957809130113457</v>
      </c>
      <c r="AP193" s="63" t="str">
        <f t="shared" si="27"/>
        <v>Buy Stocks</v>
      </c>
      <c r="AQ193" s="63" t="str">
        <f t="shared" si="28"/>
        <v/>
      </c>
      <c r="AR193" s="63" t="str">
        <f t="shared" si="29"/>
        <v/>
      </c>
      <c r="AS193" s="63" t="str">
        <f t="shared" si="30"/>
        <v/>
      </c>
      <c r="AT193" s="78" t="str">
        <f t="shared" si="31"/>
        <v/>
      </c>
      <c r="AU193" s="78" t="str">
        <f t="shared" si="32"/>
        <v/>
      </c>
      <c r="AV193" s="64" t="str">
        <f ca="1">IFERROR(__xludf.DUMMYFUNCTION("IF(TRIM(AU193)="""","""",AU193/INDEX(FILTER(AT$3:AT193,TRIM(AT$3:AT193)&lt;&gt;""""),ROWS(FILTER(AT$3:AT193,TRIM(AT$3:AT193)&lt;&gt;"""")))-1)"),"")</f>
        <v/>
      </c>
      <c r="AW193" s="65" t="e">
        <f t="shared" ca="1" si="24"/>
        <v>#VALUE!</v>
      </c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</row>
    <row r="194" spans="1:68" ht="19" x14ac:dyDescent="0.25">
      <c r="A194" s="5"/>
      <c r="B194" s="5"/>
      <c r="C194" s="5"/>
      <c r="D194" s="5"/>
      <c r="E194" s="5"/>
      <c r="F194" s="5"/>
      <c r="G194" s="5"/>
      <c r="H194" s="6"/>
      <c r="I194" s="5"/>
      <c r="J194" s="83"/>
      <c r="K194" s="83"/>
      <c r="L194" s="83"/>
      <c r="M194" s="83"/>
      <c r="N194" s="83"/>
      <c r="O194" s="83"/>
      <c r="P194" s="83"/>
      <c r="Q194" s="84"/>
      <c r="R194" s="83"/>
      <c r="S194" s="83"/>
      <c r="T194" s="85"/>
      <c r="U194" s="6"/>
      <c r="V194" s="44">
        <v>44196</v>
      </c>
      <c r="W194" s="45">
        <v>120.24</v>
      </c>
      <c r="X194" s="46"/>
      <c r="Y194" s="61"/>
      <c r="Z194" s="5"/>
      <c r="AA194" s="5"/>
      <c r="AB194" s="5"/>
      <c r="AC194" s="5"/>
      <c r="AD194" s="5"/>
      <c r="AE194" s="5"/>
      <c r="AF194" s="5"/>
      <c r="AG194" s="5"/>
      <c r="AH194" s="6"/>
      <c r="AI194" s="44">
        <v>44196</v>
      </c>
      <c r="AJ194" s="53">
        <v>120.24</v>
      </c>
      <c r="AK194" s="54">
        <f t="shared" si="22"/>
        <v>1.2376862844152514E-2</v>
      </c>
      <c r="AL194" s="55">
        <f t="shared" si="25"/>
        <v>12.020338200485208</v>
      </c>
      <c r="AM194" s="56">
        <v>25</v>
      </c>
      <c r="AN194" s="57">
        <f t="shared" si="23"/>
        <v>12.979661799514792</v>
      </c>
      <c r="AO194" s="76">
        <f t="shared" si="26"/>
        <v>12.57530574677585</v>
      </c>
      <c r="AP194" s="63" t="str">
        <f t="shared" si="27"/>
        <v>Buy Stocks</v>
      </c>
      <c r="AQ194" s="63" t="str">
        <f t="shared" si="28"/>
        <v/>
      </c>
      <c r="AR194" s="63" t="str">
        <f t="shared" si="29"/>
        <v/>
      </c>
      <c r="AS194" s="63" t="str">
        <f t="shared" si="30"/>
        <v/>
      </c>
      <c r="AT194" s="78" t="str">
        <f t="shared" si="31"/>
        <v/>
      </c>
      <c r="AU194" s="78" t="str">
        <f t="shared" si="32"/>
        <v/>
      </c>
      <c r="AV194" s="64" t="str">
        <f ca="1">IFERROR(__xludf.DUMMYFUNCTION("IF(TRIM(AU194)="""","""",AU194/INDEX(FILTER(AT$3:AT194,TRIM(AT$3:AT194)&lt;&gt;""""),ROWS(FILTER(AT$3:AT194,TRIM(AT$3:AT194)&lt;&gt;"""")))-1)"),"")</f>
        <v/>
      </c>
      <c r="AW194" s="65" t="e">
        <f t="shared" ca="1" si="24"/>
        <v>#VALUE!</v>
      </c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</row>
    <row r="195" spans="1:68" ht="19" x14ac:dyDescent="0.25">
      <c r="A195" s="5"/>
      <c r="B195" s="5"/>
      <c r="C195" s="5"/>
      <c r="D195" s="5"/>
      <c r="E195" s="5"/>
      <c r="F195" s="5"/>
      <c r="G195" s="5"/>
      <c r="H195" s="6"/>
      <c r="I195" s="5"/>
      <c r="J195" s="83"/>
      <c r="K195" s="83"/>
      <c r="L195" s="83"/>
      <c r="M195" s="83"/>
      <c r="N195" s="83"/>
      <c r="O195" s="83"/>
      <c r="P195" s="83"/>
      <c r="Q195" s="84"/>
      <c r="R195" s="83"/>
      <c r="S195" s="83"/>
      <c r="T195" s="85"/>
      <c r="U195" s="6"/>
      <c r="V195" s="44">
        <v>44200</v>
      </c>
      <c r="W195" s="45">
        <v>118.38</v>
      </c>
      <c r="X195" s="46"/>
      <c r="Y195" s="61"/>
      <c r="Z195" s="5"/>
      <c r="AA195" s="5"/>
      <c r="AB195" s="5"/>
      <c r="AC195" s="5"/>
      <c r="AD195" s="5"/>
      <c r="AE195" s="5"/>
      <c r="AF195" s="5"/>
      <c r="AG195" s="5"/>
      <c r="AH195" s="6"/>
      <c r="AI195" s="44">
        <v>44200</v>
      </c>
      <c r="AJ195" s="53">
        <v>118.38</v>
      </c>
      <c r="AK195" s="54">
        <f t="shared" ref="AK195:AK258" si="33">AJ195/AJ194-1</f>
        <v>-1.5469061876247525E-2</v>
      </c>
      <c r="AL195" s="55">
        <f t="shared" si="25"/>
        <v>17.248643062753622</v>
      </c>
      <c r="AM195" s="56">
        <v>25</v>
      </c>
      <c r="AN195" s="57">
        <f t="shared" ref="AN195:AN258" si="34">AM195-AL195</f>
        <v>7.7513569372463778</v>
      </c>
      <c r="AO195" s="76">
        <f t="shared" si="26"/>
        <v>12.412966648010215</v>
      </c>
      <c r="AP195" s="63" t="str">
        <f t="shared" si="27"/>
        <v>Buy Stocks</v>
      </c>
      <c r="AQ195" s="63" t="str">
        <f t="shared" si="28"/>
        <v/>
      </c>
      <c r="AR195" s="63" t="str">
        <f t="shared" si="29"/>
        <v/>
      </c>
      <c r="AS195" s="63" t="str">
        <f t="shared" si="30"/>
        <v/>
      </c>
      <c r="AT195" s="78" t="str">
        <f t="shared" si="31"/>
        <v/>
      </c>
      <c r="AU195" s="78" t="str">
        <f t="shared" si="32"/>
        <v/>
      </c>
      <c r="AV195" s="64" t="str">
        <f ca="1">IFERROR(__xludf.DUMMYFUNCTION("IF(TRIM(AU195)="""","""",AU195/INDEX(FILTER(AT$3:AT195,TRIM(AT$3:AT195)&lt;&gt;""""),ROWS(FILTER(AT$3:AT195,TRIM(AT$3:AT195)&lt;&gt;"""")))-1)"),"")</f>
        <v/>
      </c>
      <c r="AW195" s="65" t="e">
        <f t="shared" ref="AW195:AW258" ca="1" si="35">AW194*(1+AV195)</f>
        <v>#VALUE!</v>
      </c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</row>
    <row r="196" spans="1:68" ht="19" x14ac:dyDescent="0.25">
      <c r="A196" s="5"/>
      <c r="B196" s="5"/>
      <c r="C196" s="5"/>
      <c r="D196" s="5"/>
      <c r="E196" s="5"/>
      <c r="F196" s="5"/>
      <c r="G196" s="5"/>
      <c r="H196" s="6"/>
      <c r="I196" s="5"/>
      <c r="J196" s="83"/>
      <c r="K196" s="83"/>
      <c r="L196" s="83"/>
      <c r="M196" s="83"/>
      <c r="N196" s="83"/>
      <c r="O196" s="83"/>
      <c r="P196" s="83"/>
      <c r="Q196" s="84"/>
      <c r="R196" s="83"/>
      <c r="S196" s="83"/>
      <c r="T196" s="85"/>
      <c r="U196" s="6"/>
      <c r="V196" s="44">
        <v>44201</v>
      </c>
      <c r="W196" s="45">
        <v>120.48</v>
      </c>
      <c r="X196" s="46"/>
      <c r="Y196" s="61"/>
      <c r="Z196" s="5"/>
      <c r="AA196" s="5"/>
      <c r="AB196" s="5"/>
      <c r="AC196" s="5"/>
      <c r="AD196" s="5"/>
      <c r="AE196" s="5"/>
      <c r="AF196" s="5"/>
      <c r="AG196" s="5"/>
      <c r="AH196" s="6"/>
      <c r="AI196" s="44">
        <v>44201</v>
      </c>
      <c r="AJ196" s="53">
        <v>120.48</v>
      </c>
      <c r="AK196" s="54">
        <f t="shared" si="33"/>
        <v>1.7739483020780655E-2</v>
      </c>
      <c r="AL196" s="55">
        <f t="shared" si="25"/>
        <v>22.009311113717057</v>
      </c>
      <c r="AM196" s="56">
        <v>25</v>
      </c>
      <c r="AN196" s="57">
        <f t="shared" si="34"/>
        <v>2.9906888862829426</v>
      </c>
      <c r="AO196" s="76">
        <f t="shared" si="26"/>
        <v>11.263901285056969</v>
      </c>
      <c r="AP196" s="63" t="str">
        <f t="shared" si="27"/>
        <v>Buy Stocks</v>
      </c>
      <c r="AQ196" s="63" t="str">
        <f t="shared" si="28"/>
        <v/>
      </c>
      <c r="AR196" s="63" t="str">
        <f t="shared" si="29"/>
        <v/>
      </c>
      <c r="AS196" s="63" t="str">
        <f t="shared" si="30"/>
        <v/>
      </c>
      <c r="AT196" s="78" t="str">
        <f t="shared" si="31"/>
        <v/>
      </c>
      <c r="AU196" s="78" t="str">
        <f t="shared" si="32"/>
        <v/>
      </c>
      <c r="AV196" s="64" t="str">
        <f ca="1">IFERROR(__xludf.DUMMYFUNCTION("IF(TRIM(AU196)="""","""",AU196/INDEX(FILTER(AT$3:AT196,TRIM(AT$3:AT196)&lt;&gt;""""),ROWS(FILTER(AT$3:AT196,TRIM(AT$3:AT196)&lt;&gt;"""")))-1)"),"")</f>
        <v/>
      </c>
      <c r="AW196" s="65" t="e">
        <f t="shared" ca="1" si="35"/>
        <v>#VALUE!</v>
      </c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</row>
    <row r="197" spans="1:68" ht="19" x14ac:dyDescent="0.25">
      <c r="A197" s="5"/>
      <c r="B197" s="5"/>
      <c r="C197" s="5"/>
      <c r="D197" s="5"/>
      <c r="E197" s="5"/>
      <c r="F197" s="5"/>
      <c r="G197" s="5"/>
      <c r="H197" s="6"/>
      <c r="I197" s="5"/>
      <c r="J197" s="83"/>
      <c r="K197" s="83"/>
      <c r="L197" s="83"/>
      <c r="M197" s="83"/>
      <c r="N197" s="83"/>
      <c r="O197" s="83"/>
      <c r="P197" s="83"/>
      <c r="Q197" s="84"/>
      <c r="R197" s="83"/>
      <c r="S197" s="83"/>
      <c r="T197" s="85"/>
      <c r="U197" s="6"/>
      <c r="V197" s="44">
        <v>44202</v>
      </c>
      <c r="W197" s="45">
        <v>123.49</v>
      </c>
      <c r="X197" s="46"/>
      <c r="Y197" s="61"/>
      <c r="Z197" s="5"/>
      <c r="AA197" s="5"/>
      <c r="AB197" s="5"/>
      <c r="AC197" s="5"/>
      <c r="AD197" s="5"/>
      <c r="AE197" s="5"/>
      <c r="AF197" s="5"/>
      <c r="AG197" s="5"/>
      <c r="AH197" s="6"/>
      <c r="AI197" s="44">
        <v>44202</v>
      </c>
      <c r="AJ197" s="53">
        <v>123.49</v>
      </c>
      <c r="AK197" s="54">
        <f t="shared" si="33"/>
        <v>2.4983399734395784E-2</v>
      </c>
      <c r="AL197" s="55">
        <f t="shared" si="25"/>
        <v>24.630825599314726</v>
      </c>
      <c r="AM197" s="56">
        <v>25</v>
      </c>
      <c r="AN197" s="57">
        <f t="shared" si="34"/>
        <v>0.36917440068527441</v>
      </c>
      <c r="AO197" s="76">
        <f t="shared" si="26"/>
        <v>8.0371311192031278</v>
      </c>
      <c r="AP197" s="63" t="str">
        <f t="shared" si="27"/>
        <v>Buy Stocks</v>
      </c>
      <c r="AQ197" s="63" t="str">
        <f t="shared" si="28"/>
        <v/>
      </c>
      <c r="AR197" s="63" t="str">
        <f t="shared" si="29"/>
        <v/>
      </c>
      <c r="AS197" s="63" t="str">
        <f t="shared" si="30"/>
        <v/>
      </c>
      <c r="AT197" s="78" t="str">
        <f t="shared" si="31"/>
        <v/>
      </c>
      <c r="AU197" s="78" t="str">
        <f t="shared" si="32"/>
        <v/>
      </c>
      <c r="AV197" s="64" t="str">
        <f ca="1">IFERROR(__xludf.DUMMYFUNCTION("IF(TRIM(AU197)="""","""",AU197/INDEX(FILTER(AT$3:AT197,TRIM(AT$3:AT197)&lt;&gt;""""),ROWS(FILTER(AT$3:AT197,TRIM(AT$3:AT197)&lt;&gt;"""")))-1)"),"")</f>
        <v/>
      </c>
      <c r="AW197" s="65" t="e">
        <f t="shared" ca="1" si="35"/>
        <v>#VALUE!</v>
      </c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</row>
    <row r="198" spans="1:68" ht="19" x14ac:dyDescent="0.25">
      <c r="A198" s="5"/>
      <c r="B198" s="5"/>
      <c r="C198" s="5"/>
      <c r="D198" s="5"/>
      <c r="E198" s="5"/>
      <c r="F198" s="5"/>
      <c r="G198" s="5"/>
      <c r="H198" s="6"/>
      <c r="I198" s="5"/>
      <c r="J198" s="83"/>
      <c r="K198" s="83"/>
      <c r="L198" s="83"/>
      <c r="M198" s="83"/>
      <c r="N198" s="83"/>
      <c r="O198" s="83"/>
      <c r="P198" s="83"/>
      <c r="Q198" s="84"/>
      <c r="R198" s="83"/>
      <c r="S198" s="83"/>
      <c r="T198" s="85"/>
      <c r="U198" s="6"/>
      <c r="V198" s="44">
        <v>44203</v>
      </c>
      <c r="W198" s="45">
        <v>123.21</v>
      </c>
      <c r="X198" s="46"/>
      <c r="Y198" s="61"/>
      <c r="Z198" s="5"/>
      <c r="AA198" s="5"/>
      <c r="AB198" s="5"/>
      <c r="AC198" s="5"/>
      <c r="AD198" s="5"/>
      <c r="AE198" s="5"/>
      <c r="AF198" s="5"/>
      <c r="AG198" s="5"/>
      <c r="AH198" s="6"/>
      <c r="AI198" s="44">
        <v>44203</v>
      </c>
      <c r="AJ198" s="53">
        <v>123.21</v>
      </c>
      <c r="AK198" s="54">
        <f t="shared" si="33"/>
        <v>-2.267390072070663E-3</v>
      </c>
      <c r="AL198" s="55">
        <f t="shared" si="25"/>
        <v>25.808601436010026</v>
      </c>
      <c r="AM198" s="56">
        <v>25</v>
      </c>
      <c r="AN198" s="57">
        <f t="shared" si="34"/>
        <v>-0.80860143601002576</v>
      </c>
      <c r="AO198" s="76">
        <f t="shared" si="26"/>
        <v>4.6564561175438728</v>
      </c>
      <c r="AP198" s="63" t="str">
        <f t="shared" si="27"/>
        <v>Buy Stocks</v>
      </c>
      <c r="AQ198" s="63" t="str">
        <f t="shared" si="28"/>
        <v/>
      </c>
      <c r="AR198" s="63" t="str">
        <f t="shared" si="29"/>
        <v/>
      </c>
      <c r="AS198" s="63" t="str">
        <f t="shared" si="30"/>
        <v/>
      </c>
      <c r="AT198" s="78" t="str">
        <f t="shared" si="31"/>
        <v/>
      </c>
      <c r="AU198" s="78" t="str">
        <f t="shared" si="32"/>
        <v/>
      </c>
      <c r="AV198" s="64" t="str">
        <f ca="1">IFERROR(__xludf.DUMMYFUNCTION("IF(TRIM(AU198)="""","""",AU198/INDEX(FILTER(AT$3:AT198,TRIM(AT$3:AT198)&lt;&gt;""""),ROWS(FILTER(AT$3:AT198,TRIM(AT$3:AT198)&lt;&gt;"""")))-1)"),"")</f>
        <v/>
      </c>
      <c r="AW198" s="65" t="e">
        <f t="shared" ca="1" si="35"/>
        <v>#VALUE!</v>
      </c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</row>
    <row r="199" spans="1:68" ht="19" x14ac:dyDescent="0.25">
      <c r="A199" s="5"/>
      <c r="B199" s="5"/>
      <c r="C199" s="5"/>
      <c r="D199" s="5"/>
      <c r="E199" s="5"/>
      <c r="F199" s="5"/>
      <c r="G199" s="5"/>
      <c r="H199" s="6"/>
      <c r="I199" s="5"/>
      <c r="J199" s="83"/>
      <c r="K199" s="83"/>
      <c r="L199" s="83"/>
      <c r="M199" s="83"/>
      <c r="N199" s="83"/>
      <c r="O199" s="83"/>
      <c r="P199" s="83"/>
      <c r="Q199" s="84"/>
      <c r="R199" s="83"/>
      <c r="S199" s="83"/>
      <c r="T199" s="85"/>
      <c r="U199" s="6"/>
      <c r="V199" s="44">
        <v>44204</v>
      </c>
      <c r="W199" s="45">
        <v>122.77</v>
      </c>
      <c r="X199" s="46"/>
      <c r="Y199" s="61"/>
      <c r="Z199" s="5"/>
      <c r="AA199" s="5"/>
      <c r="AB199" s="5"/>
      <c r="AC199" s="5"/>
      <c r="AD199" s="5"/>
      <c r="AE199" s="5"/>
      <c r="AF199" s="5"/>
      <c r="AG199" s="5"/>
      <c r="AH199" s="6"/>
      <c r="AI199" s="44">
        <v>44204</v>
      </c>
      <c r="AJ199" s="53">
        <v>122.77</v>
      </c>
      <c r="AK199" s="54">
        <f t="shared" si="33"/>
        <v>-3.5711387062737909E-3</v>
      </c>
      <c r="AL199" s="55">
        <f t="shared" ref="AL199:AL262" si="36">_xlfn.STDEV.S(AK195:AK199)*SQRT(252)*100</f>
        <v>26.376565332859204</v>
      </c>
      <c r="AM199" s="56">
        <v>25</v>
      </c>
      <c r="AN199" s="57">
        <f t="shared" si="34"/>
        <v>-1.3765653328592045</v>
      </c>
      <c r="AO199" s="76">
        <f t="shared" ref="AO199:AO262" si="37">AVERAGE(AN195:AN199)</f>
        <v>1.7852106910690728</v>
      </c>
      <c r="AP199" s="63" t="str">
        <f t="shared" ref="AP199:AP262" si="38">IF(AO199&gt;0,"Buy Stocks","")</f>
        <v>Buy Stocks</v>
      </c>
      <c r="AQ199" s="63" t="str">
        <f t="shared" ref="AQ199:AQ262" si="39">IF(AO199&lt;0,"Sell Stocks","")</f>
        <v/>
      </c>
      <c r="AR199" s="63" t="str">
        <f t="shared" ref="AR199:AR262" si="40">IF(AND(AP199="Buy Stocks",AP198=""),"Buy Stocks","")</f>
        <v/>
      </c>
      <c r="AS199" s="63" t="str">
        <f t="shared" ref="AS199:AS262" si="41">IF(AND(AQ199="Sell Stocks",AQ198=""),"Sell Stocks","")</f>
        <v/>
      </c>
      <c r="AT199" s="78" t="str">
        <f t="shared" ref="AT199:AT262" si="42">IF(AR199="Buy Stocks",AJ199,"")</f>
        <v/>
      </c>
      <c r="AU199" s="78" t="str">
        <f t="shared" ref="AU199:AU262" si="43">IF(AS199="Sell Stocks",AJ199,"")</f>
        <v/>
      </c>
      <c r="AV199" s="64" t="str">
        <f ca="1">IFERROR(__xludf.DUMMYFUNCTION("IF(TRIM(AU199)="""","""",AU199/INDEX(FILTER(AT$3:AT199,TRIM(AT$3:AT199)&lt;&gt;""""),ROWS(FILTER(AT$3:AT199,TRIM(AT$3:AT199)&lt;&gt;"""")))-1)"),"")</f>
        <v/>
      </c>
      <c r="AW199" s="65" t="e">
        <f t="shared" ca="1" si="35"/>
        <v>#VALUE!</v>
      </c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</row>
    <row r="200" spans="1:68" ht="19" x14ac:dyDescent="0.25">
      <c r="A200" s="5"/>
      <c r="B200" s="5"/>
      <c r="C200" s="5"/>
      <c r="D200" s="5"/>
      <c r="E200" s="5"/>
      <c r="F200" s="5"/>
      <c r="G200" s="5"/>
      <c r="H200" s="6"/>
      <c r="I200" s="5"/>
      <c r="J200" s="83"/>
      <c r="K200" s="83"/>
      <c r="L200" s="83"/>
      <c r="M200" s="83"/>
      <c r="N200" s="83"/>
      <c r="O200" s="83"/>
      <c r="P200" s="83"/>
      <c r="Q200" s="84"/>
      <c r="R200" s="83"/>
      <c r="S200" s="83"/>
      <c r="T200" s="85"/>
      <c r="U200" s="6"/>
      <c r="V200" s="44">
        <v>44207</v>
      </c>
      <c r="W200" s="45">
        <v>122.81</v>
      </c>
      <c r="X200" s="46"/>
      <c r="Y200" s="61"/>
      <c r="Z200" s="5"/>
      <c r="AA200" s="5"/>
      <c r="AB200" s="5"/>
      <c r="AC200" s="5"/>
      <c r="AD200" s="5"/>
      <c r="AE200" s="5"/>
      <c r="AF200" s="5"/>
      <c r="AG200" s="5"/>
      <c r="AH200" s="6"/>
      <c r="AI200" s="44">
        <v>44207</v>
      </c>
      <c r="AJ200" s="53">
        <v>122.81</v>
      </c>
      <c r="AK200" s="54">
        <f t="shared" si="33"/>
        <v>3.2581249490926112E-4</v>
      </c>
      <c r="AL200" s="55">
        <f t="shared" si="36"/>
        <v>20.696919898664621</v>
      </c>
      <c r="AM200" s="56">
        <v>25</v>
      </c>
      <c r="AN200" s="57">
        <f t="shared" si="34"/>
        <v>4.3030801013353788</v>
      </c>
      <c r="AO200" s="76">
        <f t="shared" si="37"/>
        <v>1.0955553238868732</v>
      </c>
      <c r="AP200" s="63" t="str">
        <f t="shared" si="38"/>
        <v>Buy Stocks</v>
      </c>
      <c r="AQ200" s="63" t="str">
        <f t="shared" si="39"/>
        <v/>
      </c>
      <c r="AR200" s="63" t="str">
        <f t="shared" si="40"/>
        <v/>
      </c>
      <c r="AS200" s="63" t="str">
        <f t="shared" si="41"/>
        <v/>
      </c>
      <c r="AT200" s="78" t="str">
        <f t="shared" si="42"/>
        <v/>
      </c>
      <c r="AU200" s="78" t="str">
        <f t="shared" si="43"/>
        <v/>
      </c>
      <c r="AV200" s="64" t="str">
        <f ca="1">IFERROR(__xludf.DUMMYFUNCTION("IF(TRIM(AU200)="""","""",AU200/INDEX(FILTER(AT$3:AT200,TRIM(AT$3:AT200)&lt;&gt;""""),ROWS(FILTER(AT$3:AT200,TRIM(AT$3:AT200)&lt;&gt;"""")))-1)"),"")</f>
        <v/>
      </c>
      <c r="AW200" s="65" t="e">
        <f t="shared" ca="1" si="35"/>
        <v>#VALUE!</v>
      </c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</row>
    <row r="201" spans="1:68" ht="19" x14ac:dyDescent="0.25">
      <c r="A201" s="5"/>
      <c r="B201" s="5"/>
      <c r="C201" s="5"/>
      <c r="D201" s="5"/>
      <c r="E201" s="5"/>
      <c r="F201" s="5"/>
      <c r="G201" s="5"/>
      <c r="H201" s="6"/>
      <c r="I201" s="5"/>
      <c r="J201" s="83"/>
      <c r="K201" s="83"/>
      <c r="L201" s="83"/>
      <c r="M201" s="83"/>
      <c r="N201" s="83"/>
      <c r="O201" s="83"/>
      <c r="P201" s="83"/>
      <c r="Q201" s="84"/>
      <c r="R201" s="83"/>
      <c r="S201" s="83"/>
      <c r="T201" s="85"/>
      <c r="U201" s="6"/>
      <c r="V201" s="44">
        <v>44208</v>
      </c>
      <c r="W201" s="45">
        <v>123.42</v>
      </c>
      <c r="X201" s="46"/>
      <c r="Y201" s="61"/>
      <c r="Z201" s="5"/>
      <c r="AA201" s="5"/>
      <c r="AB201" s="5"/>
      <c r="AC201" s="5"/>
      <c r="AD201" s="5"/>
      <c r="AE201" s="5"/>
      <c r="AF201" s="5"/>
      <c r="AG201" s="5"/>
      <c r="AH201" s="6"/>
      <c r="AI201" s="44">
        <v>44208</v>
      </c>
      <c r="AJ201" s="53">
        <v>123.42</v>
      </c>
      <c r="AK201" s="54">
        <f t="shared" si="33"/>
        <v>4.9670222294602162E-3</v>
      </c>
      <c r="AL201" s="55">
        <f t="shared" si="36"/>
        <v>18.570486256764607</v>
      </c>
      <c r="AM201" s="56">
        <v>25</v>
      </c>
      <c r="AN201" s="57">
        <f t="shared" si="34"/>
        <v>6.4295137432353933</v>
      </c>
      <c r="AO201" s="76">
        <f t="shared" si="37"/>
        <v>1.7833202952773632</v>
      </c>
      <c r="AP201" s="63" t="str">
        <f t="shared" si="38"/>
        <v>Buy Stocks</v>
      </c>
      <c r="AQ201" s="63" t="str">
        <f t="shared" si="39"/>
        <v/>
      </c>
      <c r="AR201" s="63" t="str">
        <f t="shared" si="40"/>
        <v/>
      </c>
      <c r="AS201" s="63" t="str">
        <f t="shared" si="41"/>
        <v/>
      </c>
      <c r="AT201" s="78" t="str">
        <f t="shared" si="42"/>
        <v/>
      </c>
      <c r="AU201" s="78" t="str">
        <f t="shared" si="43"/>
        <v/>
      </c>
      <c r="AV201" s="64" t="str">
        <f ca="1">IFERROR(__xludf.DUMMYFUNCTION("IF(TRIM(AU201)="""","""",AU201/INDEX(FILTER(AT$3:AT201,TRIM(AT$3:AT201)&lt;&gt;""""),ROWS(FILTER(AT$3:AT201,TRIM(AT$3:AT201)&lt;&gt;"""")))-1)"),"")</f>
        <v/>
      </c>
      <c r="AW201" s="65" t="e">
        <f t="shared" ca="1" si="35"/>
        <v>#VALUE!</v>
      </c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</row>
    <row r="202" spans="1:68" ht="19" x14ac:dyDescent="0.25">
      <c r="A202" s="5"/>
      <c r="B202" s="5"/>
      <c r="C202" s="5"/>
      <c r="D202" s="5"/>
      <c r="E202" s="5"/>
      <c r="F202" s="5"/>
      <c r="G202" s="5"/>
      <c r="H202" s="6"/>
      <c r="I202" s="5"/>
      <c r="J202" s="83"/>
      <c r="K202" s="83"/>
      <c r="L202" s="83"/>
      <c r="M202" s="83"/>
      <c r="N202" s="83"/>
      <c r="O202" s="83"/>
      <c r="P202" s="83"/>
      <c r="Q202" s="84"/>
      <c r="R202" s="83"/>
      <c r="S202" s="83"/>
      <c r="T202" s="85"/>
      <c r="U202" s="6"/>
      <c r="V202" s="44">
        <v>44209</v>
      </c>
      <c r="W202" s="45">
        <v>121.23</v>
      </c>
      <c r="X202" s="46"/>
      <c r="Y202" s="61"/>
      <c r="Z202" s="5"/>
      <c r="AA202" s="5"/>
      <c r="AB202" s="5"/>
      <c r="AC202" s="5"/>
      <c r="AD202" s="5"/>
      <c r="AE202" s="5"/>
      <c r="AF202" s="5"/>
      <c r="AG202" s="5"/>
      <c r="AH202" s="6"/>
      <c r="AI202" s="44">
        <v>44209</v>
      </c>
      <c r="AJ202" s="53">
        <v>121.23</v>
      </c>
      <c r="AK202" s="54">
        <f t="shared" si="33"/>
        <v>-1.7744287797763714E-2</v>
      </c>
      <c r="AL202" s="55">
        <f t="shared" si="36"/>
        <v>13.53125151622365</v>
      </c>
      <c r="AM202" s="56">
        <v>25</v>
      </c>
      <c r="AN202" s="57">
        <f t="shared" si="34"/>
        <v>11.46874848377635</v>
      </c>
      <c r="AO202" s="76">
        <f t="shared" si="37"/>
        <v>4.0032351118955791</v>
      </c>
      <c r="AP202" s="63" t="str">
        <f t="shared" si="38"/>
        <v>Buy Stocks</v>
      </c>
      <c r="AQ202" s="63" t="str">
        <f t="shared" si="39"/>
        <v/>
      </c>
      <c r="AR202" s="63" t="str">
        <f t="shared" si="40"/>
        <v/>
      </c>
      <c r="AS202" s="63" t="str">
        <f t="shared" si="41"/>
        <v/>
      </c>
      <c r="AT202" s="78" t="str">
        <f t="shared" si="42"/>
        <v/>
      </c>
      <c r="AU202" s="78" t="str">
        <f t="shared" si="43"/>
        <v/>
      </c>
      <c r="AV202" s="64" t="str">
        <f ca="1">IFERROR(__xludf.DUMMYFUNCTION("IF(TRIM(AU202)="""","""",AU202/INDEX(FILTER(AT$3:AT202,TRIM(AT$3:AT202)&lt;&gt;""""),ROWS(FILTER(AT$3:AT202,TRIM(AT$3:AT202)&lt;&gt;"""")))-1)"),"")</f>
        <v/>
      </c>
      <c r="AW202" s="65" t="e">
        <f t="shared" ca="1" si="35"/>
        <v>#VALUE!</v>
      </c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</row>
    <row r="203" spans="1:68" ht="19" x14ac:dyDescent="0.25">
      <c r="A203" s="5"/>
      <c r="B203" s="5"/>
      <c r="C203" s="5"/>
      <c r="D203" s="5"/>
      <c r="E203" s="5"/>
      <c r="F203" s="5"/>
      <c r="G203" s="5"/>
      <c r="H203" s="6"/>
      <c r="I203" s="5"/>
      <c r="J203" s="83"/>
      <c r="K203" s="83"/>
      <c r="L203" s="83"/>
      <c r="M203" s="83"/>
      <c r="N203" s="83"/>
      <c r="O203" s="83"/>
      <c r="P203" s="83"/>
      <c r="Q203" s="84"/>
      <c r="R203" s="83"/>
      <c r="S203" s="83"/>
      <c r="T203" s="85"/>
      <c r="U203" s="6"/>
      <c r="V203" s="44">
        <v>44210</v>
      </c>
      <c r="W203" s="45">
        <v>123.19</v>
      </c>
      <c r="X203" s="46"/>
      <c r="Y203" s="61"/>
      <c r="Z203" s="5"/>
      <c r="AA203" s="5"/>
      <c r="AB203" s="5"/>
      <c r="AC203" s="5"/>
      <c r="AD203" s="5"/>
      <c r="AE203" s="5"/>
      <c r="AF203" s="5"/>
      <c r="AG203" s="5"/>
      <c r="AH203" s="6"/>
      <c r="AI203" s="44">
        <v>44210</v>
      </c>
      <c r="AJ203" s="53">
        <v>123.19</v>
      </c>
      <c r="AK203" s="54">
        <f t="shared" si="33"/>
        <v>1.6167615276746705E-2</v>
      </c>
      <c r="AL203" s="55">
        <f t="shared" si="36"/>
        <v>19.664181343717964</v>
      </c>
      <c r="AM203" s="56">
        <v>25</v>
      </c>
      <c r="AN203" s="57">
        <f t="shared" si="34"/>
        <v>5.3358186562820364</v>
      </c>
      <c r="AO203" s="76">
        <f t="shared" si="37"/>
        <v>5.2321191303539907</v>
      </c>
      <c r="AP203" s="63" t="str">
        <f t="shared" si="38"/>
        <v>Buy Stocks</v>
      </c>
      <c r="AQ203" s="63" t="str">
        <f t="shared" si="39"/>
        <v/>
      </c>
      <c r="AR203" s="63" t="str">
        <f t="shared" si="40"/>
        <v/>
      </c>
      <c r="AS203" s="63" t="str">
        <f t="shared" si="41"/>
        <v/>
      </c>
      <c r="AT203" s="78" t="str">
        <f t="shared" si="42"/>
        <v/>
      </c>
      <c r="AU203" s="78" t="str">
        <f t="shared" si="43"/>
        <v/>
      </c>
      <c r="AV203" s="64" t="str">
        <f ca="1">IFERROR(__xludf.DUMMYFUNCTION("IF(TRIM(AU203)="""","""",AU203/INDEX(FILTER(AT$3:AT203,TRIM(AT$3:AT203)&lt;&gt;""""),ROWS(FILTER(AT$3:AT203,TRIM(AT$3:AT203)&lt;&gt;"""")))-1)"),"")</f>
        <v/>
      </c>
      <c r="AW203" s="65" t="e">
        <f t="shared" ca="1" si="35"/>
        <v>#VALUE!</v>
      </c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</row>
    <row r="204" spans="1:68" ht="19" x14ac:dyDescent="0.25">
      <c r="A204" s="5"/>
      <c r="B204" s="5"/>
      <c r="C204" s="5"/>
      <c r="D204" s="5"/>
      <c r="E204" s="5"/>
      <c r="F204" s="5"/>
      <c r="G204" s="5"/>
      <c r="H204" s="6"/>
      <c r="I204" s="5"/>
      <c r="J204" s="83"/>
      <c r="K204" s="83"/>
      <c r="L204" s="83"/>
      <c r="M204" s="83"/>
      <c r="N204" s="83"/>
      <c r="O204" s="83"/>
      <c r="P204" s="83"/>
      <c r="Q204" s="84"/>
      <c r="R204" s="83"/>
      <c r="S204" s="83"/>
      <c r="T204" s="85"/>
      <c r="U204" s="6"/>
      <c r="V204" s="44">
        <v>44211</v>
      </c>
      <c r="W204" s="45">
        <v>122.63</v>
      </c>
      <c r="X204" s="46"/>
      <c r="Y204" s="61"/>
      <c r="Z204" s="5"/>
      <c r="AA204" s="5"/>
      <c r="AB204" s="5"/>
      <c r="AC204" s="5"/>
      <c r="AD204" s="5"/>
      <c r="AE204" s="5"/>
      <c r="AF204" s="5"/>
      <c r="AG204" s="5"/>
      <c r="AH204" s="6"/>
      <c r="AI204" s="44">
        <v>44211</v>
      </c>
      <c r="AJ204" s="53">
        <v>122.63</v>
      </c>
      <c r="AK204" s="54">
        <f t="shared" si="33"/>
        <v>-4.5458235246367273E-3</v>
      </c>
      <c r="AL204" s="55">
        <f t="shared" si="36"/>
        <v>19.788384968491318</v>
      </c>
      <c r="AM204" s="56">
        <v>25</v>
      </c>
      <c r="AN204" s="57">
        <f t="shared" si="34"/>
        <v>5.211615031508682</v>
      </c>
      <c r="AO204" s="76">
        <f t="shared" si="37"/>
        <v>6.5497552032275674</v>
      </c>
      <c r="AP204" s="63" t="str">
        <f t="shared" si="38"/>
        <v>Buy Stocks</v>
      </c>
      <c r="AQ204" s="63" t="str">
        <f t="shared" si="39"/>
        <v/>
      </c>
      <c r="AR204" s="63" t="str">
        <f t="shared" si="40"/>
        <v/>
      </c>
      <c r="AS204" s="63" t="str">
        <f t="shared" si="41"/>
        <v/>
      </c>
      <c r="AT204" s="78" t="str">
        <f t="shared" si="42"/>
        <v/>
      </c>
      <c r="AU204" s="78" t="str">
        <f t="shared" si="43"/>
        <v/>
      </c>
      <c r="AV204" s="64" t="str">
        <f ca="1">IFERROR(__xludf.DUMMYFUNCTION("IF(TRIM(AU204)="""","""",AU204/INDEX(FILTER(AT$3:AT204,TRIM(AT$3:AT204)&lt;&gt;""""),ROWS(FILTER(AT$3:AT204,TRIM(AT$3:AT204)&lt;&gt;"""")))-1)"),"")</f>
        <v/>
      </c>
      <c r="AW204" s="65" t="e">
        <f t="shared" ca="1" si="35"/>
        <v>#VALUE!</v>
      </c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</row>
    <row r="205" spans="1:68" ht="19" x14ac:dyDescent="0.25">
      <c r="A205" s="5"/>
      <c r="B205" s="5"/>
      <c r="C205" s="5"/>
      <c r="D205" s="5"/>
      <c r="E205" s="5"/>
      <c r="F205" s="5"/>
      <c r="G205" s="5"/>
      <c r="H205" s="6"/>
      <c r="I205" s="5"/>
      <c r="J205" s="83"/>
      <c r="K205" s="83"/>
      <c r="L205" s="83"/>
      <c r="M205" s="83"/>
      <c r="N205" s="83"/>
      <c r="O205" s="83"/>
      <c r="P205" s="83"/>
      <c r="Q205" s="84"/>
      <c r="R205" s="83"/>
      <c r="S205" s="83"/>
      <c r="T205" s="85"/>
      <c r="U205" s="6"/>
      <c r="V205" s="44">
        <v>44215</v>
      </c>
      <c r="W205" s="45">
        <v>123.24</v>
      </c>
      <c r="X205" s="46"/>
      <c r="Y205" s="61"/>
      <c r="Z205" s="5"/>
      <c r="AA205" s="5"/>
      <c r="AB205" s="5"/>
      <c r="AC205" s="5"/>
      <c r="AD205" s="5"/>
      <c r="AE205" s="5"/>
      <c r="AF205" s="5"/>
      <c r="AG205" s="5"/>
      <c r="AH205" s="6"/>
      <c r="AI205" s="44">
        <v>44215</v>
      </c>
      <c r="AJ205" s="53">
        <v>123.24</v>
      </c>
      <c r="AK205" s="54">
        <f t="shared" si="33"/>
        <v>4.9743129739867609E-3</v>
      </c>
      <c r="AL205" s="55">
        <f t="shared" si="36"/>
        <v>20.133332950190237</v>
      </c>
      <c r="AM205" s="56">
        <v>25</v>
      </c>
      <c r="AN205" s="57">
        <f t="shared" si="34"/>
        <v>4.8666670498097631</v>
      </c>
      <c r="AO205" s="76">
        <f t="shared" si="37"/>
        <v>6.6624725929224438</v>
      </c>
      <c r="AP205" s="63" t="str">
        <f t="shared" si="38"/>
        <v>Buy Stocks</v>
      </c>
      <c r="AQ205" s="63" t="str">
        <f t="shared" si="39"/>
        <v/>
      </c>
      <c r="AR205" s="63" t="str">
        <f t="shared" si="40"/>
        <v/>
      </c>
      <c r="AS205" s="63" t="str">
        <f t="shared" si="41"/>
        <v/>
      </c>
      <c r="AT205" s="78" t="str">
        <f t="shared" si="42"/>
        <v/>
      </c>
      <c r="AU205" s="78" t="str">
        <f t="shared" si="43"/>
        <v/>
      </c>
      <c r="AV205" s="64" t="str">
        <f ca="1">IFERROR(__xludf.DUMMYFUNCTION("IF(TRIM(AU205)="""","""",AU205/INDEX(FILTER(AT$3:AT205,TRIM(AT$3:AT205)&lt;&gt;""""),ROWS(FILTER(AT$3:AT205,TRIM(AT$3:AT205)&lt;&gt;"""")))-1)"),"")</f>
        <v/>
      </c>
      <c r="AW205" s="65" t="e">
        <f t="shared" ca="1" si="35"/>
        <v>#VALUE!</v>
      </c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</row>
    <row r="206" spans="1:68" ht="19" x14ac:dyDescent="0.25">
      <c r="A206" s="5"/>
      <c r="B206" s="5"/>
      <c r="C206" s="5"/>
      <c r="D206" s="5"/>
      <c r="E206" s="5"/>
      <c r="F206" s="5"/>
      <c r="G206" s="5"/>
      <c r="H206" s="6"/>
      <c r="I206" s="5"/>
      <c r="J206" s="83"/>
      <c r="K206" s="83"/>
      <c r="L206" s="83"/>
      <c r="M206" s="83"/>
      <c r="N206" s="83"/>
      <c r="O206" s="83"/>
      <c r="P206" s="83"/>
      <c r="Q206" s="84"/>
      <c r="R206" s="83"/>
      <c r="S206" s="83"/>
      <c r="T206" s="85"/>
      <c r="U206" s="6"/>
      <c r="V206" s="44">
        <v>44216</v>
      </c>
      <c r="W206" s="45">
        <v>124.25</v>
      </c>
      <c r="X206" s="46"/>
      <c r="Y206" s="61"/>
      <c r="Z206" s="5"/>
      <c r="AA206" s="5"/>
      <c r="AB206" s="5"/>
      <c r="AC206" s="5"/>
      <c r="AD206" s="5"/>
      <c r="AE206" s="5"/>
      <c r="AF206" s="5"/>
      <c r="AG206" s="5"/>
      <c r="AH206" s="6"/>
      <c r="AI206" s="44">
        <v>44216</v>
      </c>
      <c r="AJ206" s="53">
        <v>124.25</v>
      </c>
      <c r="AK206" s="54">
        <f t="shared" si="33"/>
        <v>8.1953911067835783E-3</v>
      </c>
      <c r="AL206" s="55">
        <f t="shared" si="36"/>
        <v>20.680950996232557</v>
      </c>
      <c r="AM206" s="56">
        <v>25</v>
      </c>
      <c r="AN206" s="57">
        <f t="shared" si="34"/>
        <v>4.3190490037674429</v>
      </c>
      <c r="AO206" s="76">
        <f t="shared" si="37"/>
        <v>6.2403796450288551</v>
      </c>
      <c r="AP206" s="63" t="str">
        <f t="shared" si="38"/>
        <v>Buy Stocks</v>
      </c>
      <c r="AQ206" s="63" t="str">
        <f t="shared" si="39"/>
        <v/>
      </c>
      <c r="AR206" s="63" t="str">
        <f t="shared" si="40"/>
        <v/>
      </c>
      <c r="AS206" s="63" t="str">
        <f t="shared" si="41"/>
        <v/>
      </c>
      <c r="AT206" s="78" t="str">
        <f t="shared" si="42"/>
        <v/>
      </c>
      <c r="AU206" s="78" t="str">
        <f t="shared" si="43"/>
        <v/>
      </c>
      <c r="AV206" s="64" t="str">
        <f ca="1">IFERROR(__xludf.DUMMYFUNCTION("IF(TRIM(AU206)="""","""",AU206/INDEX(FILTER(AT$3:AT206,TRIM(AT$3:AT206)&lt;&gt;""""),ROWS(FILTER(AT$3:AT206,TRIM(AT$3:AT206)&lt;&gt;"""")))-1)"),"")</f>
        <v/>
      </c>
      <c r="AW206" s="65" t="e">
        <f t="shared" ca="1" si="35"/>
        <v>#VALUE!</v>
      </c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</row>
    <row r="207" spans="1:68" ht="19" x14ac:dyDescent="0.25">
      <c r="A207" s="5"/>
      <c r="B207" s="5"/>
      <c r="C207" s="5"/>
      <c r="D207" s="5"/>
      <c r="E207" s="5"/>
      <c r="F207" s="5"/>
      <c r="G207" s="5"/>
      <c r="H207" s="6"/>
      <c r="I207" s="5"/>
      <c r="J207" s="83"/>
      <c r="K207" s="83"/>
      <c r="L207" s="83"/>
      <c r="M207" s="83"/>
      <c r="N207" s="83"/>
      <c r="O207" s="83"/>
      <c r="P207" s="83"/>
      <c r="Q207" s="84"/>
      <c r="R207" s="83"/>
      <c r="S207" s="83"/>
      <c r="T207" s="85"/>
      <c r="U207" s="6"/>
      <c r="V207" s="44">
        <v>44217</v>
      </c>
      <c r="W207" s="45">
        <v>125.75</v>
      </c>
      <c r="X207" s="46"/>
      <c r="Y207" s="61"/>
      <c r="Z207" s="5"/>
      <c r="AA207" s="5"/>
      <c r="AB207" s="5"/>
      <c r="AC207" s="5"/>
      <c r="AD207" s="5"/>
      <c r="AE207" s="5"/>
      <c r="AF207" s="5"/>
      <c r="AG207" s="5"/>
      <c r="AH207" s="6"/>
      <c r="AI207" s="44">
        <v>44217</v>
      </c>
      <c r="AJ207" s="53">
        <v>125.75</v>
      </c>
      <c r="AK207" s="54">
        <f t="shared" si="33"/>
        <v>1.2072434607645954E-2</v>
      </c>
      <c r="AL207" s="55">
        <f t="shared" si="36"/>
        <v>12.497541524584495</v>
      </c>
      <c r="AM207" s="56">
        <v>25</v>
      </c>
      <c r="AN207" s="57">
        <f t="shared" si="34"/>
        <v>12.502458475415505</v>
      </c>
      <c r="AO207" s="76">
        <f t="shared" si="37"/>
        <v>6.4471216433566862</v>
      </c>
      <c r="AP207" s="63" t="str">
        <f t="shared" si="38"/>
        <v>Buy Stocks</v>
      </c>
      <c r="AQ207" s="63" t="str">
        <f t="shared" si="39"/>
        <v/>
      </c>
      <c r="AR207" s="63" t="str">
        <f t="shared" si="40"/>
        <v/>
      </c>
      <c r="AS207" s="63" t="str">
        <f t="shared" si="41"/>
        <v/>
      </c>
      <c r="AT207" s="78" t="str">
        <f t="shared" si="42"/>
        <v/>
      </c>
      <c r="AU207" s="78" t="str">
        <f t="shared" si="43"/>
        <v/>
      </c>
      <c r="AV207" s="64" t="str">
        <f ca="1">IFERROR(__xludf.DUMMYFUNCTION("IF(TRIM(AU207)="""","""",AU207/INDEX(FILTER(AT$3:AT207,TRIM(AT$3:AT207)&lt;&gt;""""),ROWS(FILTER(AT$3:AT207,TRIM(AT$3:AT207)&lt;&gt;"""")))-1)"),"")</f>
        <v/>
      </c>
      <c r="AW207" s="65" t="e">
        <f t="shared" ca="1" si="35"/>
        <v>#VALUE!</v>
      </c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</row>
    <row r="208" spans="1:68" ht="19" x14ac:dyDescent="0.25">
      <c r="A208" s="5"/>
      <c r="B208" s="5"/>
      <c r="C208" s="5"/>
      <c r="D208" s="5"/>
      <c r="E208" s="5"/>
      <c r="F208" s="5"/>
      <c r="G208" s="5"/>
      <c r="H208" s="6"/>
      <c r="I208" s="5"/>
      <c r="J208" s="83"/>
      <c r="K208" s="83"/>
      <c r="L208" s="83"/>
      <c r="M208" s="83"/>
      <c r="N208" s="83"/>
      <c r="O208" s="83"/>
      <c r="P208" s="83"/>
      <c r="Q208" s="84"/>
      <c r="R208" s="83"/>
      <c r="S208" s="83"/>
      <c r="T208" s="85"/>
      <c r="U208" s="6"/>
      <c r="V208" s="44">
        <v>44218</v>
      </c>
      <c r="W208" s="45">
        <v>113.29</v>
      </c>
      <c r="X208" s="46"/>
      <c r="Y208" s="61"/>
      <c r="Z208" s="5"/>
      <c r="AA208" s="5"/>
      <c r="AB208" s="5"/>
      <c r="AC208" s="5"/>
      <c r="AD208" s="5"/>
      <c r="AE208" s="5"/>
      <c r="AF208" s="5"/>
      <c r="AG208" s="5"/>
      <c r="AH208" s="6"/>
      <c r="AI208" s="44">
        <v>44218</v>
      </c>
      <c r="AJ208" s="53">
        <v>113.29</v>
      </c>
      <c r="AK208" s="54">
        <f t="shared" si="33"/>
        <v>-9.9085487077534729E-2</v>
      </c>
      <c r="AL208" s="55">
        <f t="shared" si="36"/>
        <v>74.657785638142144</v>
      </c>
      <c r="AM208" s="56">
        <v>25</v>
      </c>
      <c r="AN208" s="57">
        <f t="shared" si="34"/>
        <v>-49.657785638142144</v>
      </c>
      <c r="AO208" s="76">
        <f t="shared" si="37"/>
        <v>-4.5515992155281504</v>
      </c>
      <c r="AP208" s="63" t="str">
        <f t="shared" si="38"/>
        <v/>
      </c>
      <c r="AQ208" s="63" t="str">
        <f t="shared" si="39"/>
        <v>Sell Stocks</v>
      </c>
      <c r="AR208" s="63" t="str">
        <f t="shared" si="40"/>
        <v/>
      </c>
      <c r="AS208" s="63" t="str">
        <f t="shared" si="41"/>
        <v>Sell Stocks</v>
      </c>
      <c r="AT208" s="78" t="str">
        <f t="shared" si="42"/>
        <v/>
      </c>
      <c r="AU208" s="77">
        <f t="shared" si="43"/>
        <v>113.29</v>
      </c>
      <c r="AV208" s="64">
        <f ca="1">IFERROR(__xludf.DUMMYFUNCTION("IF(TRIM(AU208)="""","""",AU208/INDEX(FILTER(AT$3:AT208,TRIM(AT$3:AT208)&lt;&gt;""""),ROWS(FILTER(AT$3:AT208,TRIM(AT$3:AT208)&lt;&gt;"""")))-1)"),-0.058114399733954)</f>
        <v>-5.8114399733953999E-2</v>
      </c>
      <c r="AW208" s="65" t="e">
        <f t="shared" ca="1" si="35"/>
        <v>#VALUE!</v>
      </c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</row>
    <row r="209" spans="1:68" ht="19" x14ac:dyDescent="0.25">
      <c r="A209" s="5"/>
      <c r="B209" s="5"/>
      <c r="C209" s="5"/>
      <c r="D209" s="5"/>
      <c r="E209" s="5"/>
      <c r="F209" s="5"/>
      <c r="G209" s="5"/>
      <c r="H209" s="6"/>
      <c r="I209" s="5"/>
      <c r="J209" s="83"/>
      <c r="K209" s="83"/>
      <c r="L209" s="83"/>
      <c r="M209" s="83"/>
      <c r="N209" s="83"/>
      <c r="O209" s="83"/>
      <c r="P209" s="83"/>
      <c r="Q209" s="84"/>
      <c r="R209" s="83"/>
      <c r="S209" s="83"/>
      <c r="T209" s="85"/>
      <c r="U209" s="6"/>
      <c r="V209" s="44">
        <v>44221</v>
      </c>
      <c r="W209" s="45">
        <v>113.26</v>
      </c>
      <c r="X209" s="46"/>
      <c r="Y209" s="61"/>
      <c r="Z209" s="5"/>
      <c r="AA209" s="5"/>
      <c r="AB209" s="5"/>
      <c r="AC209" s="5"/>
      <c r="AD209" s="5"/>
      <c r="AE209" s="5"/>
      <c r="AF209" s="5"/>
      <c r="AG209" s="5"/>
      <c r="AH209" s="6"/>
      <c r="AI209" s="44">
        <v>44221</v>
      </c>
      <c r="AJ209" s="53">
        <v>113.26</v>
      </c>
      <c r="AK209" s="54">
        <f t="shared" si="33"/>
        <v>-2.6480713213872242E-4</v>
      </c>
      <c r="AL209" s="55">
        <f t="shared" si="36"/>
        <v>75.120361952592987</v>
      </c>
      <c r="AM209" s="56">
        <v>25</v>
      </c>
      <c r="AN209" s="57">
        <f t="shared" si="34"/>
        <v>-50.120361952592987</v>
      </c>
      <c r="AO209" s="76">
        <f t="shared" si="37"/>
        <v>-15.617994612348486</v>
      </c>
      <c r="AP209" s="63" t="str">
        <f t="shared" si="38"/>
        <v/>
      </c>
      <c r="AQ209" s="63" t="str">
        <f t="shared" si="39"/>
        <v>Sell Stocks</v>
      </c>
      <c r="AR209" s="63" t="str">
        <f t="shared" si="40"/>
        <v/>
      </c>
      <c r="AS209" s="63" t="str">
        <f t="shared" si="41"/>
        <v/>
      </c>
      <c r="AT209" s="78" t="str">
        <f t="shared" si="42"/>
        <v/>
      </c>
      <c r="AU209" s="78" t="str">
        <f t="shared" si="43"/>
        <v/>
      </c>
      <c r="AV209" s="64" t="str">
        <f ca="1">IFERROR(__xludf.DUMMYFUNCTION("IF(TRIM(AU209)="""","""",AU209/INDEX(FILTER(AT$3:AT209,TRIM(AT$3:AT209)&lt;&gt;""""),ROWS(FILTER(AT$3:AT209,TRIM(AT$3:AT209)&lt;&gt;"""")))-1)"),"")</f>
        <v/>
      </c>
      <c r="AW209" s="65" t="e">
        <f t="shared" ca="1" si="35"/>
        <v>#VALUE!</v>
      </c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</row>
    <row r="210" spans="1:68" ht="19" x14ac:dyDescent="0.25">
      <c r="A210" s="5"/>
      <c r="B210" s="5"/>
      <c r="C210" s="5"/>
      <c r="D210" s="5"/>
      <c r="E210" s="5"/>
      <c r="F210" s="5"/>
      <c r="G210" s="5"/>
      <c r="H210" s="6"/>
      <c r="I210" s="5"/>
      <c r="J210" s="83"/>
      <c r="K210" s="83"/>
      <c r="L210" s="83"/>
      <c r="M210" s="83"/>
      <c r="N210" s="83"/>
      <c r="O210" s="83"/>
      <c r="P210" s="83"/>
      <c r="Q210" s="84"/>
      <c r="R210" s="83"/>
      <c r="S210" s="83"/>
      <c r="T210" s="85"/>
      <c r="U210" s="6"/>
      <c r="V210" s="44">
        <v>44222</v>
      </c>
      <c r="W210" s="45">
        <v>117</v>
      </c>
      <c r="X210" s="46"/>
      <c r="Y210" s="61"/>
      <c r="Z210" s="5"/>
      <c r="AA210" s="5"/>
      <c r="AB210" s="5"/>
      <c r="AC210" s="5"/>
      <c r="AD210" s="5"/>
      <c r="AE210" s="5"/>
      <c r="AF210" s="5"/>
      <c r="AG210" s="5"/>
      <c r="AH210" s="6"/>
      <c r="AI210" s="44">
        <v>44222</v>
      </c>
      <c r="AJ210" s="53">
        <v>117</v>
      </c>
      <c r="AK210" s="54">
        <f t="shared" si="33"/>
        <v>3.3021366766731397E-2</v>
      </c>
      <c r="AL210" s="55">
        <f t="shared" si="36"/>
        <v>82.092073348502979</v>
      </c>
      <c r="AM210" s="56">
        <v>25</v>
      </c>
      <c r="AN210" s="57">
        <f t="shared" si="34"/>
        <v>-57.092073348502979</v>
      </c>
      <c r="AO210" s="76">
        <f t="shared" si="37"/>
        <v>-28.009742692011038</v>
      </c>
      <c r="AP210" s="63" t="str">
        <f t="shared" si="38"/>
        <v/>
      </c>
      <c r="AQ210" s="63" t="str">
        <f t="shared" si="39"/>
        <v>Sell Stocks</v>
      </c>
      <c r="AR210" s="63" t="str">
        <f t="shared" si="40"/>
        <v/>
      </c>
      <c r="AS210" s="63" t="str">
        <f t="shared" si="41"/>
        <v/>
      </c>
      <c r="AT210" s="78" t="str">
        <f t="shared" si="42"/>
        <v/>
      </c>
      <c r="AU210" s="78" t="str">
        <f t="shared" si="43"/>
        <v/>
      </c>
      <c r="AV210" s="64" t="str">
        <f ca="1">IFERROR(__xludf.DUMMYFUNCTION("IF(TRIM(AU210)="""","""",AU210/INDEX(FILTER(AT$3:AT210,TRIM(AT$3:AT210)&lt;&gt;""""),ROWS(FILTER(AT$3:AT210,TRIM(AT$3:AT210)&lt;&gt;"""")))-1)"),"")</f>
        <v/>
      </c>
      <c r="AW210" s="65" t="e">
        <f t="shared" ca="1" si="35"/>
        <v>#VALUE!</v>
      </c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</row>
    <row r="211" spans="1:68" ht="19" x14ac:dyDescent="0.25">
      <c r="A211" s="5"/>
      <c r="B211" s="5"/>
      <c r="C211" s="5"/>
      <c r="D211" s="5"/>
      <c r="E211" s="5"/>
      <c r="F211" s="5"/>
      <c r="G211" s="5"/>
      <c r="H211" s="6"/>
      <c r="I211" s="5"/>
      <c r="J211" s="83"/>
      <c r="K211" s="83"/>
      <c r="L211" s="83"/>
      <c r="M211" s="83"/>
      <c r="N211" s="83"/>
      <c r="O211" s="83"/>
      <c r="P211" s="83"/>
      <c r="Q211" s="84"/>
      <c r="R211" s="83"/>
      <c r="S211" s="83"/>
      <c r="T211" s="85"/>
      <c r="U211" s="6"/>
      <c r="V211" s="44">
        <v>44223</v>
      </c>
      <c r="W211" s="45">
        <v>116.98</v>
      </c>
      <c r="X211" s="46"/>
      <c r="Y211" s="61"/>
      <c r="Z211" s="5"/>
      <c r="AA211" s="5"/>
      <c r="AB211" s="5"/>
      <c r="AC211" s="5"/>
      <c r="AD211" s="5"/>
      <c r="AE211" s="5"/>
      <c r="AF211" s="5"/>
      <c r="AG211" s="5"/>
      <c r="AH211" s="6"/>
      <c r="AI211" s="44">
        <v>44223</v>
      </c>
      <c r="AJ211" s="53">
        <v>116.98</v>
      </c>
      <c r="AK211" s="54">
        <f t="shared" si="33"/>
        <v>-1.7094017094010372E-4</v>
      </c>
      <c r="AL211" s="55">
        <f t="shared" si="36"/>
        <v>81.184250655703522</v>
      </c>
      <c r="AM211" s="56">
        <v>25</v>
      </c>
      <c r="AN211" s="57">
        <f t="shared" si="34"/>
        <v>-56.184250655703522</v>
      </c>
      <c r="AO211" s="76">
        <f t="shared" si="37"/>
        <v>-40.110402623905223</v>
      </c>
      <c r="AP211" s="63" t="str">
        <f t="shared" si="38"/>
        <v/>
      </c>
      <c r="AQ211" s="63" t="str">
        <f t="shared" si="39"/>
        <v>Sell Stocks</v>
      </c>
      <c r="AR211" s="63" t="str">
        <f t="shared" si="40"/>
        <v/>
      </c>
      <c r="AS211" s="63" t="str">
        <f t="shared" si="41"/>
        <v/>
      </c>
      <c r="AT211" s="78" t="str">
        <f t="shared" si="42"/>
        <v/>
      </c>
      <c r="AU211" s="78" t="str">
        <f t="shared" si="43"/>
        <v/>
      </c>
      <c r="AV211" s="64" t="str">
        <f ca="1">IFERROR(__xludf.DUMMYFUNCTION("IF(TRIM(AU211)="""","""",AU211/INDEX(FILTER(AT$3:AT211,TRIM(AT$3:AT211)&lt;&gt;""""),ROWS(FILTER(AT$3:AT211,TRIM(AT$3:AT211)&lt;&gt;"""")))-1)"),"")</f>
        <v/>
      </c>
      <c r="AW211" s="65" t="e">
        <f t="shared" ca="1" si="35"/>
        <v>#VALUE!</v>
      </c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</row>
    <row r="212" spans="1:68" ht="19" x14ac:dyDescent="0.25">
      <c r="A212" s="5"/>
      <c r="B212" s="5"/>
      <c r="C212" s="5"/>
      <c r="D212" s="5"/>
      <c r="E212" s="5"/>
      <c r="F212" s="5"/>
      <c r="G212" s="5"/>
      <c r="H212" s="6"/>
      <c r="I212" s="5"/>
      <c r="J212" s="83"/>
      <c r="K212" s="83"/>
      <c r="L212" s="83"/>
      <c r="M212" s="83"/>
      <c r="N212" s="83"/>
      <c r="O212" s="83"/>
      <c r="P212" s="83"/>
      <c r="Q212" s="84"/>
      <c r="R212" s="83"/>
      <c r="S212" s="83"/>
      <c r="T212" s="85"/>
      <c r="U212" s="6"/>
      <c r="V212" s="44">
        <v>44224</v>
      </c>
      <c r="W212" s="45">
        <v>114.7</v>
      </c>
      <c r="X212" s="46"/>
      <c r="Y212" s="61"/>
      <c r="Z212" s="5"/>
      <c r="AA212" s="5"/>
      <c r="AB212" s="5"/>
      <c r="AC212" s="5"/>
      <c r="AD212" s="5"/>
      <c r="AE212" s="5"/>
      <c r="AF212" s="5"/>
      <c r="AG212" s="5"/>
      <c r="AH212" s="6"/>
      <c r="AI212" s="44">
        <v>44224</v>
      </c>
      <c r="AJ212" s="53">
        <v>114.7</v>
      </c>
      <c r="AK212" s="54">
        <f t="shared" si="33"/>
        <v>-1.949051119849543E-2</v>
      </c>
      <c r="AL212" s="55">
        <f t="shared" si="36"/>
        <v>78.612699240000794</v>
      </c>
      <c r="AM212" s="56">
        <v>25</v>
      </c>
      <c r="AN212" s="57">
        <f t="shared" si="34"/>
        <v>-53.612699240000794</v>
      </c>
      <c r="AO212" s="76">
        <f t="shared" si="37"/>
        <v>-53.333434166988482</v>
      </c>
      <c r="AP212" s="63" t="str">
        <f t="shared" si="38"/>
        <v/>
      </c>
      <c r="AQ212" s="63" t="str">
        <f t="shared" si="39"/>
        <v>Sell Stocks</v>
      </c>
      <c r="AR212" s="63" t="str">
        <f t="shared" si="40"/>
        <v/>
      </c>
      <c r="AS212" s="63" t="str">
        <f t="shared" si="41"/>
        <v/>
      </c>
      <c r="AT212" s="78" t="str">
        <f t="shared" si="42"/>
        <v/>
      </c>
      <c r="AU212" s="78" t="str">
        <f t="shared" si="43"/>
        <v/>
      </c>
      <c r="AV212" s="64" t="str">
        <f ca="1">IFERROR(__xludf.DUMMYFUNCTION("IF(TRIM(AU212)="""","""",AU212/INDEX(FILTER(AT$3:AT212,TRIM(AT$3:AT212)&lt;&gt;""""),ROWS(FILTER(AT$3:AT212,TRIM(AT$3:AT212)&lt;&gt;"""")))-1)"),"")</f>
        <v/>
      </c>
      <c r="AW212" s="65" t="e">
        <f t="shared" ca="1" si="35"/>
        <v>#VALUE!</v>
      </c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</row>
    <row r="213" spans="1:68" ht="19" x14ac:dyDescent="0.25">
      <c r="A213" s="5"/>
      <c r="B213" s="5"/>
      <c r="C213" s="5"/>
      <c r="D213" s="5"/>
      <c r="E213" s="5"/>
      <c r="F213" s="5"/>
      <c r="G213" s="5"/>
      <c r="H213" s="6"/>
      <c r="I213" s="5"/>
      <c r="J213" s="83"/>
      <c r="K213" s="83"/>
      <c r="L213" s="83"/>
      <c r="M213" s="83"/>
      <c r="N213" s="83"/>
      <c r="O213" s="83"/>
      <c r="P213" s="83"/>
      <c r="Q213" s="84"/>
      <c r="R213" s="83"/>
      <c r="S213" s="83"/>
      <c r="T213" s="85"/>
      <c r="U213" s="6"/>
      <c r="V213" s="44">
        <v>44225</v>
      </c>
      <c r="W213" s="45">
        <v>113.77</v>
      </c>
      <c r="X213" s="46"/>
      <c r="Y213" s="61"/>
      <c r="Z213" s="5"/>
      <c r="AA213" s="5"/>
      <c r="AB213" s="5"/>
      <c r="AC213" s="5"/>
      <c r="AD213" s="5"/>
      <c r="AE213" s="5"/>
      <c r="AF213" s="5"/>
      <c r="AG213" s="5"/>
      <c r="AH213" s="6"/>
      <c r="AI213" s="44">
        <v>44225</v>
      </c>
      <c r="AJ213" s="53">
        <v>113.77</v>
      </c>
      <c r="AK213" s="54">
        <f t="shared" si="33"/>
        <v>-8.1081081081081363E-3</v>
      </c>
      <c r="AL213" s="55">
        <f t="shared" si="36"/>
        <v>31.058479876582336</v>
      </c>
      <c r="AM213" s="56">
        <v>25</v>
      </c>
      <c r="AN213" s="57">
        <f t="shared" si="34"/>
        <v>-6.0584798765823358</v>
      </c>
      <c r="AO213" s="76">
        <f t="shared" si="37"/>
        <v>-44.613573014676525</v>
      </c>
      <c r="AP213" s="63" t="str">
        <f t="shared" si="38"/>
        <v/>
      </c>
      <c r="AQ213" s="63" t="str">
        <f t="shared" si="39"/>
        <v>Sell Stocks</v>
      </c>
      <c r="AR213" s="63" t="str">
        <f t="shared" si="40"/>
        <v/>
      </c>
      <c r="AS213" s="63" t="str">
        <f t="shared" si="41"/>
        <v/>
      </c>
      <c r="AT213" s="78" t="str">
        <f t="shared" si="42"/>
        <v/>
      </c>
      <c r="AU213" s="78" t="str">
        <f t="shared" si="43"/>
        <v/>
      </c>
      <c r="AV213" s="64" t="str">
        <f ca="1">IFERROR(__xludf.DUMMYFUNCTION("IF(TRIM(AU213)="""","""",AU213/INDEX(FILTER(AT$3:AT213,TRIM(AT$3:AT213)&lt;&gt;""""),ROWS(FILTER(AT$3:AT213,TRIM(AT$3:AT213)&lt;&gt;"""")))-1)"),"")</f>
        <v/>
      </c>
      <c r="AW213" s="65" t="e">
        <f t="shared" ca="1" si="35"/>
        <v>#VALUE!</v>
      </c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</row>
    <row r="214" spans="1:68" ht="19" x14ac:dyDescent="0.25">
      <c r="A214" s="5"/>
      <c r="B214" s="5"/>
      <c r="C214" s="5"/>
      <c r="D214" s="5"/>
      <c r="E214" s="5"/>
      <c r="F214" s="5"/>
      <c r="G214" s="5"/>
      <c r="H214" s="6"/>
      <c r="I214" s="5"/>
      <c r="J214" s="83"/>
      <c r="K214" s="83"/>
      <c r="L214" s="83"/>
      <c r="M214" s="83"/>
      <c r="N214" s="83"/>
      <c r="O214" s="83"/>
      <c r="P214" s="83"/>
      <c r="Q214" s="84"/>
      <c r="R214" s="83"/>
      <c r="S214" s="83"/>
      <c r="T214" s="85"/>
      <c r="U214" s="6"/>
      <c r="V214" s="44">
        <v>44228</v>
      </c>
      <c r="W214" s="45">
        <v>115.14</v>
      </c>
      <c r="X214" s="46"/>
      <c r="Y214" s="61"/>
      <c r="Z214" s="5"/>
      <c r="AA214" s="5"/>
      <c r="AB214" s="5"/>
      <c r="AC214" s="5"/>
      <c r="AD214" s="5"/>
      <c r="AE214" s="5"/>
      <c r="AF214" s="5"/>
      <c r="AG214" s="5"/>
      <c r="AH214" s="6"/>
      <c r="AI214" s="44">
        <v>44228</v>
      </c>
      <c r="AJ214" s="53">
        <v>115.14</v>
      </c>
      <c r="AK214" s="54">
        <f t="shared" si="33"/>
        <v>1.2041838797574034E-2</v>
      </c>
      <c r="AL214" s="55">
        <f t="shared" si="36"/>
        <v>31.959184864741065</v>
      </c>
      <c r="AM214" s="56">
        <v>25</v>
      </c>
      <c r="AN214" s="57">
        <f t="shared" si="34"/>
        <v>-6.959184864741065</v>
      </c>
      <c r="AO214" s="76">
        <f t="shared" si="37"/>
        <v>-35.98133759710614</v>
      </c>
      <c r="AP214" s="63" t="str">
        <f t="shared" si="38"/>
        <v/>
      </c>
      <c r="AQ214" s="63" t="str">
        <f t="shared" si="39"/>
        <v>Sell Stocks</v>
      </c>
      <c r="AR214" s="63" t="str">
        <f t="shared" si="40"/>
        <v/>
      </c>
      <c r="AS214" s="63" t="str">
        <f t="shared" si="41"/>
        <v/>
      </c>
      <c r="AT214" s="78" t="str">
        <f t="shared" si="42"/>
        <v/>
      </c>
      <c r="AU214" s="78" t="str">
        <f t="shared" si="43"/>
        <v/>
      </c>
      <c r="AV214" s="64" t="str">
        <f ca="1">IFERROR(__xludf.DUMMYFUNCTION("IF(TRIM(AU214)="""","""",AU214/INDEX(FILTER(AT$3:AT214,TRIM(AT$3:AT214)&lt;&gt;""""),ROWS(FILTER(AT$3:AT214,TRIM(AT$3:AT214)&lt;&gt;"""")))-1)"),"")</f>
        <v/>
      </c>
      <c r="AW214" s="65" t="e">
        <f t="shared" ca="1" si="35"/>
        <v>#VALUE!</v>
      </c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</row>
    <row r="215" spans="1:68" ht="19" x14ac:dyDescent="0.25">
      <c r="A215" s="5"/>
      <c r="B215" s="5"/>
      <c r="C215" s="5"/>
      <c r="D215" s="5"/>
      <c r="E215" s="5"/>
      <c r="F215" s="5"/>
      <c r="G215" s="5"/>
      <c r="H215" s="6"/>
      <c r="I215" s="5"/>
      <c r="J215" s="83"/>
      <c r="K215" s="83"/>
      <c r="L215" s="83"/>
      <c r="M215" s="83"/>
      <c r="N215" s="83"/>
      <c r="O215" s="83"/>
      <c r="P215" s="83"/>
      <c r="Q215" s="84"/>
      <c r="R215" s="83"/>
      <c r="S215" s="83"/>
      <c r="T215" s="85"/>
      <c r="U215" s="6"/>
      <c r="V215" s="44">
        <v>44229</v>
      </c>
      <c r="W215" s="45">
        <v>114.08</v>
      </c>
      <c r="X215" s="46"/>
      <c r="Y215" s="61"/>
      <c r="Z215" s="5"/>
      <c r="AA215" s="5"/>
      <c r="AB215" s="5"/>
      <c r="AC215" s="5"/>
      <c r="AD215" s="5"/>
      <c r="AE215" s="5"/>
      <c r="AF215" s="5"/>
      <c r="AG215" s="5"/>
      <c r="AH215" s="6"/>
      <c r="AI215" s="44">
        <v>44229</v>
      </c>
      <c r="AJ215" s="53">
        <v>114.08</v>
      </c>
      <c r="AK215" s="54">
        <f t="shared" si="33"/>
        <v>-9.2061837762723586E-3</v>
      </c>
      <c r="AL215" s="55">
        <f t="shared" si="36"/>
        <v>18.632616077995358</v>
      </c>
      <c r="AM215" s="56">
        <v>25</v>
      </c>
      <c r="AN215" s="57">
        <f t="shared" si="34"/>
        <v>6.3673839220046418</v>
      </c>
      <c r="AO215" s="76">
        <f t="shared" si="37"/>
        <v>-23.289446143004614</v>
      </c>
      <c r="AP215" s="63" t="str">
        <f t="shared" si="38"/>
        <v/>
      </c>
      <c r="AQ215" s="63" t="str">
        <f t="shared" si="39"/>
        <v>Sell Stocks</v>
      </c>
      <c r="AR215" s="63" t="str">
        <f t="shared" si="40"/>
        <v/>
      </c>
      <c r="AS215" s="63" t="str">
        <f t="shared" si="41"/>
        <v/>
      </c>
      <c r="AT215" s="78" t="str">
        <f t="shared" si="42"/>
        <v/>
      </c>
      <c r="AU215" s="78" t="str">
        <f t="shared" si="43"/>
        <v/>
      </c>
      <c r="AV215" s="64" t="str">
        <f ca="1">IFERROR(__xludf.DUMMYFUNCTION("IF(TRIM(AU215)="""","""",AU215/INDEX(FILTER(AT$3:AT215,TRIM(AT$3:AT215)&lt;&gt;""""),ROWS(FILTER(AT$3:AT215,TRIM(AT$3:AT215)&lt;&gt;"""")))-1)"),"")</f>
        <v/>
      </c>
      <c r="AW215" s="65" t="e">
        <f t="shared" ca="1" si="35"/>
        <v>#VALUE!</v>
      </c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</row>
    <row r="216" spans="1:68" ht="19" x14ac:dyDescent="0.25">
      <c r="A216" s="5"/>
      <c r="B216" s="5"/>
      <c r="C216" s="5"/>
      <c r="D216" s="5"/>
      <c r="E216" s="5"/>
      <c r="F216" s="5"/>
      <c r="G216" s="5"/>
      <c r="H216" s="6"/>
      <c r="I216" s="5"/>
      <c r="J216" s="83"/>
      <c r="K216" s="83"/>
      <c r="L216" s="83"/>
      <c r="M216" s="83"/>
      <c r="N216" s="83"/>
      <c r="O216" s="83"/>
      <c r="P216" s="83"/>
      <c r="Q216" s="84"/>
      <c r="R216" s="83"/>
      <c r="S216" s="83"/>
      <c r="T216" s="85"/>
      <c r="U216" s="6"/>
      <c r="V216" s="44">
        <v>44230</v>
      </c>
      <c r="W216" s="45">
        <v>113.78</v>
      </c>
      <c r="X216" s="46"/>
      <c r="Y216" s="61"/>
      <c r="Z216" s="5"/>
      <c r="AA216" s="5"/>
      <c r="AB216" s="5"/>
      <c r="AC216" s="5"/>
      <c r="AD216" s="5"/>
      <c r="AE216" s="5"/>
      <c r="AF216" s="5"/>
      <c r="AG216" s="5"/>
      <c r="AH216" s="6"/>
      <c r="AI216" s="44">
        <v>44230</v>
      </c>
      <c r="AJ216" s="53">
        <v>113.78</v>
      </c>
      <c r="AK216" s="54">
        <f t="shared" si="33"/>
        <v>-2.6297335203365746E-3</v>
      </c>
      <c r="AL216" s="55">
        <f t="shared" si="36"/>
        <v>18.311240781184722</v>
      </c>
      <c r="AM216" s="56">
        <v>25</v>
      </c>
      <c r="AN216" s="57">
        <f t="shared" si="34"/>
        <v>6.688759218815278</v>
      </c>
      <c r="AO216" s="76">
        <f t="shared" si="37"/>
        <v>-10.714844168100855</v>
      </c>
      <c r="AP216" s="63" t="str">
        <f t="shared" si="38"/>
        <v/>
      </c>
      <c r="AQ216" s="63" t="str">
        <f t="shared" si="39"/>
        <v>Sell Stocks</v>
      </c>
      <c r="AR216" s="63" t="str">
        <f t="shared" si="40"/>
        <v/>
      </c>
      <c r="AS216" s="63" t="str">
        <f t="shared" si="41"/>
        <v/>
      </c>
      <c r="AT216" s="78" t="str">
        <f t="shared" si="42"/>
        <v/>
      </c>
      <c r="AU216" s="78" t="str">
        <f t="shared" si="43"/>
        <v/>
      </c>
      <c r="AV216" s="64" t="str">
        <f ca="1">IFERROR(__xludf.DUMMYFUNCTION("IF(TRIM(AU216)="""","""",AU216/INDEX(FILTER(AT$3:AT216,TRIM(AT$3:AT216)&lt;&gt;""""),ROWS(FILTER(AT$3:AT216,TRIM(AT$3:AT216)&lt;&gt;"""")))-1)"),"")</f>
        <v/>
      </c>
      <c r="AW216" s="65" t="e">
        <f t="shared" ca="1" si="35"/>
        <v>#VALUE!</v>
      </c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</row>
    <row r="217" spans="1:68" ht="19" x14ac:dyDescent="0.25">
      <c r="A217" s="5"/>
      <c r="B217" s="5"/>
      <c r="C217" s="5"/>
      <c r="D217" s="5"/>
      <c r="E217" s="5"/>
      <c r="F217" s="5"/>
      <c r="G217" s="5"/>
      <c r="H217" s="6"/>
      <c r="I217" s="5"/>
      <c r="J217" s="83"/>
      <c r="K217" s="83"/>
      <c r="L217" s="83"/>
      <c r="M217" s="83"/>
      <c r="N217" s="83"/>
      <c r="O217" s="83"/>
      <c r="P217" s="83"/>
      <c r="Q217" s="84"/>
      <c r="R217" s="83"/>
      <c r="S217" s="83"/>
      <c r="T217" s="85"/>
      <c r="U217" s="6"/>
      <c r="V217" s="44">
        <v>44231</v>
      </c>
      <c r="W217" s="45">
        <v>115.59</v>
      </c>
      <c r="X217" s="46"/>
      <c r="Y217" s="61"/>
      <c r="Z217" s="5"/>
      <c r="AA217" s="5"/>
      <c r="AB217" s="5"/>
      <c r="AC217" s="5"/>
      <c r="AD217" s="5"/>
      <c r="AE217" s="5"/>
      <c r="AF217" s="5"/>
      <c r="AG217" s="5"/>
      <c r="AH217" s="6"/>
      <c r="AI217" s="44">
        <v>44231</v>
      </c>
      <c r="AJ217" s="53">
        <v>115.59</v>
      </c>
      <c r="AK217" s="54">
        <f t="shared" si="33"/>
        <v>1.5907892423976167E-2</v>
      </c>
      <c r="AL217" s="55">
        <f t="shared" si="36"/>
        <v>18.489873380824822</v>
      </c>
      <c r="AM217" s="56">
        <v>25</v>
      </c>
      <c r="AN217" s="57">
        <f t="shared" si="34"/>
        <v>6.5101266191751783</v>
      </c>
      <c r="AO217" s="76">
        <f t="shared" si="37"/>
        <v>1.3097210037343394</v>
      </c>
      <c r="AP217" s="63" t="str">
        <f t="shared" si="38"/>
        <v>Buy Stocks</v>
      </c>
      <c r="AQ217" s="63" t="str">
        <f t="shared" si="39"/>
        <v/>
      </c>
      <c r="AR217" s="63" t="str">
        <f t="shared" si="40"/>
        <v>Buy Stocks</v>
      </c>
      <c r="AS217" s="63" t="str">
        <f t="shared" si="41"/>
        <v/>
      </c>
      <c r="AT217" s="77">
        <f t="shared" si="42"/>
        <v>115.59</v>
      </c>
      <c r="AU217" s="78" t="str">
        <f t="shared" si="43"/>
        <v/>
      </c>
      <c r="AV217" s="64" t="str">
        <f ca="1">IFERROR(__xludf.DUMMYFUNCTION("IF(TRIM(AU217)="""","""",AU217/INDEX(FILTER(AT$3:AT217,TRIM(AT$3:AT217)&lt;&gt;""""),ROWS(FILTER(AT$3:AT217,TRIM(AT$3:AT217)&lt;&gt;"""")))-1)"),"")</f>
        <v/>
      </c>
      <c r="AW217" s="65" t="e">
        <f t="shared" ca="1" si="35"/>
        <v>#VALUE!</v>
      </c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pans="1:68" ht="19" x14ac:dyDescent="0.25">
      <c r="A218" s="5"/>
      <c r="B218" s="5"/>
      <c r="C218" s="5"/>
      <c r="D218" s="5"/>
      <c r="E218" s="5"/>
      <c r="F218" s="5"/>
      <c r="G218" s="5"/>
      <c r="H218" s="6"/>
      <c r="I218" s="5"/>
      <c r="J218" s="83"/>
      <c r="K218" s="83"/>
      <c r="L218" s="83"/>
      <c r="M218" s="83"/>
      <c r="N218" s="83"/>
      <c r="O218" s="83"/>
      <c r="P218" s="83"/>
      <c r="Q218" s="84"/>
      <c r="R218" s="83"/>
      <c r="S218" s="83"/>
      <c r="T218" s="85"/>
      <c r="U218" s="6"/>
      <c r="V218" s="44">
        <v>44232</v>
      </c>
      <c r="W218" s="45">
        <v>116.33</v>
      </c>
      <c r="X218" s="46"/>
      <c r="Y218" s="61"/>
      <c r="Z218" s="5"/>
      <c r="AA218" s="5"/>
      <c r="AB218" s="5"/>
      <c r="AC218" s="5"/>
      <c r="AD218" s="5"/>
      <c r="AE218" s="5"/>
      <c r="AF218" s="5"/>
      <c r="AG218" s="5"/>
      <c r="AH218" s="6"/>
      <c r="AI218" s="44">
        <v>44232</v>
      </c>
      <c r="AJ218" s="53">
        <v>116.33</v>
      </c>
      <c r="AK218" s="54">
        <f t="shared" si="33"/>
        <v>6.4019378838999774E-3</v>
      </c>
      <c r="AL218" s="55">
        <f t="shared" si="36"/>
        <v>16.446197656048284</v>
      </c>
      <c r="AM218" s="56">
        <v>25</v>
      </c>
      <c r="AN218" s="57">
        <f t="shared" si="34"/>
        <v>8.5538023439517161</v>
      </c>
      <c r="AO218" s="76">
        <f t="shared" si="37"/>
        <v>4.23217744784115</v>
      </c>
      <c r="AP218" s="63" t="str">
        <f t="shared" si="38"/>
        <v>Buy Stocks</v>
      </c>
      <c r="AQ218" s="63" t="str">
        <f t="shared" si="39"/>
        <v/>
      </c>
      <c r="AR218" s="63" t="str">
        <f t="shared" si="40"/>
        <v/>
      </c>
      <c r="AS218" s="63" t="str">
        <f t="shared" si="41"/>
        <v/>
      </c>
      <c r="AT218" s="78" t="str">
        <f t="shared" si="42"/>
        <v/>
      </c>
      <c r="AU218" s="78" t="str">
        <f t="shared" si="43"/>
        <v/>
      </c>
      <c r="AV218" s="64" t="str">
        <f ca="1">IFERROR(__xludf.DUMMYFUNCTION("IF(TRIM(AU218)="""","""",AU218/INDEX(FILTER(AT$3:AT218,TRIM(AT$3:AT218)&lt;&gt;""""),ROWS(FILTER(AT$3:AT218,TRIM(AT$3:AT218)&lt;&gt;"""")))-1)"),"")</f>
        <v/>
      </c>
      <c r="AW218" s="65" t="e">
        <f t="shared" ca="1" si="35"/>
        <v>#VALUE!</v>
      </c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</row>
    <row r="219" spans="1:68" ht="19" x14ac:dyDescent="0.25">
      <c r="A219" s="5"/>
      <c r="B219" s="5"/>
      <c r="C219" s="5"/>
      <c r="D219" s="5"/>
      <c r="E219" s="5"/>
      <c r="F219" s="5"/>
      <c r="G219" s="5"/>
      <c r="H219" s="6"/>
      <c r="I219" s="5"/>
      <c r="J219" s="83"/>
      <c r="K219" s="83"/>
      <c r="L219" s="83"/>
      <c r="M219" s="83"/>
      <c r="N219" s="83"/>
      <c r="O219" s="83"/>
      <c r="P219" s="83"/>
      <c r="Q219" s="84"/>
      <c r="R219" s="83"/>
      <c r="S219" s="83"/>
      <c r="T219" s="85"/>
      <c r="U219" s="6"/>
      <c r="V219" s="44">
        <v>44235</v>
      </c>
      <c r="W219" s="45">
        <v>118.07</v>
      </c>
      <c r="X219" s="46"/>
      <c r="Y219" s="61"/>
      <c r="Z219" s="5"/>
      <c r="AA219" s="5"/>
      <c r="AB219" s="5"/>
      <c r="AC219" s="5"/>
      <c r="AD219" s="5"/>
      <c r="AE219" s="5"/>
      <c r="AF219" s="5"/>
      <c r="AG219" s="5"/>
      <c r="AH219" s="6"/>
      <c r="AI219" s="44">
        <v>44235</v>
      </c>
      <c r="AJ219" s="53">
        <v>118.07</v>
      </c>
      <c r="AK219" s="54">
        <f t="shared" si="33"/>
        <v>1.4957448637496817E-2</v>
      </c>
      <c r="AL219" s="55">
        <f t="shared" si="36"/>
        <v>17.391275177667676</v>
      </c>
      <c r="AM219" s="56">
        <v>25</v>
      </c>
      <c r="AN219" s="57">
        <f t="shared" si="34"/>
        <v>7.6087248223323236</v>
      </c>
      <c r="AO219" s="76">
        <f t="shared" si="37"/>
        <v>7.1457593852558272</v>
      </c>
      <c r="AP219" s="63" t="str">
        <f t="shared" si="38"/>
        <v>Buy Stocks</v>
      </c>
      <c r="AQ219" s="63" t="str">
        <f t="shared" si="39"/>
        <v/>
      </c>
      <c r="AR219" s="63" t="str">
        <f t="shared" si="40"/>
        <v/>
      </c>
      <c r="AS219" s="63" t="str">
        <f t="shared" si="41"/>
        <v/>
      </c>
      <c r="AT219" s="78" t="str">
        <f t="shared" si="42"/>
        <v/>
      </c>
      <c r="AU219" s="78" t="str">
        <f t="shared" si="43"/>
        <v/>
      </c>
      <c r="AV219" s="64" t="str">
        <f ca="1">IFERROR(__xludf.DUMMYFUNCTION("IF(TRIM(AU219)="""","""",AU219/INDEX(FILTER(AT$3:AT219,TRIM(AT$3:AT219)&lt;&gt;""""),ROWS(FILTER(AT$3:AT219,TRIM(AT$3:AT219)&lt;&gt;"""")))-1)"),"")</f>
        <v/>
      </c>
      <c r="AW219" s="65" t="e">
        <f t="shared" ca="1" si="35"/>
        <v>#VALUE!</v>
      </c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pans="1:68" ht="19" x14ac:dyDescent="0.25">
      <c r="A220" s="5"/>
      <c r="B220" s="5"/>
      <c r="C220" s="5"/>
      <c r="D220" s="5"/>
      <c r="E220" s="5"/>
      <c r="F220" s="5"/>
      <c r="G220" s="5"/>
      <c r="H220" s="6"/>
      <c r="I220" s="5"/>
      <c r="J220" s="83"/>
      <c r="K220" s="83"/>
      <c r="L220" s="83"/>
      <c r="M220" s="83"/>
      <c r="N220" s="83"/>
      <c r="O220" s="83"/>
      <c r="P220" s="83"/>
      <c r="Q220" s="84"/>
      <c r="R220" s="83"/>
      <c r="S220" s="83"/>
      <c r="T220" s="85"/>
      <c r="U220" s="6"/>
      <c r="V220" s="44">
        <v>44236</v>
      </c>
      <c r="W220" s="45">
        <v>116.63</v>
      </c>
      <c r="X220" s="46"/>
      <c r="Y220" s="61"/>
      <c r="Z220" s="5"/>
      <c r="AA220" s="5"/>
      <c r="AB220" s="5"/>
      <c r="AC220" s="5"/>
      <c r="AD220" s="5"/>
      <c r="AE220" s="5"/>
      <c r="AF220" s="5"/>
      <c r="AG220" s="5"/>
      <c r="AH220" s="6"/>
      <c r="AI220" s="44">
        <v>44236</v>
      </c>
      <c r="AJ220" s="53">
        <v>116.63</v>
      </c>
      <c r="AK220" s="54">
        <f t="shared" si="33"/>
        <v>-1.2196154823409855E-2</v>
      </c>
      <c r="AL220" s="55">
        <f t="shared" si="36"/>
        <v>18.994921773477756</v>
      </c>
      <c r="AM220" s="56">
        <v>25</v>
      </c>
      <c r="AN220" s="57">
        <f t="shared" si="34"/>
        <v>6.0050782265222438</v>
      </c>
      <c r="AO220" s="76">
        <f t="shared" si="37"/>
        <v>7.0732982461593483</v>
      </c>
      <c r="AP220" s="63" t="str">
        <f t="shared" si="38"/>
        <v>Buy Stocks</v>
      </c>
      <c r="AQ220" s="63" t="str">
        <f t="shared" si="39"/>
        <v/>
      </c>
      <c r="AR220" s="63" t="str">
        <f t="shared" si="40"/>
        <v/>
      </c>
      <c r="AS220" s="63" t="str">
        <f t="shared" si="41"/>
        <v/>
      </c>
      <c r="AT220" s="78" t="str">
        <f t="shared" si="42"/>
        <v/>
      </c>
      <c r="AU220" s="78" t="str">
        <f t="shared" si="43"/>
        <v/>
      </c>
      <c r="AV220" s="64" t="str">
        <f ca="1">IFERROR(__xludf.DUMMYFUNCTION("IF(TRIM(AU220)="""","""",AU220/INDEX(FILTER(AT$3:AT220,TRIM(AT$3:AT220)&lt;&gt;""""),ROWS(FILTER(AT$3:AT220,TRIM(AT$3:AT220)&lt;&gt;"""")))-1)"),"")</f>
        <v/>
      </c>
      <c r="AW220" s="65" t="e">
        <f t="shared" ca="1" si="35"/>
        <v>#VALUE!</v>
      </c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pans="1:68" ht="19" x14ac:dyDescent="0.25">
      <c r="A221" s="5"/>
      <c r="B221" s="5"/>
      <c r="C221" s="5"/>
      <c r="D221" s="5"/>
      <c r="E221" s="5"/>
      <c r="F221" s="5"/>
      <c r="G221" s="5"/>
      <c r="H221" s="6"/>
      <c r="I221" s="5"/>
      <c r="J221" s="83"/>
      <c r="K221" s="83"/>
      <c r="L221" s="83"/>
      <c r="M221" s="83"/>
      <c r="N221" s="83"/>
      <c r="O221" s="83"/>
      <c r="P221" s="83"/>
      <c r="Q221" s="84"/>
      <c r="R221" s="83"/>
      <c r="S221" s="83"/>
      <c r="T221" s="85"/>
      <c r="U221" s="6"/>
      <c r="V221" s="44">
        <v>44237</v>
      </c>
      <c r="W221" s="45">
        <v>116.76</v>
      </c>
      <c r="X221" s="46"/>
      <c r="Y221" s="61"/>
      <c r="Z221" s="5"/>
      <c r="AA221" s="5"/>
      <c r="AB221" s="5"/>
      <c r="AC221" s="5"/>
      <c r="AD221" s="5"/>
      <c r="AE221" s="5"/>
      <c r="AF221" s="5"/>
      <c r="AG221" s="5"/>
      <c r="AH221" s="6"/>
      <c r="AI221" s="44">
        <v>44237</v>
      </c>
      <c r="AJ221" s="53">
        <v>116.76</v>
      </c>
      <c r="AK221" s="54">
        <f t="shared" si="33"/>
        <v>1.114636028466176E-3</v>
      </c>
      <c r="AL221" s="55">
        <f t="shared" si="36"/>
        <v>18.28363144586741</v>
      </c>
      <c r="AM221" s="56">
        <v>25</v>
      </c>
      <c r="AN221" s="57">
        <f t="shared" si="34"/>
        <v>6.7163685541325897</v>
      </c>
      <c r="AO221" s="76">
        <f t="shared" si="37"/>
        <v>7.0788201132228092</v>
      </c>
      <c r="AP221" s="63" t="str">
        <f t="shared" si="38"/>
        <v>Buy Stocks</v>
      </c>
      <c r="AQ221" s="63" t="str">
        <f t="shared" si="39"/>
        <v/>
      </c>
      <c r="AR221" s="63" t="str">
        <f t="shared" si="40"/>
        <v/>
      </c>
      <c r="AS221" s="63" t="str">
        <f t="shared" si="41"/>
        <v/>
      </c>
      <c r="AT221" s="78" t="str">
        <f t="shared" si="42"/>
        <v/>
      </c>
      <c r="AU221" s="78" t="str">
        <f t="shared" si="43"/>
        <v/>
      </c>
      <c r="AV221" s="64" t="str">
        <f ca="1">IFERROR(__xludf.DUMMYFUNCTION("IF(TRIM(AU221)="""","""",AU221/INDEX(FILTER(AT$3:AT221,TRIM(AT$3:AT221)&lt;&gt;""""),ROWS(FILTER(AT$3:AT221,TRIM(AT$3:AT221)&lt;&gt;"""")))-1)"),"")</f>
        <v/>
      </c>
      <c r="AW221" s="65" t="e">
        <f t="shared" ca="1" si="35"/>
        <v>#VALUE!</v>
      </c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</row>
    <row r="222" spans="1:68" ht="19" x14ac:dyDescent="0.25">
      <c r="A222" s="5"/>
      <c r="B222" s="5"/>
      <c r="C222" s="5"/>
      <c r="D222" s="5"/>
      <c r="E222" s="5"/>
      <c r="F222" s="5"/>
      <c r="G222" s="5"/>
      <c r="H222" s="6"/>
      <c r="I222" s="5"/>
      <c r="J222" s="83"/>
      <c r="K222" s="83"/>
      <c r="L222" s="83"/>
      <c r="M222" s="83"/>
      <c r="N222" s="83"/>
      <c r="O222" s="83"/>
      <c r="P222" s="83"/>
      <c r="Q222" s="84"/>
      <c r="R222" s="83"/>
      <c r="S222" s="83"/>
      <c r="T222" s="85"/>
      <c r="U222" s="6"/>
      <c r="V222" s="44">
        <v>44238</v>
      </c>
      <c r="W222" s="45">
        <v>115.49</v>
      </c>
      <c r="X222" s="46"/>
      <c r="Y222" s="61"/>
      <c r="Z222" s="5"/>
      <c r="AA222" s="5"/>
      <c r="AB222" s="5"/>
      <c r="AC222" s="5"/>
      <c r="AD222" s="5"/>
      <c r="AE222" s="5"/>
      <c r="AF222" s="5"/>
      <c r="AG222" s="5"/>
      <c r="AH222" s="6"/>
      <c r="AI222" s="44">
        <v>44238</v>
      </c>
      <c r="AJ222" s="53">
        <v>115.49</v>
      </c>
      <c r="AK222" s="54">
        <f t="shared" si="33"/>
        <v>-1.0877012675573949E-2</v>
      </c>
      <c r="AL222" s="55">
        <f t="shared" si="36"/>
        <v>18.323478527035995</v>
      </c>
      <c r="AM222" s="56">
        <v>25</v>
      </c>
      <c r="AN222" s="57">
        <f t="shared" si="34"/>
        <v>6.676521472964005</v>
      </c>
      <c r="AO222" s="76">
        <f t="shared" si="37"/>
        <v>7.112099083980576</v>
      </c>
      <c r="AP222" s="63" t="str">
        <f t="shared" si="38"/>
        <v>Buy Stocks</v>
      </c>
      <c r="AQ222" s="63" t="str">
        <f t="shared" si="39"/>
        <v/>
      </c>
      <c r="AR222" s="63" t="str">
        <f t="shared" si="40"/>
        <v/>
      </c>
      <c r="AS222" s="63" t="str">
        <f t="shared" si="41"/>
        <v/>
      </c>
      <c r="AT222" s="78" t="str">
        <f t="shared" si="42"/>
        <v/>
      </c>
      <c r="AU222" s="78" t="str">
        <f t="shared" si="43"/>
        <v/>
      </c>
      <c r="AV222" s="64" t="str">
        <f ca="1">IFERROR(__xludf.DUMMYFUNCTION("IF(TRIM(AU222)="""","""",AU222/INDEX(FILTER(AT$3:AT222,TRIM(AT$3:AT222)&lt;&gt;""""),ROWS(FILTER(AT$3:AT222,TRIM(AT$3:AT222)&lt;&gt;"""")))-1)"),"")</f>
        <v/>
      </c>
      <c r="AW222" s="65" t="e">
        <f t="shared" ca="1" si="35"/>
        <v>#VALUE!</v>
      </c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</row>
    <row r="223" spans="1:68" ht="19" x14ac:dyDescent="0.25">
      <c r="A223" s="5"/>
      <c r="B223" s="5"/>
      <c r="C223" s="5"/>
      <c r="D223" s="5"/>
      <c r="E223" s="5"/>
      <c r="F223" s="5"/>
      <c r="G223" s="5"/>
      <c r="H223" s="6"/>
      <c r="I223" s="5"/>
      <c r="J223" s="83"/>
      <c r="K223" s="83"/>
      <c r="L223" s="83"/>
      <c r="M223" s="83"/>
      <c r="N223" s="83"/>
      <c r="O223" s="83"/>
      <c r="P223" s="83"/>
      <c r="Q223" s="84"/>
      <c r="R223" s="83"/>
      <c r="S223" s="83"/>
      <c r="T223" s="85"/>
      <c r="U223" s="6"/>
      <c r="V223" s="44">
        <v>44239</v>
      </c>
      <c r="W223" s="45">
        <v>115.38</v>
      </c>
      <c r="X223" s="46"/>
      <c r="Y223" s="61"/>
      <c r="Z223" s="5"/>
      <c r="AA223" s="5"/>
      <c r="AB223" s="5"/>
      <c r="AC223" s="5"/>
      <c r="AD223" s="5"/>
      <c r="AE223" s="5"/>
      <c r="AF223" s="5"/>
      <c r="AG223" s="5"/>
      <c r="AH223" s="6"/>
      <c r="AI223" s="44">
        <v>44239</v>
      </c>
      <c r="AJ223" s="53">
        <v>115.38</v>
      </c>
      <c r="AK223" s="54">
        <f t="shared" si="33"/>
        <v>-9.5246341674604107E-4</v>
      </c>
      <c r="AL223" s="55">
        <f t="shared" si="36"/>
        <v>17.394699568233854</v>
      </c>
      <c r="AM223" s="56">
        <v>25</v>
      </c>
      <c r="AN223" s="57">
        <f t="shared" si="34"/>
        <v>7.6053004317661461</v>
      </c>
      <c r="AO223" s="76">
        <f t="shared" si="37"/>
        <v>6.9223987015434618</v>
      </c>
      <c r="AP223" s="63" t="str">
        <f t="shared" si="38"/>
        <v>Buy Stocks</v>
      </c>
      <c r="AQ223" s="63" t="str">
        <f t="shared" si="39"/>
        <v/>
      </c>
      <c r="AR223" s="63" t="str">
        <f t="shared" si="40"/>
        <v/>
      </c>
      <c r="AS223" s="63" t="str">
        <f t="shared" si="41"/>
        <v/>
      </c>
      <c r="AT223" s="78" t="str">
        <f t="shared" si="42"/>
        <v/>
      </c>
      <c r="AU223" s="78" t="str">
        <f t="shared" si="43"/>
        <v/>
      </c>
      <c r="AV223" s="64" t="str">
        <f ca="1">IFERROR(__xludf.DUMMYFUNCTION("IF(TRIM(AU223)="""","""",AU223/INDEX(FILTER(AT$3:AT223,TRIM(AT$3:AT223)&lt;&gt;""""),ROWS(FILTER(AT$3:AT223,TRIM(AT$3:AT223)&lt;&gt;"""")))-1)"),"")</f>
        <v/>
      </c>
      <c r="AW223" s="65" t="e">
        <f t="shared" ca="1" si="35"/>
        <v>#VALUE!</v>
      </c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</row>
    <row r="224" spans="1:68" ht="19" x14ac:dyDescent="0.25">
      <c r="A224" s="5"/>
      <c r="B224" s="5"/>
      <c r="C224" s="5"/>
      <c r="D224" s="5"/>
      <c r="E224" s="5"/>
      <c r="F224" s="5"/>
      <c r="G224" s="5"/>
      <c r="H224" s="6"/>
      <c r="I224" s="5"/>
      <c r="J224" s="83"/>
      <c r="K224" s="83"/>
      <c r="L224" s="83"/>
      <c r="M224" s="83"/>
      <c r="N224" s="83"/>
      <c r="O224" s="83"/>
      <c r="P224" s="83"/>
      <c r="Q224" s="84"/>
      <c r="R224" s="83"/>
      <c r="S224" s="83"/>
      <c r="T224" s="85"/>
      <c r="U224" s="6"/>
      <c r="V224" s="44">
        <v>44243</v>
      </c>
      <c r="W224" s="45">
        <v>114.69</v>
      </c>
      <c r="X224" s="46"/>
      <c r="Y224" s="61"/>
      <c r="Z224" s="5"/>
      <c r="AA224" s="5"/>
      <c r="AB224" s="5"/>
      <c r="AC224" s="5"/>
      <c r="AD224" s="5"/>
      <c r="AE224" s="5"/>
      <c r="AF224" s="5"/>
      <c r="AG224" s="5"/>
      <c r="AH224" s="6"/>
      <c r="AI224" s="44">
        <v>44243</v>
      </c>
      <c r="AJ224" s="53">
        <v>114.69</v>
      </c>
      <c r="AK224" s="54">
        <f t="shared" si="33"/>
        <v>-5.980239209568361E-3</v>
      </c>
      <c r="AL224" s="55">
        <f t="shared" si="36"/>
        <v>9.3251005003736651</v>
      </c>
      <c r="AM224" s="56">
        <v>25</v>
      </c>
      <c r="AN224" s="57">
        <f t="shared" si="34"/>
        <v>15.674899499626335</v>
      </c>
      <c r="AO224" s="76">
        <f t="shared" si="37"/>
        <v>8.5356336370022632</v>
      </c>
      <c r="AP224" s="63" t="str">
        <f t="shared" si="38"/>
        <v>Buy Stocks</v>
      </c>
      <c r="AQ224" s="63" t="str">
        <f t="shared" si="39"/>
        <v/>
      </c>
      <c r="AR224" s="63" t="str">
        <f t="shared" si="40"/>
        <v/>
      </c>
      <c r="AS224" s="63" t="str">
        <f t="shared" si="41"/>
        <v/>
      </c>
      <c r="AT224" s="78" t="str">
        <f t="shared" si="42"/>
        <v/>
      </c>
      <c r="AU224" s="78" t="str">
        <f t="shared" si="43"/>
        <v/>
      </c>
      <c r="AV224" s="64" t="str">
        <f ca="1">IFERROR(__xludf.DUMMYFUNCTION("IF(TRIM(AU224)="""","""",AU224/INDEX(FILTER(AT$3:AT224,TRIM(AT$3:AT224)&lt;&gt;""""),ROWS(FILTER(AT$3:AT224,TRIM(AT$3:AT224)&lt;&gt;"""")))-1)"),"")</f>
        <v/>
      </c>
      <c r="AW224" s="65" t="e">
        <f t="shared" ca="1" si="35"/>
        <v>#VALUE!</v>
      </c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</row>
    <row r="225" spans="1:68" ht="19" x14ac:dyDescent="0.25">
      <c r="A225" s="5"/>
      <c r="B225" s="5"/>
      <c r="C225" s="5"/>
      <c r="D225" s="5"/>
      <c r="E225" s="5"/>
      <c r="F225" s="5"/>
      <c r="G225" s="5"/>
      <c r="H225" s="6"/>
      <c r="I225" s="5"/>
      <c r="J225" s="83"/>
      <c r="K225" s="83"/>
      <c r="L225" s="83"/>
      <c r="M225" s="83"/>
      <c r="N225" s="83"/>
      <c r="O225" s="83"/>
      <c r="P225" s="83"/>
      <c r="Q225" s="84"/>
      <c r="R225" s="83"/>
      <c r="S225" s="83"/>
      <c r="T225" s="85"/>
      <c r="U225" s="6"/>
      <c r="V225" s="44">
        <v>44244</v>
      </c>
      <c r="W225" s="45">
        <v>114.59</v>
      </c>
      <c r="X225" s="46"/>
      <c r="Y225" s="61"/>
      <c r="Z225" s="5"/>
      <c r="AA225" s="5"/>
      <c r="AB225" s="5"/>
      <c r="AC225" s="5"/>
      <c r="AD225" s="5"/>
      <c r="AE225" s="5"/>
      <c r="AF225" s="5"/>
      <c r="AG225" s="5"/>
      <c r="AH225" s="6"/>
      <c r="AI225" s="44">
        <v>44244</v>
      </c>
      <c r="AJ225" s="53">
        <v>114.59</v>
      </c>
      <c r="AK225" s="54">
        <f t="shared" si="33"/>
        <v>-8.7191559857002776E-4</v>
      </c>
      <c r="AL225" s="55">
        <f t="shared" si="36"/>
        <v>7.7469648070869868</v>
      </c>
      <c r="AM225" s="56">
        <v>25</v>
      </c>
      <c r="AN225" s="57">
        <f t="shared" si="34"/>
        <v>17.253035192913014</v>
      </c>
      <c r="AO225" s="76">
        <f t="shared" si="37"/>
        <v>10.785225030280419</v>
      </c>
      <c r="AP225" s="63" t="str">
        <f t="shared" si="38"/>
        <v>Buy Stocks</v>
      </c>
      <c r="AQ225" s="63" t="str">
        <f t="shared" si="39"/>
        <v/>
      </c>
      <c r="AR225" s="63" t="str">
        <f t="shared" si="40"/>
        <v/>
      </c>
      <c r="AS225" s="63" t="str">
        <f t="shared" si="41"/>
        <v/>
      </c>
      <c r="AT225" s="78" t="str">
        <f t="shared" si="42"/>
        <v/>
      </c>
      <c r="AU225" s="78" t="str">
        <f t="shared" si="43"/>
        <v/>
      </c>
      <c r="AV225" s="64" t="str">
        <f ca="1">IFERROR(__xludf.DUMMYFUNCTION("IF(TRIM(AU225)="""","""",AU225/INDEX(FILTER(AT$3:AT225,TRIM(AT$3:AT225)&lt;&gt;""""),ROWS(FILTER(AT$3:AT225,TRIM(AT$3:AT225)&lt;&gt;"""")))-1)"),"")</f>
        <v/>
      </c>
      <c r="AW225" s="65" t="e">
        <f t="shared" ca="1" si="35"/>
        <v>#VALUE!</v>
      </c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</row>
    <row r="226" spans="1:68" ht="19" x14ac:dyDescent="0.25">
      <c r="A226" s="5"/>
      <c r="B226" s="5"/>
      <c r="C226" s="5"/>
      <c r="D226" s="5"/>
      <c r="E226" s="5"/>
      <c r="F226" s="5"/>
      <c r="G226" s="5"/>
      <c r="H226" s="6"/>
      <c r="I226" s="5"/>
      <c r="J226" s="83"/>
      <c r="K226" s="83"/>
      <c r="L226" s="83"/>
      <c r="M226" s="83"/>
      <c r="N226" s="83"/>
      <c r="O226" s="83"/>
      <c r="P226" s="83"/>
      <c r="Q226" s="84"/>
      <c r="R226" s="83"/>
      <c r="S226" s="83"/>
      <c r="T226" s="85"/>
      <c r="U226" s="6"/>
      <c r="V226" s="44">
        <v>44245</v>
      </c>
      <c r="W226" s="45">
        <v>115.32</v>
      </c>
      <c r="X226" s="46"/>
      <c r="Y226" s="61"/>
      <c r="Z226" s="5"/>
      <c r="AA226" s="5"/>
      <c r="AB226" s="5"/>
      <c r="AC226" s="5"/>
      <c r="AD226" s="5"/>
      <c r="AE226" s="5"/>
      <c r="AF226" s="5"/>
      <c r="AG226" s="5"/>
      <c r="AH226" s="6"/>
      <c r="AI226" s="44">
        <v>44245</v>
      </c>
      <c r="AJ226" s="53">
        <v>115.32</v>
      </c>
      <c r="AK226" s="54">
        <f t="shared" si="33"/>
        <v>6.3705384413996757E-3</v>
      </c>
      <c r="AL226" s="55">
        <f t="shared" si="36"/>
        <v>10.226782840993522</v>
      </c>
      <c r="AM226" s="56">
        <v>25</v>
      </c>
      <c r="AN226" s="57">
        <f t="shared" si="34"/>
        <v>14.773217159006478</v>
      </c>
      <c r="AO226" s="76">
        <f t="shared" si="37"/>
        <v>12.396594751255197</v>
      </c>
      <c r="AP226" s="63" t="str">
        <f t="shared" si="38"/>
        <v>Buy Stocks</v>
      </c>
      <c r="AQ226" s="63" t="str">
        <f t="shared" si="39"/>
        <v/>
      </c>
      <c r="AR226" s="63" t="str">
        <f t="shared" si="40"/>
        <v/>
      </c>
      <c r="AS226" s="63" t="str">
        <f t="shared" si="41"/>
        <v/>
      </c>
      <c r="AT226" s="78" t="str">
        <f t="shared" si="42"/>
        <v/>
      </c>
      <c r="AU226" s="78" t="str">
        <f t="shared" si="43"/>
        <v/>
      </c>
      <c r="AV226" s="64" t="str">
        <f ca="1">IFERROR(__xludf.DUMMYFUNCTION("IF(TRIM(AU226)="""","""",AU226/INDEX(FILTER(AT$3:AT226,TRIM(AT$3:AT226)&lt;&gt;""""),ROWS(FILTER(AT$3:AT226,TRIM(AT$3:AT226)&lt;&gt;"""")))-1)"),"")</f>
        <v/>
      </c>
      <c r="AW226" s="65" t="e">
        <f t="shared" ca="1" si="35"/>
        <v>#VALUE!</v>
      </c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</row>
    <row r="227" spans="1:68" ht="19" x14ac:dyDescent="0.25">
      <c r="A227" s="5"/>
      <c r="B227" s="5"/>
      <c r="C227" s="5"/>
      <c r="D227" s="5"/>
      <c r="E227" s="5"/>
      <c r="F227" s="5"/>
      <c r="G227" s="5"/>
      <c r="H227" s="6"/>
      <c r="I227" s="5"/>
      <c r="J227" s="83"/>
      <c r="K227" s="83"/>
      <c r="L227" s="83"/>
      <c r="M227" s="83"/>
      <c r="N227" s="83"/>
      <c r="O227" s="83"/>
      <c r="P227" s="83"/>
      <c r="Q227" s="84"/>
      <c r="R227" s="83"/>
      <c r="S227" s="83"/>
      <c r="T227" s="85"/>
      <c r="U227" s="6"/>
      <c r="V227" s="44">
        <v>44246</v>
      </c>
      <c r="W227" s="45">
        <v>113.65</v>
      </c>
      <c r="X227" s="46"/>
      <c r="Y227" s="61"/>
      <c r="Z227" s="5"/>
      <c r="AA227" s="5"/>
      <c r="AB227" s="5"/>
      <c r="AC227" s="5"/>
      <c r="AD227" s="5"/>
      <c r="AE227" s="5"/>
      <c r="AF227" s="5"/>
      <c r="AG227" s="5"/>
      <c r="AH227" s="6"/>
      <c r="AI227" s="44">
        <v>44246</v>
      </c>
      <c r="AJ227" s="53">
        <v>113.65</v>
      </c>
      <c r="AK227" s="54">
        <f t="shared" si="33"/>
        <v>-1.4481442941380429E-2</v>
      </c>
      <c r="AL227" s="55">
        <f t="shared" si="36"/>
        <v>12.220944834647833</v>
      </c>
      <c r="AM227" s="56">
        <v>25</v>
      </c>
      <c r="AN227" s="57">
        <f t="shared" si="34"/>
        <v>12.779055165352167</v>
      </c>
      <c r="AO227" s="76">
        <f t="shared" si="37"/>
        <v>13.617101489732827</v>
      </c>
      <c r="AP227" s="63" t="str">
        <f t="shared" si="38"/>
        <v>Buy Stocks</v>
      </c>
      <c r="AQ227" s="63" t="str">
        <f t="shared" si="39"/>
        <v/>
      </c>
      <c r="AR227" s="63" t="str">
        <f t="shared" si="40"/>
        <v/>
      </c>
      <c r="AS227" s="63" t="str">
        <f t="shared" si="41"/>
        <v/>
      </c>
      <c r="AT227" s="78" t="str">
        <f t="shared" si="42"/>
        <v/>
      </c>
      <c r="AU227" s="78" t="str">
        <f t="shared" si="43"/>
        <v/>
      </c>
      <c r="AV227" s="64" t="str">
        <f ca="1">IFERROR(__xludf.DUMMYFUNCTION("IF(TRIM(AU227)="""","""",AU227/INDEX(FILTER(AT$3:AT227,TRIM(AT$3:AT227)&lt;&gt;""""),ROWS(FILTER(AT$3:AT227,TRIM(AT$3:AT227)&lt;&gt;"""")))-1)"),"")</f>
        <v/>
      </c>
      <c r="AW227" s="65" t="e">
        <f t="shared" ca="1" si="35"/>
        <v>#VALUE!</v>
      </c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</row>
    <row r="228" spans="1:68" ht="19" x14ac:dyDescent="0.25">
      <c r="A228" s="5"/>
      <c r="B228" s="5"/>
      <c r="C228" s="5"/>
      <c r="D228" s="5"/>
      <c r="E228" s="5"/>
      <c r="F228" s="5"/>
      <c r="G228" s="5"/>
      <c r="H228" s="6"/>
      <c r="I228" s="5"/>
      <c r="J228" s="83"/>
      <c r="K228" s="83"/>
      <c r="L228" s="83"/>
      <c r="M228" s="83"/>
      <c r="N228" s="83"/>
      <c r="O228" s="83"/>
      <c r="P228" s="83"/>
      <c r="Q228" s="84"/>
      <c r="R228" s="83"/>
      <c r="S228" s="83"/>
      <c r="T228" s="85"/>
      <c r="U228" s="6"/>
      <c r="V228" s="44">
        <v>44249</v>
      </c>
      <c r="W228" s="45">
        <v>115.44</v>
      </c>
      <c r="X228" s="46"/>
      <c r="Y228" s="61"/>
      <c r="Z228" s="5"/>
      <c r="AA228" s="5"/>
      <c r="AB228" s="5"/>
      <c r="AC228" s="5"/>
      <c r="AD228" s="5"/>
      <c r="AE228" s="5"/>
      <c r="AF228" s="5"/>
      <c r="AG228" s="5"/>
      <c r="AH228" s="6"/>
      <c r="AI228" s="44">
        <v>44249</v>
      </c>
      <c r="AJ228" s="53">
        <v>115.44</v>
      </c>
      <c r="AK228" s="54">
        <f t="shared" si="33"/>
        <v>1.5750109986801597E-2</v>
      </c>
      <c r="AL228" s="55">
        <f t="shared" si="36"/>
        <v>18.354829312294054</v>
      </c>
      <c r="AM228" s="56">
        <v>25</v>
      </c>
      <c r="AN228" s="57">
        <f t="shared" si="34"/>
        <v>6.6451706877059458</v>
      </c>
      <c r="AO228" s="76">
        <f t="shared" si="37"/>
        <v>13.42507554092079</v>
      </c>
      <c r="AP228" s="63" t="str">
        <f t="shared" si="38"/>
        <v>Buy Stocks</v>
      </c>
      <c r="AQ228" s="63" t="str">
        <f t="shared" si="39"/>
        <v/>
      </c>
      <c r="AR228" s="63" t="str">
        <f t="shared" si="40"/>
        <v/>
      </c>
      <c r="AS228" s="63" t="str">
        <f t="shared" si="41"/>
        <v/>
      </c>
      <c r="AT228" s="78" t="str">
        <f t="shared" si="42"/>
        <v/>
      </c>
      <c r="AU228" s="78" t="str">
        <f t="shared" si="43"/>
        <v/>
      </c>
      <c r="AV228" s="64" t="str">
        <f ca="1">IFERROR(__xludf.DUMMYFUNCTION("IF(TRIM(AU228)="""","""",AU228/INDEX(FILTER(AT$3:AT228,TRIM(AT$3:AT228)&lt;&gt;""""),ROWS(FILTER(AT$3:AT228,TRIM(AT$3:AT228)&lt;&gt;"""")))-1)"),"")</f>
        <v/>
      </c>
      <c r="AW228" s="65" t="e">
        <f t="shared" ca="1" si="35"/>
        <v>#VALUE!</v>
      </c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</row>
    <row r="229" spans="1:68" ht="19" x14ac:dyDescent="0.25">
      <c r="A229" s="5"/>
      <c r="B229" s="5"/>
      <c r="C229" s="5"/>
      <c r="D229" s="5"/>
      <c r="E229" s="5"/>
      <c r="F229" s="5"/>
      <c r="G229" s="5"/>
      <c r="H229" s="6"/>
      <c r="I229" s="5"/>
      <c r="J229" s="83"/>
      <c r="K229" s="83"/>
      <c r="L229" s="83"/>
      <c r="M229" s="83"/>
      <c r="N229" s="83"/>
      <c r="O229" s="83"/>
      <c r="P229" s="83"/>
      <c r="Q229" s="84"/>
      <c r="R229" s="83"/>
      <c r="S229" s="83"/>
      <c r="T229" s="85"/>
      <c r="U229" s="6"/>
      <c r="V229" s="44">
        <v>44250</v>
      </c>
      <c r="W229" s="45">
        <v>115.3</v>
      </c>
      <c r="X229" s="46"/>
      <c r="Y229" s="61"/>
      <c r="Z229" s="5"/>
      <c r="AA229" s="5"/>
      <c r="AB229" s="5"/>
      <c r="AC229" s="5"/>
      <c r="AD229" s="5"/>
      <c r="AE229" s="5"/>
      <c r="AF229" s="5"/>
      <c r="AG229" s="5"/>
      <c r="AH229" s="6"/>
      <c r="AI229" s="44">
        <v>44250</v>
      </c>
      <c r="AJ229" s="53">
        <v>115.3</v>
      </c>
      <c r="AK229" s="54">
        <f t="shared" si="33"/>
        <v>-1.2127512127512174E-3</v>
      </c>
      <c r="AL229" s="55">
        <f t="shared" si="36"/>
        <v>17.648968017329089</v>
      </c>
      <c r="AM229" s="56">
        <v>25</v>
      </c>
      <c r="AN229" s="57">
        <f t="shared" si="34"/>
        <v>7.3510319826709107</v>
      </c>
      <c r="AO229" s="76">
        <f t="shared" si="37"/>
        <v>11.760302037529705</v>
      </c>
      <c r="AP229" s="63" t="str">
        <f t="shared" si="38"/>
        <v>Buy Stocks</v>
      </c>
      <c r="AQ229" s="63" t="str">
        <f t="shared" si="39"/>
        <v/>
      </c>
      <c r="AR229" s="63" t="str">
        <f t="shared" si="40"/>
        <v/>
      </c>
      <c r="AS229" s="63" t="str">
        <f t="shared" si="41"/>
        <v/>
      </c>
      <c r="AT229" s="78" t="str">
        <f t="shared" si="42"/>
        <v/>
      </c>
      <c r="AU229" s="78" t="str">
        <f t="shared" si="43"/>
        <v/>
      </c>
      <c r="AV229" s="64" t="str">
        <f ca="1">IFERROR(__xludf.DUMMYFUNCTION("IF(TRIM(AU229)="""","""",AU229/INDEX(FILTER(AT$3:AT229,TRIM(AT$3:AT229)&lt;&gt;""""),ROWS(FILTER(AT$3:AT229,TRIM(AT$3:AT229)&lt;&gt;"""")))-1)"),"")</f>
        <v/>
      </c>
      <c r="AW229" s="65" t="e">
        <f t="shared" ca="1" si="35"/>
        <v>#VALUE!</v>
      </c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</row>
    <row r="230" spans="1:68" ht="19" x14ac:dyDescent="0.25">
      <c r="A230" s="5"/>
      <c r="B230" s="5"/>
      <c r="C230" s="5"/>
      <c r="D230" s="5"/>
      <c r="E230" s="5"/>
      <c r="F230" s="5"/>
      <c r="G230" s="5"/>
      <c r="H230" s="6"/>
      <c r="I230" s="5"/>
      <c r="J230" s="83"/>
      <c r="K230" s="83"/>
      <c r="L230" s="83"/>
      <c r="M230" s="83"/>
      <c r="N230" s="83"/>
      <c r="O230" s="83"/>
      <c r="P230" s="83"/>
      <c r="Q230" s="84"/>
      <c r="R230" s="83"/>
      <c r="S230" s="83"/>
      <c r="T230" s="85"/>
      <c r="U230" s="6"/>
      <c r="V230" s="44">
        <v>44251</v>
      </c>
      <c r="W230" s="45">
        <v>117.69</v>
      </c>
      <c r="X230" s="46"/>
      <c r="Y230" s="61"/>
      <c r="Z230" s="5"/>
      <c r="AA230" s="5"/>
      <c r="AB230" s="5"/>
      <c r="AC230" s="5"/>
      <c r="AD230" s="5"/>
      <c r="AE230" s="5"/>
      <c r="AF230" s="5"/>
      <c r="AG230" s="5"/>
      <c r="AH230" s="6"/>
      <c r="AI230" s="44">
        <v>44251</v>
      </c>
      <c r="AJ230" s="53">
        <v>117.69</v>
      </c>
      <c r="AK230" s="54">
        <f t="shared" si="33"/>
        <v>2.0728534258456222E-2</v>
      </c>
      <c r="AL230" s="55">
        <f t="shared" si="36"/>
        <v>22.196316430276656</v>
      </c>
      <c r="AM230" s="56">
        <v>25</v>
      </c>
      <c r="AN230" s="57">
        <f t="shared" si="34"/>
        <v>2.8036835697233435</v>
      </c>
      <c r="AO230" s="76">
        <f t="shared" si="37"/>
        <v>8.8704317128917687</v>
      </c>
      <c r="AP230" s="63" t="str">
        <f t="shared" si="38"/>
        <v>Buy Stocks</v>
      </c>
      <c r="AQ230" s="63" t="str">
        <f t="shared" si="39"/>
        <v/>
      </c>
      <c r="AR230" s="63" t="str">
        <f t="shared" si="40"/>
        <v/>
      </c>
      <c r="AS230" s="63" t="str">
        <f t="shared" si="41"/>
        <v/>
      </c>
      <c r="AT230" s="78" t="str">
        <f t="shared" si="42"/>
        <v/>
      </c>
      <c r="AU230" s="78" t="str">
        <f t="shared" si="43"/>
        <v/>
      </c>
      <c r="AV230" s="64" t="str">
        <f ca="1">IFERROR(__xludf.DUMMYFUNCTION("IF(TRIM(AU230)="""","""",AU230/INDEX(FILTER(AT$3:AT230,TRIM(AT$3:AT230)&lt;&gt;""""),ROWS(FILTER(AT$3:AT230,TRIM(AT$3:AT230)&lt;&gt;"""")))-1)"),"")</f>
        <v/>
      </c>
      <c r="AW230" s="65" t="e">
        <f t="shared" ca="1" si="35"/>
        <v>#VALUE!</v>
      </c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</row>
    <row r="231" spans="1:68" ht="19" x14ac:dyDescent="0.25">
      <c r="A231" s="5"/>
      <c r="B231" s="5"/>
      <c r="C231" s="5"/>
      <c r="D231" s="5"/>
      <c r="E231" s="5"/>
      <c r="F231" s="5"/>
      <c r="G231" s="5"/>
      <c r="H231" s="6"/>
      <c r="I231" s="5"/>
      <c r="J231" s="83"/>
      <c r="K231" s="83"/>
      <c r="L231" s="83"/>
      <c r="M231" s="83"/>
      <c r="N231" s="83"/>
      <c r="O231" s="83"/>
      <c r="P231" s="83"/>
      <c r="Q231" s="84"/>
      <c r="R231" s="83"/>
      <c r="S231" s="83"/>
      <c r="T231" s="85"/>
      <c r="U231" s="6"/>
      <c r="V231" s="44">
        <v>44252</v>
      </c>
      <c r="W231" s="45">
        <v>116.98</v>
      </c>
      <c r="X231" s="46"/>
      <c r="Y231" s="61"/>
      <c r="Z231" s="5"/>
      <c r="AA231" s="5"/>
      <c r="AB231" s="5"/>
      <c r="AC231" s="5"/>
      <c r="AD231" s="5"/>
      <c r="AE231" s="5"/>
      <c r="AF231" s="5"/>
      <c r="AG231" s="5"/>
      <c r="AH231" s="6"/>
      <c r="AI231" s="44">
        <v>44252</v>
      </c>
      <c r="AJ231" s="53">
        <v>116.98</v>
      </c>
      <c r="AK231" s="54">
        <f t="shared" si="33"/>
        <v>-6.0327980287194771E-3</v>
      </c>
      <c r="AL231" s="55">
        <f t="shared" si="36"/>
        <v>23.569681322927451</v>
      </c>
      <c r="AM231" s="56">
        <v>25</v>
      </c>
      <c r="AN231" s="57">
        <f t="shared" si="34"/>
        <v>1.4303186770725489</v>
      </c>
      <c r="AO231" s="76">
        <f t="shared" si="37"/>
        <v>6.2018520165049829</v>
      </c>
      <c r="AP231" s="63" t="str">
        <f t="shared" si="38"/>
        <v>Buy Stocks</v>
      </c>
      <c r="AQ231" s="63" t="str">
        <f t="shared" si="39"/>
        <v/>
      </c>
      <c r="AR231" s="63" t="str">
        <f t="shared" si="40"/>
        <v/>
      </c>
      <c r="AS231" s="63" t="str">
        <f t="shared" si="41"/>
        <v/>
      </c>
      <c r="AT231" s="78" t="str">
        <f t="shared" si="42"/>
        <v/>
      </c>
      <c r="AU231" s="78" t="str">
        <f t="shared" si="43"/>
        <v/>
      </c>
      <c r="AV231" s="64" t="str">
        <f ca="1">IFERROR(__xludf.DUMMYFUNCTION("IF(TRIM(AU231)="""","""",AU231/INDEX(FILTER(AT$3:AT231,TRIM(AT$3:AT231)&lt;&gt;""""),ROWS(FILTER(AT$3:AT231,TRIM(AT$3:AT231)&lt;&gt;"""")))-1)"),"")</f>
        <v/>
      </c>
      <c r="AW231" s="65" t="e">
        <f t="shared" ca="1" si="35"/>
        <v>#VALUE!</v>
      </c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</row>
    <row r="232" spans="1:68" ht="19" x14ac:dyDescent="0.25">
      <c r="A232" s="5"/>
      <c r="B232" s="5"/>
      <c r="C232" s="5"/>
      <c r="D232" s="5"/>
      <c r="E232" s="5"/>
      <c r="F232" s="5"/>
      <c r="G232" s="5"/>
      <c r="H232" s="6"/>
      <c r="I232" s="5"/>
      <c r="J232" s="83"/>
      <c r="K232" s="83"/>
      <c r="L232" s="83"/>
      <c r="M232" s="83"/>
      <c r="N232" s="83"/>
      <c r="O232" s="83"/>
      <c r="P232" s="83"/>
      <c r="Q232" s="84"/>
      <c r="R232" s="83"/>
      <c r="S232" s="83"/>
      <c r="T232" s="85"/>
      <c r="U232" s="6"/>
      <c r="V232" s="44">
        <v>44253</v>
      </c>
      <c r="W232" s="45">
        <v>113.6</v>
      </c>
      <c r="X232" s="46"/>
      <c r="Y232" s="61"/>
      <c r="Z232" s="5"/>
      <c r="AA232" s="5"/>
      <c r="AB232" s="5"/>
      <c r="AC232" s="5"/>
      <c r="AD232" s="5"/>
      <c r="AE232" s="5"/>
      <c r="AF232" s="5"/>
      <c r="AG232" s="5"/>
      <c r="AH232" s="6"/>
      <c r="AI232" s="44">
        <v>44253</v>
      </c>
      <c r="AJ232" s="53">
        <v>113.6</v>
      </c>
      <c r="AK232" s="54">
        <f t="shared" si="33"/>
        <v>-2.8893828004787236E-2</v>
      </c>
      <c r="AL232" s="55">
        <f t="shared" si="36"/>
        <v>31.253372431414117</v>
      </c>
      <c r="AM232" s="56">
        <v>25</v>
      </c>
      <c r="AN232" s="57">
        <f t="shared" si="34"/>
        <v>-6.2533724314141175</v>
      </c>
      <c r="AO232" s="76">
        <f t="shared" si="37"/>
        <v>2.3953664971517261</v>
      </c>
      <c r="AP232" s="63" t="str">
        <f t="shared" si="38"/>
        <v>Buy Stocks</v>
      </c>
      <c r="AQ232" s="63" t="str">
        <f t="shared" si="39"/>
        <v/>
      </c>
      <c r="AR232" s="63" t="str">
        <f t="shared" si="40"/>
        <v/>
      </c>
      <c r="AS232" s="63" t="str">
        <f t="shared" si="41"/>
        <v/>
      </c>
      <c r="AT232" s="78" t="str">
        <f t="shared" si="42"/>
        <v/>
      </c>
      <c r="AU232" s="78" t="str">
        <f t="shared" si="43"/>
        <v/>
      </c>
      <c r="AV232" s="64" t="str">
        <f ca="1">IFERROR(__xludf.DUMMYFUNCTION("IF(TRIM(AU232)="""","""",AU232/INDEX(FILTER(AT$3:AT232,TRIM(AT$3:AT232)&lt;&gt;""""),ROWS(FILTER(AT$3:AT232,TRIM(AT$3:AT232)&lt;&gt;"""")))-1)"),"")</f>
        <v/>
      </c>
      <c r="AW232" s="65" t="e">
        <f t="shared" ca="1" si="35"/>
        <v>#VALUE!</v>
      </c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</row>
    <row r="233" spans="1:68" ht="19" x14ac:dyDescent="0.25">
      <c r="A233" s="5"/>
      <c r="B233" s="5"/>
      <c r="C233" s="5"/>
      <c r="D233" s="5"/>
      <c r="E233" s="5"/>
      <c r="F233" s="5"/>
      <c r="G233" s="5"/>
      <c r="H233" s="6"/>
      <c r="I233" s="5"/>
      <c r="J233" s="83"/>
      <c r="K233" s="83"/>
      <c r="L233" s="83"/>
      <c r="M233" s="83"/>
      <c r="N233" s="83"/>
      <c r="O233" s="83"/>
      <c r="P233" s="83"/>
      <c r="Q233" s="84"/>
      <c r="R233" s="83"/>
      <c r="S233" s="83"/>
      <c r="T233" s="85"/>
      <c r="U233" s="6"/>
      <c r="V233" s="44">
        <v>44256</v>
      </c>
      <c r="W233" s="45">
        <v>115.33</v>
      </c>
      <c r="X233" s="46"/>
      <c r="Y233" s="61"/>
      <c r="Z233" s="5"/>
      <c r="AA233" s="5"/>
      <c r="AB233" s="5"/>
      <c r="AC233" s="5"/>
      <c r="AD233" s="5"/>
      <c r="AE233" s="5"/>
      <c r="AF233" s="5"/>
      <c r="AG233" s="5"/>
      <c r="AH233" s="6"/>
      <c r="AI233" s="44">
        <v>44256</v>
      </c>
      <c r="AJ233" s="53">
        <v>115.33</v>
      </c>
      <c r="AK233" s="54">
        <f t="shared" si="33"/>
        <v>1.5228873239436558E-2</v>
      </c>
      <c r="AL233" s="55">
        <f t="shared" si="36"/>
        <v>31.090364532415453</v>
      </c>
      <c r="AM233" s="56">
        <v>25</v>
      </c>
      <c r="AN233" s="57">
        <f t="shared" si="34"/>
        <v>-6.0903645324154532</v>
      </c>
      <c r="AO233" s="76">
        <f t="shared" si="37"/>
        <v>-0.15174054687255351</v>
      </c>
      <c r="AP233" s="63" t="str">
        <f t="shared" si="38"/>
        <v/>
      </c>
      <c r="AQ233" s="63" t="str">
        <f t="shared" si="39"/>
        <v>Sell Stocks</v>
      </c>
      <c r="AR233" s="63" t="str">
        <f t="shared" si="40"/>
        <v/>
      </c>
      <c r="AS233" s="63" t="str">
        <f t="shared" si="41"/>
        <v>Sell Stocks</v>
      </c>
      <c r="AT233" s="78" t="str">
        <f t="shared" si="42"/>
        <v/>
      </c>
      <c r="AU233" s="77">
        <f t="shared" si="43"/>
        <v>115.33</v>
      </c>
      <c r="AV233" s="64">
        <f ca="1">IFERROR(__xludf.DUMMYFUNCTION("IF(TRIM(AU233)="""","""",AU233/INDEX(FILTER(AT$3:AT233,TRIM(AT$3:AT233)&lt;&gt;""""),ROWS(FILTER(AT$3:AT233,TRIM(AT$3:AT233)&lt;&gt;"""")))-1)"),-0.0022493295267757)</f>
        <v>-2.2493295267756999E-3</v>
      </c>
      <c r="AW233" s="65" t="e">
        <f t="shared" ca="1" si="35"/>
        <v>#VALUE!</v>
      </c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</row>
    <row r="234" spans="1:68" ht="19" x14ac:dyDescent="0.25">
      <c r="A234" s="5"/>
      <c r="B234" s="5"/>
      <c r="C234" s="5"/>
      <c r="D234" s="5"/>
      <c r="E234" s="5"/>
      <c r="F234" s="5"/>
      <c r="G234" s="5"/>
      <c r="H234" s="6"/>
      <c r="I234" s="5"/>
      <c r="J234" s="83"/>
      <c r="K234" s="83"/>
      <c r="L234" s="83"/>
      <c r="M234" s="83"/>
      <c r="N234" s="83"/>
      <c r="O234" s="83"/>
      <c r="P234" s="83"/>
      <c r="Q234" s="84"/>
      <c r="R234" s="83"/>
      <c r="S234" s="83"/>
      <c r="T234" s="85"/>
      <c r="U234" s="6"/>
      <c r="V234" s="44">
        <v>44257</v>
      </c>
      <c r="W234" s="45">
        <v>114.93</v>
      </c>
      <c r="X234" s="46"/>
      <c r="Y234" s="61"/>
      <c r="Z234" s="5"/>
      <c r="AA234" s="5"/>
      <c r="AB234" s="5"/>
      <c r="AC234" s="5"/>
      <c r="AD234" s="5"/>
      <c r="AE234" s="5"/>
      <c r="AF234" s="5"/>
      <c r="AG234" s="5"/>
      <c r="AH234" s="6"/>
      <c r="AI234" s="44">
        <v>44257</v>
      </c>
      <c r="AJ234" s="53">
        <v>114.93</v>
      </c>
      <c r="AK234" s="54">
        <f t="shared" si="33"/>
        <v>-3.4683083326106923E-3</v>
      </c>
      <c r="AL234" s="55">
        <f t="shared" si="36"/>
        <v>31.185222390275342</v>
      </c>
      <c r="AM234" s="56">
        <v>25</v>
      </c>
      <c r="AN234" s="57">
        <f t="shared" si="34"/>
        <v>-6.1852223902753423</v>
      </c>
      <c r="AO234" s="76">
        <f t="shared" si="37"/>
        <v>-2.8589914214618042</v>
      </c>
      <c r="AP234" s="63" t="str">
        <f t="shared" si="38"/>
        <v/>
      </c>
      <c r="AQ234" s="63" t="str">
        <f t="shared" si="39"/>
        <v>Sell Stocks</v>
      </c>
      <c r="AR234" s="63" t="str">
        <f t="shared" si="40"/>
        <v/>
      </c>
      <c r="AS234" s="63" t="str">
        <f t="shared" si="41"/>
        <v/>
      </c>
      <c r="AT234" s="78" t="str">
        <f t="shared" si="42"/>
        <v/>
      </c>
      <c r="AU234" s="78" t="str">
        <f t="shared" si="43"/>
        <v/>
      </c>
      <c r="AV234" s="64" t="str">
        <f ca="1">IFERROR(__xludf.DUMMYFUNCTION("IF(TRIM(AU234)="""","""",AU234/INDEX(FILTER(AT$3:AT234,TRIM(AT$3:AT234)&lt;&gt;""""),ROWS(FILTER(AT$3:AT234,TRIM(AT$3:AT234)&lt;&gt;"""")))-1)"),"")</f>
        <v/>
      </c>
      <c r="AW234" s="65" t="e">
        <f t="shared" ca="1" si="35"/>
        <v>#VALUE!</v>
      </c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</row>
    <row r="235" spans="1:68" ht="19" x14ac:dyDescent="0.25">
      <c r="A235" s="5"/>
      <c r="B235" s="5"/>
      <c r="C235" s="5"/>
      <c r="D235" s="5"/>
      <c r="E235" s="5"/>
      <c r="F235" s="5"/>
      <c r="G235" s="5"/>
      <c r="H235" s="6"/>
      <c r="I235" s="5"/>
      <c r="J235" s="83"/>
      <c r="K235" s="83"/>
      <c r="L235" s="83"/>
      <c r="M235" s="83"/>
      <c r="N235" s="83"/>
      <c r="O235" s="83"/>
      <c r="P235" s="83"/>
      <c r="Q235" s="84"/>
      <c r="R235" s="83"/>
      <c r="S235" s="83"/>
      <c r="T235" s="85"/>
      <c r="U235" s="6"/>
      <c r="V235" s="44">
        <v>44258</v>
      </c>
      <c r="W235" s="45">
        <v>116.87</v>
      </c>
      <c r="X235" s="46"/>
      <c r="Y235" s="61"/>
      <c r="Z235" s="5"/>
      <c r="AA235" s="5"/>
      <c r="AB235" s="5"/>
      <c r="AC235" s="5"/>
      <c r="AD235" s="5"/>
      <c r="AE235" s="5"/>
      <c r="AF235" s="5"/>
      <c r="AG235" s="5"/>
      <c r="AH235" s="6"/>
      <c r="AI235" s="44">
        <v>44258</v>
      </c>
      <c r="AJ235" s="53">
        <v>116.87</v>
      </c>
      <c r="AK235" s="54">
        <f t="shared" si="33"/>
        <v>1.6879839902549376E-2</v>
      </c>
      <c r="AL235" s="55">
        <f t="shared" si="36"/>
        <v>29.615865071666963</v>
      </c>
      <c r="AM235" s="56">
        <v>25</v>
      </c>
      <c r="AN235" s="57">
        <f t="shared" si="34"/>
        <v>-4.6158650716669634</v>
      </c>
      <c r="AO235" s="76">
        <f t="shared" si="37"/>
        <v>-4.3429011497398653</v>
      </c>
      <c r="AP235" s="63" t="str">
        <f t="shared" si="38"/>
        <v/>
      </c>
      <c r="AQ235" s="63" t="str">
        <f t="shared" si="39"/>
        <v>Sell Stocks</v>
      </c>
      <c r="AR235" s="63" t="str">
        <f t="shared" si="40"/>
        <v/>
      </c>
      <c r="AS235" s="63" t="str">
        <f t="shared" si="41"/>
        <v/>
      </c>
      <c r="AT235" s="78" t="str">
        <f t="shared" si="42"/>
        <v/>
      </c>
      <c r="AU235" s="78" t="str">
        <f t="shared" si="43"/>
        <v/>
      </c>
      <c r="AV235" s="64" t="str">
        <f ca="1">IFERROR(__xludf.DUMMYFUNCTION("IF(TRIM(AU235)="""","""",AU235/INDEX(FILTER(AT$3:AT235,TRIM(AT$3:AT235)&lt;&gt;""""),ROWS(FILTER(AT$3:AT235,TRIM(AT$3:AT235)&lt;&gt;"""")))-1)"),"")</f>
        <v/>
      </c>
      <c r="AW235" s="65" t="e">
        <f t="shared" ca="1" si="35"/>
        <v>#VALUE!</v>
      </c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</row>
    <row r="236" spans="1:68" ht="19" x14ac:dyDescent="0.25">
      <c r="A236" s="5"/>
      <c r="B236" s="5"/>
      <c r="C236" s="5"/>
      <c r="D236" s="5"/>
      <c r="E236" s="5"/>
      <c r="F236" s="5"/>
      <c r="G236" s="5"/>
      <c r="H236" s="6"/>
      <c r="I236" s="5"/>
      <c r="J236" s="83"/>
      <c r="K236" s="83"/>
      <c r="L236" s="83"/>
      <c r="M236" s="83"/>
      <c r="N236" s="83"/>
      <c r="O236" s="83"/>
      <c r="P236" s="83"/>
      <c r="Q236" s="84"/>
      <c r="R236" s="83"/>
      <c r="S236" s="83"/>
      <c r="T236" s="85"/>
      <c r="U236" s="6"/>
      <c r="V236" s="44">
        <v>44259</v>
      </c>
      <c r="W236" s="45">
        <v>114.72</v>
      </c>
      <c r="X236" s="46"/>
      <c r="Y236" s="61"/>
      <c r="Z236" s="5"/>
      <c r="AA236" s="5"/>
      <c r="AB236" s="5"/>
      <c r="AC236" s="5"/>
      <c r="AD236" s="5"/>
      <c r="AE236" s="5"/>
      <c r="AF236" s="5"/>
      <c r="AG236" s="5"/>
      <c r="AH236" s="6"/>
      <c r="AI236" s="44">
        <v>44259</v>
      </c>
      <c r="AJ236" s="53">
        <v>114.72</v>
      </c>
      <c r="AK236" s="54">
        <f t="shared" si="33"/>
        <v>-1.8396508941559087E-2</v>
      </c>
      <c r="AL236" s="55">
        <f t="shared" si="36"/>
        <v>32.070804118493143</v>
      </c>
      <c r="AM236" s="56">
        <v>25</v>
      </c>
      <c r="AN236" s="57">
        <f t="shared" si="34"/>
        <v>-7.0708041184931432</v>
      </c>
      <c r="AO236" s="76">
        <f t="shared" si="37"/>
        <v>-6.0431257088530037</v>
      </c>
      <c r="AP236" s="63" t="str">
        <f t="shared" si="38"/>
        <v/>
      </c>
      <c r="AQ236" s="63" t="str">
        <f t="shared" si="39"/>
        <v>Sell Stocks</v>
      </c>
      <c r="AR236" s="63" t="str">
        <f t="shared" si="40"/>
        <v/>
      </c>
      <c r="AS236" s="63" t="str">
        <f t="shared" si="41"/>
        <v/>
      </c>
      <c r="AT236" s="78" t="str">
        <f t="shared" si="42"/>
        <v/>
      </c>
      <c r="AU236" s="78" t="str">
        <f t="shared" si="43"/>
        <v/>
      </c>
      <c r="AV236" s="64" t="str">
        <f ca="1">IFERROR(__xludf.DUMMYFUNCTION("IF(TRIM(AU236)="""","""",AU236/INDEX(FILTER(AT$3:AT236,TRIM(AT$3:AT236)&lt;&gt;""""),ROWS(FILTER(AT$3:AT236,TRIM(AT$3:AT236)&lt;&gt;"""")))-1)"),"")</f>
        <v/>
      </c>
      <c r="AW236" s="65" t="e">
        <f t="shared" ca="1" si="35"/>
        <v>#VALUE!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</row>
    <row r="237" spans="1:68" ht="19" x14ac:dyDescent="0.25">
      <c r="A237" s="5"/>
      <c r="B237" s="5"/>
      <c r="C237" s="5"/>
      <c r="D237" s="5"/>
      <c r="E237" s="5"/>
      <c r="F237" s="5"/>
      <c r="G237" s="5"/>
      <c r="H237" s="6"/>
      <c r="I237" s="5"/>
      <c r="J237" s="83"/>
      <c r="K237" s="83"/>
      <c r="L237" s="83"/>
      <c r="M237" s="83"/>
      <c r="N237" s="83"/>
      <c r="O237" s="83"/>
      <c r="P237" s="83"/>
      <c r="Q237" s="84"/>
      <c r="R237" s="83"/>
      <c r="S237" s="83"/>
      <c r="T237" s="85"/>
      <c r="U237" s="6"/>
      <c r="V237" s="44">
        <v>44260</v>
      </c>
      <c r="W237" s="45">
        <v>117.32</v>
      </c>
      <c r="X237" s="46"/>
      <c r="Y237" s="61"/>
      <c r="Z237" s="5"/>
      <c r="AA237" s="5"/>
      <c r="AB237" s="5"/>
      <c r="AC237" s="5"/>
      <c r="AD237" s="5"/>
      <c r="AE237" s="5"/>
      <c r="AF237" s="5"/>
      <c r="AG237" s="5"/>
      <c r="AH237" s="6"/>
      <c r="AI237" s="44">
        <v>44260</v>
      </c>
      <c r="AJ237" s="53">
        <v>117.32</v>
      </c>
      <c r="AK237" s="54">
        <f t="shared" si="33"/>
        <v>2.2663877266387633E-2</v>
      </c>
      <c r="AL237" s="55">
        <f t="shared" si="36"/>
        <v>27.084247126607675</v>
      </c>
      <c r="AM237" s="56">
        <v>25</v>
      </c>
      <c r="AN237" s="57">
        <f t="shared" si="34"/>
        <v>-2.084247126607675</v>
      </c>
      <c r="AO237" s="76">
        <f t="shared" si="37"/>
        <v>-5.2093006478917152</v>
      </c>
      <c r="AP237" s="63" t="str">
        <f t="shared" si="38"/>
        <v/>
      </c>
      <c r="AQ237" s="63" t="str">
        <f t="shared" si="39"/>
        <v>Sell Stocks</v>
      </c>
      <c r="AR237" s="63" t="str">
        <f t="shared" si="40"/>
        <v/>
      </c>
      <c r="AS237" s="63" t="str">
        <f t="shared" si="41"/>
        <v/>
      </c>
      <c r="AT237" s="78" t="str">
        <f t="shared" si="42"/>
        <v/>
      </c>
      <c r="AU237" s="78" t="str">
        <f t="shared" si="43"/>
        <v/>
      </c>
      <c r="AV237" s="64" t="str">
        <f ca="1">IFERROR(__xludf.DUMMYFUNCTION("IF(TRIM(AU237)="""","""",AU237/INDEX(FILTER(AT$3:AT237,TRIM(AT$3:AT237)&lt;&gt;""""),ROWS(FILTER(AT$3:AT237,TRIM(AT$3:AT237)&lt;&gt;"""")))-1)"),"")</f>
        <v/>
      </c>
      <c r="AW237" s="65" t="e">
        <f t="shared" ca="1" si="35"/>
        <v>#VALUE!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</row>
    <row r="238" spans="1:68" ht="19" x14ac:dyDescent="0.25">
      <c r="A238" s="5"/>
      <c r="B238" s="5"/>
      <c r="C238" s="5"/>
      <c r="D238" s="5"/>
      <c r="E238" s="5"/>
      <c r="F238" s="5"/>
      <c r="G238" s="5"/>
      <c r="H238" s="6"/>
      <c r="I238" s="5"/>
      <c r="J238" s="83"/>
      <c r="K238" s="83"/>
      <c r="L238" s="83"/>
      <c r="M238" s="83"/>
      <c r="N238" s="83"/>
      <c r="O238" s="83"/>
      <c r="P238" s="83"/>
      <c r="Q238" s="84"/>
      <c r="R238" s="83"/>
      <c r="S238" s="83"/>
      <c r="T238" s="85"/>
      <c r="U238" s="6"/>
      <c r="V238" s="44">
        <v>44263</v>
      </c>
      <c r="W238" s="45">
        <v>119.21</v>
      </c>
      <c r="X238" s="46"/>
      <c r="Y238" s="61"/>
      <c r="Z238" s="5"/>
      <c r="AA238" s="5"/>
      <c r="AB238" s="5"/>
      <c r="AC238" s="5"/>
      <c r="AD238" s="5"/>
      <c r="AE238" s="5"/>
      <c r="AF238" s="5"/>
      <c r="AG238" s="5"/>
      <c r="AH238" s="6"/>
      <c r="AI238" s="44">
        <v>44263</v>
      </c>
      <c r="AJ238" s="53">
        <v>119.21</v>
      </c>
      <c r="AK238" s="54">
        <f t="shared" si="33"/>
        <v>1.6109785202863991E-2</v>
      </c>
      <c r="AL238" s="55">
        <f t="shared" si="36"/>
        <v>27.268033164647015</v>
      </c>
      <c r="AM238" s="56">
        <v>25</v>
      </c>
      <c r="AN238" s="57">
        <f t="shared" si="34"/>
        <v>-2.2680331646470151</v>
      </c>
      <c r="AO238" s="76">
        <f t="shared" si="37"/>
        <v>-4.4448343743380274</v>
      </c>
      <c r="AP238" s="63" t="str">
        <f t="shared" si="38"/>
        <v/>
      </c>
      <c r="AQ238" s="63" t="str">
        <f t="shared" si="39"/>
        <v>Sell Stocks</v>
      </c>
      <c r="AR238" s="63" t="str">
        <f t="shared" si="40"/>
        <v/>
      </c>
      <c r="AS238" s="63" t="str">
        <f t="shared" si="41"/>
        <v/>
      </c>
      <c r="AT238" s="78" t="str">
        <f t="shared" si="42"/>
        <v/>
      </c>
      <c r="AU238" s="78" t="str">
        <f t="shared" si="43"/>
        <v/>
      </c>
      <c r="AV238" s="64" t="str">
        <f ca="1">IFERROR(__xludf.DUMMYFUNCTION("IF(TRIM(AU238)="""","""",AU238/INDEX(FILTER(AT$3:AT238,TRIM(AT$3:AT238)&lt;&gt;""""),ROWS(FILTER(AT$3:AT238,TRIM(AT$3:AT238)&lt;&gt;"""")))-1)"),"")</f>
        <v/>
      </c>
      <c r="AW238" s="65" t="e">
        <f t="shared" ca="1" si="35"/>
        <v>#VALUE!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</row>
    <row r="239" spans="1:68" ht="19" x14ac:dyDescent="0.25">
      <c r="A239" s="5"/>
      <c r="B239" s="5"/>
      <c r="C239" s="5"/>
      <c r="D239" s="5"/>
      <c r="E239" s="5"/>
      <c r="F239" s="5"/>
      <c r="G239" s="5"/>
      <c r="H239" s="6"/>
      <c r="I239" s="5"/>
      <c r="J239" s="83"/>
      <c r="K239" s="83"/>
      <c r="L239" s="83"/>
      <c r="M239" s="83"/>
      <c r="N239" s="83"/>
      <c r="O239" s="83"/>
      <c r="P239" s="83"/>
      <c r="Q239" s="84"/>
      <c r="R239" s="83"/>
      <c r="S239" s="83"/>
      <c r="T239" s="85"/>
      <c r="U239" s="6"/>
      <c r="V239" s="44">
        <v>44264</v>
      </c>
      <c r="W239" s="45">
        <v>118.61</v>
      </c>
      <c r="X239" s="46"/>
      <c r="Y239" s="61"/>
      <c r="Z239" s="5"/>
      <c r="AA239" s="5"/>
      <c r="AB239" s="5"/>
      <c r="AC239" s="5"/>
      <c r="AD239" s="5"/>
      <c r="AE239" s="5"/>
      <c r="AF239" s="5"/>
      <c r="AG239" s="5"/>
      <c r="AH239" s="6"/>
      <c r="AI239" s="44">
        <v>44264</v>
      </c>
      <c r="AJ239" s="53">
        <v>118.61</v>
      </c>
      <c r="AK239" s="54">
        <f t="shared" si="33"/>
        <v>-5.0331348041271484E-3</v>
      </c>
      <c r="AL239" s="55">
        <f t="shared" si="36"/>
        <v>27.657589759158551</v>
      </c>
      <c r="AM239" s="56">
        <v>25</v>
      </c>
      <c r="AN239" s="57">
        <f t="shared" si="34"/>
        <v>-2.6575897591585509</v>
      </c>
      <c r="AO239" s="76">
        <f t="shared" si="37"/>
        <v>-3.7393078481146693</v>
      </c>
      <c r="AP239" s="63" t="str">
        <f t="shared" si="38"/>
        <v/>
      </c>
      <c r="AQ239" s="63" t="str">
        <f t="shared" si="39"/>
        <v>Sell Stocks</v>
      </c>
      <c r="AR239" s="63" t="str">
        <f t="shared" si="40"/>
        <v/>
      </c>
      <c r="AS239" s="63" t="str">
        <f t="shared" si="41"/>
        <v/>
      </c>
      <c r="AT239" s="78" t="str">
        <f t="shared" si="42"/>
        <v/>
      </c>
      <c r="AU239" s="78" t="str">
        <f t="shared" si="43"/>
        <v/>
      </c>
      <c r="AV239" s="64" t="str">
        <f ca="1">IFERROR(__xludf.DUMMYFUNCTION("IF(TRIM(AU239)="""","""",AU239/INDEX(FILTER(AT$3:AT239,TRIM(AT$3:AT239)&lt;&gt;""""),ROWS(FILTER(AT$3:AT239,TRIM(AT$3:AT239)&lt;&gt;"""")))-1)"),"")</f>
        <v/>
      </c>
      <c r="AW239" s="65" t="e">
        <f t="shared" ca="1" si="35"/>
        <v>#VALUE!</v>
      </c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</row>
    <row r="240" spans="1:68" ht="19" x14ac:dyDescent="0.25">
      <c r="A240" s="5"/>
      <c r="B240" s="5"/>
      <c r="C240" s="5"/>
      <c r="D240" s="5"/>
      <c r="E240" s="5"/>
      <c r="F240" s="5"/>
      <c r="G240" s="5"/>
      <c r="H240" s="6"/>
      <c r="I240" s="5"/>
      <c r="J240" s="83"/>
      <c r="K240" s="83"/>
      <c r="L240" s="83"/>
      <c r="M240" s="83"/>
      <c r="N240" s="83"/>
      <c r="O240" s="83"/>
      <c r="P240" s="83"/>
      <c r="Q240" s="84"/>
      <c r="R240" s="83"/>
      <c r="S240" s="83"/>
      <c r="T240" s="85"/>
      <c r="U240" s="6"/>
      <c r="V240" s="44">
        <v>44265</v>
      </c>
      <c r="W240" s="45">
        <v>122.14</v>
      </c>
      <c r="X240" s="46"/>
      <c r="Y240" s="61"/>
      <c r="Z240" s="5"/>
      <c r="AA240" s="5"/>
      <c r="AB240" s="5"/>
      <c r="AC240" s="5"/>
      <c r="AD240" s="5"/>
      <c r="AE240" s="5"/>
      <c r="AF240" s="5"/>
      <c r="AG240" s="5"/>
      <c r="AH240" s="6"/>
      <c r="AI240" s="44">
        <v>44265</v>
      </c>
      <c r="AJ240" s="53">
        <v>122.14</v>
      </c>
      <c r="AK240" s="54">
        <f t="shared" si="33"/>
        <v>2.976140291712337E-2</v>
      </c>
      <c r="AL240" s="55">
        <f t="shared" si="36"/>
        <v>31.90521161252985</v>
      </c>
      <c r="AM240" s="56">
        <v>25</v>
      </c>
      <c r="AN240" s="57">
        <f t="shared" si="34"/>
        <v>-6.9052116125298504</v>
      </c>
      <c r="AO240" s="76">
        <f t="shared" si="37"/>
        <v>-4.1971771562872471</v>
      </c>
      <c r="AP240" s="63" t="str">
        <f t="shared" si="38"/>
        <v/>
      </c>
      <c r="AQ240" s="63" t="str">
        <f t="shared" si="39"/>
        <v>Sell Stocks</v>
      </c>
      <c r="AR240" s="63" t="str">
        <f t="shared" si="40"/>
        <v/>
      </c>
      <c r="AS240" s="63" t="str">
        <f t="shared" si="41"/>
        <v/>
      </c>
      <c r="AT240" s="78" t="str">
        <f t="shared" si="42"/>
        <v/>
      </c>
      <c r="AU240" s="78" t="str">
        <f t="shared" si="43"/>
        <v/>
      </c>
      <c r="AV240" s="64" t="str">
        <f ca="1">IFERROR(__xludf.DUMMYFUNCTION("IF(TRIM(AU240)="""","""",AU240/INDEX(FILTER(AT$3:AT240,TRIM(AT$3:AT240)&lt;&gt;""""),ROWS(FILTER(AT$3:AT240,TRIM(AT$3:AT240)&lt;&gt;"""")))-1)"),"")</f>
        <v/>
      </c>
      <c r="AW240" s="65" t="e">
        <f t="shared" ca="1" si="35"/>
        <v>#VALUE!</v>
      </c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</row>
    <row r="241" spans="1:68" ht="19" x14ac:dyDescent="0.25">
      <c r="A241" s="5"/>
      <c r="B241" s="5"/>
      <c r="C241" s="5"/>
      <c r="D241" s="5"/>
      <c r="E241" s="5"/>
      <c r="F241" s="5"/>
      <c r="G241" s="5"/>
      <c r="H241" s="6"/>
      <c r="I241" s="5"/>
      <c r="J241" s="83"/>
      <c r="K241" s="83"/>
      <c r="L241" s="83"/>
      <c r="M241" s="83"/>
      <c r="N241" s="83"/>
      <c r="O241" s="83"/>
      <c r="P241" s="83"/>
      <c r="Q241" s="84"/>
      <c r="R241" s="83"/>
      <c r="S241" s="83"/>
      <c r="T241" s="85"/>
      <c r="U241" s="6"/>
      <c r="V241" s="44">
        <v>44266</v>
      </c>
      <c r="W241" s="45">
        <v>121.44</v>
      </c>
      <c r="X241" s="46"/>
      <c r="Y241" s="61"/>
      <c r="Z241" s="5"/>
      <c r="AA241" s="5"/>
      <c r="AB241" s="5"/>
      <c r="AC241" s="5"/>
      <c r="AD241" s="5"/>
      <c r="AE241" s="5"/>
      <c r="AF241" s="5"/>
      <c r="AG241" s="5"/>
      <c r="AH241" s="6"/>
      <c r="AI241" s="44">
        <v>44266</v>
      </c>
      <c r="AJ241" s="53">
        <v>121.44</v>
      </c>
      <c r="AK241" s="54">
        <f t="shared" si="33"/>
        <v>-5.7311282135255048E-3</v>
      </c>
      <c r="AL241" s="55">
        <f t="shared" si="36"/>
        <v>25.714776796160482</v>
      </c>
      <c r="AM241" s="56">
        <v>25</v>
      </c>
      <c r="AN241" s="57">
        <f t="shared" si="34"/>
        <v>-0.71477679616048206</v>
      </c>
      <c r="AO241" s="76">
        <f t="shared" si="37"/>
        <v>-2.9259716918207146</v>
      </c>
      <c r="AP241" s="63" t="str">
        <f t="shared" si="38"/>
        <v/>
      </c>
      <c r="AQ241" s="63" t="str">
        <f t="shared" si="39"/>
        <v>Sell Stocks</v>
      </c>
      <c r="AR241" s="63" t="str">
        <f t="shared" si="40"/>
        <v/>
      </c>
      <c r="AS241" s="63" t="str">
        <f t="shared" si="41"/>
        <v/>
      </c>
      <c r="AT241" s="78" t="str">
        <f t="shared" si="42"/>
        <v/>
      </c>
      <c r="AU241" s="78" t="str">
        <f t="shared" si="43"/>
        <v/>
      </c>
      <c r="AV241" s="64" t="str">
        <f ca="1">IFERROR(__xludf.DUMMYFUNCTION("IF(TRIM(AU241)="""","""",AU241/INDEX(FILTER(AT$3:AT241,TRIM(AT$3:AT241)&lt;&gt;""""),ROWS(FILTER(AT$3:AT241,TRIM(AT$3:AT241)&lt;&gt;"""")))-1)"),"")</f>
        <v/>
      </c>
      <c r="AW241" s="65" t="e">
        <f t="shared" ca="1" si="35"/>
        <v>#VALUE!</v>
      </c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</row>
    <row r="242" spans="1:68" ht="19" x14ac:dyDescent="0.25">
      <c r="A242" s="5"/>
      <c r="B242" s="5"/>
      <c r="C242" s="5"/>
      <c r="D242" s="5"/>
      <c r="E242" s="5"/>
      <c r="F242" s="5"/>
      <c r="G242" s="5"/>
      <c r="H242" s="6"/>
      <c r="I242" s="5"/>
      <c r="J242" s="83"/>
      <c r="K242" s="83"/>
      <c r="L242" s="83"/>
      <c r="M242" s="83"/>
      <c r="N242" s="83"/>
      <c r="O242" s="83"/>
      <c r="P242" s="83"/>
      <c r="Q242" s="84"/>
      <c r="R242" s="83"/>
      <c r="S242" s="83"/>
      <c r="T242" s="85"/>
      <c r="U242" s="6"/>
      <c r="V242" s="44">
        <v>44267</v>
      </c>
      <c r="W242" s="45">
        <v>121.89</v>
      </c>
      <c r="X242" s="46"/>
      <c r="Y242" s="61"/>
      <c r="Z242" s="5"/>
      <c r="AA242" s="5"/>
      <c r="AB242" s="5"/>
      <c r="AC242" s="5"/>
      <c r="AD242" s="5"/>
      <c r="AE242" s="5"/>
      <c r="AF242" s="5"/>
      <c r="AG242" s="5"/>
      <c r="AH242" s="6"/>
      <c r="AI242" s="44">
        <v>44267</v>
      </c>
      <c r="AJ242" s="53">
        <v>121.89</v>
      </c>
      <c r="AK242" s="54">
        <f t="shared" si="33"/>
        <v>3.7055335968378955E-3</v>
      </c>
      <c r="AL242" s="55">
        <f t="shared" si="36"/>
        <v>24.021101424130585</v>
      </c>
      <c r="AM242" s="56">
        <v>25</v>
      </c>
      <c r="AN242" s="57">
        <f t="shared" si="34"/>
        <v>0.97889857586941531</v>
      </c>
      <c r="AO242" s="76">
        <f t="shared" si="37"/>
        <v>-2.3133425513252965</v>
      </c>
      <c r="AP242" s="63" t="str">
        <f t="shared" si="38"/>
        <v/>
      </c>
      <c r="AQ242" s="63" t="str">
        <f t="shared" si="39"/>
        <v>Sell Stocks</v>
      </c>
      <c r="AR242" s="63" t="str">
        <f t="shared" si="40"/>
        <v/>
      </c>
      <c r="AS242" s="63" t="str">
        <f t="shared" si="41"/>
        <v/>
      </c>
      <c r="AT242" s="78" t="str">
        <f t="shared" si="42"/>
        <v/>
      </c>
      <c r="AU242" s="78" t="str">
        <f t="shared" si="43"/>
        <v/>
      </c>
      <c r="AV242" s="64" t="str">
        <f ca="1">IFERROR(__xludf.DUMMYFUNCTION("IF(TRIM(AU242)="""","""",AU242/INDEX(FILTER(AT$3:AT242,TRIM(AT$3:AT242)&lt;&gt;""""),ROWS(FILTER(AT$3:AT242,TRIM(AT$3:AT242)&lt;&gt;"""")))-1)"),"")</f>
        <v/>
      </c>
      <c r="AW242" s="65" t="e">
        <f t="shared" ca="1" si="35"/>
        <v>#VALUE!</v>
      </c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</row>
    <row r="243" spans="1:68" ht="19" x14ac:dyDescent="0.25">
      <c r="A243" s="5"/>
      <c r="B243" s="5"/>
      <c r="C243" s="5"/>
      <c r="D243" s="5"/>
      <c r="E243" s="5"/>
      <c r="F243" s="5"/>
      <c r="G243" s="5"/>
      <c r="H243" s="6"/>
      <c r="I243" s="5"/>
      <c r="J243" s="83"/>
      <c r="K243" s="83"/>
      <c r="L243" s="83"/>
      <c r="M243" s="83"/>
      <c r="N243" s="83"/>
      <c r="O243" s="83"/>
      <c r="P243" s="83"/>
      <c r="Q243" s="84"/>
      <c r="R243" s="83"/>
      <c r="S243" s="83"/>
      <c r="T243" s="85"/>
      <c r="U243" s="6"/>
      <c r="V243" s="44">
        <v>44270</v>
      </c>
      <c r="W243" s="45">
        <v>122.81</v>
      </c>
      <c r="X243" s="46"/>
      <c r="Y243" s="61"/>
      <c r="Z243" s="5"/>
      <c r="AA243" s="5"/>
      <c r="AB243" s="5"/>
      <c r="AC243" s="5"/>
      <c r="AD243" s="5"/>
      <c r="AE243" s="5"/>
      <c r="AF243" s="5"/>
      <c r="AG243" s="5"/>
      <c r="AH243" s="6"/>
      <c r="AI243" s="44">
        <v>44270</v>
      </c>
      <c r="AJ243" s="53">
        <v>122.81</v>
      </c>
      <c r="AK243" s="54">
        <f t="shared" si="33"/>
        <v>7.5477889900730233E-3</v>
      </c>
      <c r="AL243" s="55">
        <f t="shared" si="36"/>
        <v>22.889055694737973</v>
      </c>
      <c r="AM243" s="56">
        <v>25</v>
      </c>
      <c r="AN243" s="57">
        <f t="shared" si="34"/>
        <v>2.1109443052620271</v>
      </c>
      <c r="AO243" s="76">
        <f t="shared" si="37"/>
        <v>-1.4375470573434881</v>
      </c>
      <c r="AP243" s="63" t="str">
        <f t="shared" si="38"/>
        <v/>
      </c>
      <c r="AQ243" s="63" t="str">
        <f t="shared" si="39"/>
        <v>Sell Stocks</v>
      </c>
      <c r="AR243" s="63" t="str">
        <f t="shared" si="40"/>
        <v/>
      </c>
      <c r="AS243" s="63" t="str">
        <f t="shared" si="41"/>
        <v/>
      </c>
      <c r="AT243" s="78" t="str">
        <f t="shared" si="42"/>
        <v/>
      </c>
      <c r="AU243" s="78" t="str">
        <f t="shared" si="43"/>
        <v/>
      </c>
      <c r="AV243" s="64" t="str">
        <f ca="1">IFERROR(__xludf.DUMMYFUNCTION("IF(TRIM(AU243)="""","""",AU243/INDEX(FILTER(AT$3:AT243,TRIM(AT$3:AT243)&lt;&gt;""""),ROWS(FILTER(AT$3:AT243,TRIM(AT$3:AT243)&lt;&gt;"""")))-1)"),"")</f>
        <v/>
      </c>
      <c r="AW243" s="65" t="e">
        <f t="shared" ca="1" si="35"/>
        <v>#VALUE!</v>
      </c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</row>
    <row r="244" spans="1:68" ht="19" x14ac:dyDescent="0.25">
      <c r="A244" s="5"/>
      <c r="B244" s="5"/>
      <c r="C244" s="5"/>
      <c r="D244" s="5"/>
      <c r="E244" s="5"/>
      <c r="F244" s="5"/>
      <c r="G244" s="5"/>
      <c r="H244" s="6"/>
      <c r="I244" s="5"/>
      <c r="J244" s="83"/>
      <c r="K244" s="83"/>
      <c r="L244" s="83"/>
      <c r="M244" s="83"/>
      <c r="N244" s="83"/>
      <c r="O244" s="83"/>
      <c r="P244" s="83"/>
      <c r="Q244" s="84"/>
      <c r="R244" s="83"/>
      <c r="S244" s="83"/>
      <c r="T244" s="85"/>
      <c r="U244" s="6"/>
      <c r="V244" s="44">
        <v>44271</v>
      </c>
      <c r="W244" s="45">
        <v>122.49</v>
      </c>
      <c r="X244" s="46"/>
      <c r="Y244" s="61"/>
      <c r="Z244" s="5"/>
      <c r="AA244" s="5"/>
      <c r="AB244" s="5"/>
      <c r="AC244" s="5"/>
      <c r="AD244" s="5"/>
      <c r="AE244" s="5"/>
      <c r="AF244" s="5"/>
      <c r="AG244" s="5"/>
      <c r="AH244" s="6"/>
      <c r="AI244" s="44">
        <v>44271</v>
      </c>
      <c r="AJ244" s="53">
        <v>122.49</v>
      </c>
      <c r="AK244" s="54">
        <f t="shared" si="33"/>
        <v>-2.6056510056184923E-3</v>
      </c>
      <c r="AL244" s="55">
        <f t="shared" si="36"/>
        <v>22.203137011904875</v>
      </c>
      <c r="AM244" s="56">
        <v>25</v>
      </c>
      <c r="AN244" s="57">
        <f t="shared" si="34"/>
        <v>2.7968629880951248</v>
      </c>
      <c r="AO244" s="76">
        <f t="shared" si="37"/>
        <v>-0.34665650789275304</v>
      </c>
      <c r="AP244" s="63" t="str">
        <f t="shared" si="38"/>
        <v/>
      </c>
      <c r="AQ244" s="63" t="str">
        <f t="shared" si="39"/>
        <v>Sell Stocks</v>
      </c>
      <c r="AR244" s="63" t="str">
        <f t="shared" si="40"/>
        <v/>
      </c>
      <c r="AS244" s="63" t="str">
        <f t="shared" si="41"/>
        <v/>
      </c>
      <c r="AT244" s="78" t="str">
        <f t="shared" si="42"/>
        <v/>
      </c>
      <c r="AU244" s="78" t="str">
        <f t="shared" si="43"/>
        <v/>
      </c>
      <c r="AV244" s="64" t="str">
        <f ca="1">IFERROR(__xludf.DUMMYFUNCTION("IF(TRIM(AU244)="""","""",AU244/INDEX(FILTER(AT$3:AT244,TRIM(AT$3:AT244)&lt;&gt;""""),ROWS(FILTER(AT$3:AT244,TRIM(AT$3:AT244)&lt;&gt;"""")))-1)"),"")</f>
        <v/>
      </c>
      <c r="AW244" s="65" t="e">
        <f t="shared" ca="1" si="35"/>
        <v>#VALUE!</v>
      </c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</row>
    <row r="245" spans="1:68" ht="19" x14ac:dyDescent="0.25">
      <c r="A245" s="5"/>
      <c r="B245" s="5"/>
      <c r="C245" s="5"/>
      <c r="D245" s="5"/>
      <c r="E245" s="5"/>
      <c r="F245" s="5"/>
      <c r="G245" s="5"/>
      <c r="H245" s="6"/>
      <c r="I245" s="5"/>
      <c r="J245" s="83"/>
      <c r="K245" s="83"/>
      <c r="L245" s="83"/>
      <c r="M245" s="83"/>
      <c r="N245" s="83"/>
      <c r="O245" s="83"/>
      <c r="P245" s="83"/>
      <c r="Q245" s="84"/>
      <c r="R245" s="83"/>
      <c r="S245" s="83"/>
      <c r="T245" s="85"/>
      <c r="U245" s="6"/>
      <c r="V245" s="44">
        <v>44272</v>
      </c>
      <c r="W245" s="45">
        <v>123.24</v>
      </c>
      <c r="X245" s="46"/>
      <c r="Y245" s="61"/>
      <c r="Z245" s="5"/>
      <c r="AA245" s="5"/>
      <c r="AB245" s="5"/>
      <c r="AC245" s="5"/>
      <c r="AD245" s="5"/>
      <c r="AE245" s="5"/>
      <c r="AF245" s="5"/>
      <c r="AG245" s="5"/>
      <c r="AH245" s="6"/>
      <c r="AI245" s="44">
        <v>44272</v>
      </c>
      <c r="AJ245" s="53">
        <v>123.24</v>
      </c>
      <c r="AK245" s="54">
        <f t="shared" si="33"/>
        <v>6.1229488121479214E-3</v>
      </c>
      <c r="AL245" s="55">
        <f t="shared" si="36"/>
        <v>9.1013471163996353</v>
      </c>
      <c r="AM245" s="56">
        <v>25</v>
      </c>
      <c r="AN245" s="57">
        <f t="shared" si="34"/>
        <v>15.898652883600365</v>
      </c>
      <c r="AO245" s="76">
        <f t="shared" si="37"/>
        <v>4.21411639133329</v>
      </c>
      <c r="AP245" s="63" t="str">
        <f t="shared" si="38"/>
        <v>Buy Stocks</v>
      </c>
      <c r="AQ245" s="63" t="str">
        <f t="shared" si="39"/>
        <v/>
      </c>
      <c r="AR245" s="63" t="str">
        <f t="shared" si="40"/>
        <v>Buy Stocks</v>
      </c>
      <c r="AS245" s="63" t="str">
        <f t="shared" si="41"/>
        <v/>
      </c>
      <c r="AT245" s="77">
        <f t="shared" si="42"/>
        <v>123.24</v>
      </c>
      <c r="AU245" s="78" t="str">
        <f t="shared" si="43"/>
        <v/>
      </c>
      <c r="AV245" s="64" t="str">
        <f ca="1">IFERROR(__xludf.DUMMYFUNCTION("IF(TRIM(AU245)="""","""",AU245/INDEX(FILTER(AT$3:AT245,TRIM(AT$3:AT245)&lt;&gt;""""),ROWS(FILTER(AT$3:AT245,TRIM(AT$3:AT245)&lt;&gt;"""")))-1)"),"")</f>
        <v/>
      </c>
      <c r="AW245" s="65" t="e">
        <f t="shared" ca="1" si="35"/>
        <v>#VALUE!</v>
      </c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</row>
    <row r="246" spans="1:68" ht="19" x14ac:dyDescent="0.25">
      <c r="A246" s="5"/>
      <c r="B246" s="5"/>
      <c r="C246" s="5"/>
      <c r="D246" s="5"/>
      <c r="E246" s="5"/>
      <c r="F246" s="5"/>
      <c r="G246" s="5"/>
      <c r="H246" s="6"/>
      <c r="I246" s="5"/>
      <c r="J246" s="83"/>
      <c r="K246" s="83"/>
      <c r="L246" s="83"/>
      <c r="M246" s="83"/>
      <c r="N246" s="83"/>
      <c r="O246" s="83"/>
      <c r="P246" s="83"/>
      <c r="Q246" s="84"/>
      <c r="R246" s="83"/>
      <c r="S246" s="83"/>
      <c r="T246" s="85"/>
      <c r="U246" s="6"/>
      <c r="V246" s="44">
        <v>44273</v>
      </c>
      <c r="W246" s="45">
        <v>124.23</v>
      </c>
      <c r="X246" s="46"/>
      <c r="Y246" s="61"/>
      <c r="Z246" s="5"/>
      <c r="AA246" s="5"/>
      <c r="AB246" s="5"/>
      <c r="AC246" s="5"/>
      <c r="AD246" s="5"/>
      <c r="AE246" s="5"/>
      <c r="AF246" s="5"/>
      <c r="AG246" s="5"/>
      <c r="AH246" s="6"/>
      <c r="AI246" s="44">
        <v>44273</v>
      </c>
      <c r="AJ246" s="53">
        <v>124.23</v>
      </c>
      <c r="AK246" s="54">
        <f t="shared" si="33"/>
        <v>8.0331061343721366E-3</v>
      </c>
      <c r="AL246" s="55">
        <f t="shared" si="36"/>
        <v>6.897141311417716</v>
      </c>
      <c r="AM246" s="56">
        <v>25</v>
      </c>
      <c r="AN246" s="57">
        <f t="shared" si="34"/>
        <v>18.102858688582284</v>
      </c>
      <c r="AO246" s="76">
        <f t="shared" si="37"/>
        <v>7.9776434882818421</v>
      </c>
      <c r="AP246" s="63" t="str">
        <f t="shared" si="38"/>
        <v>Buy Stocks</v>
      </c>
      <c r="AQ246" s="63" t="str">
        <f t="shared" si="39"/>
        <v/>
      </c>
      <c r="AR246" s="63" t="str">
        <f t="shared" si="40"/>
        <v/>
      </c>
      <c r="AS246" s="63" t="str">
        <f t="shared" si="41"/>
        <v/>
      </c>
      <c r="AT246" s="78" t="str">
        <f t="shared" si="42"/>
        <v/>
      </c>
      <c r="AU246" s="78" t="str">
        <f t="shared" si="43"/>
        <v/>
      </c>
      <c r="AV246" s="64" t="str">
        <f ca="1">IFERROR(__xludf.DUMMYFUNCTION("IF(TRIM(AU246)="""","""",AU246/INDEX(FILTER(AT$3:AT246,TRIM(AT$3:AT246)&lt;&gt;""""),ROWS(FILTER(AT$3:AT246,TRIM(AT$3:AT246)&lt;&gt;"""")))-1)"),"")</f>
        <v/>
      </c>
      <c r="AW246" s="65" t="e">
        <f t="shared" ca="1" si="35"/>
        <v>#VALUE!</v>
      </c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</row>
    <row r="247" spans="1:68" ht="19" x14ac:dyDescent="0.25">
      <c r="A247" s="5"/>
      <c r="B247" s="5"/>
      <c r="C247" s="5"/>
      <c r="D247" s="5"/>
      <c r="E247" s="5"/>
      <c r="F247" s="5"/>
      <c r="G247" s="5"/>
      <c r="H247" s="6"/>
      <c r="I247" s="5"/>
      <c r="J247" s="83"/>
      <c r="K247" s="83"/>
      <c r="L247" s="83"/>
      <c r="M247" s="83"/>
      <c r="N247" s="83"/>
      <c r="O247" s="83"/>
      <c r="P247" s="83"/>
      <c r="Q247" s="84"/>
      <c r="R247" s="83"/>
      <c r="S247" s="83"/>
      <c r="T247" s="85"/>
      <c r="U247" s="6"/>
      <c r="V247" s="44">
        <v>44274</v>
      </c>
      <c r="W247" s="45">
        <v>123.12</v>
      </c>
      <c r="X247" s="46"/>
      <c r="Y247" s="61"/>
      <c r="Z247" s="5"/>
      <c r="AA247" s="5"/>
      <c r="AB247" s="5"/>
      <c r="AC247" s="5"/>
      <c r="AD247" s="5"/>
      <c r="AE247" s="5"/>
      <c r="AF247" s="5"/>
      <c r="AG247" s="5"/>
      <c r="AH247" s="6"/>
      <c r="AI247" s="44">
        <v>44274</v>
      </c>
      <c r="AJ247" s="53">
        <v>123.12</v>
      </c>
      <c r="AK247" s="54">
        <f t="shared" si="33"/>
        <v>-8.9350398454479674E-3</v>
      </c>
      <c r="AL247" s="55">
        <f t="shared" si="36"/>
        <v>11.904738754485502</v>
      </c>
      <c r="AM247" s="56">
        <v>25</v>
      </c>
      <c r="AN247" s="57">
        <f t="shared" si="34"/>
        <v>13.095261245514498</v>
      </c>
      <c r="AO247" s="76">
        <f t="shared" si="37"/>
        <v>10.400916022210861</v>
      </c>
      <c r="AP247" s="63" t="str">
        <f t="shared" si="38"/>
        <v>Buy Stocks</v>
      </c>
      <c r="AQ247" s="63" t="str">
        <f t="shared" si="39"/>
        <v/>
      </c>
      <c r="AR247" s="63" t="str">
        <f t="shared" si="40"/>
        <v/>
      </c>
      <c r="AS247" s="63" t="str">
        <f t="shared" si="41"/>
        <v/>
      </c>
      <c r="AT247" s="78" t="str">
        <f t="shared" si="42"/>
        <v/>
      </c>
      <c r="AU247" s="78" t="str">
        <f t="shared" si="43"/>
        <v/>
      </c>
      <c r="AV247" s="64" t="str">
        <f ca="1">IFERROR(__xludf.DUMMYFUNCTION("IF(TRIM(AU247)="""","""",AU247/INDEX(FILTER(AT$3:AT247,TRIM(AT$3:AT247)&lt;&gt;""""),ROWS(FILTER(AT$3:AT247,TRIM(AT$3:AT247)&lt;&gt;"""")))-1)"),"")</f>
        <v/>
      </c>
      <c r="AW247" s="65" t="e">
        <f t="shared" ca="1" si="35"/>
        <v>#VALUE!</v>
      </c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</row>
    <row r="248" spans="1:68" ht="19" x14ac:dyDescent="0.25">
      <c r="A248" s="5"/>
      <c r="B248" s="5"/>
      <c r="C248" s="5"/>
      <c r="D248" s="5"/>
      <c r="E248" s="5"/>
      <c r="F248" s="5"/>
      <c r="G248" s="5"/>
      <c r="H248" s="6"/>
      <c r="I248" s="5"/>
      <c r="J248" s="83"/>
      <c r="K248" s="83"/>
      <c r="L248" s="83"/>
      <c r="M248" s="83"/>
      <c r="N248" s="83"/>
      <c r="O248" s="83"/>
      <c r="P248" s="83"/>
      <c r="Q248" s="84"/>
      <c r="R248" s="83"/>
      <c r="S248" s="83"/>
      <c r="T248" s="85"/>
      <c r="U248" s="6"/>
      <c r="V248" s="44">
        <v>44277</v>
      </c>
      <c r="W248" s="45">
        <v>124.7</v>
      </c>
      <c r="X248" s="46"/>
      <c r="Y248" s="61"/>
      <c r="Z248" s="5"/>
      <c r="AA248" s="5"/>
      <c r="AB248" s="5"/>
      <c r="AC248" s="5"/>
      <c r="AD248" s="5"/>
      <c r="AE248" s="5"/>
      <c r="AF248" s="5"/>
      <c r="AG248" s="5"/>
      <c r="AH248" s="6"/>
      <c r="AI248" s="44">
        <v>44277</v>
      </c>
      <c r="AJ248" s="53">
        <v>124.7</v>
      </c>
      <c r="AK248" s="54">
        <f t="shared" si="33"/>
        <v>1.2833008447043603E-2</v>
      </c>
      <c r="AL248" s="55">
        <f t="shared" si="36"/>
        <v>13.875475757440437</v>
      </c>
      <c r="AM248" s="56">
        <v>25</v>
      </c>
      <c r="AN248" s="57">
        <f t="shared" si="34"/>
        <v>11.124524242559563</v>
      </c>
      <c r="AO248" s="76">
        <f t="shared" si="37"/>
        <v>12.203632009670368</v>
      </c>
      <c r="AP248" s="63" t="str">
        <f t="shared" si="38"/>
        <v>Buy Stocks</v>
      </c>
      <c r="AQ248" s="63" t="str">
        <f t="shared" si="39"/>
        <v/>
      </c>
      <c r="AR248" s="63" t="str">
        <f t="shared" si="40"/>
        <v/>
      </c>
      <c r="AS248" s="63" t="str">
        <f t="shared" si="41"/>
        <v/>
      </c>
      <c r="AT248" s="78" t="str">
        <f t="shared" si="42"/>
        <v/>
      </c>
      <c r="AU248" s="78" t="str">
        <f t="shared" si="43"/>
        <v/>
      </c>
      <c r="AV248" s="64" t="str">
        <f ca="1">IFERROR(__xludf.DUMMYFUNCTION("IF(TRIM(AU248)="""","""",AU248/INDEX(FILTER(AT$3:AT248,TRIM(AT$3:AT248)&lt;&gt;""""),ROWS(FILTER(AT$3:AT248,TRIM(AT$3:AT248)&lt;&gt;"""")))-1)"),"")</f>
        <v/>
      </c>
      <c r="AW248" s="65" t="e">
        <f t="shared" ca="1" si="35"/>
        <v>#VALUE!</v>
      </c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</row>
    <row r="249" spans="1:68" ht="19" x14ac:dyDescent="0.25">
      <c r="A249" s="5"/>
      <c r="B249" s="5"/>
      <c r="C249" s="5"/>
      <c r="D249" s="5"/>
      <c r="E249" s="5"/>
      <c r="F249" s="5"/>
      <c r="G249" s="5"/>
      <c r="H249" s="6"/>
      <c r="I249" s="5"/>
      <c r="J249" s="83"/>
      <c r="K249" s="83"/>
      <c r="L249" s="83"/>
      <c r="M249" s="83"/>
      <c r="N249" s="83"/>
      <c r="O249" s="83"/>
      <c r="P249" s="83"/>
      <c r="Q249" s="84"/>
      <c r="R249" s="83"/>
      <c r="S249" s="83"/>
      <c r="T249" s="85"/>
      <c r="U249" s="6"/>
      <c r="V249" s="44">
        <v>44278</v>
      </c>
      <c r="W249" s="45">
        <v>124.61</v>
      </c>
      <c r="X249" s="46"/>
      <c r="Y249" s="61"/>
      <c r="Z249" s="5"/>
      <c r="AA249" s="5"/>
      <c r="AB249" s="5"/>
      <c r="AC249" s="5"/>
      <c r="AD249" s="5"/>
      <c r="AE249" s="5"/>
      <c r="AF249" s="5"/>
      <c r="AG249" s="5"/>
      <c r="AH249" s="6"/>
      <c r="AI249" s="44">
        <v>44278</v>
      </c>
      <c r="AJ249" s="53">
        <v>124.61</v>
      </c>
      <c r="AK249" s="54">
        <f t="shared" si="33"/>
        <v>-7.2173215717730166E-4</v>
      </c>
      <c r="AL249" s="55">
        <f t="shared" si="36"/>
        <v>13.446129184418623</v>
      </c>
      <c r="AM249" s="56">
        <v>25</v>
      </c>
      <c r="AN249" s="57">
        <f t="shared" si="34"/>
        <v>11.553870815581377</v>
      </c>
      <c r="AO249" s="76">
        <f t="shared" si="37"/>
        <v>13.955033575167619</v>
      </c>
      <c r="AP249" s="63" t="str">
        <f t="shared" si="38"/>
        <v>Buy Stocks</v>
      </c>
      <c r="AQ249" s="63" t="str">
        <f t="shared" si="39"/>
        <v/>
      </c>
      <c r="AR249" s="63" t="str">
        <f t="shared" si="40"/>
        <v/>
      </c>
      <c r="AS249" s="63" t="str">
        <f t="shared" si="41"/>
        <v/>
      </c>
      <c r="AT249" s="78" t="str">
        <f t="shared" si="42"/>
        <v/>
      </c>
      <c r="AU249" s="78" t="str">
        <f t="shared" si="43"/>
        <v/>
      </c>
      <c r="AV249" s="64" t="str">
        <f ca="1">IFERROR(__xludf.DUMMYFUNCTION("IF(TRIM(AU249)="""","""",AU249/INDEX(FILTER(AT$3:AT249,TRIM(AT$3:AT249)&lt;&gt;""""),ROWS(FILTER(AT$3:AT249,TRIM(AT$3:AT249)&lt;&gt;"""")))-1)"),"")</f>
        <v/>
      </c>
      <c r="AW249" s="65" t="e">
        <f t="shared" ca="1" si="35"/>
        <v>#VALUE!</v>
      </c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</row>
    <row r="250" spans="1:68" ht="19" x14ac:dyDescent="0.25">
      <c r="A250" s="5"/>
      <c r="B250" s="5"/>
      <c r="C250" s="5"/>
      <c r="D250" s="5"/>
      <c r="E250" s="5"/>
      <c r="F250" s="5"/>
      <c r="G250" s="5"/>
      <c r="H250" s="6"/>
      <c r="I250" s="5"/>
      <c r="J250" s="83"/>
      <c r="K250" s="83"/>
      <c r="L250" s="83"/>
      <c r="M250" s="83"/>
      <c r="N250" s="83"/>
      <c r="O250" s="83"/>
      <c r="P250" s="83"/>
      <c r="Q250" s="84"/>
      <c r="R250" s="83"/>
      <c r="S250" s="83"/>
      <c r="T250" s="85"/>
      <c r="U250" s="6"/>
      <c r="V250" s="44">
        <v>44279</v>
      </c>
      <c r="W250" s="45">
        <v>124.76</v>
      </c>
      <c r="X250" s="46"/>
      <c r="Y250" s="61"/>
      <c r="Z250" s="5"/>
      <c r="AA250" s="5"/>
      <c r="AB250" s="5"/>
      <c r="AC250" s="5"/>
      <c r="AD250" s="5"/>
      <c r="AE250" s="5"/>
      <c r="AF250" s="5"/>
      <c r="AG250" s="5"/>
      <c r="AH250" s="6"/>
      <c r="AI250" s="44">
        <v>44279</v>
      </c>
      <c r="AJ250" s="53">
        <v>124.76</v>
      </c>
      <c r="AK250" s="54">
        <f t="shared" si="33"/>
        <v>1.2037557178397051E-3</v>
      </c>
      <c r="AL250" s="55">
        <f t="shared" si="36"/>
        <v>13.286421601594894</v>
      </c>
      <c r="AM250" s="56">
        <v>25</v>
      </c>
      <c r="AN250" s="57">
        <f t="shared" si="34"/>
        <v>11.713578398405106</v>
      </c>
      <c r="AO250" s="76">
        <f t="shared" si="37"/>
        <v>13.118018678128564</v>
      </c>
      <c r="AP250" s="63" t="str">
        <f t="shared" si="38"/>
        <v>Buy Stocks</v>
      </c>
      <c r="AQ250" s="63" t="str">
        <f t="shared" si="39"/>
        <v/>
      </c>
      <c r="AR250" s="63" t="str">
        <f t="shared" si="40"/>
        <v/>
      </c>
      <c r="AS250" s="63" t="str">
        <f t="shared" si="41"/>
        <v/>
      </c>
      <c r="AT250" s="78" t="str">
        <f t="shared" si="42"/>
        <v/>
      </c>
      <c r="AU250" s="78" t="str">
        <f t="shared" si="43"/>
        <v/>
      </c>
      <c r="AV250" s="64" t="str">
        <f ca="1">IFERROR(__xludf.DUMMYFUNCTION("IF(TRIM(AU250)="""","""",AU250/INDEX(FILTER(AT$3:AT250,TRIM(AT$3:AT250)&lt;&gt;""""),ROWS(FILTER(AT$3:AT250,TRIM(AT$3:AT250)&lt;&gt;"""")))-1)"),"")</f>
        <v/>
      </c>
      <c r="AW250" s="65" t="e">
        <f t="shared" ca="1" si="35"/>
        <v>#VALUE!</v>
      </c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</row>
    <row r="251" spans="1:68" ht="19" x14ac:dyDescent="0.25">
      <c r="A251" s="5"/>
      <c r="B251" s="5"/>
      <c r="C251" s="5"/>
      <c r="D251" s="5"/>
      <c r="E251" s="5"/>
      <c r="F251" s="5"/>
      <c r="G251" s="5"/>
      <c r="H251" s="6"/>
      <c r="I251" s="5"/>
      <c r="J251" s="83"/>
      <c r="K251" s="83"/>
      <c r="L251" s="83"/>
      <c r="M251" s="83"/>
      <c r="N251" s="83"/>
      <c r="O251" s="83"/>
      <c r="P251" s="83"/>
      <c r="Q251" s="84"/>
      <c r="R251" s="83"/>
      <c r="S251" s="83"/>
      <c r="T251" s="85"/>
      <c r="U251" s="6"/>
      <c r="V251" s="44">
        <v>44280</v>
      </c>
      <c r="W251" s="45">
        <v>127.1</v>
      </c>
      <c r="X251" s="46"/>
      <c r="Y251" s="61"/>
      <c r="Z251" s="5"/>
      <c r="AA251" s="5"/>
      <c r="AB251" s="5"/>
      <c r="AC251" s="5"/>
      <c r="AD251" s="5"/>
      <c r="AE251" s="5"/>
      <c r="AF251" s="5"/>
      <c r="AG251" s="5"/>
      <c r="AH251" s="6"/>
      <c r="AI251" s="44">
        <v>44280</v>
      </c>
      <c r="AJ251" s="53">
        <v>127.1</v>
      </c>
      <c r="AK251" s="54">
        <f t="shared" si="33"/>
        <v>1.8756011542160778E-2</v>
      </c>
      <c r="AL251" s="55">
        <f t="shared" si="36"/>
        <v>17.591791329547991</v>
      </c>
      <c r="AM251" s="56">
        <v>25</v>
      </c>
      <c r="AN251" s="57">
        <f t="shared" si="34"/>
        <v>7.4082086704520087</v>
      </c>
      <c r="AO251" s="76">
        <f t="shared" si="37"/>
        <v>10.97908867450251</v>
      </c>
      <c r="AP251" s="63" t="str">
        <f t="shared" si="38"/>
        <v>Buy Stocks</v>
      </c>
      <c r="AQ251" s="63" t="str">
        <f t="shared" si="39"/>
        <v/>
      </c>
      <c r="AR251" s="63" t="str">
        <f t="shared" si="40"/>
        <v/>
      </c>
      <c r="AS251" s="63" t="str">
        <f t="shared" si="41"/>
        <v/>
      </c>
      <c r="AT251" s="78" t="str">
        <f t="shared" si="42"/>
        <v/>
      </c>
      <c r="AU251" s="78" t="str">
        <f t="shared" si="43"/>
        <v/>
      </c>
      <c r="AV251" s="64" t="str">
        <f ca="1">IFERROR(__xludf.DUMMYFUNCTION("IF(TRIM(AU251)="""","""",AU251/INDEX(FILTER(AT$3:AT251,TRIM(AT$3:AT251)&lt;&gt;""""),ROWS(FILTER(AT$3:AT251,TRIM(AT$3:AT251)&lt;&gt;"""")))-1)"),"")</f>
        <v/>
      </c>
      <c r="AW251" s="65" t="e">
        <f t="shared" ca="1" si="35"/>
        <v>#VALUE!</v>
      </c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</row>
    <row r="252" spans="1:68" ht="19" x14ac:dyDescent="0.25">
      <c r="A252" s="5"/>
      <c r="B252" s="5"/>
      <c r="C252" s="5"/>
      <c r="D252" s="5"/>
      <c r="E252" s="5"/>
      <c r="F252" s="5"/>
      <c r="G252" s="5"/>
      <c r="H252" s="6"/>
      <c r="I252" s="5"/>
      <c r="J252" s="83"/>
      <c r="K252" s="83"/>
      <c r="L252" s="83"/>
      <c r="M252" s="83"/>
      <c r="N252" s="83"/>
      <c r="O252" s="83"/>
      <c r="P252" s="83"/>
      <c r="Q252" s="84"/>
      <c r="R252" s="83"/>
      <c r="S252" s="83"/>
      <c r="T252" s="85"/>
      <c r="U252" s="6"/>
      <c r="V252" s="44">
        <v>44281</v>
      </c>
      <c r="W252" s="45">
        <v>130.27000000000001</v>
      </c>
      <c r="X252" s="46"/>
      <c r="Y252" s="61"/>
      <c r="Z252" s="5"/>
      <c r="AA252" s="5"/>
      <c r="AB252" s="5"/>
      <c r="AC252" s="5"/>
      <c r="AD252" s="5"/>
      <c r="AE252" s="5"/>
      <c r="AF252" s="5"/>
      <c r="AG252" s="5"/>
      <c r="AH252" s="6"/>
      <c r="AI252" s="44">
        <v>44281</v>
      </c>
      <c r="AJ252" s="53">
        <v>130.27000000000001</v>
      </c>
      <c r="AK252" s="54">
        <f t="shared" si="33"/>
        <v>2.4940991345397512E-2</v>
      </c>
      <c r="AL252" s="55">
        <f t="shared" si="36"/>
        <v>17.577435919646859</v>
      </c>
      <c r="AM252" s="56">
        <v>25</v>
      </c>
      <c r="AN252" s="57">
        <f t="shared" si="34"/>
        <v>7.4225640803531405</v>
      </c>
      <c r="AO252" s="76">
        <f t="shared" si="37"/>
        <v>9.8445492414702382</v>
      </c>
      <c r="AP252" s="63" t="str">
        <f t="shared" si="38"/>
        <v>Buy Stocks</v>
      </c>
      <c r="AQ252" s="63" t="str">
        <f t="shared" si="39"/>
        <v/>
      </c>
      <c r="AR252" s="63" t="str">
        <f t="shared" si="40"/>
        <v/>
      </c>
      <c r="AS252" s="63" t="str">
        <f t="shared" si="41"/>
        <v/>
      </c>
      <c r="AT252" s="78" t="str">
        <f t="shared" si="42"/>
        <v/>
      </c>
      <c r="AU252" s="78" t="str">
        <f t="shared" si="43"/>
        <v/>
      </c>
      <c r="AV252" s="64" t="str">
        <f ca="1">IFERROR(__xludf.DUMMYFUNCTION("IF(TRIM(AU252)="""","""",AU252/INDEX(FILTER(AT$3:AT252,TRIM(AT$3:AT252)&lt;&gt;""""),ROWS(FILTER(AT$3:AT252,TRIM(AT$3:AT252)&lt;&gt;"""")))-1)"),"")</f>
        <v/>
      </c>
      <c r="AW252" s="65" t="e">
        <f t="shared" ca="1" si="35"/>
        <v>#VALUE!</v>
      </c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</row>
    <row r="253" spans="1:68" ht="19" x14ac:dyDescent="0.25">
      <c r="A253" s="5"/>
      <c r="B253" s="5"/>
      <c r="C253" s="5"/>
      <c r="D253" s="5"/>
      <c r="E253" s="5"/>
      <c r="F253" s="5"/>
      <c r="G253" s="5"/>
      <c r="H253" s="6"/>
      <c r="I253" s="5"/>
      <c r="J253" s="83"/>
      <c r="K253" s="83"/>
      <c r="L253" s="83"/>
      <c r="M253" s="83"/>
      <c r="N253" s="83"/>
      <c r="O253" s="83"/>
      <c r="P253" s="83"/>
      <c r="Q253" s="84"/>
      <c r="R253" s="83"/>
      <c r="S253" s="83"/>
      <c r="T253" s="85"/>
      <c r="U253" s="6"/>
      <c r="V253" s="44">
        <v>44284</v>
      </c>
      <c r="W253" s="45">
        <v>129.77000000000001</v>
      </c>
      <c r="X253" s="46"/>
      <c r="Y253" s="61"/>
      <c r="Z253" s="5"/>
      <c r="AA253" s="5"/>
      <c r="AB253" s="5"/>
      <c r="AC253" s="5"/>
      <c r="AD253" s="5"/>
      <c r="AE253" s="5"/>
      <c r="AF253" s="5"/>
      <c r="AG253" s="5"/>
      <c r="AH253" s="6"/>
      <c r="AI253" s="44">
        <v>44284</v>
      </c>
      <c r="AJ253" s="53">
        <v>129.77000000000001</v>
      </c>
      <c r="AK253" s="54">
        <f t="shared" si="33"/>
        <v>-3.8381822368925844E-3</v>
      </c>
      <c r="AL253" s="55">
        <f t="shared" si="36"/>
        <v>20.469281415917017</v>
      </c>
      <c r="AM253" s="56">
        <v>25</v>
      </c>
      <c r="AN253" s="57">
        <f t="shared" si="34"/>
        <v>4.5307185840829831</v>
      </c>
      <c r="AO253" s="76">
        <f t="shared" si="37"/>
        <v>8.5257881097749237</v>
      </c>
      <c r="AP253" s="63" t="str">
        <f t="shared" si="38"/>
        <v>Buy Stocks</v>
      </c>
      <c r="AQ253" s="63" t="str">
        <f t="shared" si="39"/>
        <v/>
      </c>
      <c r="AR253" s="63" t="str">
        <f t="shared" si="40"/>
        <v/>
      </c>
      <c r="AS253" s="63" t="str">
        <f t="shared" si="41"/>
        <v/>
      </c>
      <c r="AT253" s="78" t="str">
        <f t="shared" si="42"/>
        <v/>
      </c>
      <c r="AU253" s="78" t="str">
        <f t="shared" si="43"/>
        <v/>
      </c>
      <c r="AV253" s="64" t="str">
        <f ca="1">IFERROR(__xludf.DUMMYFUNCTION("IF(TRIM(AU253)="""","""",AU253/INDEX(FILTER(AT$3:AT253,TRIM(AT$3:AT253)&lt;&gt;""""),ROWS(FILTER(AT$3:AT253,TRIM(AT$3:AT253)&lt;&gt;"""")))-1)"),"")</f>
        <v/>
      </c>
      <c r="AW253" s="65" t="e">
        <f t="shared" ca="1" si="35"/>
        <v>#VALUE!</v>
      </c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</row>
    <row r="254" spans="1:68" ht="19" x14ac:dyDescent="0.25">
      <c r="A254" s="5"/>
      <c r="B254" s="5"/>
      <c r="C254" s="5"/>
      <c r="D254" s="5"/>
      <c r="E254" s="5"/>
      <c r="F254" s="5"/>
      <c r="G254" s="5"/>
      <c r="H254" s="6"/>
      <c r="I254" s="5"/>
      <c r="J254" s="83"/>
      <c r="K254" s="83"/>
      <c r="L254" s="83"/>
      <c r="M254" s="83"/>
      <c r="N254" s="83"/>
      <c r="O254" s="83"/>
      <c r="P254" s="83"/>
      <c r="Q254" s="84"/>
      <c r="R254" s="83"/>
      <c r="S254" s="83"/>
      <c r="T254" s="85"/>
      <c r="U254" s="6"/>
      <c r="V254" s="44">
        <v>44285</v>
      </c>
      <c r="W254" s="45">
        <v>128.68</v>
      </c>
      <c r="X254" s="46"/>
      <c r="Y254" s="61"/>
      <c r="Z254" s="5"/>
      <c r="AA254" s="5"/>
      <c r="AB254" s="5"/>
      <c r="AC254" s="5"/>
      <c r="AD254" s="5"/>
      <c r="AE254" s="5"/>
      <c r="AF254" s="5"/>
      <c r="AG254" s="5"/>
      <c r="AH254" s="6"/>
      <c r="AI254" s="44">
        <v>44285</v>
      </c>
      <c r="AJ254" s="53">
        <v>128.68</v>
      </c>
      <c r="AK254" s="54">
        <f t="shared" si="33"/>
        <v>-8.3994759959928889E-3</v>
      </c>
      <c r="AL254" s="55">
        <f t="shared" si="36"/>
        <v>23.102689763279116</v>
      </c>
      <c r="AM254" s="56">
        <v>25</v>
      </c>
      <c r="AN254" s="57">
        <f t="shared" si="34"/>
        <v>1.8973102367208838</v>
      </c>
      <c r="AO254" s="76">
        <f t="shared" si="37"/>
        <v>6.594475994002825</v>
      </c>
      <c r="AP254" s="63" t="str">
        <f t="shared" si="38"/>
        <v>Buy Stocks</v>
      </c>
      <c r="AQ254" s="63" t="str">
        <f t="shared" si="39"/>
        <v/>
      </c>
      <c r="AR254" s="63" t="str">
        <f t="shared" si="40"/>
        <v/>
      </c>
      <c r="AS254" s="63" t="str">
        <f t="shared" si="41"/>
        <v/>
      </c>
      <c r="AT254" s="78" t="str">
        <f t="shared" si="42"/>
        <v/>
      </c>
      <c r="AU254" s="78" t="str">
        <f t="shared" si="43"/>
        <v/>
      </c>
      <c r="AV254" s="64" t="str">
        <f ca="1">IFERROR(__xludf.DUMMYFUNCTION("IF(TRIM(AU254)="""","""",AU254/INDEX(FILTER(AT$3:AT254,TRIM(AT$3:AT254)&lt;&gt;""""),ROWS(FILTER(AT$3:AT254,TRIM(AT$3:AT254)&lt;&gt;"""")))-1)"),"")</f>
        <v/>
      </c>
      <c r="AW254" s="65" t="e">
        <f t="shared" ca="1" si="35"/>
        <v>#VALUE!</v>
      </c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</row>
    <row r="255" spans="1:68" ht="19" x14ac:dyDescent="0.25">
      <c r="A255" s="5"/>
      <c r="B255" s="5"/>
      <c r="C255" s="5"/>
      <c r="D255" s="5"/>
      <c r="E255" s="5"/>
      <c r="F255" s="5"/>
      <c r="G255" s="5"/>
      <c r="H255" s="6"/>
      <c r="I255" s="5"/>
      <c r="J255" s="83"/>
      <c r="K255" s="83"/>
      <c r="L255" s="83"/>
      <c r="M255" s="83"/>
      <c r="N255" s="83"/>
      <c r="O255" s="83"/>
      <c r="P255" s="83"/>
      <c r="Q255" s="84"/>
      <c r="R255" s="83"/>
      <c r="S255" s="83"/>
      <c r="T255" s="85"/>
      <c r="U255" s="6"/>
      <c r="V255" s="44">
        <v>44286</v>
      </c>
      <c r="W255" s="45">
        <v>127.29</v>
      </c>
      <c r="X255" s="46"/>
      <c r="Y255" s="61"/>
      <c r="Z255" s="5"/>
      <c r="AA255" s="5"/>
      <c r="AB255" s="5"/>
      <c r="AC255" s="5"/>
      <c r="AD255" s="5"/>
      <c r="AE255" s="5"/>
      <c r="AF255" s="5"/>
      <c r="AG255" s="5"/>
      <c r="AH255" s="6"/>
      <c r="AI255" s="44">
        <v>44286</v>
      </c>
      <c r="AJ255" s="53">
        <v>127.29</v>
      </c>
      <c r="AK255" s="54">
        <f t="shared" si="33"/>
        <v>-1.0801989431147074E-2</v>
      </c>
      <c r="AL255" s="55">
        <f t="shared" si="36"/>
        <v>26.210509120949432</v>
      </c>
      <c r="AM255" s="56">
        <v>25</v>
      </c>
      <c r="AN255" s="57">
        <f t="shared" si="34"/>
        <v>-1.2105091209494319</v>
      </c>
      <c r="AO255" s="76">
        <f t="shared" si="37"/>
        <v>4.0096584901319172</v>
      </c>
      <c r="AP255" s="63" t="str">
        <f t="shared" si="38"/>
        <v>Buy Stocks</v>
      </c>
      <c r="AQ255" s="63" t="str">
        <f t="shared" si="39"/>
        <v/>
      </c>
      <c r="AR255" s="63" t="str">
        <f t="shared" si="40"/>
        <v/>
      </c>
      <c r="AS255" s="63" t="str">
        <f t="shared" si="41"/>
        <v/>
      </c>
      <c r="AT255" s="78" t="str">
        <f t="shared" si="42"/>
        <v/>
      </c>
      <c r="AU255" s="78" t="str">
        <f t="shared" si="43"/>
        <v/>
      </c>
      <c r="AV255" s="64" t="str">
        <f ca="1">IFERROR(__xludf.DUMMYFUNCTION("IF(TRIM(AU255)="""","""",AU255/INDEX(FILTER(AT$3:AT255,TRIM(AT$3:AT255)&lt;&gt;""""),ROWS(FILTER(AT$3:AT255,TRIM(AT$3:AT255)&lt;&gt;"""")))-1)"),"")</f>
        <v/>
      </c>
      <c r="AW255" s="65" t="e">
        <f t="shared" ca="1" si="35"/>
        <v>#VALUE!</v>
      </c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</row>
    <row r="256" spans="1:68" ht="19" x14ac:dyDescent="0.25">
      <c r="A256" s="5"/>
      <c r="B256" s="5"/>
      <c r="C256" s="5"/>
      <c r="D256" s="5"/>
      <c r="E256" s="5"/>
      <c r="F256" s="5"/>
      <c r="G256" s="5"/>
      <c r="H256" s="6"/>
      <c r="I256" s="5"/>
      <c r="J256" s="83"/>
      <c r="K256" s="83"/>
      <c r="L256" s="83"/>
      <c r="M256" s="83"/>
      <c r="N256" s="83"/>
      <c r="O256" s="83"/>
      <c r="P256" s="83"/>
      <c r="Q256" s="84"/>
      <c r="R256" s="83"/>
      <c r="S256" s="83"/>
      <c r="T256" s="85"/>
      <c r="U256" s="6"/>
      <c r="V256" s="44">
        <v>44287</v>
      </c>
      <c r="W256" s="45">
        <v>127.26</v>
      </c>
      <c r="X256" s="46"/>
      <c r="Y256" s="61"/>
      <c r="Z256" s="5"/>
      <c r="AA256" s="5"/>
      <c r="AB256" s="5"/>
      <c r="AC256" s="5"/>
      <c r="AD256" s="5"/>
      <c r="AE256" s="5"/>
      <c r="AF256" s="5"/>
      <c r="AG256" s="5"/>
      <c r="AH256" s="6"/>
      <c r="AI256" s="44">
        <v>44287</v>
      </c>
      <c r="AJ256" s="53">
        <v>127.26</v>
      </c>
      <c r="AK256" s="54">
        <f t="shared" si="33"/>
        <v>-2.3568230025927672E-4</v>
      </c>
      <c r="AL256" s="55">
        <f t="shared" si="36"/>
        <v>22.77756134932298</v>
      </c>
      <c r="AM256" s="56">
        <v>25</v>
      </c>
      <c r="AN256" s="57">
        <f t="shared" si="34"/>
        <v>2.2224386506770202</v>
      </c>
      <c r="AO256" s="76">
        <f t="shared" si="37"/>
        <v>2.972504486176919</v>
      </c>
      <c r="AP256" s="63" t="str">
        <f t="shared" si="38"/>
        <v>Buy Stocks</v>
      </c>
      <c r="AQ256" s="63" t="str">
        <f t="shared" si="39"/>
        <v/>
      </c>
      <c r="AR256" s="63" t="str">
        <f t="shared" si="40"/>
        <v/>
      </c>
      <c r="AS256" s="63" t="str">
        <f t="shared" si="41"/>
        <v/>
      </c>
      <c r="AT256" s="78" t="str">
        <f t="shared" si="42"/>
        <v/>
      </c>
      <c r="AU256" s="78" t="str">
        <f t="shared" si="43"/>
        <v/>
      </c>
      <c r="AV256" s="64" t="str">
        <f ca="1">IFERROR(__xludf.DUMMYFUNCTION("IF(TRIM(AU256)="""","""",AU256/INDEX(FILTER(AT$3:AT256,TRIM(AT$3:AT256)&lt;&gt;""""),ROWS(FILTER(AT$3:AT256,TRIM(AT$3:AT256)&lt;&gt;"""")))-1)"),"")</f>
        <v/>
      </c>
      <c r="AW256" s="65" t="e">
        <f t="shared" ca="1" si="35"/>
        <v>#VALUE!</v>
      </c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</row>
    <row r="257" spans="1:68" ht="19" x14ac:dyDescent="0.25">
      <c r="A257" s="5"/>
      <c r="B257" s="5"/>
      <c r="C257" s="5"/>
      <c r="D257" s="5"/>
      <c r="E257" s="5"/>
      <c r="F257" s="5"/>
      <c r="G257" s="5"/>
      <c r="H257" s="6"/>
      <c r="I257" s="5"/>
      <c r="J257" s="83"/>
      <c r="K257" s="83"/>
      <c r="L257" s="83"/>
      <c r="M257" s="83"/>
      <c r="N257" s="83"/>
      <c r="O257" s="83"/>
      <c r="P257" s="83"/>
      <c r="Q257" s="84"/>
      <c r="R257" s="83"/>
      <c r="S257" s="83"/>
      <c r="T257" s="85"/>
      <c r="U257" s="6"/>
      <c r="V257" s="44">
        <v>44291</v>
      </c>
      <c r="W257" s="45">
        <v>129.84</v>
      </c>
      <c r="X257" s="46"/>
      <c r="Y257" s="61"/>
      <c r="Z257" s="5"/>
      <c r="AA257" s="5"/>
      <c r="AB257" s="5"/>
      <c r="AC257" s="5"/>
      <c r="AD257" s="5"/>
      <c r="AE257" s="5"/>
      <c r="AF257" s="5"/>
      <c r="AG257" s="5"/>
      <c r="AH257" s="6"/>
      <c r="AI257" s="44">
        <v>44291</v>
      </c>
      <c r="AJ257" s="53">
        <v>129.84</v>
      </c>
      <c r="AK257" s="54">
        <f t="shared" si="33"/>
        <v>2.0273455917020344E-2</v>
      </c>
      <c r="AL257" s="55">
        <f t="shared" si="36"/>
        <v>19.623359549018755</v>
      </c>
      <c r="AM257" s="56">
        <v>25</v>
      </c>
      <c r="AN257" s="57">
        <f t="shared" si="34"/>
        <v>5.3766404509812453</v>
      </c>
      <c r="AO257" s="76">
        <f t="shared" si="37"/>
        <v>2.5633197603025399</v>
      </c>
      <c r="AP257" s="63" t="str">
        <f t="shared" si="38"/>
        <v>Buy Stocks</v>
      </c>
      <c r="AQ257" s="63" t="str">
        <f t="shared" si="39"/>
        <v/>
      </c>
      <c r="AR257" s="63" t="str">
        <f t="shared" si="40"/>
        <v/>
      </c>
      <c r="AS257" s="63" t="str">
        <f t="shared" si="41"/>
        <v/>
      </c>
      <c r="AT257" s="78" t="str">
        <f t="shared" si="42"/>
        <v/>
      </c>
      <c r="AU257" s="78" t="str">
        <f t="shared" si="43"/>
        <v/>
      </c>
      <c r="AV257" s="64" t="str">
        <f ca="1">IFERROR(__xludf.DUMMYFUNCTION("IF(TRIM(AU257)="""","""",AU257/INDEX(FILTER(AT$3:AT257,TRIM(AT$3:AT257)&lt;&gt;""""),ROWS(FILTER(AT$3:AT257,TRIM(AT$3:AT257)&lt;&gt;"""")))-1)"),"")</f>
        <v/>
      </c>
      <c r="AW257" s="65" t="e">
        <f t="shared" ca="1" si="35"/>
        <v>#VALUE!</v>
      </c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</row>
    <row r="258" spans="1:68" ht="19" x14ac:dyDescent="0.25">
      <c r="A258" s="5"/>
      <c r="B258" s="5"/>
      <c r="C258" s="5"/>
      <c r="D258" s="5"/>
      <c r="E258" s="5"/>
      <c r="F258" s="5"/>
      <c r="G258" s="5"/>
      <c r="H258" s="6"/>
      <c r="I258" s="5"/>
      <c r="J258" s="83"/>
      <c r="K258" s="83"/>
      <c r="L258" s="83"/>
      <c r="M258" s="83"/>
      <c r="N258" s="83"/>
      <c r="O258" s="83"/>
      <c r="P258" s="83"/>
      <c r="Q258" s="84"/>
      <c r="R258" s="83"/>
      <c r="S258" s="83"/>
      <c r="T258" s="85"/>
      <c r="U258" s="6"/>
      <c r="V258" s="44">
        <v>44292</v>
      </c>
      <c r="W258" s="45">
        <v>128.19999999999999</v>
      </c>
      <c r="X258" s="46"/>
      <c r="Y258" s="61"/>
      <c r="Z258" s="5"/>
      <c r="AA258" s="5"/>
      <c r="AB258" s="5"/>
      <c r="AC258" s="5"/>
      <c r="AD258" s="5"/>
      <c r="AE258" s="5"/>
      <c r="AF258" s="5"/>
      <c r="AG258" s="5"/>
      <c r="AH258" s="6"/>
      <c r="AI258" s="44">
        <v>44292</v>
      </c>
      <c r="AJ258" s="53">
        <v>128.19999999999999</v>
      </c>
      <c r="AK258" s="54">
        <f t="shared" si="33"/>
        <v>-1.2630930375847282E-2</v>
      </c>
      <c r="AL258" s="55">
        <f t="shared" si="36"/>
        <v>21.445580509259891</v>
      </c>
      <c r="AM258" s="56">
        <v>25</v>
      </c>
      <c r="AN258" s="57">
        <f t="shared" si="34"/>
        <v>3.5544194907401092</v>
      </c>
      <c r="AO258" s="76">
        <f t="shared" si="37"/>
        <v>2.3680599416339652</v>
      </c>
      <c r="AP258" s="63" t="str">
        <f t="shared" si="38"/>
        <v>Buy Stocks</v>
      </c>
      <c r="AQ258" s="63" t="str">
        <f t="shared" si="39"/>
        <v/>
      </c>
      <c r="AR258" s="63" t="str">
        <f t="shared" si="40"/>
        <v/>
      </c>
      <c r="AS258" s="63" t="str">
        <f t="shared" si="41"/>
        <v/>
      </c>
      <c r="AT258" s="78" t="str">
        <f t="shared" si="42"/>
        <v/>
      </c>
      <c r="AU258" s="78" t="str">
        <f t="shared" si="43"/>
        <v/>
      </c>
      <c r="AV258" s="64" t="str">
        <f ca="1">IFERROR(__xludf.DUMMYFUNCTION("IF(TRIM(AU258)="""","""",AU258/INDEX(FILTER(AT$3:AT258,TRIM(AT$3:AT258)&lt;&gt;""""),ROWS(FILTER(AT$3:AT258,TRIM(AT$3:AT258)&lt;&gt;"""")))-1)"),"")</f>
        <v/>
      </c>
      <c r="AW258" s="65" t="e">
        <f t="shared" ca="1" si="35"/>
        <v>#VALUE!</v>
      </c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</row>
    <row r="259" spans="1:68" ht="19" x14ac:dyDescent="0.25">
      <c r="A259" s="5"/>
      <c r="B259" s="5"/>
      <c r="C259" s="5"/>
      <c r="D259" s="5"/>
      <c r="E259" s="5"/>
      <c r="F259" s="5"/>
      <c r="G259" s="5"/>
      <c r="H259" s="6"/>
      <c r="I259" s="5"/>
      <c r="J259" s="83"/>
      <c r="K259" s="83"/>
      <c r="L259" s="83"/>
      <c r="M259" s="83"/>
      <c r="N259" s="83"/>
      <c r="O259" s="83"/>
      <c r="P259" s="83"/>
      <c r="Q259" s="84"/>
      <c r="R259" s="83"/>
      <c r="S259" s="83"/>
      <c r="T259" s="85"/>
      <c r="U259" s="6"/>
      <c r="V259" s="44">
        <v>44293</v>
      </c>
      <c r="W259" s="45">
        <v>128.88</v>
      </c>
      <c r="X259" s="46"/>
      <c r="Y259" s="61"/>
      <c r="Z259" s="5"/>
      <c r="AA259" s="5"/>
      <c r="AB259" s="5"/>
      <c r="AC259" s="5"/>
      <c r="AD259" s="5"/>
      <c r="AE259" s="5"/>
      <c r="AF259" s="5"/>
      <c r="AG259" s="5"/>
      <c r="AH259" s="6"/>
      <c r="AI259" s="44">
        <v>44293</v>
      </c>
      <c r="AJ259" s="53">
        <v>128.88</v>
      </c>
      <c r="AK259" s="54">
        <f t="shared" ref="AK259:AK322" si="44">AJ259/AJ258-1</f>
        <v>5.3042121684867549E-3</v>
      </c>
      <c r="AL259" s="55">
        <f t="shared" si="36"/>
        <v>21.219320213754138</v>
      </c>
      <c r="AM259" s="56">
        <v>25</v>
      </c>
      <c r="AN259" s="57">
        <f t="shared" ref="AN259:AN322" si="45">AM259-AL259</f>
        <v>3.7806797862458623</v>
      </c>
      <c r="AO259" s="76">
        <f t="shared" si="37"/>
        <v>2.7447338515389612</v>
      </c>
      <c r="AP259" s="63" t="str">
        <f t="shared" si="38"/>
        <v>Buy Stocks</v>
      </c>
      <c r="AQ259" s="63" t="str">
        <f t="shared" si="39"/>
        <v/>
      </c>
      <c r="AR259" s="63" t="str">
        <f t="shared" si="40"/>
        <v/>
      </c>
      <c r="AS259" s="63" t="str">
        <f t="shared" si="41"/>
        <v/>
      </c>
      <c r="AT259" s="78" t="str">
        <f t="shared" si="42"/>
        <v/>
      </c>
      <c r="AU259" s="78" t="str">
        <f t="shared" si="43"/>
        <v/>
      </c>
      <c r="AV259" s="64" t="str">
        <f ca="1">IFERROR(__xludf.DUMMYFUNCTION("IF(TRIM(AU259)="""","""",AU259/INDEX(FILTER(AT$3:AT259,TRIM(AT$3:AT259)&lt;&gt;""""),ROWS(FILTER(AT$3:AT259,TRIM(AT$3:AT259)&lt;&gt;"""")))-1)"),"")</f>
        <v/>
      </c>
      <c r="AW259" s="65" t="e">
        <f t="shared" ref="AW259:AW322" ca="1" si="46">AW258*(1+AV259)</f>
        <v>#VALUE!</v>
      </c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</row>
    <row r="260" spans="1:68" ht="19" x14ac:dyDescent="0.25">
      <c r="A260" s="5"/>
      <c r="B260" s="5"/>
      <c r="C260" s="5"/>
      <c r="D260" s="5"/>
      <c r="E260" s="5"/>
      <c r="F260" s="5"/>
      <c r="G260" s="5"/>
      <c r="H260" s="6"/>
      <c r="I260" s="5"/>
      <c r="J260" s="83"/>
      <c r="K260" s="83"/>
      <c r="L260" s="83"/>
      <c r="M260" s="83"/>
      <c r="N260" s="83"/>
      <c r="O260" s="83"/>
      <c r="P260" s="83"/>
      <c r="Q260" s="84"/>
      <c r="R260" s="83"/>
      <c r="S260" s="83"/>
      <c r="T260" s="85"/>
      <c r="U260" s="6"/>
      <c r="V260" s="44">
        <v>44294</v>
      </c>
      <c r="W260" s="45">
        <v>129.06</v>
      </c>
      <c r="X260" s="46"/>
      <c r="Y260" s="61"/>
      <c r="Z260" s="5"/>
      <c r="AA260" s="5"/>
      <c r="AB260" s="5"/>
      <c r="AC260" s="5"/>
      <c r="AD260" s="5"/>
      <c r="AE260" s="5"/>
      <c r="AF260" s="5"/>
      <c r="AG260" s="5"/>
      <c r="AH260" s="6"/>
      <c r="AI260" s="44">
        <v>44294</v>
      </c>
      <c r="AJ260" s="53">
        <v>129.06</v>
      </c>
      <c r="AK260" s="54">
        <f t="shared" si="44"/>
        <v>1.3966480446927498E-3</v>
      </c>
      <c r="AL260" s="55">
        <f t="shared" si="36"/>
        <v>18.797870667893861</v>
      </c>
      <c r="AM260" s="56">
        <v>25</v>
      </c>
      <c r="AN260" s="57">
        <f t="shared" si="45"/>
        <v>6.2021293321061393</v>
      </c>
      <c r="AO260" s="76">
        <f t="shared" si="37"/>
        <v>4.2272615421500754</v>
      </c>
      <c r="AP260" s="63" t="str">
        <f t="shared" si="38"/>
        <v>Buy Stocks</v>
      </c>
      <c r="AQ260" s="63" t="str">
        <f t="shared" si="39"/>
        <v/>
      </c>
      <c r="AR260" s="63" t="str">
        <f t="shared" si="40"/>
        <v/>
      </c>
      <c r="AS260" s="63" t="str">
        <f t="shared" si="41"/>
        <v/>
      </c>
      <c r="AT260" s="78" t="str">
        <f t="shared" si="42"/>
        <v/>
      </c>
      <c r="AU260" s="78" t="str">
        <f t="shared" si="43"/>
        <v/>
      </c>
      <c r="AV260" s="64" t="str">
        <f ca="1">IFERROR(__xludf.DUMMYFUNCTION("IF(TRIM(AU260)="""","""",AU260/INDEX(FILTER(AT$3:AT260,TRIM(AT$3:AT260)&lt;&gt;""""),ROWS(FILTER(AT$3:AT260,TRIM(AT$3:AT260)&lt;&gt;"""")))-1)"),"")</f>
        <v/>
      </c>
      <c r="AW260" s="65" t="e">
        <f t="shared" ca="1" si="46"/>
        <v>#VALUE!</v>
      </c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</row>
    <row r="261" spans="1:68" ht="19" x14ac:dyDescent="0.25">
      <c r="A261" s="5"/>
      <c r="B261" s="5"/>
      <c r="C261" s="5"/>
      <c r="D261" s="5"/>
      <c r="E261" s="5"/>
      <c r="F261" s="5"/>
      <c r="G261" s="5"/>
      <c r="H261" s="6"/>
      <c r="I261" s="5"/>
      <c r="J261" s="83"/>
      <c r="K261" s="83"/>
      <c r="L261" s="83"/>
      <c r="M261" s="83"/>
      <c r="N261" s="83"/>
      <c r="O261" s="83"/>
      <c r="P261" s="83"/>
      <c r="Q261" s="84"/>
      <c r="R261" s="83"/>
      <c r="S261" s="83"/>
      <c r="T261" s="85"/>
      <c r="U261" s="6"/>
      <c r="V261" s="44">
        <v>44295</v>
      </c>
      <c r="W261" s="45">
        <v>129.63999999999999</v>
      </c>
      <c r="X261" s="46"/>
      <c r="Y261" s="61"/>
      <c r="Z261" s="5"/>
      <c r="AA261" s="5"/>
      <c r="AB261" s="5"/>
      <c r="AC261" s="5"/>
      <c r="AD261" s="5"/>
      <c r="AE261" s="5"/>
      <c r="AF261" s="5"/>
      <c r="AG261" s="5"/>
      <c r="AH261" s="6"/>
      <c r="AI261" s="44">
        <v>44295</v>
      </c>
      <c r="AJ261" s="53">
        <v>129.63999999999999</v>
      </c>
      <c r="AK261" s="54">
        <f t="shared" si="44"/>
        <v>4.4940337827366061E-3</v>
      </c>
      <c r="AL261" s="55">
        <f t="shared" si="36"/>
        <v>18.612232152844609</v>
      </c>
      <c r="AM261" s="56">
        <v>25</v>
      </c>
      <c r="AN261" s="57">
        <f t="shared" si="45"/>
        <v>6.3877678471553914</v>
      </c>
      <c r="AO261" s="76">
        <f t="shared" si="37"/>
        <v>5.0603273814457497</v>
      </c>
      <c r="AP261" s="63" t="str">
        <f t="shared" si="38"/>
        <v>Buy Stocks</v>
      </c>
      <c r="AQ261" s="63" t="str">
        <f t="shared" si="39"/>
        <v/>
      </c>
      <c r="AR261" s="63" t="str">
        <f t="shared" si="40"/>
        <v/>
      </c>
      <c r="AS261" s="63" t="str">
        <f t="shared" si="41"/>
        <v/>
      </c>
      <c r="AT261" s="78" t="str">
        <f t="shared" si="42"/>
        <v/>
      </c>
      <c r="AU261" s="78" t="str">
        <f t="shared" si="43"/>
        <v/>
      </c>
      <c r="AV261" s="64" t="str">
        <f ca="1">IFERROR(__xludf.DUMMYFUNCTION("IF(TRIM(AU261)="""","""",AU261/INDEX(FILTER(AT$3:AT261,TRIM(AT$3:AT261)&lt;&gt;""""),ROWS(FILTER(AT$3:AT261,TRIM(AT$3:AT261)&lt;&gt;"""")))-1)"),"")</f>
        <v/>
      </c>
      <c r="AW261" s="65" t="e">
        <f t="shared" ca="1" si="46"/>
        <v>#VALUE!</v>
      </c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</row>
    <row r="262" spans="1:68" ht="19" x14ac:dyDescent="0.25">
      <c r="A262" s="5"/>
      <c r="B262" s="5"/>
      <c r="C262" s="5"/>
      <c r="D262" s="5"/>
      <c r="E262" s="5"/>
      <c r="F262" s="5"/>
      <c r="G262" s="5"/>
      <c r="H262" s="6"/>
      <c r="I262" s="5"/>
      <c r="J262" s="83"/>
      <c r="K262" s="83"/>
      <c r="L262" s="83"/>
      <c r="M262" s="83"/>
      <c r="N262" s="83"/>
      <c r="O262" s="83"/>
      <c r="P262" s="83"/>
      <c r="Q262" s="84"/>
      <c r="R262" s="83"/>
      <c r="S262" s="83"/>
      <c r="T262" s="85"/>
      <c r="U262" s="6"/>
      <c r="V262" s="44">
        <v>44298</v>
      </c>
      <c r="W262" s="45">
        <v>128.56</v>
      </c>
      <c r="X262" s="46"/>
      <c r="Y262" s="61"/>
      <c r="Z262" s="5"/>
      <c r="AA262" s="5"/>
      <c r="AB262" s="5"/>
      <c r="AC262" s="5"/>
      <c r="AD262" s="5"/>
      <c r="AE262" s="5"/>
      <c r="AF262" s="5"/>
      <c r="AG262" s="5"/>
      <c r="AH262" s="6"/>
      <c r="AI262" s="44">
        <v>44298</v>
      </c>
      <c r="AJ262" s="53">
        <v>128.56</v>
      </c>
      <c r="AK262" s="54">
        <f t="shared" si="44"/>
        <v>-8.3307621104595775E-3</v>
      </c>
      <c r="AL262" s="55">
        <f t="shared" si="36"/>
        <v>12.802019507881186</v>
      </c>
      <c r="AM262" s="56">
        <v>25</v>
      </c>
      <c r="AN262" s="57">
        <f t="shared" si="45"/>
        <v>12.197980492118814</v>
      </c>
      <c r="AO262" s="76">
        <f t="shared" si="37"/>
        <v>6.4245953896732626</v>
      </c>
      <c r="AP262" s="63" t="str">
        <f t="shared" si="38"/>
        <v>Buy Stocks</v>
      </c>
      <c r="AQ262" s="63" t="str">
        <f t="shared" si="39"/>
        <v/>
      </c>
      <c r="AR262" s="63" t="str">
        <f t="shared" si="40"/>
        <v/>
      </c>
      <c r="AS262" s="63" t="str">
        <f t="shared" si="41"/>
        <v/>
      </c>
      <c r="AT262" s="78" t="str">
        <f t="shared" si="42"/>
        <v/>
      </c>
      <c r="AU262" s="78" t="str">
        <f t="shared" si="43"/>
        <v/>
      </c>
      <c r="AV262" s="64" t="str">
        <f ca="1">IFERROR(__xludf.DUMMYFUNCTION("IF(TRIM(AU262)="""","""",AU262/INDEX(FILTER(AT$3:AT262,TRIM(AT$3:AT262)&lt;&gt;""""),ROWS(FILTER(AT$3:AT262,TRIM(AT$3:AT262)&lt;&gt;"""")))-1)"),"")</f>
        <v/>
      </c>
      <c r="AW262" s="65" t="e">
        <f t="shared" ca="1" si="46"/>
        <v>#VALUE!</v>
      </c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</row>
    <row r="263" spans="1:68" ht="19" x14ac:dyDescent="0.25">
      <c r="A263" s="5"/>
      <c r="B263" s="5"/>
      <c r="C263" s="5"/>
      <c r="D263" s="5"/>
      <c r="E263" s="5"/>
      <c r="F263" s="5"/>
      <c r="G263" s="5"/>
      <c r="H263" s="6"/>
      <c r="I263" s="5"/>
      <c r="J263" s="83"/>
      <c r="K263" s="83"/>
      <c r="L263" s="83"/>
      <c r="M263" s="83"/>
      <c r="N263" s="83"/>
      <c r="O263" s="83"/>
      <c r="P263" s="83"/>
      <c r="Q263" s="84"/>
      <c r="R263" s="83"/>
      <c r="S263" s="83"/>
      <c r="T263" s="85"/>
      <c r="U263" s="6"/>
      <c r="V263" s="44">
        <v>44299</v>
      </c>
      <c r="W263" s="45">
        <v>125.3</v>
      </c>
      <c r="X263" s="46"/>
      <c r="Y263" s="61"/>
      <c r="Z263" s="5"/>
      <c r="AA263" s="5"/>
      <c r="AB263" s="5"/>
      <c r="AC263" s="5"/>
      <c r="AD263" s="5"/>
      <c r="AE263" s="5"/>
      <c r="AF263" s="5"/>
      <c r="AG263" s="5"/>
      <c r="AH263" s="6"/>
      <c r="AI263" s="44">
        <v>44299</v>
      </c>
      <c r="AJ263" s="53">
        <v>125.3</v>
      </c>
      <c r="AK263" s="54">
        <f t="shared" si="44"/>
        <v>-2.5357809583074098E-2</v>
      </c>
      <c r="AL263" s="55">
        <f t="shared" ref="AL263:AL326" si="47">_xlfn.STDEV.S(AK259:AK263)*SQRT(252)*100</f>
        <v>20.414466348668835</v>
      </c>
      <c r="AM263" s="56">
        <v>25</v>
      </c>
      <c r="AN263" s="57">
        <f t="shared" si="45"/>
        <v>4.5855336513311649</v>
      </c>
      <c r="AO263" s="76">
        <f t="shared" ref="AO263:AO326" si="48">AVERAGE(AN259:AN263)</f>
        <v>6.6308182217914746</v>
      </c>
      <c r="AP263" s="63" t="str">
        <f t="shared" ref="AP263:AP326" si="49">IF(AO263&gt;0,"Buy Stocks","")</f>
        <v>Buy Stocks</v>
      </c>
      <c r="AQ263" s="63" t="str">
        <f t="shared" ref="AQ263:AQ326" si="50">IF(AO263&lt;0,"Sell Stocks","")</f>
        <v/>
      </c>
      <c r="AR263" s="63" t="str">
        <f t="shared" ref="AR263:AR326" si="51">IF(AND(AP263="Buy Stocks",AP262=""),"Buy Stocks","")</f>
        <v/>
      </c>
      <c r="AS263" s="63" t="str">
        <f t="shared" ref="AS263:AS326" si="52">IF(AND(AQ263="Sell Stocks",AQ262=""),"Sell Stocks","")</f>
        <v/>
      </c>
      <c r="AT263" s="78" t="str">
        <f t="shared" ref="AT263:AT326" si="53">IF(AR263="Buy Stocks",AJ263,"")</f>
        <v/>
      </c>
      <c r="AU263" s="78" t="str">
        <f t="shared" ref="AU263:AU326" si="54">IF(AS263="Sell Stocks",AJ263,"")</f>
        <v/>
      </c>
      <c r="AV263" s="64" t="str">
        <f ca="1">IFERROR(__xludf.DUMMYFUNCTION("IF(TRIM(AU263)="""","""",AU263/INDEX(FILTER(AT$3:AT263,TRIM(AT$3:AT263)&lt;&gt;""""),ROWS(FILTER(AT$3:AT263,TRIM(AT$3:AT263)&lt;&gt;"""")))-1)"),"")</f>
        <v/>
      </c>
      <c r="AW263" s="65" t="e">
        <f t="shared" ca="1" si="46"/>
        <v>#VALUE!</v>
      </c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</row>
    <row r="264" spans="1:68" ht="19" x14ac:dyDescent="0.25">
      <c r="A264" s="5"/>
      <c r="B264" s="5"/>
      <c r="C264" s="5"/>
      <c r="D264" s="5"/>
      <c r="E264" s="5"/>
      <c r="F264" s="5"/>
      <c r="G264" s="5"/>
      <c r="H264" s="6"/>
      <c r="I264" s="5"/>
      <c r="J264" s="83"/>
      <c r="K264" s="83"/>
      <c r="L264" s="83"/>
      <c r="M264" s="83"/>
      <c r="N264" s="83"/>
      <c r="O264" s="83"/>
      <c r="P264" s="83"/>
      <c r="Q264" s="84"/>
      <c r="R264" s="83"/>
      <c r="S264" s="83"/>
      <c r="T264" s="85"/>
      <c r="U264" s="6"/>
      <c r="V264" s="44">
        <v>44300</v>
      </c>
      <c r="W264" s="45">
        <v>126.68</v>
      </c>
      <c r="X264" s="46"/>
      <c r="Y264" s="61"/>
      <c r="Z264" s="5"/>
      <c r="AA264" s="5"/>
      <c r="AB264" s="5"/>
      <c r="AC264" s="5"/>
      <c r="AD264" s="5"/>
      <c r="AE264" s="5"/>
      <c r="AF264" s="5"/>
      <c r="AG264" s="5"/>
      <c r="AH264" s="6"/>
      <c r="AI264" s="44">
        <v>44300</v>
      </c>
      <c r="AJ264" s="53">
        <v>126.68</v>
      </c>
      <c r="AK264" s="54">
        <f t="shared" si="44"/>
        <v>1.101356743814863E-2</v>
      </c>
      <c r="AL264" s="55">
        <f t="shared" si="47"/>
        <v>22.443251014595809</v>
      </c>
      <c r="AM264" s="56">
        <v>25</v>
      </c>
      <c r="AN264" s="57">
        <f t="shared" si="45"/>
        <v>2.5567489854041909</v>
      </c>
      <c r="AO264" s="76">
        <f t="shared" si="48"/>
        <v>6.3860320616231396</v>
      </c>
      <c r="AP264" s="63" t="str">
        <f t="shared" si="49"/>
        <v>Buy Stocks</v>
      </c>
      <c r="AQ264" s="63" t="str">
        <f t="shared" si="50"/>
        <v/>
      </c>
      <c r="AR264" s="63" t="str">
        <f t="shared" si="51"/>
        <v/>
      </c>
      <c r="AS264" s="63" t="str">
        <f t="shared" si="52"/>
        <v/>
      </c>
      <c r="AT264" s="78" t="str">
        <f t="shared" si="53"/>
        <v/>
      </c>
      <c r="AU264" s="78" t="str">
        <f t="shared" si="54"/>
        <v/>
      </c>
      <c r="AV264" s="64" t="str">
        <f ca="1">IFERROR(__xludf.DUMMYFUNCTION("IF(TRIM(AU264)="""","""",AU264/INDEX(FILTER(AT$3:AT264,TRIM(AT$3:AT264)&lt;&gt;""""),ROWS(FILTER(AT$3:AT264,TRIM(AT$3:AT264)&lt;&gt;"""")))-1)"),"")</f>
        <v/>
      </c>
      <c r="AW264" s="65" t="e">
        <f t="shared" ca="1" si="46"/>
        <v>#VALUE!</v>
      </c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</row>
    <row r="265" spans="1:68" ht="19" x14ac:dyDescent="0.25">
      <c r="A265" s="5"/>
      <c r="B265" s="5"/>
      <c r="C265" s="5"/>
      <c r="D265" s="5"/>
      <c r="E265" s="5"/>
      <c r="F265" s="5"/>
      <c r="G265" s="5"/>
      <c r="H265" s="6"/>
      <c r="I265" s="5"/>
      <c r="J265" s="83"/>
      <c r="K265" s="83"/>
      <c r="L265" s="83"/>
      <c r="M265" s="83"/>
      <c r="N265" s="83"/>
      <c r="O265" s="83"/>
      <c r="P265" s="83"/>
      <c r="Q265" s="84"/>
      <c r="R265" s="83"/>
      <c r="S265" s="83"/>
      <c r="T265" s="85"/>
      <c r="U265" s="6"/>
      <c r="V265" s="44">
        <v>44301</v>
      </c>
      <c r="W265" s="45">
        <v>126.64</v>
      </c>
      <c r="X265" s="46"/>
      <c r="Y265" s="61"/>
      <c r="Z265" s="5"/>
      <c r="AA265" s="5"/>
      <c r="AB265" s="5"/>
      <c r="AC265" s="5"/>
      <c r="AD265" s="5"/>
      <c r="AE265" s="5"/>
      <c r="AF265" s="5"/>
      <c r="AG265" s="5"/>
      <c r="AH265" s="6"/>
      <c r="AI265" s="44">
        <v>44301</v>
      </c>
      <c r="AJ265" s="53">
        <v>126.64</v>
      </c>
      <c r="AK265" s="54">
        <f t="shared" si="44"/>
        <v>-3.15756236185738E-4</v>
      </c>
      <c r="AL265" s="55">
        <f t="shared" si="47"/>
        <v>22.246822048750712</v>
      </c>
      <c r="AM265" s="56">
        <v>25</v>
      </c>
      <c r="AN265" s="57">
        <f t="shared" si="45"/>
        <v>2.7531779512492882</v>
      </c>
      <c r="AO265" s="76">
        <f t="shared" si="48"/>
        <v>5.69624178545177</v>
      </c>
      <c r="AP265" s="63" t="str">
        <f t="shared" si="49"/>
        <v>Buy Stocks</v>
      </c>
      <c r="AQ265" s="63" t="str">
        <f t="shared" si="50"/>
        <v/>
      </c>
      <c r="AR265" s="63" t="str">
        <f t="shared" si="51"/>
        <v/>
      </c>
      <c r="AS265" s="63" t="str">
        <f t="shared" si="52"/>
        <v/>
      </c>
      <c r="AT265" s="78" t="str">
        <f t="shared" si="53"/>
        <v/>
      </c>
      <c r="AU265" s="78" t="str">
        <f t="shared" si="54"/>
        <v/>
      </c>
      <c r="AV265" s="64" t="str">
        <f ca="1">IFERROR(__xludf.DUMMYFUNCTION("IF(TRIM(AU265)="""","""",AU265/INDEX(FILTER(AT$3:AT265,TRIM(AT$3:AT265)&lt;&gt;""""),ROWS(FILTER(AT$3:AT265,TRIM(AT$3:AT265)&lt;&gt;"""")))-1)"),"")</f>
        <v/>
      </c>
      <c r="AW265" s="65" t="e">
        <f t="shared" ca="1" si="46"/>
        <v>#VALUE!</v>
      </c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</row>
    <row r="266" spans="1:68" ht="19" x14ac:dyDescent="0.25">
      <c r="A266" s="5"/>
      <c r="B266" s="5"/>
      <c r="C266" s="5"/>
      <c r="D266" s="5"/>
      <c r="E266" s="5"/>
      <c r="F266" s="5"/>
      <c r="G266" s="5"/>
      <c r="H266" s="6"/>
      <c r="I266" s="5"/>
      <c r="J266" s="83"/>
      <c r="K266" s="83"/>
      <c r="L266" s="83"/>
      <c r="M266" s="83"/>
      <c r="N266" s="83"/>
      <c r="O266" s="83"/>
      <c r="P266" s="83"/>
      <c r="Q266" s="84"/>
      <c r="R266" s="83"/>
      <c r="S266" s="83"/>
      <c r="T266" s="85"/>
      <c r="U266" s="6"/>
      <c r="V266" s="44">
        <v>44302</v>
      </c>
      <c r="W266" s="45">
        <v>127.6</v>
      </c>
      <c r="X266" s="46"/>
      <c r="Y266" s="61"/>
      <c r="Z266" s="5"/>
      <c r="AA266" s="5"/>
      <c r="AB266" s="5"/>
      <c r="AC266" s="5"/>
      <c r="AD266" s="5"/>
      <c r="AE266" s="5"/>
      <c r="AF266" s="5"/>
      <c r="AG266" s="5"/>
      <c r="AH266" s="6"/>
      <c r="AI266" s="44">
        <v>44302</v>
      </c>
      <c r="AJ266" s="53">
        <v>127.6</v>
      </c>
      <c r="AK266" s="54">
        <f t="shared" si="44"/>
        <v>7.580543272267759E-3</v>
      </c>
      <c r="AL266" s="55">
        <f t="shared" si="47"/>
        <v>23.056160462979381</v>
      </c>
      <c r="AM266" s="56">
        <v>25</v>
      </c>
      <c r="AN266" s="57">
        <f t="shared" si="45"/>
        <v>1.9438395370206187</v>
      </c>
      <c r="AO266" s="76">
        <f t="shared" si="48"/>
        <v>4.8074561234248154</v>
      </c>
      <c r="AP266" s="63" t="str">
        <f t="shared" si="49"/>
        <v>Buy Stocks</v>
      </c>
      <c r="AQ266" s="63" t="str">
        <f t="shared" si="50"/>
        <v/>
      </c>
      <c r="AR266" s="63" t="str">
        <f t="shared" si="51"/>
        <v/>
      </c>
      <c r="AS266" s="63" t="str">
        <f t="shared" si="52"/>
        <v/>
      </c>
      <c r="AT266" s="78" t="str">
        <f t="shared" si="53"/>
        <v/>
      </c>
      <c r="AU266" s="78" t="str">
        <f t="shared" si="54"/>
        <v/>
      </c>
      <c r="AV266" s="64" t="str">
        <f ca="1">IFERROR(__xludf.DUMMYFUNCTION("IF(TRIM(AU266)="""","""",AU266/INDEX(FILTER(AT$3:AT266,TRIM(AT$3:AT266)&lt;&gt;""""),ROWS(FILTER(AT$3:AT266,TRIM(AT$3:AT266)&lt;&gt;"""")))-1)"),"")</f>
        <v/>
      </c>
      <c r="AW266" s="65" t="e">
        <f t="shared" ca="1" si="46"/>
        <v>#VALUE!</v>
      </c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</row>
    <row r="267" spans="1:68" ht="19" x14ac:dyDescent="0.25">
      <c r="A267" s="5"/>
      <c r="B267" s="5"/>
      <c r="C267" s="5"/>
      <c r="D267" s="5"/>
      <c r="E267" s="5"/>
      <c r="F267" s="5"/>
      <c r="G267" s="5"/>
      <c r="H267" s="6"/>
      <c r="I267" s="5"/>
      <c r="J267" s="83"/>
      <c r="K267" s="83"/>
      <c r="L267" s="83"/>
      <c r="M267" s="83"/>
      <c r="N267" s="83"/>
      <c r="O267" s="83"/>
      <c r="P267" s="83"/>
      <c r="Q267" s="84"/>
      <c r="R267" s="83"/>
      <c r="S267" s="83"/>
      <c r="T267" s="85"/>
      <c r="U267" s="6"/>
      <c r="V267" s="44">
        <v>44305</v>
      </c>
      <c r="W267" s="45">
        <v>127.15</v>
      </c>
      <c r="X267" s="46"/>
      <c r="Y267" s="61"/>
      <c r="Z267" s="5"/>
      <c r="AA267" s="5"/>
      <c r="AB267" s="5"/>
      <c r="AC267" s="5"/>
      <c r="AD267" s="5"/>
      <c r="AE267" s="5"/>
      <c r="AF267" s="5"/>
      <c r="AG267" s="5"/>
      <c r="AH267" s="6"/>
      <c r="AI267" s="44">
        <v>44305</v>
      </c>
      <c r="AJ267" s="53">
        <v>127.15</v>
      </c>
      <c r="AK267" s="54">
        <f t="shared" si="44"/>
        <v>-3.5266457680249719E-3</v>
      </c>
      <c r="AL267" s="55">
        <f t="shared" si="47"/>
        <v>22.615197255181329</v>
      </c>
      <c r="AM267" s="56">
        <v>25</v>
      </c>
      <c r="AN267" s="57">
        <f t="shared" si="45"/>
        <v>2.3848027448186713</v>
      </c>
      <c r="AO267" s="76">
        <f t="shared" si="48"/>
        <v>2.8448205739647867</v>
      </c>
      <c r="AP267" s="63" t="str">
        <f t="shared" si="49"/>
        <v>Buy Stocks</v>
      </c>
      <c r="AQ267" s="63" t="str">
        <f t="shared" si="50"/>
        <v/>
      </c>
      <c r="AR267" s="63" t="str">
        <f t="shared" si="51"/>
        <v/>
      </c>
      <c r="AS267" s="63" t="str">
        <f t="shared" si="52"/>
        <v/>
      </c>
      <c r="AT267" s="78" t="str">
        <f t="shared" si="53"/>
        <v/>
      </c>
      <c r="AU267" s="78" t="str">
        <f t="shared" si="54"/>
        <v/>
      </c>
      <c r="AV267" s="64" t="str">
        <f ca="1">IFERROR(__xludf.DUMMYFUNCTION("IF(TRIM(AU267)="""","""",AU267/INDEX(FILTER(AT$3:AT267,TRIM(AT$3:AT267)&lt;&gt;""""),ROWS(FILTER(AT$3:AT267,TRIM(AT$3:AT267)&lt;&gt;"""")))-1)"),"")</f>
        <v/>
      </c>
      <c r="AW267" s="65" t="e">
        <f t="shared" ca="1" si="46"/>
        <v>#VALUE!</v>
      </c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</row>
    <row r="268" spans="1:68" ht="19" x14ac:dyDescent="0.25">
      <c r="A268" s="5"/>
      <c r="B268" s="5"/>
      <c r="C268" s="5"/>
      <c r="D268" s="5"/>
      <c r="E268" s="5"/>
      <c r="F268" s="5"/>
      <c r="G268" s="5"/>
      <c r="H268" s="6"/>
      <c r="I268" s="5"/>
      <c r="J268" s="83"/>
      <c r="K268" s="83"/>
      <c r="L268" s="83"/>
      <c r="M268" s="83"/>
      <c r="N268" s="83"/>
      <c r="O268" s="83"/>
      <c r="P268" s="83"/>
      <c r="Q268" s="84"/>
      <c r="R268" s="83"/>
      <c r="S268" s="83"/>
      <c r="T268" s="85"/>
      <c r="U268" s="6"/>
      <c r="V268" s="44">
        <v>44306</v>
      </c>
      <c r="W268" s="45">
        <v>131.97</v>
      </c>
      <c r="X268" s="46"/>
      <c r="Y268" s="61"/>
      <c r="Z268" s="5"/>
      <c r="AA268" s="5"/>
      <c r="AB268" s="5"/>
      <c r="AC268" s="5"/>
      <c r="AD268" s="5"/>
      <c r="AE268" s="5"/>
      <c r="AF268" s="5"/>
      <c r="AG268" s="5"/>
      <c r="AH268" s="6"/>
      <c r="AI268" s="44">
        <v>44306</v>
      </c>
      <c r="AJ268" s="53">
        <v>131.97</v>
      </c>
      <c r="AK268" s="54">
        <f t="shared" si="44"/>
        <v>3.7907982697601206E-2</v>
      </c>
      <c r="AL268" s="55">
        <f t="shared" si="47"/>
        <v>26.008369121721429</v>
      </c>
      <c r="AM268" s="56">
        <v>25</v>
      </c>
      <c r="AN268" s="57">
        <f t="shared" si="45"/>
        <v>-1.0083691217214295</v>
      </c>
      <c r="AO268" s="76">
        <f t="shared" si="48"/>
        <v>1.726040019354268</v>
      </c>
      <c r="AP268" s="63" t="str">
        <f t="shared" si="49"/>
        <v>Buy Stocks</v>
      </c>
      <c r="AQ268" s="63" t="str">
        <f t="shared" si="50"/>
        <v/>
      </c>
      <c r="AR268" s="63" t="str">
        <f t="shared" si="51"/>
        <v/>
      </c>
      <c r="AS268" s="63" t="str">
        <f t="shared" si="52"/>
        <v/>
      </c>
      <c r="AT268" s="78" t="str">
        <f t="shared" si="53"/>
        <v/>
      </c>
      <c r="AU268" s="78" t="str">
        <f t="shared" si="54"/>
        <v/>
      </c>
      <c r="AV268" s="64" t="str">
        <f ca="1">IFERROR(__xludf.DUMMYFUNCTION("IF(TRIM(AU268)="""","""",AU268/INDEX(FILTER(AT$3:AT268,TRIM(AT$3:AT268)&lt;&gt;""""),ROWS(FILTER(AT$3:AT268,TRIM(AT$3:AT268)&lt;&gt;"""")))-1)"),"")</f>
        <v/>
      </c>
      <c r="AW268" s="65" t="e">
        <f t="shared" ca="1" si="46"/>
        <v>#VALUE!</v>
      </c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</row>
    <row r="269" spans="1:68" ht="19" x14ac:dyDescent="0.25">
      <c r="A269" s="5"/>
      <c r="B269" s="5"/>
      <c r="C269" s="5"/>
      <c r="D269" s="5"/>
      <c r="E269" s="5"/>
      <c r="F269" s="5"/>
      <c r="G269" s="5"/>
      <c r="H269" s="6"/>
      <c r="I269" s="5"/>
      <c r="J269" s="83"/>
      <c r="K269" s="83"/>
      <c r="L269" s="83"/>
      <c r="M269" s="83"/>
      <c r="N269" s="83"/>
      <c r="O269" s="83"/>
      <c r="P269" s="83"/>
      <c r="Q269" s="84"/>
      <c r="R269" s="83"/>
      <c r="S269" s="83"/>
      <c r="T269" s="85"/>
      <c r="U269" s="6"/>
      <c r="V269" s="44">
        <v>44307</v>
      </c>
      <c r="W269" s="45">
        <v>137.11000000000001</v>
      </c>
      <c r="X269" s="46"/>
      <c r="Y269" s="61"/>
      <c r="Z269" s="5"/>
      <c r="AA269" s="5"/>
      <c r="AB269" s="5"/>
      <c r="AC269" s="5"/>
      <c r="AD269" s="5"/>
      <c r="AE269" s="5"/>
      <c r="AF269" s="5"/>
      <c r="AG269" s="5"/>
      <c r="AH269" s="6"/>
      <c r="AI269" s="44">
        <v>44307</v>
      </c>
      <c r="AJ269" s="53">
        <v>137.11000000000001</v>
      </c>
      <c r="AK269" s="54">
        <f t="shared" si="44"/>
        <v>3.8948245813442472E-2</v>
      </c>
      <c r="AL269" s="55">
        <f t="shared" si="47"/>
        <v>32.964860282227654</v>
      </c>
      <c r="AM269" s="56">
        <v>25</v>
      </c>
      <c r="AN269" s="57">
        <f t="shared" si="45"/>
        <v>-7.9648602822276544</v>
      </c>
      <c r="AO269" s="76">
        <f t="shared" si="48"/>
        <v>-0.37828183417210115</v>
      </c>
      <c r="AP269" s="63" t="str">
        <f t="shared" si="49"/>
        <v/>
      </c>
      <c r="AQ269" s="63" t="str">
        <f t="shared" si="50"/>
        <v>Sell Stocks</v>
      </c>
      <c r="AR269" s="63" t="str">
        <f t="shared" si="51"/>
        <v/>
      </c>
      <c r="AS269" s="63" t="str">
        <f t="shared" si="52"/>
        <v>Sell Stocks</v>
      </c>
      <c r="AT269" s="78" t="str">
        <f t="shared" si="53"/>
        <v/>
      </c>
      <c r="AU269" s="77">
        <f t="shared" si="54"/>
        <v>137.11000000000001</v>
      </c>
      <c r="AV269" s="64">
        <f ca="1">IFERROR(__xludf.DUMMYFUNCTION("IF(TRIM(AU269)="""","""",AU269/INDEX(FILTER(AT$3:AT269,TRIM(AT$3:AT269)&lt;&gt;""""),ROWS(FILTER(AT$3:AT269,TRIM(AT$3:AT269)&lt;&gt;"""")))-1)"),0.112544628367413)</f>
        <v>0.112544628367413</v>
      </c>
      <c r="AW269" s="65" t="e">
        <f t="shared" ca="1" si="46"/>
        <v>#VALUE!</v>
      </c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</row>
    <row r="270" spans="1:68" ht="19" x14ac:dyDescent="0.25">
      <c r="A270" s="5"/>
      <c r="B270" s="5"/>
      <c r="C270" s="5"/>
      <c r="D270" s="5"/>
      <c r="E270" s="5"/>
      <c r="F270" s="5"/>
      <c r="G270" s="5"/>
      <c r="H270" s="6"/>
      <c r="I270" s="5"/>
      <c r="J270" s="83"/>
      <c r="K270" s="83"/>
      <c r="L270" s="83"/>
      <c r="M270" s="83"/>
      <c r="N270" s="83"/>
      <c r="O270" s="83"/>
      <c r="P270" s="83"/>
      <c r="Q270" s="84"/>
      <c r="R270" s="83"/>
      <c r="S270" s="83"/>
      <c r="T270" s="85"/>
      <c r="U270" s="6"/>
      <c r="V270" s="44">
        <v>44308</v>
      </c>
      <c r="W270" s="45">
        <v>134.94999999999999</v>
      </c>
      <c r="X270" s="46"/>
      <c r="Y270" s="61"/>
      <c r="Z270" s="5"/>
      <c r="AA270" s="5"/>
      <c r="AB270" s="5"/>
      <c r="AC270" s="5"/>
      <c r="AD270" s="5"/>
      <c r="AE270" s="5"/>
      <c r="AF270" s="5"/>
      <c r="AG270" s="5"/>
      <c r="AH270" s="6"/>
      <c r="AI270" s="44">
        <v>44308</v>
      </c>
      <c r="AJ270" s="53">
        <v>134.94999999999999</v>
      </c>
      <c r="AK270" s="54">
        <f t="shared" si="44"/>
        <v>-1.5753774341769611E-2</v>
      </c>
      <c r="AL270" s="55">
        <f t="shared" si="47"/>
        <v>39.070274811116349</v>
      </c>
      <c r="AM270" s="56">
        <v>25</v>
      </c>
      <c r="AN270" s="57">
        <f t="shared" si="45"/>
        <v>-14.070274811116349</v>
      </c>
      <c r="AO270" s="76">
        <f t="shared" si="48"/>
        <v>-3.7429723866452287</v>
      </c>
      <c r="AP270" s="63" t="str">
        <f t="shared" si="49"/>
        <v/>
      </c>
      <c r="AQ270" s="63" t="str">
        <f t="shared" si="50"/>
        <v>Sell Stocks</v>
      </c>
      <c r="AR270" s="63" t="str">
        <f t="shared" si="51"/>
        <v/>
      </c>
      <c r="AS270" s="63" t="str">
        <f t="shared" si="52"/>
        <v/>
      </c>
      <c r="AT270" s="78" t="str">
        <f t="shared" si="53"/>
        <v/>
      </c>
      <c r="AU270" s="78" t="str">
        <f t="shared" si="54"/>
        <v/>
      </c>
      <c r="AV270" s="64" t="str">
        <f ca="1">IFERROR(__xludf.DUMMYFUNCTION("IF(TRIM(AU270)="""","""",AU270/INDEX(FILTER(AT$3:AT270,TRIM(AT$3:AT270)&lt;&gt;""""),ROWS(FILTER(AT$3:AT270,TRIM(AT$3:AT270)&lt;&gt;"""")))-1)"),"")</f>
        <v/>
      </c>
      <c r="AW270" s="65" t="e">
        <f t="shared" ca="1" si="46"/>
        <v>#VALUE!</v>
      </c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</row>
    <row r="271" spans="1:68" ht="19" x14ac:dyDescent="0.25">
      <c r="A271" s="5"/>
      <c r="B271" s="5"/>
      <c r="C271" s="5"/>
      <c r="D271" s="5"/>
      <c r="E271" s="5"/>
      <c r="F271" s="5"/>
      <c r="G271" s="5"/>
      <c r="H271" s="6"/>
      <c r="I271" s="5"/>
      <c r="J271" s="83"/>
      <c r="K271" s="83"/>
      <c r="L271" s="83"/>
      <c r="M271" s="83"/>
      <c r="N271" s="83"/>
      <c r="O271" s="83"/>
      <c r="P271" s="83"/>
      <c r="Q271" s="84"/>
      <c r="R271" s="83"/>
      <c r="S271" s="83"/>
      <c r="T271" s="85"/>
      <c r="U271" s="6"/>
      <c r="V271" s="44">
        <v>44309</v>
      </c>
      <c r="W271" s="45">
        <v>136.04</v>
      </c>
      <c r="X271" s="46"/>
      <c r="Y271" s="61"/>
      <c r="Z271" s="5"/>
      <c r="AA271" s="5"/>
      <c r="AB271" s="5"/>
      <c r="AC271" s="5"/>
      <c r="AD271" s="5"/>
      <c r="AE271" s="5"/>
      <c r="AF271" s="5"/>
      <c r="AG271" s="5"/>
      <c r="AH271" s="6"/>
      <c r="AI271" s="44">
        <v>44309</v>
      </c>
      <c r="AJ271" s="53">
        <v>136.04</v>
      </c>
      <c r="AK271" s="54">
        <f t="shared" si="44"/>
        <v>8.0770655798443336E-3</v>
      </c>
      <c r="AL271" s="55">
        <f t="shared" si="47"/>
        <v>39.028202028855588</v>
      </c>
      <c r="AM271" s="56">
        <v>25</v>
      </c>
      <c r="AN271" s="57">
        <f t="shared" si="45"/>
        <v>-14.028202028855588</v>
      </c>
      <c r="AO271" s="76">
        <f t="shared" si="48"/>
        <v>-6.9373806998204701</v>
      </c>
      <c r="AP271" s="63" t="str">
        <f t="shared" si="49"/>
        <v/>
      </c>
      <c r="AQ271" s="63" t="str">
        <f t="shared" si="50"/>
        <v>Sell Stocks</v>
      </c>
      <c r="AR271" s="63" t="str">
        <f t="shared" si="51"/>
        <v/>
      </c>
      <c r="AS271" s="63" t="str">
        <f t="shared" si="52"/>
        <v/>
      </c>
      <c r="AT271" s="78" t="str">
        <f t="shared" si="53"/>
        <v/>
      </c>
      <c r="AU271" s="78" t="str">
        <f t="shared" si="54"/>
        <v/>
      </c>
      <c r="AV271" s="64" t="str">
        <f ca="1">IFERROR(__xludf.DUMMYFUNCTION("IF(TRIM(AU271)="""","""",AU271/INDEX(FILTER(AT$3:AT271,TRIM(AT$3:AT271)&lt;&gt;""""),ROWS(FILTER(AT$3:AT271,TRIM(AT$3:AT271)&lt;&gt;"""")))-1)"),"")</f>
        <v/>
      </c>
      <c r="AW271" s="65" t="e">
        <f t="shared" ca="1" si="46"/>
        <v>#VALUE!</v>
      </c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</row>
    <row r="272" spans="1:68" ht="19" x14ac:dyDescent="0.25">
      <c r="A272" s="5"/>
      <c r="B272" s="5"/>
      <c r="C272" s="5"/>
      <c r="D272" s="5"/>
      <c r="E272" s="5"/>
      <c r="F272" s="5"/>
      <c r="G272" s="5"/>
      <c r="H272" s="6"/>
      <c r="I272" s="5"/>
      <c r="J272" s="83"/>
      <c r="K272" s="83"/>
      <c r="L272" s="83"/>
      <c r="M272" s="83"/>
      <c r="N272" s="83"/>
      <c r="O272" s="83"/>
      <c r="P272" s="83"/>
      <c r="Q272" s="84"/>
      <c r="R272" s="83"/>
      <c r="S272" s="83"/>
      <c r="T272" s="85"/>
      <c r="U272" s="6"/>
      <c r="V272" s="44">
        <v>44312</v>
      </c>
      <c r="W272" s="45">
        <v>135.22</v>
      </c>
      <c r="X272" s="46"/>
      <c r="Y272" s="61"/>
      <c r="Z272" s="5"/>
      <c r="AA272" s="5"/>
      <c r="AB272" s="5"/>
      <c r="AC272" s="5"/>
      <c r="AD272" s="5"/>
      <c r="AE272" s="5"/>
      <c r="AF272" s="5"/>
      <c r="AG272" s="5"/>
      <c r="AH272" s="6"/>
      <c r="AI272" s="44">
        <v>44312</v>
      </c>
      <c r="AJ272" s="53">
        <v>135.22</v>
      </c>
      <c r="AK272" s="54">
        <f t="shared" si="44"/>
        <v>-6.0276389297264643E-3</v>
      </c>
      <c r="AL272" s="55">
        <f t="shared" si="47"/>
        <v>39.734671839870344</v>
      </c>
      <c r="AM272" s="56">
        <v>25</v>
      </c>
      <c r="AN272" s="57">
        <f t="shared" si="45"/>
        <v>-14.734671839870344</v>
      </c>
      <c r="AO272" s="76">
        <f t="shared" si="48"/>
        <v>-10.361275616758274</v>
      </c>
      <c r="AP272" s="63" t="str">
        <f t="shared" si="49"/>
        <v/>
      </c>
      <c r="AQ272" s="63" t="str">
        <f t="shared" si="50"/>
        <v>Sell Stocks</v>
      </c>
      <c r="AR272" s="63" t="str">
        <f t="shared" si="51"/>
        <v/>
      </c>
      <c r="AS272" s="63" t="str">
        <f t="shared" si="52"/>
        <v/>
      </c>
      <c r="AT272" s="78" t="str">
        <f t="shared" si="53"/>
        <v/>
      </c>
      <c r="AU272" s="78" t="str">
        <f t="shared" si="54"/>
        <v/>
      </c>
      <c r="AV272" s="64" t="str">
        <f ca="1">IFERROR(__xludf.DUMMYFUNCTION("IF(TRIM(AU272)="""","""",AU272/INDEX(FILTER(AT$3:AT272,TRIM(AT$3:AT272)&lt;&gt;""""),ROWS(FILTER(AT$3:AT272,TRIM(AT$3:AT272)&lt;&gt;"""")))-1)"),"")</f>
        <v/>
      </c>
      <c r="AW272" s="65" t="e">
        <f t="shared" ca="1" si="46"/>
        <v>#VALUE!</v>
      </c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</row>
    <row r="273" spans="1:68" ht="19" x14ac:dyDescent="0.25">
      <c r="A273" s="5"/>
      <c r="B273" s="5"/>
      <c r="C273" s="5"/>
      <c r="D273" s="5"/>
      <c r="E273" s="5"/>
      <c r="F273" s="5"/>
      <c r="G273" s="5"/>
      <c r="H273" s="6"/>
      <c r="I273" s="5"/>
      <c r="J273" s="83"/>
      <c r="K273" s="83"/>
      <c r="L273" s="83"/>
      <c r="M273" s="83"/>
      <c r="N273" s="83"/>
      <c r="O273" s="83"/>
      <c r="P273" s="83"/>
      <c r="Q273" s="84"/>
      <c r="R273" s="83"/>
      <c r="S273" s="83"/>
      <c r="T273" s="85"/>
      <c r="U273" s="6"/>
      <c r="V273" s="44">
        <v>44313</v>
      </c>
      <c r="W273" s="45">
        <v>135.63999999999999</v>
      </c>
      <c r="X273" s="46"/>
      <c r="Y273" s="61"/>
      <c r="Z273" s="5"/>
      <c r="AA273" s="5"/>
      <c r="AB273" s="5"/>
      <c r="AC273" s="5"/>
      <c r="AD273" s="5"/>
      <c r="AE273" s="5"/>
      <c r="AF273" s="5"/>
      <c r="AG273" s="5"/>
      <c r="AH273" s="6"/>
      <c r="AI273" s="44">
        <v>44313</v>
      </c>
      <c r="AJ273" s="53">
        <v>135.63999999999999</v>
      </c>
      <c r="AK273" s="54">
        <f t="shared" si="44"/>
        <v>3.1060494009760298E-3</v>
      </c>
      <c r="AL273" s="55">
        <f t="shared" si="47"/>
        <v>32.876162468987204</v>
      </c>
      <c r="AM273" s="56">
        <v>25</v>
      </c>
      <c r="AN273" s="57">
        <f t="shared" si="45"/>
        <v>-7.8761624689872036</v>
      </c>
      <c r="AO273" s="76">
        <f t="shared" si="48"/>
        <v>-11.734834286211427</v>
      </c>
      <c r="AP273" s="63" t="str">
        <f t="shared" si="49"/>
        <v/>
      </c>
      <c r="AQ273" s="63" t="str">
        <f t="shared" si="50"/>
        <v>Sell Stocks</v>
      </c>
      <c r="AR273" s="63" t="str">
        <f t="shared" si="51"/>
        <v/>
      </c>
      <c r="AS273" s="63" t="str">
        <f t="shared" si="52"/>
        <v/>
      </c>
      <c r="AT273" s="78" t="str">
        <f t="shared" si="53"/>
        <v/>
      </c>
      <c r="AU273" s="78" t="str">
        <f t="shared" si="54"/>
        <v/>
      </c>
      <c r="AV273" s="64" t="str">
        <f ca="1">IFERROR(__xludf.DUMMYFUNCTION("IF(TRIM(AU273)="""","""",AU273/INDEX(FILTER(AT$3:AT273,TRIM(AT$3:AT273)&lt;&gt;""""),ROWS(FILTER(AT$3:AT273,TRIM(AT$3:AT273)&lt;&gt;"""")))-1)"),"")</f>
        <v/>
      </c>
      <c r="AW273" s="65" t="e">
        <f t="shared" ca="1" si="46"/>
        <v>#VALUE!</v>
      </c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</row>
    <row r="274" spans="1:68" ht="19" x14ac:dyDescent="0.25">
      <c r="A274" s="5"/>
      <c r="B274" s="5"/>
      <c r="C274" s="5"/>
      <c r="D274" s="5"/>
      <c r="E274" s="5"/>
      <c r="F274" s="5"/>
      <c r="G274" s="5"/>
      <c r="H274" s="6"/>
      <c r="I274" s="5"/>
      <c r="J274" s="83"/>
      <c r="K274" s="83"/>
      <c r="L274" s="83"/>
      <c r="M274" s="83"/>
      <c r="N274" s="83"/>
      <c r="O274" s="83"/>
      <c r="P274" s="83"/>
      <c r="Q274" s="84"/>
      <c r="R274" s="83"/>
      <c r="S274" s="83"/>
      <c r="T274" s="85"/>
      <c r="U274" s="6"/>
      <c r="V274" s="44">
        <v>44314</v>
      </c>
      <c r="W274" s="45">
        <v>136.59</v>
      </c>
      <c r="X274" s="46"/>
      <c r="Y274" s="61"/>
      <c r="Z274" s="5"/>
      <c r="AA274" s="5"/>
      <c r="AB274" s="5"/>
      <c r="AC274" s="5"/>
      <c r="AD274" s="5"/>
      <c r="AE274" s="5"/>
      <c r="AF274" s="5"/>
      <c r="AG274" s="5"/>
      <c r="AH274" s="6"/>
      <c r="AI274" s="44">
        <v>44314</v>
      </c>
      <c r="AJ274" s="53">
        <v>136.59</v>
      </c>
      <c r="AK274" s="54">
        <f t="shared" si="44"/>
        <v>7.0038336773814436E-3</v>
      </c>
      <c r="AL274" s="55">
        <f t="shared" si="47"/>
        <v>15.990563223057155</v>
      </c>
      <c r="AM274" s="56">
        <v>25</v>
      </c>
      <c r="AN274" s="57">
        <f t="shared" si="45"/>
        <v>9.0094367769428452</v>
      </c>
      <c r="AO274" s="76">
        <f t="shared" si="48"/>
        <v>-8.3399748743773277</v>
      </c>
      <c r="AP274" s="63" t="str">
        <f t="shared" si="49"/>
        <v/>
      </c>
      <c r="AQ274" s="63" t="str">
        <f t="shared" si="50"/>
        <v>Sell Stocks</v>
      </c>
      <c r="AR274" s="63" t="str">
        <f t="shared" si="51"/>
        <v/>
      </c>
      <c r="AS274" s="63" t="str">
        <f t="shared" si="52"/>
        <v/>
      </c>
      <c r="AT274" s="78" t="str">
        <f t="shared" si="53"/>
        <v/>
      </c>
      <c r="AU274" s="78" t="str">
        <f t="shared" si="54"/>
        <v/>
      </c>
      <c r="AV274" s="64" t="str">
        <f ca="1">IFERROR(__xludf.DUMMYFUNCTION("IF(TRIM(AU274)="""","""",AU274/INDEX(FILTER(AT$3:AT274,TRIM(AT$3:AT274)&lt;&gt;""""),ROWS(FILTER(AT$3:AT274,TRIM(AT$3:AT274)&lt;&gt;"""")))-1)"),"")</f>
        <v/>
      </c>
      <c r="AW274" s="65" t="e">
        <f t="shared" ca="1" si="46"/>
        <v>#VALUE!</v>
      </c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</row>
    <row r="275" spans="1:68" ht="19" x14ac:dyDescent="0.25">
      <c r="A275" s="5"/>
      <c r="B275" s="5"/>
      <c r="C275" s="5"/>
      <c r="D275" s="5"/>
      <c r="E275" s="5"/>
      <c r="F275" s="5"/>
      <c r="G275" s="5"/>
      <c r="H275" s="6"/>
      <c r="I275" s="5"/>
      <c r="J275" s="83"/>
      <c r="K275" s="83"/>
      <c r="L275" s="83"/>
      <c r="M275" s="83"/>
      <c r="N275" s="83"/>
      <c r="O275" s="83"/>
      <c r="P275" s="83"/>
      <c r="Q275" s="84"/>
      <c r="R275" s="83"/>
      <c r="S275" s="83"/>
      <c r="T275" s="85"/>
      <c r="U275" s="6"/>
      <c r="V275" s="44">
        <v>44315</v>
      </c>
      <c r="W275" s="45">
        <v>137.77000000000001</v>
      </c>
      <c r="X275" s="46"/>
      <c r="Y275" s="61"/>
      <c r="Z275" s="5"/>
      <c r="AA275" s="5"/>
      <c r="AB275" s="5"/>
      <c r="AC275" s="5"/>
      <c r="AD275" s="5"/>
      <c r="AE275" s="5"/>
      <c r="AF275" s="5"/>
      <c r="AG275" s="5"/>
      <c r="AH275" s="6"/>
      <c r="AI275" s="44">
        <v>44315</v>
      </c>
      <c r="AJ275" s="53">
        <v>137.77000000000001</v>
      </c>
      <c r="AK275" s="54">
        <f t="shared" si="44"/>
        <v>8.6389926056080757E-3</v>
      </c>
      <c r="AL275" s="55">
        <f t="shared" si="47"/>
        <v>9.6688318024910327</v>
      </c>
      <c r="AM275" s="56">
        <v>25</v>
      </c>
      <c r="AN275" s="57">
        <f t="shared" si="45"/>
        <v>15.331168197508967</v>
      </c>
      <c r="AO275" s="76">
        <f t="shared" si="48"/>
        <v>-2.4596862726522648</v>
      </c>
      <c r="AP275" s="63" t="str">
        <f t="shared" si="49"/>
        <v/>
      </c>
      <c r="AQ275" s="63" t="str">
        <f t="shared" si="50"/>
        <v>Sell Stocks</v>
      </c>
      <c r="AR275" s="63" t="str">
        <f t="shared" si="51"/>
        <v/>
      </c>
      <c r="AS275" s="63" t="str">
        <f t="shared" si="52"/>
        <v/>
      </c>
      <c r="AT275" s="78" t="str">
        <f t="shared" si="53"/>
        <v/>
      </c>
      <c r="AU275" s="78" t="str">
        <f t="shared" si="54"/>
        <v/>
      </c>
      <c r="AV275" s="64" t="str">
        <f ca="1">IFERROR(__xludf.DUMMYFUNCTION("IF(TRIM(AU275)="""","""",AU275/INDEX(FILTER(AT$3:AT275,TRIM(AT$3:AT275)&lt;&gt;""""),ROWS(FILTER(AT$3:AT275,TRIM(AT$3:AT275)&lt;&gt;"""")))-1)"),"")</f>
        <v/>
      </c>
      <c r="AW275" s="65" t="e">
        <f t="shared" ca="1" si="46"/>
        <v>#VALUE!</v>
      </c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</row>
    <row r="276" spans="1:68" ht="19" x14ac:dyDescent="0.25">
      <c r="A276" s="5"/>
      <c r="B276" s="5"/>
      <c r="C276" s="5"/>
      <c r="D276" s="5"/>
      <c r="E276" s="5"/>
      <c r="F276" s="5"/>
      <c r="G276" s="5"/>
      <c r="H276" s="6"/>
      <c r="I276" s="5"/>
      <c r="J276" s="83"/>
      <c r="K276" s="83"/>
      <c r="L276" s="83"/>
      <c r="M276" s="83"/>
      <c r="N276" s="83"/>
      <c r="O276" s="83"/>
      <c r="P276" s="83"/>
      <c r="Q276" s="84"/>
      <c r="R276" s="83"/>
      <c r="S276" s="83"/>
      <c r="T276" s="85"/>
      <c r="U276" s="6"/>
      <c r="V276" s="44">
        <v>44316</v>
      </c>
      <c r="W276" s="45">
        <v>135.52000000000001</v>
      </c>
      <c r="X276" s="46"/>
      <c r="Y276" s="61"/>
      <c r="Z276" s="5"/>
      <c r="AA276" s="5"/>
      <c r="AB276" s="5"/>
      <c r="AC276" s="5"/>
      <c r="AD276" s="5"/>
      <c r="AE276" s="5"/>
      <c r="AF276" s="5"/>
      <c r="AG276" s="5"/>
      <c r="AH276" s="6"/>
      <c r="AI276" s="44">
        <v>44316</v>
      </c>
      <c r="AJ276" s="53">
        <v>135.52000000000001</v>
      </c>
      <c r="AK276" s="54">
        <f t="shared" si="44"/>
        <v>-1.6331567104594602E-2</v>
      </c>
      <c r="AL276" s="55">
        <f t="shared" si="47"/>
        <v>16.53120671518095</v>
      </c>
      <c r="AM276" s="56">
        <v>25</v>
      </c>
      <c r="AN276" s="57">
        <f t="shared" si="45"/>
        <v>8.4687932848190499</v>
      </c>
      <c r="AO276" s="76">
        <f t="shared" si="48"/>
        <v>2.039712790082663</v>
      </c>
      <c r="AP276" s="63" t="str">
        <f t="shared" si="49"/>
        <v>Buy Stocks</v>
      </c>
      <c r="AQ276" s="63" t="str">
        <f t="shared" si="50"/>
        <v/>
      </c>
      <c r="AR276" s="63" t="str">
        <f t="shared" si="51"/>
        <v>Buy Stocks</v>
      </c>
      <c r="AS276" s="63" t="str">
        <f t="shared" si="52"/>
        <v/>
      </c>
      <c r="AT276" s="77">
        <f t="shared" si="53"/>
        <v>135.52000000000001</v>
      </c>
      <c r="AU276" s="78" t="str">
        <f t="shared" si="54"/>
        <v/>
      </c>
      <c r="AV276" s="64" t="str">
        <f ca="1">IFERROR(__xludf.DUMMYFUNCTION("IF(TRIM(AU276)="""","""",AU276/INDEX(FILTER(AT$3:AT276,TRIM(AT$3:AT276)&lt;&gt;""""),ROWS(FILTER(AT$3:AT276,TRIM(AT$3:AT276)&lt;&gt;"""")))-1)"),"")</f>
        <v/>
      </c>
      <c r="AW276" s="65" t="e">
        <f t="shared" ca="1" si="46"/>
        <v>#VALUE!</v>
      </c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</row>
    <row r="277" spans="1:68" ht="19" x14ac:dyDescent="0.25">
      <c r="A277" s="5"/>
      <c r="B277" s="5"/>
      <c r="C277" s="5"/>
      <c r="D277" s="5"/>
      <c r="E277" s="5"/>
      <c r="F277" s="5"/>
      <c r="G277" s="5"/>
      <c r="H277" s="6"/>
      <c r="I277" s="5"/>
      <c r="J277" s="83"/>
      <c r="K277" s="83"/>
      <c r="L277" s="83"/>
      <c r="M277" s="83"/>
      <c r="N277" s="83"/>
      <c r="O277" s="83"/>
      <c r="P277" s="83"/>
      <c r="Q277" s="84"/>
      <c r="R277" s="83"/>
      <c r="S277" s="83"/>
      <c r="T277" s="85"/>
      <c r="U277" s="6"/>
      <c r="V277" s="44">
        <v>44319</v>
      </c>
      <c r="W277" s="45">
        <v>138.26</v>
      </c>
      <c r="X277" s="46"/>
      <c r="Y277" s="61"/>
      <c r="Z277" s="5"/>
      <c r="AA277" s="5"/>
      <c r="AB277" s="5"/>
      <c r="AC277" s="5"/>
      <c r="AD277" s="5"/>
      <c r="AE277" s="5"/>
      <c r="AF277" s="5"/>
      <c r="AG277" s="5"/>
      <c r="AH277" s="6"/>
      <c r="AI277" s="44">
        <v>44319</v>
      </c>
      <c r="AJ277" s="53">
        <v>138.26</v>
      </c>
      <c r="AK277" s="54">
        <f t="shared" si="44"/>
        <v>2.021841794569057E-2</v>
      </c>
      <c r="AL277" s="55">
        <f t="shared" si="47"/>
        <v>21.095224714626671</v>
      </c>
      <c r="AM277" s="56">
        <v>25</v>
      </c>
      <c r="AN277" s="57">
        <f t="shared" si="45"/>
        <v>3.9047752853733293</v>
      </c>
      <c r="AO277" s="76">
        <f t="shared" si="48"/>
        <v>5.7676022151313981</v>
      </c>
      <c r="AP277" s="63" t="str">
        <f t="shared" si="49"/>
        <v>Buy Stocks</v>
      </c>
      <c r="AQ277" s="63" t="str">
        <f t="shared" si="50"/>
        <v/>
      </c>
      <c r="AR277" s="63" t="str">
        <f t="shared" si="51"/>
        <v/>
      </c>
      <c r="AS277" s="63" t="str">
        <f t="shared" si="52"/>
        <v/>
      </c>
      <c r="AT277" s="78" t="str">
        <f t="shared" si="53"/>
        <v/>
      </c>
      <c r="AU277" s="78" t="str">
        <f t="shared" si="54"/>
        <v/>
      </c>
      <c r="AV277" s="64" t="str">
        <f ca="1">IFERROR(__xludf.DUMMYFUNCTION("IF(TRIM(AU277)="""","""",AU277/INDEX(FILTER(AT$3:AT277,TRIM(AT$3:AT277)&lt;&gt;""""),ROWS(FILTER(AT$3:AT277,TRIM(AT$3:AT277)&lt;&gt;"""")))-1)"),"")</f>
        <v/>
      </c>
      <c r="AW277" s="65" t="e">
        <f t="shared" ca="1" si="46"/>
        <v>#VALUE!</v>
      </c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</row>
    <row r="278" spans="1:68" ht="19" x14ac:dyDescent="0.25">
      <c r="A278" s="5"/>
      <c r="B278" s="5"/>
      <c r="C278" s="5"/>
      <c r="D278" s="5"/>
      <c r="E278" s="5"/>
      <c r="F278" s="5"/>
      <c r="G278" s="5"/>
      <c r="H278" s="6"/>
      <c r="I278" s="5"/>
      <c r="J278" s="83"/>
      <c r="K278" s="83"/>
      <c r="L278" s="83"/>
      <c r="M278" s="83"/>
      <c r="N278" s="83"/>
      <c r="O278" s="83"/>
      <c r="P278" s="83"/>
      <c r="Q278" s="84"/>
      <c r="R278" s="83"/>
      <c r="S278" s="83"/>
      <c r="T278" s="85"/>
      <c r="U278" s="6"/>
      <c r="V278" s="44">
        <v>44320</v>
      </c>
      <c r="W278" s="45">
        <v>139.22</v>
      </c>
      <c r="X278" s="46"/>
      <c r="Y278" s="61"/>
      <c r="Z278" s="5"/>
      <c r="AA278" s="5"/>
      <c r="AB278" s="5"/>
      <c r="AC278" s="5"/>
      <c r="AD278" s="5"/>
      <c r="AE278" s="5"/>
      <c r="AF278" s="5"/>
      <c r="AG278" s="5"/>
      <c r="AH278" s="6"/>
      <c r="AI278" s="44">
        <v>44320</v>
      </c>
      <c r="AJ278" s="53">
        <v>139.22</v>
      </c>
      <c r="AK278" s="54">
        <f t="shared" si="44"/>
        <v>6.9434398958485577E-3</v>
      </c>
      <c r="AL278" s="55">
        <f t="shared" si="47"/>
        <v>21.108269304627918</v>
      </c>
      <c r="AM278" s="56">
        <v>25</v>
      </c>
      <c r="AN278" s="57">
        <f t="shared" si="45"/>
        <v>3.8917306953720825</v>
      </c>
      <c r="AO278" s="76">
        <f t="shared" si="48"/>
        <v>8.1211808480032559</v>
      </c>
      <c r="AP278" s="63" t="str">
        <f t="shared" si="49"/>
        <v>Buy Stocks</v>
      </c>
      <c r="AQ278" s="63" t="str">
        <f t="shared" si="50"/>
        <v/>
      </c>
      <c r="AR278" s="63" t="str">
        <f t="shared" si="51"/>
        <v/>
      </c>
      <c r="AS278" s="63" t="str">
        <f t="shared" si="52"/>
        <v/>
      </c>
      <c r="AT278" s="78" t="str">
        <f t="shared" si="53"/>
        <v/>
      </c>
      <c r="AU278" s="78" t="str">
        <f t="shared" si="54"/>
        <v/>
      </c>
      <c r="AV278" s="64" t="str">
        <f ca="1">IFERROR(__xludf.DUMMYFUNCTION("IF(TRIM(AU278)="""","""",AU278/INDEX(FILTER(AT$3:AT278,TRIM(AT$3:AT278)&lt;&gt;""""),ROWS(FILTER(AT$3:AT278,TRIM(AT$3:AT278)&lt;&gt;"""")))-1)"),"")</f>
        <v/>
      </c>
      <c r="AW278" s="65" t="e">
        <f t="shared" ca="1" si="46"/>
        <v>#VALUE!</v>
      </c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</row>
    <row r="279" spans="1:68" ht="19" x14ac:dyDescent="0.25">
      <c r="A279" s="5"/>
      <c r="B279" s="5"/>
      <c r="C279" s="5"/>
      <c r="D279" s="5"/>
      <c r="E279" s="5"/>
      <c r="F279" s="5"/>
      <c r="G279" s="5"/>
      <c r="H279" s="6"/>
      <c r="I279" s="5"/>
      <c r="J279" s="83"/>
      <c r="K279" s="83"/>
      <c r="L279" s="83"/>
      <c r="M279" s="83"/>
      <c r="N279" s="83"/>
      <c r="O279" s="83"/>
      <c r="P279" s="83"/>
      <c r="Q279" s="84"/>
      <c r="R279" s="83"/>
      <c r="S279" s="83"/>
      <c r="T279" s="85"/>
      <c r="U279" s="6"/>
      <c r="V279" s="44">
        <v>44321</v>
      </c>
      <c r="W279" s="45">
        <v>138.71</v>
      </c>
      <c r="X279" s="46"/>
      <c r="Y279" s="61"/>
      <c r="Z279" s="5"/>
      <c r="AA279" s="5"/>
      <c r="AB279" s="5"/>
      <c r="AC279" s="5"/>
      <c r="AD279" s="5"/>
      <c r="AE279" s="5"/>
      <c r="AF279" s="5"/>
      <c r="AG279" s="5"/>
      <c r="AH279" s="6"/>
      <c r="AI279" s="44">
        <v>44321</v>
      </c>
      <c r="AJ279" s="53">
        <v>138.71</v>
      </c>
      <c r="AK279" s="54">
        <f t="shared" si="44"/>
        <v>-3.6632667720154499E-3</v>
      </c>
      <c r="AL279" s="55">
        <f t="shared" si="47"/>
        <v>21.907418307331248</v>
      </c>
      <c r="AM279" s="56">
        <v>25</v>
      </c>
      <c r="AN279" s="57">
        <f t="shared" si="45"/>
        <v>3.0925816926687517</v>
      </c>
      <c r="AO279" s="76">
        <f t="shared" si="48"/>
        <v>6.9378098311484369</v>
      </c>
      <c r="AP279" s="63" t="str">
        <f t="shared" si="49"/>
        <v>Buy Stocks</v>
      </c>
      <c r="AQ279" s="63" t="str">
        <f t="shared" si="50"/>
        <v/>
      </c>
      <c r="AR279" s="63" t="str">
        <f t="shared" si="51"/>
        <v/>
      </c>
      <c r="AS279" s="63" t="str">
        <f t="shared" si="52"/>
        <v/>
      </c>
      <c r="AT279" s="78" t="str">
        <f t="shared" si="53"/>
        <v/>
      </c>
      <c r="AU279" s="78" t="str">
        <f t="shared" si="54"/>
        <v/>
      </c>
      <c r="AV279" s="64" t="str">
        <f ca="1">IFERROR(__xludf.DUMMYFUNCTION("IF(TRIM(AU279)="""","""",AU279/INDEX(FILTER(AT$3:AT279,TRIM(AT$3:AT279)&lt;&gt;""""),ROWS(FILTER(AT$3:AT279,TRIM(AT$3:AT279)&lt;&gt;"""")))-1)"),"")</f>
        <v/>
      </c>
      <c r="AW279" s="65" t="e">
        <f t="shared" ca="1" si="46"/>
        <v>#VALUE!</v>
      </c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</row>
    <row r="280" spans="1:68" ht="19" x14ac:dyDescent="0.25">
      <c r="A280" s="5"/>
      <c r="B280" s="5"/>
      <c r="C280" s="5"/>
      <c r="D280" s="5"/>
      <c r="E280" s="5"/>
      <c r="F280" s="5"/>
      <c r="G280" s="5"/>
      <c r="H280" s="6"/>
      <c r="I280" s="5"/>
      <c r="J280" s="83"/>
      <c r="K280" s="83"/>
      <c r="L280" s="83"/>
      <c r="M280" s="83"/>
      <c r="N280" s="83"/>
      <c r="O280" s="83"/>
      <c r="P280" s="83"/>
      <c r="Q280" s="84"/>
      <c r="R280" s="83"/>
      <c r="S280" s="83"/>
      <c r="T280" s="85"/>
      <c r="U280" s="6"/>
      <c r="V280" s="44">
        <v>44322</v>
      </c>
      <c r="W280" s="45">
        <v>141.77000000000001</v>
      </c>
      <c r="X280" s="46"/>
      <c r="Y280" s="61"/>
      <c r="Z280" s="5"/>
      <c r="AA280" s="5"/>
      <c r="AB280" s="5"/>
      <c r="AC280" s="5"/>
      <c r="AD280" s="5"/>
      <c r="AE280" s="5"/>
      <c r="AF280" s="5"/>
      <c r="AG280" s="5"/>
      <c r="AH280" s="6"/>
      <c r="AI280" s="44">
        <v>44322</v>
      </c>
      <c r="AJ280" s="53">
        <v>141.77000000000001</v>
      </c>
      <c r="AK280" s="54">
        <f t="shared" si="44"/>
        <v>2.2060413812991175E-2</v>
      </c>
      <c r="AL280" s="55">
        <f t="shared" si="47"/>
        <v>25.755730092080704</v>
      </c>
      <c r="AM280" s="56">
        <v>25</v>
      </c>
      <c r="AN280" s="57">
        <f t="shared" si="45"/>
        <v>-0.75573009208070374</v>
      </c>
      <c r="AO280" s="76">
        <f t="shared" si="48"/>
        <v>3.7204301732305018</v>
      </c>
      <c r="AP280" s="63" t="str">
        <f t="shared" si="49"/>
        <v>Buy Stocks</v>
      </c>
      <c r="AQ280" s="63" t="str">
        <f t="shared" si="50"/>
        <v/>
      </c>
      <c r="AR280" s="63" t="str">
        <f t="shared" si="51"/>
        <v/>
      </c>
      <c r="AS280" s="63" t="str">
        <f t="shared" si="52"/>
        <v/>
      </c>
      <c r="AT280" s="78" t="str">
        <f t="shared" si="53"/>
        <v/>
      </c>
      <c r="AU280" s="78" t="str">
        <f t="shared" si="54"/>
        <v/>
      </c>
      <c r="AV280" s="64" t="str">
        <f ca="1">IFERROR(__xludf.DUMMYFUNCTION("IF(TRIM(AU280)="""","""",AU280/INDEX(FILTER(AT$3:AT280,TRIM(AT$3:AT280)&lt;&gt;""""),ROWS(FILTER(AT$3:AT280,TRIM(AT$3:AT280)&lt;&gt;"""")))-1)"),"")</f>
        <v/>
      </c>
      <c r="AW280" s="65" t="e">
        <f t="shared" ca="1" si="46"/>
        <v>#VALUE!</v>
      </c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</row>
    <row r="281" spans="1:68" ht="19" x14ac:dyDescent="0.25">
      <c r="A281" s="5"/>
      <c r="B281" s="5"/>
      <c r="C281" s="5"/>
      <c r="D281" s="5"/>
      <c r="E281" s="5"/>
      <c r="F281" s="5"/>
      <c r="G281" s="5"/>
      <c r="H281" s="6"/>
      <c r="I281" s="5"/>
      <c r="J281" s="83"/>
      <c r="K281" s="83"/>
      <c r="L281" s="83"/>
      <c r="M281" s="83"/>
      <c r="N281" s="83"/>
      <c r="O281" s="83"/>
      <c r="P281" s="83"/>
      <c r="Q281" s="84"/>
      <c r="R281" s="83"/>
      <c r="S281" s="83"/>
      <c r="T281" s="85"/>
      <c r="U281" s="6"/>
      <c r="V281" s="44">
        <v>44323</v>
      </c>
      <c r="W281" s="45">
        <v>138.94</v>
      </c>
      <c r="X281" s="46"/>
      <c r="Y281" s="61"/>
      <c r="Z281" s="5"/>
      <c r="AA281" s="5"/>
      <c r="AB281" s="5"/>
      <c r="AC281" s="5"/>
      <c r="AD281" s="5"/>
      <c r="AE281" s="5"/>
      <c r="AF281" s="5"/>
      <c r="AG281" s="5"/>
      <c r="AH281" s="6"/>
      <c r="AI281" s="44">
        <v>44323</v>
      </c>
      <c r="AJ281" s="53">
        <v>138.94</v>
      </c>
      <c r="AK281" s="54">
        <f t="shared" si="44"/>
        <v>-1.996191013613613E-2</v>
      </c>
      <c r="AL281" s="55">
        <f t="shared" si="47"/>
        <v>27.774863516624613</v>
      </c>
      <c r="AM281" s="56">
        <v>25</v>
      </c>
      <c r="AN281" s="57">
        <f t="shared" si="45"/>
        <v>-2.7748635166246132</v>
      </c>
      <c r="AO281" s="76">
        <f t="shared" si="48"/>
        <v>1.4716988129417694</v>
      </c>
      <c r="AP281" s="63" t="str">
        <f t="shared" si="49"/>
        <v>Buy Stocks</v>
      </c>
      <c r="AQ281" s="63" t="str">
        <f t="shared" si="50"/>
        <v/>
      </c>
      <c r="AR281" s="63" t="str">
        <f t="shared" si="51"/>
        <v/>
      </c>
      <c r="AS281" s="63" t="str">
        <f t="shared" si="52"/>
        <v/>
      </c>
      <c r="AT281" s="78" t="str">
        <f t="shared" si="53"/>
        <v/>
      </c>
      <c r="AU281" s="78" t="str">
        <f t="shared" si="54"/>
        <v/>
      </c>
      <c r="AV281" s="64" t="str">
        <f ca="1">IFERROR(__xludf.DUMMYFUNCTION("IF(TRIM(AU281)="""","""",AU281/INDEX(FILTER(AT$3:AT281,TRIM(AT$3:AT281)&lt;&gt;""""),ROWS(FILTER(AT$3:AT281,TRIM(AT$3:AT281)&lt;&gt;"""")))-1)"),"")</f>
        <v/>
      </c>
      <c r="AW281" s="65" t="e">
        <f t="shared" ca="1" si="46"/>
        <v>#VALUE!</v>
      </c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</row>
    <row r="282" spans="1:68" ht="19" x14ac:dyDescent="0.25">
      <c r="A282" s="5"/>
      <c r="B282" s="5"/>
      <c r="C282" s="5"/>
      <c r="D282" s="5"/>
      <c r="E282" s="5"/>
      <c r="F282" s="5"/>
      <c r="G282" s="5"/>
      <c r="H282" s="6"/>
      <c r="I282" s="5"/>
      <c r="J282" s="83"/>
      <c r="K282" s="83"/>
      <c r="L282" s="83"/>
      <c r="M282" s="83"/>
      <c r="N282" s="83"/>
      <c r="O282" s="83"/>
      <c r="P282" s="83"/>
      <c r="Q282" s="84"/>
      <c r="R282" s="83"/>
      <c r="S282" s="83"/>
      <c r="T282" s="85"/>
      <c r="U282" s="6"/>
      <c r="V282" s="44">
        <v>44326</v>
      </c>
      <c r="W282" s="45">
        <v>139.62</v>
      </c>
      <c r="X282" s="46"/>
      <c r="Y282" s="61"/>
      <c r="Z282" s="5"/>
      <c r="AA282" s="5"/>
      <c r="AB282" s="5"/>
      <c r="AC282" s="5"/>
      <c r="AD282" s="5"/>
      <c r="AE282" s="5"/>
      <c r="AF282" s="5"/>
      <c r="AG282" s="5"/>
      <c r="AH282" s="6"/>
      <c r="AI282" s="44">
        <v>44326</v>
      </c>
      <c r="AJ282" s="53">
        <v>139.62</v>
      </c>
      <c r="AK282" s="54">
        <f t="shared" si="44"/>
        <v>4.8941989347921488E-3</v>
      </c>
      <c r="AL282" s="55">
        <f t="shared" si="47"/>
        <v>24.459332600454001</v>
      </c>
      <c r="AM282" s="56">
        <v>25</v>
      </c>
      <c r="AN282" s="57">
        <f t="shared" si="45"/>
        <v>0.54066739954599896</v>
      </c>
      <c r="AO282" s="76">
        <f t="shared" si="48"/>
        <v>0.79887723577630321</v>
      </c>
      <c r="AP282" s="63" t="str">
        <f t="shared" si="49"/>
        <v>Buy Stocks</v>
      </c>
      <c r="AQ282" s="63" t="str">
        <f t="shared" si="50"/>
        <v/>
      </c>
      <c r="AR282" s="63" t="str">
        <f t="shared" si="51"/>
        <v/>
      </c>
      <c r="AS282" s="63" t="str">
        <f t="shared" si="52"/>
        <v/>
      </c>
      <c r="AT282" s="78" t="str">
        <f t="shared" si="53"/>
        <v/>
      </c>
      <c r="AU282" s="78" t="str">
        <f t="shared" si="54"/>
        <v/>
      </c>
      <c r="AV282" s="64" t="str">
        <f ca="1">IFERROR(__xludf.DUMMYFUNCTION("IF(TRIM(AU282)="""","""",AU282/INDEX(FILTER(AT$3:AT282,TRIM(AT$3:AT282)&lt;&gt;""""),ROWS(FILTER(AT$3:AT282,TRIM(AT$3:AT282)&lt;&gt;"""")))-1)"),"")</f>
        <v/>
      </c>
      <c r="AW282" s="65" t="e">
        <f t="shared" ca="1" si="46"/>
        <v>#VALUE!</v>
      </c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</row>
    <row r="283" spans="1:68" ht="19" x14ac:dyDescent="0.25">
      <c r="A283" s="5"/>
      <c r="B283" s="5"/>
      <c r="C283" s="5"/>
      <c r="D283" s="5"/>
      <c r="E283" s="5"/>
      <c r="F283" s="5"/>
      <c r="G283" s="5"/>
      <c r="H283" s="6"/>
      <c r="I283" s="5"/>
      <c r="J283" s="83"/>
      <c r="K283" s="83"/>
      <c r="L283" s="83"/>
      <c r="M283" s="83"/>
      <c r="N283" s="83"/>
      <c r="O283" s="83"/>
      <c r="P283" s="83"/>
      <c r="Q283" s="84"/>
      <c r="R283" s="83"/>
      <c r="S283" s="83"/>
      <c r="T283" s="85"/>
      <c r="U283" s="6"/>
      <c r="V283" s="44">
        <v>44327</v>
      </c>
      <c r="W283" s="45">
        <v>137.75</v>
      </c>
      <c r="X283" s="46"/>
      <c r="Y283" s="61"/>
      <c r="Z283" s="5"/>
      <c r="AA283" s="5"/>
      <c r="AB283" s="5"/>
      <c r="AC283" s="5"/>
      <c r="AD283" s="5"/>
      <c r="AE283" s="5"/>
      <c r="AF283" s="5"/>
      <c r="AG283" s="5"/>
      <c r="AH283" s="6"/>
      <c r="AI283" s="44">
        <v>44327</v>
      </c>
      <c r="AJ283" s="53">
        <v>137.75</v>
      </c>
      <c r="AK283" s="54">
        <f t="shared" si="44"/>
        <v>-1.3393496633720137E-2</v>
      </c>
      <c r="AL283" s="55">
        <f t="shared" si="47"/>
        <v>26.104288890350251</v>
      </c>
      <c r="AM283" s="56">
        <v>25</v>
      </c>
      <c r="AN283" s="57">
        <f t="shared" si="45"/>
        <v>-1.1042888903502508</v>
      </c>
      <c r="AO283" s="76">
        <f t="shared" si="48"/>
        <v>-0.2003266813681634</v>
      </c>
      <c r="AP283" s="63" t="str">
        <f t="shared" si="49"/>
        <v/>
      </c>
      <c r="AQ283" s="63" t="str">
        <f t="shared" si="50"/>
        <v>Sell Stocks</v>
      </c>
      <c r="AR283" s="63" t="str">
        <f t="shared" si="51"/>
        <v/>
      </c>
      <c r="AS283" s="63" t="str">
        <f t="shared" si="52"/>
        <v>Sell Stocks</v>
      </c>
      <c r="AT283" s="78" t="str">
        <f t="shared" si="53"/>
        <v/>
      </c>
      <c r="AU283" s="77">
        <f t="shared" si="54"/>
        <v>137.75</v>
      </c>
      <c r="AV283" s="64">
        <f ca="1">IFERROR(__xludf.DUMMYFUNCTION("IF(TRIM(AU283)="""","""",AU283/INDEX(FILTER(AT$3:AT283,TRIM(AT$3:AT283)&lt;&gt;""""),ROWS(FILTER(AT$3:AT283,TRIM(AT$3:AT283)&lt;&gt;"""")))-1)"),0.0164551357733175)</f>
        <v>1.64551357733175E-2</v>
      </c>
      <c r="AW283" s="65" t="e">
        <f t="shared" ca="1" si="46"/>
        <v>#VALUE!</v>
      </c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</row>
    <row r="284" spans="1:68" ht="19" x14ac:dyDescent="0.25">
      <c r="A284" s="5"/>
      <c r="B284" s="5"/>
      <c r="C284" s="5"/>
      <c r="D284" s="5"/>
      <c r="E284" s="5"/>
      <c r="F284" s="5"/>
      <c r="G284" s="5"/>
      <c r="H284" s="6"/>
      <c r="I284" s="5"/>
      <c r="J284" s="83"/>
      <c r="K284" s="83"/>
      <c r="L284" s="83"/>
      <c r="M284" s="83"/>
      <c r="N284" s="83"/>
      <c r="O284" s="83"/>
      <c r="P284" s="83"/>
      <c r="Q284" s="84"/>
      <c r="R284" s="83"/>
      <c r="S284" s="83"/>
      <c r="T284" s="85"/>
      <c r="U284" s="6"/>
      <c r="V284" s="44">
        <v>44328</v>
      </c>
      <c r="W284" s="45">
        <v>134.96</v>
      </c>
      <c r="X284" s="46"/>
      <c r="Y284" s="61"/>
      <c r="Z284" s="5"/>
      <c r="AA284" s="5"/>
      <c r="AB284" s="5"/>
      <c r="AC284" s="5"/>
      <c r="AD284" s="5"/>
      <c r="AE284" s="5"/>
      <c r="AF284" s="5"/>
      <c r="AG284" s="5"/>
      <c r="AH284" s="6"/>
      <c r="AI284" s="44">
        <v>44328</v>
      </c>
      <c r="AJ284" s="53">
        <v>134.96</v>
      </c>
      <c r="AK284" s="54">
        <f t="shared" si="44"/>
        <v>-2.0254083484573471E-2</v>
      </c>
      <c r="AL284" s="55">
        <f t="shared" si="47"/>
        <v>29.23464263912285</v>
      </c>
      <c r="AM284" s="56">
        <v>25</v>
      </c>
      <c r="AN284" s="57">
        <f t="shared" si="45"/>
        <v>-4.2346426391228498</v>
      </c>
      <c r="AO284" s="76">
        <f t="shared" si="48"/>
        <v>-1.6657715477264836</v>
      </c>
      <c r="AP284" s="63" t="str">
        <f t="shared" si="49"/>
        <v/>
      </c>
      <c r="AQ284" s="63" t="str">
        <f t="shared" si="50"/>
        <v>Sell Stocks</v>
      </c>
      <c r="AR284" s="63" t="str">
        <f t="shared" si="51"/>
        <v/>
      </c>
      <c r="AS284" s="63" t="str">
        <f t="shared" si="52"/>
        <v/>
      </c>
      <c r="AT284" s="78" t="str">
        <f t="shared" si="53"/>
        <v/>
      </c>
      <c r="AU284" s="78" t="str">
        <f t="shared" si="54"/>
        <v/>
      </c>
      <c r="AV284" s="64" t="str">
        <f ca="1">IFERROR(__xludf.DUMMYFUNCTION("IF(TRIM(AU284)="""","""",AU284/INDEX(FILTER(AT$3:AT284,TRIM(AT$3:AT284)&lt;&gt;""""),ROWS(FILTER(AT$3:AT284,TRIM(AT$3:AT284)&lt;&gt;"""")))-1)"),"")</f>
        <v/>
      </c>
      <c r="AW284" s="65" t="e">
        <f t="shared" ca="1" si="46"/>
        <v>#VALUE!</v>
      </c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</row>
    <row r="285" spans="1:68" ht="19" x14ac:dyDescent="0.25">
      <c r="A285" s="5"/>
      <c r="B285" s="5"/>
      <c r="C285" s="5"/>
      <c r="D285" s="5"/>
      <c r="E285" s="5"/>
      <c r="F285" s="5"/>
      <c r="G285" s="5"/>
      <c r="H285" s="6"/>
      <c r="I285" s="5"/>
      <c r="J285" s="83"/>
      <c r="K285" s="83"/>
      <c r="L285" s="83"/>
      <c r="M285" s="83"/>
      <c r="N285" s="83"/>
      <c r="O285" s="83"/>
      <c r="P285" s="83"/>
      <c r="Q285" s="84"/>
      <c r="R285" s="83"/>
      <c r="S285" s="83"/>
      <c r="T285" s="85"/>
      <c r="U285" s="6"/>
      <c r="V285" s="44">
        <v>44329</v>
      </c>
      <c r="W285" s="45">
        <v>137.71</v>
      </c>
      <c r="X285" s="46"/>
      <c r="Y285" s="61"/>
      <c r="Z285" s="5"/>
      <c r="AA285" s="5"/>
      <c r="AB285" s="5"/>
      <c r="AC285" s="5"/>
      <c r="AD285" s="5"/>
      <c r="AE285" s="5"/>
      <c r="AF285" s="5"/>
      <c r="AG285" s="5"/>
      <c r="AH285" s="6"/>
      <c r="AI285" s="44">
        <v>44329</v>
      </c>
      <c r="AJ285" s="53">
        <v>137.71</v>
      </c>
      <c r="AK285" s="54">
        <f t="shared" si="44"/>
        <v>2.0376407824540532E-2</v>
      </c>
      <c r="AL285" s="55">
        <f t="shared" si="47"/>
        <v>28.248420480505963</v>
      </c>
      <c r="AM285" s="56">
        <v>25</v>
      </c>
      <c r="AN285" s="57">
        <f t="shared" si="45"/>
        <v>-3.2484204805059633</v>
      </c>
      <c r="AO285" s="76">
        <f t="shared" si="48"/>
        <v>-2.1643096254115357</v>
      </c>
      <c r="AP285" s="63" t="str">
        <f t="shared" si="49"/>
        <v/>
      </c>
      <c r="AQ285" s="63" t="str">
        <f t="shared" si="50"/>
        <v>Sell Stocks</v>
      </c>
      <c r="AR285" s="63" t="str">
        <f t="shared" si="51"/>
        <v/>
      </c>
      <c r="AS285" s="63" t="str">
        <f t="shared" si="52"/>
        <v/>
      </c>
      <c r="AT285" s="78" t="str">
        <f t="shared" si="53"/>
        <v/>
      </c>
      <c r="AU285" s="78" t="str">
        <f t="shared" si="54"/>
        <v/>
      </c>
      <c r="AV285" s="64" t="str">
        <f ca="1">IFERROR(__xludf.DUMMYFUNCTION("IF(TRIM(AU285)="""","""",AU285/INDEX(FILTER(AT$3:AT285,TRIM(AT$3:AT285)&lt;&gt;""""),ROWS(FILTER(AT$3:AT285,TRIM(AT$3:AT285)&lt;&gt;"""")))-1)"),"")</f>
        <v/>
      </c>
      <c r="AW285" s="65" t="e">
        <f t="shared" ca="1" si="46"/>
        <v>#VALUE!</v>
      </c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</row>
    <row r="286" spans="1:68" ht="19" x14ac:dyDescent="0.25">
      <c r="A286" s="5"/>
      <c r="B286" s="5"/>
      <c r="C286" s="5"/>
      <c r="D286" s="5"/>
      <c r="E286" s="5"/>
      <c r="F286" s="5"/>
      <c r="G286" s="5"/>
      <c r="H286" s="6"/>
      <c r="I286" s="5"/>
      <c r="J286" s="83"/>
      <c r="K286" s="83"/>
      <c r="L286" s="83"/>
      <c r="M286" s="83"/>
      <c r="N286" s="83"/>
      <c r="O286" s="83"/>
      <c r="P286" s="83"/>
      <c r="Q286" s="84"/>
      <c r="R286" s="83"/>
      <c r="S286" s="83"/>
      <c r="T286" s="85"/>
      <c r="U286" s="6"/>
      <c r="V286" s="44">
        <v>44330</v>
      </c>
      <c r="W286" s="45">
        <v>138.19</v>
      </c>
      <c r="X286" s="46"/>
      <c r="Y286" s="61"/>
      <c r="Z286" s="5"/>
      <c r="AA286" s="5"/>
      <c r="AB286" s="5"/>
      <c r="AC286" s="5"/>
      <c r="AD286" s="5"/>
      <c r="AE286" s="5"/>
      <c r="AF286" s="5"/>
      <c r="AG286" s="5"/>
      <c r="AH286" s="6"/>
      <c r="AI286" s="44">
        <v>44330</v>
      </c>
      <c r="AJ286" s="53">
        <v>138.19</v>
      </c>
      <c r="AK286" s="54">
        <f t="shared" si="44"/>
        <v>3.4855856510056515E-3</v>
      </c>
      <c r="AL286" s="55">
        <f t="shared" si="47"/>
        <v>25.549193156579609</v>
      </c>
      <c r="AM286" s="56">
        <v>25</v>
      </c>
      <c r="AN286" s="57">
        <f t="shared" si="45"/>
        <v>-0.54919315657960865</v>
      </c>
      <c r="AO286" s="76">
        <f t="shared" si="48"/>
        <v>-1.7191755534025348</v>
      </c>
      <c r="AP286" s="63" t="str">
        <f t="shared" si="49"/>
        <v/>
      </c>
      <c r="AQ286" s="63" t="str">
        <f t="shared" si="50"/>
        <v>Sell Stocks</v>
      </c>
      <c r="AR286" s="63" t="str">
        <f t="shared" si="51"/>
        <v/>
      </c>
      <c r="AS286" s="63" t="str">
        <f t="shared" si="52"/>
        <v/>
      </c>
      <c r="AT286" s="78" t="str">
        <f t="shared" si="53"/>
        <v/>
      </c>
      <c r="AU286" s="78" t="str">
        <f t="shared" si="54"/>
        <v/>
      </c>
      <c r="AV286" s="64" t="str">
        <f ca="1">IFERROR(__xludf.DUMMYFUNCTION("IF(TRIM(AU286)="""","""",AU286/INDEX(FILTER(AT$3:AT286,TRIM(AT$3:AT286)&lt;&gt;""""),ROWS(FILTER(AT$3:AT286,TRIM(AT$3:AT286)&lt;&gt;"""")))-1)"),"")</f>
        <v/>
      </c>
      <c r="AW286" s="65" t="e">
        <f t="shared" ca="1" si="46"/>
        <v>#VALUE!</v>
      </c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</row>
    <row r="287" spans="1:68" ht="19" x14ac:dyDescent="0.25">
      <c r="A287" s="5"/>
      <c r="B287" s="5"/>
      <c r="C287" s="5"/>
      <c r="D287" s="5"/>
      <c r="E287" s="5"/>
      <c r="F287" s="5"/>
      <c r="G287" s="5"/>
      <c r="H287" s="6"/>
      <c r="I287" s="5"/>
      <c r="J287" s="83"/>
      <c r="K287" s="83"/>
      <c r="L287" s="83"/>
      <c r="M287" s="83"/>
      <c r="N287" s="83"/>
      <c r="O287" s="83"/>
      <c r="P287" s="83"/>
      <c r="Q287" s="84"/>
      <c r="R287" s="83"/>
      <c r="S287" s="83"/>
      <c r="T287" s="85"/>
      <c r="U287" s="6"/>
      <c r="V287" s="44">
        <v>44333</v>
      </c>
      <c r="W287" s="45">
        <v>138.6</v>
      </c>
      <c r="X287" s="46"/>
      <c r="Y287" s="61"/>
      <c r="Z287" s="5"/>
      <c r="AA287" s="5"/>
      <c r="AB287" s="5"/>
      <c r="AC287" s="5"/>
      <c r="AD287" s="5"/>
      <c r="AE287" s="5"/>
      <c r="AF287" s="5"/>
      <c r="AG287" s="5"/>
      <c r="AH287" s="6"/>
      <c r="AI287" s="44">
        <v>44333</v>
      </c>
      <c r="AJ287" s="53">
        <v>138.6</v>
      </c>
      <c r="AK287" s="54">
        <f t="shared" si="44"/>
        <v>2.9669295896952441E-3</v>
      </c>
      <c r="AL287" s="55">
        <f t="shared" si="47"/>
        <v>25.305588882303372</v>
      </c>
      <c r="AM287" s="56">
        <v>25</v>
      </c>
      <c r="AN287" s="57">
        <f t="shared" si="45"/>
        <v>-0.30558888230337189</v>
      </c>
      <c r="AO287" s="76">
        <f t="shared" si="48"/>
        <v>-1.8884268097724088</v>
      </c>
      <c r="AP287" s="63" t="str">
        <f t="shared" si="49"/>
        <v/>
      </c>
      <c r="AQ287" s="63" t="str">
        <f t="shared" si="50"/>
        <v>Sell Stocks</v>
      </c>
      <c r="AR287" s="63" t="str">
        <f t="shared" si="51"/>
        <v/>
      </c>
      <c r="AS287" s="63" t="str">
        <f t="shared" si="52"/>
        <v/>
      </c>
      <c r="AT287" s="78" t="str">
        <f t="shared" si="53"/>
        <v/>
      </c>
      <c r="AU287" s="78" t="str">
        <f t="shared" si="54"/>
        <v/>
      </c>
      <c r="AV287" s="64" t="str">
        <f ca="1">IFERROR(__xludf.DUMMYFUNCTION("IF(TRIM(AU287)="""","""",AU287/INDEX(FILTER(AT$3:AT287,TRIM(AT$3:AT287)&lt;&gt;""""),ROWS(FILTER(AT$3:AT287,TRIM(AT$3:AT287)&lt;&gt;"""")))-1)"),"")</f>
        <v/>
      </c>
      <c r="AW287" s="65" t="e">
        <f t="shared" ca="1" si="46"/>
        <v>#VALUE!</v>
      </c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</row>
    <row r="288" spans="1:68" ht="19" x14ac:dyDescent="0.25">
      <c r="A288" s="5"/>
      <c r="B288" s="5"/>
      <c r="C288" s="5"/>
      <c r="D288" s="5"/>
      <c r="E288" s="5"/>
      <c r="F288" s="5"/>
      <c r="G288" s="5"/>
      <c r="H288" s="6"/>
      <c r="I288" s="5"/>
      <c r="J288" s="83"/>
      <c r="K288" s="83"/>
      <c r="L288" s="83"/>
      <c r="M288" s="83"/>
      <c r="N288" s="83"/>
      <c r="O288" s="83"/>
      <c r="P288" s="83"/>
      <c r="Q288" s="84"/>
      <c r="R288" s="83"/>
      <c r="S288" s="83"/>
      <c r="T288" s="85"/>
      <c r="U288" s="6"/>
      <c r="V288" s="44">
        <v>44334</v>
      </c>
      <c r="W288" s="45">
        <v>137.46</v>
      </c>
      <c r="X288" s="46"/>
      <c r="Y288" s="61"/>
      <c r="Z288" s="5"/>
      <c r="AA288" s="5"/>
      <c r="AB288" s="5"/>
      <c r="AC288" s="5"/>
      <c r="AD288" s="5"/>
      <c r="AE288" s="5"/>
      <c r="AF288" s="5"/>
      <c r="AG288" s="5"/>
      <c r="AH288" s="6"/>
      <c r="AI288" s="44">
        <v>44334</v>
      </c>
      <c r="AJ288" s="53">
        <v>137.46</v>
      </c>
      <c r="AK288" s="54">
        <f t="shared" si="44"/>
        <v>-8.2251082251081353E-3</v>
      </c>
      <c r="AL288" s="55">
        <f t="shared" si="47"/>
        <v>23.989496203402926</v>
      </c>
      <c r="AM288" s="56">
        <v>25</v>
      </c>
      <c r="AN288" s="57">
        <f t="shared" si="45"/>
        <v>1.0105037965970745</v>
      </c>
      <c r="AO288" s="76">
        <f t="shared" si="48"/>
        <v>-1.4654682723829437</v>
      </c>
      <c r="AP288" s="63" t="str">
        <f t="shared" si="49"/>
        <v/>
      </c>
      <c r="AQ288" s="63" t="str">
        <f t="shared" si="50"/>
        <v>Sell Stocks</v>
      </c>
      <c r="AR288" s="63" t="str">
        <f t="shared" si="51"/>
        <v/>
      </c>
      <c r="AS288" s="63" t="str">
        <f t="shared" si="52"/>
        <v/>
      </c>
      <c r="AT288" s="78" t="str">
        <f t="shared" si="53"/>
        <v/>
      </c>
      <c r="AU288" s="78" t="str">
        <f t="shared" si="54"/>
        <v/>
      </c>
      <c r="AV288" s="64" t="str">
        <f ca="1">IFERROR(__xludf.DUMMYFUNCTION("IF(TRIM(AU288)="""","""",AU288/INDEX(FILTER(AT$3:AT288,TRIM(AT$3:AT288)&lt;&gt;""""),ROWS(FILTER(AT$3:AT288,TRIM(AT$3:AT288)&lt;&gt;"""")))-1)"),"")</f>
        <v/>
      </c>
      <c r="AW288" s="65" t="e">
        <f t="shared" ca="1" si="46"/>
        <v>#VALUE!</v>
      </c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</row>
    <row r="289" spans="1:68" ht="19" x14ac:dyDescent="0.25">
      <c r="A289" s="5"/>
      <c r="B289" s="5"/>
      <c r="C289" s="5"/>
      <c r="D289" s="5"/>
      <c r="E289" s="5"/>
      <c r="F289" s="5"/>
      <c r="G289" s="5"/>
      <c r="H289" s="6"/>
      <c r="I289" s="5"/>
      <c r="J289" s="83"/>
      <c r="K289" s="83"/>
      <c r="L289" s="83"/>
      <c r="M289" s="83"/>
      <c r="N289" s="83"/>
      <c r="O289" s="83"/>
      <c r="P289" s="83"/>
      <c r="Q289" s="84"/>
      <c r="R289" s="83"/>
      <c r="S289" s="83"/>
      <c r="T289" s="85"/>
      <c r="U289" s="6"/>
      <c r="V289" s="44">
        <v>44335</v>
      </c>
      <c r="W289" s="45">
        <v>136.77000000000001</v>
      </c>
      <c r="X289" s="46"/>
      <c r="Y289" s="61"/>
      <c r="Z289" s="5"/>
      <c r="AA289" s="5"/>
      <c r="AB289" s="5"/>
      <c r="AC289" s="5"/>
      <c r="AD289" s="5"/>
      <c r="AE289" s="5"/>
      <c r="AF289" s="5"/>
      <c r="AG289" s="5"/>
      <c r="AH289" s="6"/>
      <c r="AI289" s="44">
        <v>44335</v>
      </c>
      <c r="AJ289" s="53">
        <v>136.77000000000001</v>
      </c>
      <c r="AK289" s="54">
        <f t="shared" si="44"/>
        <v>-5.019642077695341E-3</v>
      </c>
      <c r="AL289" s="55">
        <f t="shared" si="47"/>
        <v>17.607349002232748</v>
      </c>
      <c r="AM289" s="56">
        <v>25</v>
      </c>
      <c r="AN289" s="57">
        <f t="shared" si="45"/>
        <v>7.3926509977672517</v>
      </c>
      <c r="AO289" s="76">
        <f t="shared" si="48"/>
        <v>0.85999045499507643</v>
      </c>
      <c r="AP289" s="63" t="str">
        <f t="shared" si="49"/>
        <v>Buy Stocks</v>
      </c>
      <c r="AQ289" s="63" t="str">
        <f t="shared" si="50"/>
        <v/>
      </c>
      <c r="AR289" s="63" t="str">
        <f t="shared" si="51"/>
        <v>Buy Stocks</v>
      </c>
      <c r="AS289" s="63" t="str">
        <f t="shared" si="52"/>
        <v/>
      </c>
      <c r="AT289" s="77">
        <f t="shared" si="53"/>
        <v>136.77000000000001</v>
      </c>
      <c r="AU289" s="78" t="str">
        <f t="shared" si="54"/>
        <v/>
      </c>
      <c r="AV289" s="64" t="str">
        <f ca="1">IFERROR(__xludf.DUMMYFUNCTION("IF(TRIM(AU289)="""","""",AU289/INDEX(FILTER(AT$3:AT289,TRIM(AT$3:AT289)&lt;&gt;""""),ROWS(FILTER(AT$3:AT289,TRIM(AT$3:AT289)&lt;&gt;"""")))-1)"),"")</f>
        <v/>
      </c>
      <c r="AW289" s="65" t="e">
        <f t="shared" ca="1" si="46"/>
        <v>#VALUE!</v>
      </c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</row>
    <row r="290" spans="1:68" ht="19" x14ac:dyDescent="0.25">
      <c r="A290" s="5"/>
      <c r="B290" s="5"/>
      <c r="C290" s="5"/>
      <c r="D290" s="5"/>
      <c r="E290" s="5"/>
      <c r="F290" s="5"/>
      <c r="G290" s="5"/>
      <c r="H290" s="6"/>
      <c r="I290" s="5"/>
      <c r="J290" s="83"/>
      <c r="K290" s="83"/>
      <c r="L290" s="83"/>
      <c r="M290" s="83"/>
      <c r="N290" s="83"/>
      <c r="O290" s="83"/>
      <c r="P290" s="83"/>
      <c r="Q290" s="84"/>
      <c r="R290" s="83"/>
      <c r="S290" s="83"/>
      <c r="T290" s="85"/>
      <c r="U290" s="6"/>
      <c r="V290" s="44">
        <v>44336</v>
      </c>
      <c r="W290" s="45">
        <v>137.43</v>
      </c>
      <c r="X290" s="46"/>
      <c r="Y290" s="61"/>
      <c r="Z290" s="5"/>
      <c r="AA290" s="5"/>
      <c r="AB290" s="5"/>
      <c r="AC290" s="5"/>
      <c r="AD290" s="5"/>
      <c r="AE290" s="5"/>
      <c r="AF290" s="5"/>
      <c r="AG290" s="5"/>
      <c r="AH290" s="6"/>
      <c r="AI290" s="44">
        <v>44336</v>
      </c>
      <c r="AJ290" s="53">
        <v>137.43</v>
      </c>
      <c r="AK290" s="54">
        <f t="shared" si="44"/>
        <v>4.8256196534326445E-3</v>
      </c>
      <c r="AL290" s="55">
        <f t="shared" si="47"/>
        <v>9.2670381754342532</v>
      </c>
      <c r="AM290" s="56">
        <v>25</v>
      </c>
      <c r="AN290" s="57">
        <f t="shared" si="45"/>
        <v>15.732961824565747</v>
      </c>
      <c r="AO290" s="76">
        <f t="shared" si="48"/>
        <v>4.656266916009419</v>
      </c>
      <c r="AP290" s="63" t="str">
        <f t="shared" si="49"/>
        <v>Buy Stocks</v>
      </c>
      <c r="AQ290" s="63" t="str">
        <f t="shared" si="50"/>
        <v/>
      </c>
      <c r="AR290" s="63" t="str">
        <f t="shared" si="51"/>
        <v/>
      </c>
      <c r="AS290" s="63" t="str">
        <f t="shared" si="52"/>
        <v/>
      </c>
      <c r="AT290" s="78" t="str">
        <f t="shared" si="53"/>
        <v/>
      </c>
      <c r="AU290" s="78" t="str">
        <f t="shared" si="54"/>
        <v/>
      </c>
      <c r="AV290" s="64" t="str">
        <f ca="1">IFERROR(__xludf.DUMMYFUNCTION("IF(TRIM(AU290)="""","""",AU290/INDEX(FILTER(AT$3:AT290,TRIM(AT$3:AT290)&lt;&gt;""""),ROWS(FILTER(AT$3:AT290,TRIM(AT$3:AT290)&lt;&gt;"""")))-1)"),"")</f>
        <v/>
      </c>
      <c r="AW290" s="65" t="e">
        <f t="shared" ca="1" si="46"/>
        <v>#VALUE!</v>
      </c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</row>
    <row r="291" spans="1:68" ht="19" x14ac:dyDescent="0.25">
      <c r="A291" s="5"/>
      <c r="B291" s="5"/>
      <c r="C291" s="5"/>
      <c r="D291" s="5"/>
      <c r="E291" s="5"/>
      <c r="F291" s="5"/>
      <c r="G291" s="5"/>
      <c r="H291" s="6"/>
      <c r="I291" s="5"/>
      <c r="J291" s="83"/>
      <c r="K291" s="83"/>
      <c r="L291" s="83"/>
      <c r="M291" s="83"/>
      <c r="N291" s="83"/>
      <c r="O291" s="83"/>
      <c r="P291" s="83"/>
      <c r="Q291" s="84"/>
      <c r="R291" s="83"/>
      <c r="S291" s="83"/>
      <c r="T291" s="85"/>
      <c r="U291" s="6"/>
      <c r="V291" s="44">
        <v>44337</v>
      </c>
      <c r="W291" s="45">
        <v>138.25</v>
      </c>
      <c r="X291" s="46"/>
      <c r="Y291" s="61"/>
      <c r="Z291" s="5"/>
      <c r="AA291" s="5"/>
      <c r="AB291" s="5"/>
      <c r="AC291" s="5"/>
      <c r="AD291" s="5"/>
      <c r="AE291" s="5"/>
      <c r="AF291" s="5"/>
      <c r="AG291" s="5"/>
      <c r="AH291" s="6"/>
      <c r="AI291" s="44">
        <v>44337</v>
      </c>
      <c r="AJ291" s="53">
        <v>138.25</v>
      </c>
      <c r="AK291" s="54">
        <f t="shared" si="44"/>
        <v>5.9666739430983551E-3</v>
      </c>
      <c r="AL291" s="55">
        <f t="shared" si="47"/>
        <v>10.055180368946036</v>
      </c>
      <c r="AM291" s="56">
        <v>25</v>
      </c>
      <c r="AN291" s="57">
        <f t="shared" si="45"/>
        <v>14.944819631053964</v>
      </c>
      <c r="AO291" s="76">
        <f t="shared" si="48"/>
        <v>7.7550694735361336</v>
      </c>
      <c r="AP291" s="63" t="str">
        <f t="shared" si="49"/>
        <v>Buy Stocks</v>
      </c>
      <c r="AQ291" s="63" t="str">
        <f t="shared" si="50"/>
        <v/>
      </c>
      <c r="AR291" s="63" t="str">
        <f t="shared" si="51"/>
        <v/>
      </c>
      <c r="AS291" s="63" t="str">
        <f t="shared" si="52"/>
        <v/>
      </c>
      <c r="AT291" s="78" t="str">
        <f t="shared" si="53"/>
        <v/>
      </c>
      <c r="AU291" s="78" t="str">
        <f t="shared" si="54"/>
        <v/>
      </c>
      <c r="AV291" s="64" t="str">
        <f ca="1">IFERROR(__xludf.DUMMYFUNCTION("IF(TRIM(AU291)="""","""",AU291/INDEX(FILTER(AT$3:AT291,TRIM(AT$3:AT291)&lt;&gt;""""),ROWS(FILTER(AT$3:AT291,TRIM(AT$3:AT291)&lt;&gt;"""")))-1)"),"")</f>
        <v/>
      </c>
      <c r="AW291" s="65" t="e">
        <f t="shared" ca="1" si="46"/>
        <v>#VALUE!</v>
      </c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</row>
    <row r="292" spans="1:68" ht="19" x14ac:dyDescent="0.25">
      <c r="A292" s="5"/>
      <c r="B292" s="5"/>
      <c r="C292" s="5"/>
      <c r="D292" s="5"/>
      <c r="E292" s="5"/>
      <c r="F292" s="5"/>
      <c r="G292" s="5"/>
      <c r="H292" s="6"/>
      <c r="I292" s="5"/>
      <c r="J292" s="83"/>
      <c r="K292" s="83"/>
      <c r="L292" s="83"/>
      <c r="M292" s="83"/>
      <c r="N292" s="83"/>
      <c r="O292" s="83"/>
      <c r="P292" s="83"/>
      <c r="Q292" s="84"/>
      <c r="R292" s="83"/>
      <c r="S292" s="83"/>
      <c r="T292" s="85"/>
      <c r="U292" s="6"/>
      <c r="V292" s="44">
        <v>44340</v>
      </c>
      <c r="W292" s="45">
        <v>138.22999999999999</v>
      </c>
      <c r="X292" s="46"/>
      <c r="Y292" s="61"/>
      <c r="Z292" s="5"/>
      <c r="AA292" s="5"/>
      <c r="AB292" s="5"/>
      <c r="AC292" s="5"/>
      <c r="AD292" s="5"/>
      <c r="AE292" s="5"/>
      <c r="AF292" s="5"/>
      <c r="AG292" s="5"/>
      <c r="AH292" s="6"/>
      <c r="AI292" s="44">
        <v>44340</v>
      </c>
      <c r="AJ292" s="53">
        <v>138.22999999999999</v>
      </c>
      <c r="AK292" s="54">
        <f t="shared" si="44"/>
        <v>-1.4466546112124057E-4</v>
      </c>
      <c r="AL292" s="55">
        <f t="shared" si="47"/>
        <v>9.7343530134612255</v>
      </c>
      <c r="AM292" s="56">
        <v>25</v>
      </c>
      <c r="AN292" s="57">
        <f t="shared" si="45"/>
        <v>15.265646986538774</v>
      </c>
      <c r="AO292" s="76">
        <f t="shared" si="48"/>
        <v>10.869316647304561</v>
      </c>
      <c r="AP292" s="63" t="str">
        <f t="shared" si="49"/>
        <v>Buy Stocks</v>
      </c>
      <c r="AQ292" s="63" t="str">
        <f t="shared" si="50"/>
        <v/>
      </c>
      <c r="AR292" s="63" t="str">
        <f t="shared" si="51"/>
        <v/>
      </c>
      <c r="AS292" s="63" t="str">
        <f t="shared" si="52"/>
        <v/>
      </c>
      <c r="AT292" s="78" t="str">
        <f t="shared" si="53"/>
        <v/>
      </c>
      <c r="AU292" s="78" t="str">
        <f t="shared" si="54"/>
        <v/>
      </c>
      <c r="AV292" s="64" t="str">
        <f ca="1">IFERROR(__xludf.DUMMYFUNCTION("IF(TRIM(AU292)="""","""",AU292/INDEX(FILTER(AT$3:AT292,TRIM(AT$3:AT292)&lt;&gt;""""),ROWS(FILTER(AT$3:AT292,TRIM(AT$3:AT292)&lt;&gt;"""")))-1)"),"")</f>
        <v/>
      </c>
      <c r="AW292" s="65" t="e">
        <f t="shared" ca="1" si="46"/>
        <v>#VALUE!</v>
      </c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</row>
    <row r="293" spans="1:68" ht="19" x14ac:dyDescent="0.25">
      <c r="A293" s="5"/>
      <c r="B293" s="5"/>
      <c r="C293" s="5"/>
      <c r="D293" s="5"/>
      <c r="E293" s="5"/>
      <c r="F293" s="5"/>
      <c r="G293" s="5"/>
      <c r="H293" s="6"/>
      <c r="I293" s="5"/>
      <c r="J293" s="83"/>
      <c r="K293" s="83"/>
      <c r="L293" s="83"/>
      <c r="M293" s="83"/>
      <c r="N293" s="83"/>
      <c r="O293" s="83"/>
      <c r="P293" s="83"/>
      <c r="Q293" s="84"/>
      <c r="R293" s="83"/>
      <c r="S293" s="83"/>
      <c r="T293" s="85"/>
      <c r="U293" s="6"/>
      <c r="V293" s="44">
        <v>44341</v>
      </c>
      <c r="W293" s="45">
        <v>137.34</v>
      </c>
      <c r="X293" s="46"/>
      <c r="Y293" s="61"/>
      <c r="Z293" s="5"/>
      <c r="AA293" s="5"/>
      <c r="AB293" s="5"/>
      <c r="AC293" s="5"/>
      <c r="AD293" s="5"/>
      <c r="AE293" s="5"/>
      <c r="AF293" s="5"/>
      <c r="AG293" s="5"/>
      <c r="AH293" s="6"/>
      <c r="AI293" s="44">
        <v>44341</v>
      </c>
      <c r="AJ293" s="53">
        <v>137.34</v>
      </c>
      <c r="AK293" s="54">
        <f t="shared" si="44"/>
        <v>-6.4385444548938908E-3</v>
      </c>
      <c r="AL293" s="55">
        <f t="shared" si="47"/>
        <v>8.8893343153573152</v>
      </c>
      <c r="AM293" s="56">
        <v>25</v>
      </c>
      <c r="AN293" s="57">
        <f t="shared" si="45"/>
        <v>16.110665684642683</v>
      </c>
      <c r="AO293" s="76">
        <f t="shared" si="48"/>
        <v>13.889349024913685</v>
      </c>
      <c r="AP293" s="63" t="str">
        <f t="shared" si="49"/>
        <v>Buy Stocks</v>
      </c>
      <c r="AQ293" s="63" t="str">
        <f t="shared" si="50"/>
        <v/>
      </c>
      <c r="AR293" s="63" t="str">
        <f t="shared" si="51"/>
        <v/>
      </c>
      <c r="AS293" s="63" t="str">
        <f t="shared" si="52"/>
        <v/>
      </c>
      <c r="AT293" s="78" t="str">
        <f t="shared" si="53"/>
        <v/>
      </c>
      <c r="AU293" s="78" t="str">
        <f t="shared" si="54"/>
        <v/>
      </c>
      <c r="AV293" s="64" t="str">
        <f ca="1">IFERROR(__xludf.DUMMYFUNCTION("IF(TRIM(AU293)="""","""",AU293/INDEX(FILTER(AT$3:AT293,TRIM(AT$3:AT293)&lt;&gt;""""),ROWS(FILTER(AT$3:AT293,TRIM(AT$3:AT293)&lt;&gt;"""")))-1)"),"")</f>
        <v/>
      </c>
      <c r="AW293" s="65" t="e">
        <f t="shared" ca="1" si="46"/>
        <v>#VALUE!</v>
      </c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</row>
    <row r="294" spans="1:68" ht="19" x14ac:dyDescent="0.25">
      <c r="A294" s="5"/>
      <c r="B294" s="5"/>
      <c r="C294" s="5"/>
      <c r="D294" s="5"/>
      <c r="E294" s="5"/>
      <c r="F294" s="5"/>
      <c r="G294" s="5"/>
      <c r="H294" s="6"/>
      <c r="I294" s="5"/>
      <c r="J294" s="83"/>
      <c r="K294" s="83"/>
      <c r="L294" s="83"/>
      <c r="M294" s="83"/>
      <c r="N294" s="83"/>
      <c r="O294" s="83"/>
      <c r="P294" s="83"/>
      <c r="Q294" s="84"/>
      <c r="R294" s="83"/>
      <c r="S294" s="83"/>
      <c r="T294" s="85"/>
      <c r="U294" s="6"/>
      <c r="V294" s="44">
        <v>44342</v>
      </c>
      <c r="W294" s="45">
        <v>136.94999999999999</v>
      </c>
      <c r="X294" s="46"/>
      <c r="Y294" s="61"/>
      <c r="Z294" s="5"/>
      <c r="AA294" s="5"/>
      <c r="AB294" s="5"/>
      <c r="AC294" s="5"/>
      <c r="AD294" s="5"/>
      <c r="AE294" s="5"/>
      <c r="AF294" s="5"/>
      <c r="AG294" s="5"/>
      <c r="AH294" s="6"/>
      <c r="AI294" s="44">
        <v>44342</v>
      </c>
      <c r="AJ294" s="53">
        <v>136.94999999999999</v>
      </c>
      <c r="AK294" s="54">
        <f t="shared" si="44"/>
        <v>-2.8396679772827449E-3</v>
      </c>
      <c r="AL294" s="55">
        <f t="shared" si="47"/>
        <v>8.2506309624125418</v>
      </c>
      <c r="AM294" s="56">
        <v>25</v>
      </c>
      <c r="AN294" s="57">
        <f t="shared" si="45"/>
        <v>16.749369037587456</v>
      </c>
      <c r="AO294" s="76">
        <f t="shared" si="48"/>
        <v>15.760692632877726</v>
      </c>
      <c r="AP294" s="63" t="str">
        <f t="shared" si="49"/>
        <v>Buy Stocks</v>
      </c>
      <c r="AQ294" s="63" t="str">
        <f t="shared" si="50"/>
        <v/>
      </c>
      <c r="AR294" s="63" t="str">
        <f t="shared" si="51"/>
        <v/>
      </c>
      <c r="AS294" s="63" t="str">
        <f t="shared" si="52"/>
        <v/>
      </c>
      <c r="AT294" s="78" t="str">
        <f t="shared" si="53"/>
        <v/>
      </c>
      <c r="AU294" s="78" t="str">
        <f t="shared" si="54"/>
        <v/>
      </c>
      <c r="AV294" s="64" t="str">
        <f ca="1">IFERROR(__xludf.DUMMYFUNCTION("IF(TRIM(AU294)="""","""",AU294/INDEX(FILTER(AT$3:AT294,TRIM(AT$3:AT294)&lt;&gt;""""),ROWS(FILTER(AT$3:AT294,TRIM(AT$3:AT294)&lt;&gt;"""")))-1)"),"")</f>
        <v/>
      </c>
      <c r="AW294" s="65" t="e">
        <f t="shared" ca="1" si="46"/>
        <v>#VALUE!</v>
      </c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</row>
    <row r="295" spans="1:68" ht="19" x14ac:dyDescent="0.25">
      <c r="A295" s="5"/>
      <c r="B295" s="5"/>
      <c r="C295" s="5"/>
      <c r="D295" s="5"/>
      <c r="E295" s="5"/>
      <c r="F295" s="5"/>
      <c r="G295" s="5"/>
      <c r="H295" s="6"/>
      <c r="I295" s="5"/>
      <c r="J295" s="83"/>
      <c r="K295" s="83"/>
      <c r="L295" s="83"/>
      <c r="M295" s="83"/>
      <c r="N295" s="83"/>
      <c r="O295" s="83"/>
      <c r="P295" s="83"/>
      <c r="Q295" s="84"/>
      <c r="R295" s="83"/>
      <c r="S295" s="83"/>
      <c r="T295" s="85"/>
      <c r="U295" s="6"/>
      <c r="V295" s="44">
        <v>44343</v>
      </c>
      <c r="W295" s="45">
        <v>137.37</v>
      </c>
      <c r="X295" s="46"/>
      <c r="Y295" s="61"/>
      <c r="Z295" s="5"/>
      <c r="AA295" s="5"/>
      <c r="AB295" s="5"/>
      <c r="AC295" s="5"/>
      <c r="AD295" s="5"/>
      <c r="AE295" s="5"/>
      <c r="AF295" s="5"/>
      <c r="AG295" s="5"/>
      <c r="AH295" s="6"/>
      <c r="AI295" s="44">
        <v>44343</v>
      </c>
      <c r="AJ295" s="53">
        <v>137.37</v>
      </c>
      <c r="AK295" s="54">
        <f t="shared" si="44"/>
        <v>3.0668127053670169E-3</v>
      </c>
      <c r="AL295" s="55">
        <f t="shared" si="47"/>
        <v>7.7165340219631728</v>
      </c>
      <c r="AM295" s="56">
        <v>25</v>
      </c>
      <c r="AN295" s="57">
        <f t="shared" si="45"/>
        <v>17.283465978036826</v>
      </c>
      <c r="AO295" s="76">
        <f t="shared" si="48"/>
        <v>16.070793463571938</v>
      </c>
      <c r="AP295" s="63" t="str">
        <f t="shared" si="49"/>
        <v>Buy Stocks</v>
      </c>
      <c r="AQ295" s="63" t="str">
        <f t="shared" si="50"/>
        <v/>
      </c>
      <c r="AR295" s="63" t="str">
        <f t="shared" si="51"/>
        <v/>
      </c>
      <c r="AS295" s="63" t="str">
        <f t="shared" si="52"/>
        <v/>
      </c>
      <c r="AT295" s="78" t="str">
        <f t="shared" si="53"/>
        <v/>
      </c>
      <c r="AU295" s="78" t="str">
        <f t="shared" si="54"/>
        <v/>
      </c>
      <c r="AV295" s="64" t="str">
        <f ca="1">IFERROR(__xludf.DUMMYFUNCTION("IF(TRIM(AU295)="""","""",AU295/INDEX(FILTER(AT$3:AT295,TRIM(AT$3:AT295)&lt;&gt;""""),ROWS(FILTER(AT$3:AT295,TRIM(AT$3:AT295)&lt;&gt;"""")))-1)"),"")</f>
        <v/>
      </c>
      <c r="AW295" s="65" t="e">
        <f t="shared" ca="1" si="46"/>
        <v>#VALUE!</v>
      </c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</row>
    <row r="296" spans="1:68" ht="19" x14ac:dyDescent="0.25">
      <c r="A296" s="5"/>
      <c r="B296" s="5"/>
      <c r="C296" s="5"/>
      <c r="D296" s="5"/>
      <c r="E296" s="5"/>
      <c r="F296" s="5"/>
      <c r="G296" s="5"/>
      <c r="H296" s="6"/>
      <c r="I296" s="5"/>
      <c r="J296" s="83"/>
      <c r="K296" s="83"/>
      <c r="L296" s="83"/>
      <c r="M296" s="83"/>
      <c r="N296" s="83"/>
      <c r="O296" s="83"/>
      <c r="P296" s="83"/>
      <c r="Q296" s="84"/>
      <c r="R296" s="83"/>
      <c r="S296" s="83"/>
      <c r="T296" s="85"/>
      <c r="U296" s="6"/>
      <c r="V296" s="44">
        <v>44344</v>
      </c>
      <c r="W296" s="45">
        <v>137.30000000000001</v>
      </c>
      <c r="X296" s="46"/>
      <c r="Y296" s="61"/>
      <c r="Z296" s="5"/>
      <c r="AA296" s="5"/>
      <c r="AB296" s="5"/>
      <c r="AC296" s="5"/>
      <c r="AD296" s="5"/>
      <c r="AE296" s="5"/>
      <c r="AF296" s="5"/>
      <c r="AG296" s="5"/>
      <c r="AH296" s="6"/>
      <c r="AI296" s="44">
        <v>44344</v>
      </c>
      <c r="AJ296" s="53">
        <v>137.30000000000001</v>
      </c>
      <c r="AK296" s="54">
        <f t="shared" si="44"/>
        <v>-5.095726869038808E-4</v>
      </c>
      <c r="AL296" s="55">
        <f t="shared" si="47"/>
        <v>5.5999621461015341</v>
      </c>
      <c r="AM296" s="56">
        <v>25</v>
      </c>
      <c r="AN296" s="57">
        <f t="shared" si="45"/>
        <v>19.400037853898468</v>
      </c>
      <c r="AO296" s="76">
        <f t="shared" si="48"/>
        <v>16.961837108140841</v>
      </c>
      <c r="AP296" s="63" t="str">
        <f t="shared" si="49"/>
        <v>Buy Stocks</v>
      </c>
      <c r="AQ296" s="63" t="str">
        <f t="shared" si="50"/>
        <v/>
      </c>
      <c r="AR296" s="63" t="str">
        <f t="shared" si="51"/>
        <v/>
      </c>
      <c r="AS296" s="63" t="str">
        <f t="shared" si="52"/>
        <v/>
      </c>
      <c r="AT296" s="78" t="str">
        <f t="shared" si="53"/>
        <v/>
      </c>
      <c r="AU296" s="78" t="str">
        <f t="shared" si="54"/>
        <v/>
      </c>
      <c r="AV296" s="64" t="str">
        <f ca="1">IFERROR(__xludf.DUMMYFUNCTION("IF(TRIM(AU296)="""","""",AU296/INDEX(FILTER(AT$3:AT296,TRIM(AT$3:AT296)&lt;&gt;""""),ROWS(FILTER(AT$3:AT296,TRIM(AT$3:AT296)&lt;&gt;"""")))-1)"),"")</f>
        <v/>
      </c>
      <c r="AW296" s="65" t="e">
        <f t="shared" ca="1" si="46"/>
        <v>#VALUE!</v>
      </c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</row>
    <row r="297" spans="1:68" ht="19" x14ac:dyDescent="0.25">
      <c r="A297" s="5"/>
      <c r="B297" s="5"/>
      <c r="C297" s="5"/>
      <c r="D297" s="5"/>
      <c r="E297" s="5"/>
      <c r="F297" s="5"/>
      <c r="G297" s="5"/>
      <c r="H297" s="6"/>
      <c r="I297" s="5"/>
      <c r="J297" s="83"/>
      <c r="K297" s="83"/>
      <c r="L297" s="83"/>
      <c r="M297" s="83"/>
      <c r="N297" s="83"/>
      <c r="O297" s="83"/>
      <c r="P297" s="83"/>
      <c r="Q297" s="84"/>
      <c r="R297" s="83"/>
      <c r="S297" s="83"/>
      <c r="T297" s="85"/>
      <c r="U297" s="6"/>
      <c r="V297" s="44">
        <v>44348</v>
      </c>
      <c r="W297" s="45">
        <v>137.72999999999999</v>
      </c>
      <c r="X297" s="46"/>
      <c r="Y297" s="61"/>
      <c r="Z297" s="5"/>
      <c r="AA297" s="5"/>
      <c r="AB297" s="5"/>
      <c r="AC297" s="5"/>
      <c r="AD297" s="5"/>
      <c r="AE297" s="5"/>
      <c r="AF297" s="5"/>
      <c r="AG297" s="5"/>
      <c r="AH297" s="6"/>
      <c r="AI297" s="44">
        <v>44348</v>
      </c>
      <c r="AJ297" s="53">
        <v>137.72999999999999</v>
      </c>
      <c r="AK297" s="54">
        <f t="shared" si="44"/>
        <v>3.1318281136196724E-3</v>
      </c>
      <c r="AL297" s="55">
        <f t="shared" si="47"/>
        <v>6.4685225138182867</v>
      </c>
      <c r="AM297" s="56">
        <v>25</v>
      </c>
      <c r="AN297" s="57">
        <f t="shared" si="45"/>
        <v>18.531477486181714</v>
      </c>
      <c r="AO297" s="76">
        <f t="shared" si="48"/>
        <v>17.615003208069432</v>
      </c>
      <c r="AP297" s="63" t="str">
        <f t="shared" si="49"/>
        <v>Buy Stocks</v>
      </c>
      <c r="AQ297" s="63" t="str">
        <f t="shared" si="50"/>
        <v/>
      </c>
      <c r="AR297" s="63" t="str">
        <f t="shared" si="51"/>
        <v/>
      </c>
      <c r="AS297" s="63" t="str">
        <f t="shared" si="52"/>
        <v/>
      </c>
      <c r="AT297" s="78" t="str">
        <f t="shared" si="53"/>
        <v/>
      </c>
      <c r="AU297" s="78" t="str">
        <f t="shared" si="54"/>
        <v/>
      </c>
      <c r="AV297" s="64" t="str">
        <f ca="1">IFERROR(__xludf.DUMMYFUNCTION("IF(TRIM(AU297)="""","""",AU297/INDEX(FILTER(AT$3:AT297,TRIM(AT$3:AT297)&lt;&gt;""""),ROWS(FILTER(AT$3:AT297,TRIM(AT$3:AT297)&lt;&gt;"""")))-1)"),"")</f>
        <v/>
      </c>
      <c r="AW297" s="65" t="e">
        <f t="shared" ca="1" si="46"/>
        <v>#VALUE!</v>
      </c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</row>
    <row r="298" spans="1:68" ht="19" x14ac:dyDescent="0.25">
      <c r="A298" s="5"/>
      <c r="B298" s="5"/>
      <c r="C298" s="5"/>
      <c r="D298" s="5"/>
      <c r="E298" s="5"/>
      <c r="F298" s="5"/>
      <c r="G298" s="5"/>
      <c r="H298" s="6"/>
      <c r="I298" s="5"/>
      <c r="J298" s="83"/>
      <c r="K298" s="83"/>
      <c r="L298" s="83"/>
      <c r="M298" s="83"/>
      <c r="N298" s="83"/>
      <c r="O298" s="83"/>
      <c r="P298" s="83"/>
      <c r="Q298" s="84"/>
      <c r="R298" s="83"/>
      <c r="S298" s="83"/>
      <c r="T298" s="85"/>
      <c r="U298" s="6"/>
      <c r="V298" s="44">
        <v>44349</v>
      </c>
      <c r="W298" s="45">
        <v>139.19</v>
      </c>
      <c r="X298" s="46"/>
      <c r="Y298" s="61"/>
      <c r="Z298" s="5"/>
      <c r="AA298" s="5"/>
      <c r="AB298" s="5"/>
      <c r="AC298" s="5"/>
      <c r="AD298" s="5"/>
      <c r="AE298" s="5"/>
      <c r="AF298" s="5"/>
      <c r="AG298" s="5"/>
      <c r="AH298" s="6"/>
      <c r="AI298" s="44">
        <v>44349</v>
      </c>
      <c r="AJ298" s="53">
        <v>139.19</v>
      </c>
      <c r="AK298" s="54">
        <f t="shared" si="44"/>
        <v>1.0600450156102559E-2</v>
      </c>
      <c r="AL298" s="55">
        <f t="shared" si="47"/>
        <v>8.0838082842122976</v>
      </c>
      <c r="AM298" s="56">
        <v>25</v>
      </c>
      <c r="AN298" s="57">
        <f t="shared" si="45"/>
        <v>16.916191715787704</v>
      </c>
      <c r="AO298" s="76">
        <f t="shared" si="48"/>
        <v>17.776108414298434</v>
      </c>
      <c r="AP298" s="63" t="str">
        <f t="shared" si="49"/>
        <v>Buy Stocks</v>
      </c>
      <c r="AQ298" s="63" t="str">
        <f t="shared" si="50"/>
        <v/>
      </c>
      <c r="AR298" s="63" t="str">
        <f t="shared" si="51"/>
        <v/>
      </c>
      <c r="AS298" s="63" t="str">
        <f t="shared" si="52"/>
        <v/>
      </c>
      <c r="AT298" s="78" t="str">
        <f t="shared" si="53"/>
        <v/>
      </c>
      <c r="AU298" s="78" t="str">
        <f t="shared" si="54"/>
        <v/>
      </c>
      <c r="AV298" s="64" t="str">
        <f ca="1">IFERROR(__xludf.DUMMYFUNCTION("IF(TRIM(AU298)="""","""",AU298/INDEX(FILTER(AT$3:AT298,TRIM(AT$3:AT298)&lt;&gt;""""),ROWS(FILTER(AT$3:AT298,TRIM(AT$3:AT298)&lt;&gt;"""")))-1)"),"")</f>
        <v/>
      </c>
      <c r="AW298" s="65" t="e">
        <f t="shared" ca="1" si="46"/>
        <v>#VALUE!</v>
      </c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</row>
    <row r="299" spans="1:68" ht="19" x14ac:dyDescent="0.25">
      <c r="A299" s="5"/>
      <c r="B299" s="5"/>
      <c r="C299" s="5"/>
      <c r="D299" s="5"/>
      <c r="E299" s="5"/>
      <c r="F299" s="5"/>
      <c r="G299" s="5"/>
      <c r="H299" s="6"/>
      <c r="I299" s="5"/>
      <c r="J299" s="83"/>
      <c r="K299" s="83"/>
      <c r="L299" s="83"/>
      <c r="M299" s="83"/>
      <c r="N299" s="83"/>
      <c r="O299" s="83"/>
      <c r="P299" s="83"/>
      <c r="Q299" s="84"/>
      <c r="R299" s="83"/>
      <c r="S299" s="83"/>
      <c r="T299" s="85"/>
      <c r="U299" s="6"/>
      <c r="V299" s="87">
        <v>44350</v>
      </c>
      <c r="W299" s="45">
        <v>139.02000000000001</v>
      </c>
      <c r="X299" s="46"/>
      <c r="Y299" s="61"/>
      <c r="Z299" s="5"/>
      <c r="AA299" s="5"/>
      <c r="AB299" s="5"/>
      <c r="AC299" s="5"/>
      <c r="AD299" s="5"/>
      <c r="AE299" s="5"/>
      <c r="AF299" s="5"/>
      <c r="AG299" s="5"/>
      <c r="AH299" s="6"/>
      <c r="AI299" s="87">
        <v>44350</v>
      </c>
      <c r="AJ299" s="53">
        <v>139.02000000000001</v>
      </c>
      <c r="AK299" s="54">
        <f t="shared" si="44"/>
        <v>-1.2213521086283929E-3</v>
      </c>
      <c r="AL299" s="55">
        <f t="shared" si="47"/>
        <v>7.4426166126186493</v>
      </c>
      <c r="AM299" s="56">
        <v>25</v>
      </c>
      <c r="AN299" s="57">
        <f t="shared" si="45"/>
        <v>17.55738338738135</v>
      </c>
      <c r="AO299" s="76">
        <f t="shared" si="48"/>
        <v>17.937711284257212</v>
      </c>
      <c r="AP299" s="63" t="str">
        <f t="shared" si="49"/>
        <v>Buy Stocks</v>
      </c>
      <c r="AQ299" s="63" t="str">
        <f t="shared" si="50"/>
        <v/>
      </c>
      <c r="AR299" s="63" t="str">
        <f t="shared" si="51"/>
        <v/>
      </c>
      <c r="AS299" s="63" t="str">
        <f t="shared" si="52"/>
        <v/>
      </c>
      <c r="AT299" s="78" t="str">
        <f t="shared" si="53"/>
        <v/>
      </c>
      <c r="AU299" s="78" t="str">
        <f t="shared" si="54"/>
        <v/>
      </c>
      <c r="AV299" s="64" t="str">
        <f ca="1">IFERROR(__xludf.DUMMYFUNCTION("IF(TRIM(AU299)="""","""",AU299/INDEX(FILTER(AT$3:AT299,TRIM(AT$3:AT299)&lt;&gt;""""),ROWS(FILTER(AT$3:AT299,TRIM(AT$3:AT299)&lt;&gt;"""")))-1)"),"")</f>
        <v/>
      </c>
      <c r="AW299" s="65" t="e">
        <f t="shared" ca="1" si="46"/>
        <v>#VALUE!</v>
      </c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</row>
    <row r="300" spans="1:68" ht="19" x14ac:dyDescent="0.25">
      <c r="A300" s="5"/>
      <c r="B300" s="5"/>
      <c r="C300" s="5"/>
      <c r="D300" s="5"/>
      <c r="E300" s="5"/>
      <c r="F300" s="5"/>
      <c r="G300" s="5"/>
      <c r="H300" s="6"/>
      <c r="I300" s="5"/>
      <c r="J300" s="83"/>
      <c r="K300" s="83"/>
      <c r="L300" s="83"/>
      <c r="M300" s="83"/>
      <c r="N300" s="83"/>
      <c r="O300" s="83"/>
      <c r="P300" s="83"/>
      <c r="Q300" s="84"/>
      <c r="R300" s="83"/>
      <c r="S300" s="83"/>
      <c r="T300" s="85"/>
      <c r="U300" s="6"/>
      <c r="V300" s="87">
        <v>44351</v>
      </c>
      <c r="W300" s="45">
        <v>140.81</v>
      </c>
      <c r="X300" s="46"/>
      <c r="Y300" s="61"/>
      <c r="Z300" s="5"/>
      <c r="AA300" s="5"/>
      <c r="AB300" s="5"/>
      <c r="AC300" s="5"/>
      <c r="AD300" s="5"/>
      <c r="AE300" s="5"/>
      <c r="AF300" s="5"/>
      <c r="AG300" s="5"/>
      <c r="AH300" s="6"/>
      <c r="AI300" s="87">
        <v>44351</v>
      </c>
      <c r="AJ300" s="53">
        <v>140.81</v>
      </c>
      <c r="AK300" s="54">
        <f t="shared" si="44"/>
        <v>1.2875845202129144E-2</v>
      </c>
      <c r="AL300" s="55">
        <f t="shared" si="47"/>
        <v>10.224638629276289</v>
      </c>
      <c r="AM300" s="56">
        <v>25</v>
      </c>
      <c r="AN300" s="57">
        <f t="shared" si="45"/>
        <v>14.775361370723711</v>
      </c>
      <c r="AO300" s="76">
        <f t="shared" si="48"/>
        <v>17.436090362794591</v>
      </c>
      <c r="AP300" s="63" t="str">
        <f t="shared" si="49"/>
        <v>Buy Stocks</v>
      </c>
      <c r="AQ300" s="63" t="str">
        <f t="shared" si="50"/>
        <v/>
      </c>
      <c r="AR300" s="63" t="str">
        <f t="shared" si="51"/>
        <v/>
      </c>
      <c r="AS300" s="63" t="str">
        <f t="shared" si="52"/>
        <v/>
      </c>
      <c r="AT300" s="78" t="str">
        <f t="shared" si="53"/>
        <v/>
      </c>
      <c r="AU300" s="78" t="str">
        <f t="shared" si="54"/>
        <v/>
      </c>
      <c r="AV300" s="64" t="str">
        <f ca="1">IFERROR(__xludf.DUMMYFUNCTION("IF(TRIM(AU300)="""","""",AU300/INDEX(FILTER(AT$3:AT300,TRIM(AT$3:AT300)&lt;&gt;""""),ROWS(FILTER(AT$3:AT300,TRIM(AT$3:AT300)&lt;&gt;"""")))-1)"),"")</f>
        <v/>
      </c>
      <c r="AW300" s="65" t="e">
        <f t="shared" ca="1" si="46"/>
        <v>#VALUE!</v>
      </c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</row>
    <row r="301" spans="1:68" ht="19" x14ac:dyDescent="0.25">
      <c r="A301" s="5"/>
      <c r="B301" s="5"/>
      <c r="C301" s="5"/>
      <c r="D301" s="5"/>
      <c r="E301" s="5"/>
      <c r="F301" s="5"/>
      <c r="G301" s="5"/>
      <c r="H301" s="6"/>
      <c r="I301" s="5"/>
      <c r="J301" s="83"/>
      <c r="K301" s="83"/>
      <c r="L301" s="83"/>
      <c r="M301" s="83"/>
      <c r="N301" s="83"/>
      <c r="O301" s="83"/>
      <c r="P301" s="83"/>
      <c r="Q301" s="84"/>
      <c r="R301" s="83"/>
      <c r="S301" s="83"/>
      <c r="T301" s="85"/>
      <c r="U301" s="6"/>
      <c r="V301" s="87">
        <v>44354</v>
      </c>
      <c r="W301" s="45">
        <v>141.38</v>
      </c>
      <c r="X301" s="46"/>
      <c r="Y301" s="61"/>
      <c r="Z301" s="5"/>
      <c r="AA301" s="5"/>
      <c r="AB301" s="5"/>
      <c r="AC301" s="5"/>
      <c r="AD301" s="5"/>
      <c r="AE301" s="5"/>
      <c r="AF301" s="5"/>
      <c r="AG301" s="5"/>
      <c r="AH301" s="6"/>
      <c r="AI301" s="87">
        <v>44354</v>
      </c>
      <c r="AJ301" s="53">
        <v>141.38</v>
      </c>
      <c r="AK301" s="54">
        <f t="shared" si="44"/>
        <v>4.0480079539804148E-3</v>
      </c>
      <c r="AL301" s="55">
        <f t="shared" si="47"/>
        <v>9.1386062948027611</v>
      </c>
      <c r="AM301" s="56">
        <v>25</v>
      </c>
      <c r="AN301" s="57">
        <f t="shared" si="45"/>
        <v>15.861393705197239</v>
      </c>
      <c r="AO301" s="76">
        <f t="shared" si="48"/>
        <v>16.728361533054347</v>
      </c>
      <c r="AP301" s="63" t="str">
        <f t="shared" si="49"/>
        <v>Buy Stocks</v>
      </c>
      <c r="AQ301" s="63" t="str">
        <f t="shared" si="50"/>
        <v/>
      </c>
      <c r="AR301" s="63" t="str">
        <f t="shared" si="51"/>
        <v/>
      </c>
      <c r="AS301" s="63" t="str">
        <f t="shared" si="52"/>
        <v/>
      </c>
      <c r="AT301" s="78" t="str">
        <f t="shared" si="53"/>
        <v/>
      </c>
      <c r="AU301" s="78" t="str">
        <f t="shared" si="54"/>
        <v/>
      </c>
      <c r="AV301" s="64" t="str">
        <f ca="1">IFERROR(__xludf.DUMMYFUNCTION("IF(TRIM(AU301)="""","""",AU301/INDEX(FILTER(AT$3:AT301,TRIM(AT$3:AT301)&lt;&gt;""""),ROWS(FILTER(AT$3:AT301,TRIM(AT$3:AT301)&lt;&gt;"""")))-1)"),"")</f>
        <v/>
      </c>
      <c r="AW301" s="65" t="e">
        <f t="shared" ca="1" si="46"/>
        <v>#VALUE!</v>
      </c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</row>
    <row r="302" spans="1:68" ht="19" x14ac:dyDescent="0.25">
      <c r="A302" s="5"/>
      <c r="B302" s="5"/>
      <c r="C302" s="5"/>
      <c r="D302" s="5"/>
      <c r="E302" s="5"/>
      <c r="F302" s="5"/>
      <c r="G302" s="5"/>
      <c r="H302" s="6"/>
      <c r="I302" s="5"/>
      <c r="J302" s="83"/>
      <c r="K302" s="83"/>
      <c r="L302" s="83"/>
      <c r="M302" s="83"/>
      <c r="N302" s="83"/>
      <c r="O302" s="83"/>
      <c r="P302" s="83"/>
      <c r="Q302" s="84"/>
      <c r="R302" s="83"/>
      <c r="S302" s="83"/>
      <c r="T302" s="85"/>
      <c r="U302" s="6"/>
      <c r="V302" s="87">
        <v>44355</v>
      </c>
      <c r="W302" s="45">
        <v>142.38999999999999</v>
      </c>
      <c r="X302" s="46"/>
      <c r="Y302" s="61"/>
      <c r="Z302" s="5"/>
      <c r="AA302" s="5"/>
      <c r="AB302" s="5"/>
      <c r="AC302" s="5"/>
      <c r="AD302" s="5"/>
      <c r="AE302" s="5"/>
      <c r="AF302" s="5"/>
      <c r="AG302" s="5"/>
      <c r="AH302" s="6"/>
      <c r="AI302" s="87">
        <v>44355</v>
      </c>
      <c r="AJ302" s="53">
        <v>142.38999999999999</v>
      </c>
      <c r="AK302" s="54">
        <f t="shared" si="44"/>
        <v>7.1438675908896965E-3</v>
      </c>
      <c r="AL302" s="55">
        <f t="shared" si="47"/>
        <v>8.8147094565610562</v>
      </c>
      <c r="AM302" s="56">
        <v>25</v>
      </c>
      <c r="AN302" s="57">
        <f t="shared" si="45"/>
        <v>16.185290543438946</v>
      </c>
      <c r="AO302" s="76">
        <f t="shared" si="48"/>
        <v>16.25912414450579</v>
      </c>
      <c r="AP302" s="63" t="str">
        <f t="shared" si="49"/>
        <v>Buy Stocks</v>
      </c>
      <c r="AQ302" s="63" t="str">
        <f t="shared" si="50"/>
        <v/>
      </c>
      <c r="AR302" s="63" t="str">
        <f t="shared" si="51"/>
        <v/>
      </c>
      <c r="AS302" s="63" t="str">
        <f t="shared" si="52"/>
        <v/>
      </c>
      <c r="AT302" s="78" t="str">
        <f t="shared" si="53"/>
        <v/>
      </c>
      <c r="AU302" s="78" t="str">
        <f t="shared" si="54"/>
        <v/>
      </c>
      <c r="AV302" s="64" t="str">
        <f ca="1">IFERROR(__xludf.DUMMYFUNCTION("IF(TRIM(AU302)="""","""",AU302/INDEX(FILTER(AT$3:AT302,TRIM(AT$3:AT302)&lt;&gt;""""),ROWS(FILTER(AT$3:AT302,TRIM(AT$3:AT302)&lt;&gt;"""")))-1)"),"")</f>
        <v/>
      </c>
      <c r="AW302" s="65" t="e">
        <f t="shared" ca="1" si="46"/>
        <v>#VALUE!</v>
      </c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</row>
    <row r="303" spans="1:68" ht="19" x14ac:dyDescent="0.25">
      <c r="A303" s="5"/>
      <c r="B303" s="5"/>
      <c r="C303" s="5"/>
      <c r="D303" s="5"/>
      <c r="E303" s="5"/>
      <c r="F303" s="5"/>
      <c r="G303" s="5"/>
      <c r="H303" s="6"/>
      <c r="I303" s="5"/>
      <c r="J303" s="83"/>
      <c r="K303" s="83"/>
      <c r="L303" s="83"/>
      <c r="M303" s="83"/>
      <c r="N303" s="83"/>
      <c r="O303" s="83"/>
      <c r="P303" s="83"/>
      <c r="Q303" s="84"/>
      <c r="R303" s="83"/>
      <c r="S303" s="83"/>
      <c r="T303" s="85"/>
      <c r="U303" s="6"/>
      <c r="V303" s="87">
        <v>44356</v>
      </c>
      <c r="W303" s="45">
        <v>143.91</v>
      </c>
      <c r="X303" s="46"/>
      <c r="Y303" s="61"/>
      <c r="Z303" s="5"/>
      <c r="AA303" s="5"/>
      <c r="AB303" s="5"/>
      <c r="AC303" s="5"/>
      <c r="AD303" s="5"/>
      <c r="AE303" s="5"/>
      <c r="AF303" s="5"/>
      <c r="AG303" s="5"/>
      <c r="AH303" s="6"/>
      <c r="AI303" s="87">
        <v>44356</v>
      </c>
      <c r="AJ303" s="53">
        <v>143.91</v>
      </c>
      <c r="AK303" s="54">
        <f t="shared" si="44"/>
        <v>1.0674906945712603E-2</v>
      </c>
      <c r="AL303" s="55">
        <f t="shared" si="47"/>
        <v>8.8356560382492368</v>
      </c>
      <c r="AM303" s="56">
        <v>25</v>
      </c>
      <c r="AN303" s="57">
        <f t="shared" si="45"/>
        <v>16.164343961750763</v>
      </c>
      <c r="AO303" s="76">
        <f t="shared" si="48"/>
        <v>16.1087545936984</v>
      </c>
      <c r="AP303" s="63" t="str">
        <f t="shared" si="49"/>
        <v>Buy Stocks</v>
      </c>
      <c r="AQ303" s="63" t="str">
        <f t="shared" si="50"/>
        <v/>
      </c>
      <c r="AR303" s="63" t="str">
        <f t="shared" si="51"/>
        <v/>
      </c>
      <c r="AS303" s="63" t="str">
        <f t="shared" si="52"/>
        <v/>
      </c>
      <c r="AT303" s="78" t="str">
        <f t="shared" si="53"/>
        <v/>
      </c>
      <c r="AU303" s="78" t="str">
        <f t="shared" si="54"/>
        <v/>
      </c>
      <c r="AV303" s="64" t="str">
        <f ca="1">IFERROR(__xludf.DUMMYFUNCTION("IF(TRIM(AU303)="""","""",AU303/INDEX(FILTER(AT$3:AT303,TRIM(AT$3:AT303)&lt;&gt;""""),ROWS(FILTER(AT$3:AT303,TRIM(AT$3:AT303)&lt;&gt;"""")))-1)"),"")</f>
        <v/>
      </c>
      <c r="AW303" s="65" t="e">
        <f t="shared" ca="1" si="46"/>
        <v>#VALUE!</v>
      </c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</row>
    <row r="304" spans="1:68" ht="19" x14ac:dyDescent="0.25">
      <c r="A304" s="5"/>
      <c r="B304" s="5"/>
      <c r="C304" s="5"/>
      <c r="D304" s="5"/>
      <c r="E304" s="5"/>
      <c r="F304" s="5"/>
      <c r="G304" s="5"/>
      <c r="H304" s="6"/>
      <c r="I304" s="5"/>
      <c r="J304" s="83"/>
      <c r="K304" s="83"/>
      <c r="L304" s="83"/>
      <c r="M304" s="83"/>
      <c r="N304" s="83"/>
      <c r="O304" s="83"/>
      <c r="P304" s="83"/>
      <c r="Q304" s="84"/>
      <c r="R304" s="83"/>
      <c r="S304" s="83"/>
      <c r="T304" s="85"/>
      <c r="U304" s="6"/>
      <c r="V304" s="87">
        <v>44357</v>
      </c>
      <c r="W304" s="45">
        <v>143.79</v>
      </c>
      <c r="X304" s="46"/>
      <c r="Y304" s="61"/>
      <c r="Z304" s="5"/>
      <c r="AA304" s="5"/>
      <c r="AB304" s="5"/>
      <c r="AC304" s="5"/>
      <c r="AD304" s="5"/>
      <c r="AE304" s="5"/>
      <c r="AF304" s="5"/>
      <c r="AG304" s="5"/>
      <c r="AH304" s="6"/>
      <c r="AI304" s="87">
        <v>44357</v>
      </c>
      <c r="AJ304" s="53">
        <v>143.79</v>
      </c>
      <c r="AK304" s="54">
        <f t="shared" si="44"/>
        <v>-8.3385449239115061E-4</v>
      </c>
      <c r="AL304" s="55">
        <f t="shared" si="47"/>
        <v>8.6182853005814692</v>
      </c>
      <c r="AM304" s="56">
        <v>25</v>
      </c>
      <c r="AN304" s="57">
        <f t="shared" si="45"/>
        <v>16.381714699418531</v>
      </c>
      <c r="AO304" s="76">
        <f t="shared" si="48"/>
        <v>15.873620856105839</v>
      </c>
      <c r="AP304" s="63" t="str">
        <f t="shared" si="49"/>
        <v>Buy Stocks</v>
      </c>
      <c r="AQ304" s="63" t="str">
        <f t="shared" si="50"/>
        <v/>
      </c>
      <c r="AR304" s="63" t="str">
        <f t="shared" si="51"/>
        <v/>
      </c>
      <c r="AS304" s="63" t="str">
        <f t="shared" si="52"/>
        <v/>
      </c>
      <c r="AT304" s="78" t="str">
        <f t="shared" si="53"/>
        <v/>
      </c>
      <c r="AU304" s="78" t="str">
        <f t="shared" si="54"/>
        <v/>
      </c>
      <c r="AV304" s="64" t="str">
        <f ca="1">IFERROR(__xludf.DUMMYFUNCTION("IF(TRIM(AU304)="""","""",AU304/INDEX(FILTER(AT$3:AT304,TRIM(AT$3:AT304)&lt;&gt;""""),ROWS(FILTER(AT$3:AT304,TRIM(AT$3:AT304)&lt;&gt;"""")))-1)"),"")</f>
        <v/>
      </c>
      <c r="AW304" s="65" t="e">
        <f t="shared" ca="1" si="46"/>
        <v>#VALUE!</v>
      </c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</row>
    <row r="305" spans="1:68" ht="19" x14ac:dyDescent="0.25">
      <c r="A305" s="5"/>
      <c r="B305" s="5"/>
      <c r="C305" s="5"/>
      <c r="D305" s="5"/>
      <c r="E305" s="5"/>
      <c r="F305" s="5"/>
      <c r="G305" s="5"/>
      <c r="H305" s="6"/>
      <c r="I305" s="5"/>
      <c r="J305" s="83"/>
      <c r="K305" s="83"/>
      <c r="L305" s="83"/>
      <c r="M305" s="83"/>
      <c r="N305" s="83"/>
      <c r="O305" s="83"/>
      <c r="P305" s="83"/>
      <c r="Q305" s="84"/>
      <c r="R305" s="83"/>
      <c r="S305" s="83"/>
      <c r="T305" s="85"/>
      <c r="U305" s="6"/>
      <c r="V305" s="87">
        <v>44358</v>
      </c>
      <c r="W305" s="45">
        <v>144.5</v>
      </c>
      <c r="X305" s="46"/>
      <c r="Y305" s="61"/>
      <c r="Z305" s="5"/>
      <c r="AA305" s="5"/>
      <c r="AB305" s="5"/>
      <c r="AC305" s="5"/>
      <c r="AD305" s="5"/>
      <c r="AE305" s="5"/>
      <c r="AF305" s="5"/>
      <c r="AG305" s="5"/>
      <c r="AH305" s="6"/>
      <c r="AI305" s="87">
        <v>44358</v>
      </c>
      <c r="AJ305" s="53">
        <v>144.5</v>
      </c>
      <c r="AK305" s="54">
        <f t="shared" si="44"/>
        <v>4.9377564503789717E-3</v>
      </c>
      <c r="AL305" s="55">
        <f t="shared" si="47"/>
        <v>6.7141996584589272</v>
      </c>
      <c r="AM305" s="56">
        <v>25</v>
      </c>
      <c r="AN305" s="57">
        <f t="shared" si="45"/>
        <v>18.285800341541073</v>
      </c>
      <c r="AO305" s="76">
        <f t="shared" si="48"/>
        <v>16.575708650269313</v>
      </c>
      <c r="AP305" s="63" t="str">
        <f t="shared" si="49"/>
        <v>Buy Stocks</v>
      </c>
      <c r="AQ305" s="63" t="str">
        <f t="shared" si="50"/>
        <v/>
      </c>
      <c r="AR305" s="63" t="str">
        <f t="shared" si="51"/>
        <v/>
      </c>
      <c r="AS305" s="63" t="str">
        <f t="shared" si="52"/>
        <v/>
      </c>
      <c r="AT305" s="78" t="str">
        <f t="shared" si="53"/>
        <v/>
      </c>
      <c r="AU305" s="78" t="str">
        <f t="shared" si="54"/>
        <v/>
      </c>
      <c r="AV305" s="64" t="str">
        <f ca="1">IFERROR(__xludf.DUMMYFUNCTION("IF(TRIM(AU305)="""","""",AU305/INDEX(FILTER(AT$3:AT305,TRIM(AT$3:AT305)&lt;&gt;""""),ROWS(FILTER(AT$3:AT305,TRIM(AT$3:AT305)&lt;&gt;"""")))-1)"),"")</f>
        <v/>
      </c>
      <c r="AW305" s="65" t="e">
        <f t="shared" ca="1" si="46"/>
        <v>#VALUE!</v>
      </c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</row>
    <row r="306" spans="1:68" ht="19" x14ac:dyDescent="0.25">
      <c r="A306" s="5"/>
      <c r="B306" s="5"/>
      <c r="C306" s="5"/>
      <c r="D306" s="5"/>
      <c r="E306" s="5"/>
      <c r="F306" s="5"/>
      <c r="G306" s="5"/>
      <c r="H306" s="6"/>
      <c r="I306" s="5"/>
      <c r="J306" s="83"/>
      <c r="K306" s="83"/>
      <c r="L306" s="83"/>
      <c r="M306" s="83"/>
      <c r="N306" s="83"/>
      <c r="O306" s="83"/>
      <c r="P306" s="83"/>
      <c r="Q306" s="84"/>
      <c r="R306" s="83"/>
      <c r="S306" s="83"/>
      <c r="T306" s="85"/>
      <c r="U306" s="6"/>
      <c r="V306" s="87">
        <v>44361</v>
      </c>
      <c r="W306" s="45">
        <v>143.30000000000001</v>
      </c>
      <c r="X306" s="46"/>
      <c r="Y306" s="61"/>
      <c r="Z306" s="5"/>
      <c r="AA306" s="5"/>
      <c r="AB306" s="5"/>
      <c r="AC306" s="5"/>
      <c r="AD306" s="5"/>
      <c r="AE306" s="5"/>
      <c r="AF306" s="5"/>
      <c r="AG306" s="5"/>
      <c r="AH306" s="6"/>
      <c r="AI306" s="87">
        <v>44361</v>
      </c>
      <c r="AJ306" s="53">
        <v>143.30000000000001</v>
      </c>
      <c r="AK306" s="54">
        <f t="shared" si="44"/>
        <v>-8.304498269896099E-3</v>
      </c>
      <c r="AL306" s="55">
        <f t="shared" si="47"/>
        <v>11.824616330447558</v>
      </c>
      <c r="AM306" s="56">
        <v>25</v>
      </c>
      <c r="AN306" s="57">
        <f t="shared" si="45"/>
        <v>13.175383669552442</v>
      </c>
      <c r="AO306" s="76">
        <f t="shared" si="48"/>
        <v>16.038506643140352</v>
      </c>
      <c r="AP306" s="63" t="str">
        <f t="shared" si="49"/>
        <v>Buy Stocks</v>
      </c>
      <c r="AQ306" s="63" t="str">
        <f t="shared" si="50"/>
        <v/>
      </c>
      <c r="AR306" s="63" t="str">
        <f t="shared" si="51"/>
        <v/>
      </c>
      <c r="AS306" s="63" t="str">
        <f t="shared" si="52"/>
        <v/>
      </c>
      <c r="AT306" s="78" t="str">
        <f t="shared" si="53"/>
        <v/>
      </c>
      <c r="AU306" s="78" t="str">
        <f t="shared" si="54"/>
        <v/>
      </c>
      <c r="AV306" s="64" t="str">
        <f ca="1">IFERROR(__xludf.DUMMYFUNCTION("IF(TRIM(AU306)="""","""",AU306/INDEX(FILTER(AT$3:AT306,TRIM(AT$3:AT306)&lt;&gt;""""),ROWS(FILTER(AT$3:AT306,TRIM(AT$3:AT306)&lt;&gt;"""")))-1)"),"")</f>
        <v/>
      </c>
      <c r="AW306" s="65" t="e">
        <f t="shared" ca="1" si="46"/>
        <v>#VALUE!</v>
      </c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</row>
    <row r="307" spans="1:68" ht="19" x14ac:dyDescent="0.25">
      <c r="A307" s="5"/>
      <c r="B307" s="5"/>
      <c r="C307" s="5"/>
      <c r="D307" s="5"/>
      <c r="E307" s="5"/>
      <c r="F307" s="5"/>
      <c r="G307" s="5"/>
      <c r="H307" s="6"/>
      <c r="I307" s="5"/>
      <c r="J307" s="83"/>
      <c r="K307" s="83"/>
      <c r="L307" s="83"/>
      <c r="M307" s="83"/>
      <c r="N307" s="83"/>
      <c r="O307" s="83"/>
      <c r="P307" s="83"/>
      <c r="Q307" s="84"/>
      <c r="R307" s="83"/>
      <c r="S307" s="83"/>
      <c r="T307" s="85"/>
      <c r="U307" s="6"/>
      <c r="V307" s="87">
        <v>44362</v>
      </c>
      <c r="W307" s="45">
        <v>142.66</v>
      </c>
      <c r="X307" s="46"/>
      <c r="Y307" s="61"/>
      <c r="Z307" s="5"/>
      <c r="AA307" s="5"/>
      <c r="AB307" s="5"/>
      <c r="AC307" s="5"/>
      <c r="AD307" s="5"/>
      <c r="AE307" s="5"/>
      <c r="AF307" s="5"/>
      <c r="AG307" s="5"/>
      <c r="AH307" s="6"/>
      <c r="AI307" s="87">
        <v>44362</v>
      </c>
      <c r="AJ307" s="53">
        <v>142.66</v>
      </c>
      <c r="AK307" s="54">
        <f t="shared" si="44"/>
        <v>-4.4661549197488881E-3</v>
      </c>
      <c r="AL307" s="55">
        <f t="shared" si="47"/>
        <v>11.962236529365239</v>
      </c>
      <c r="AM307" s="56">
        <v>25</v>
      </c>
      <c r="AN307" s="57">
        <f t="shared" si="45"/>
        <v>13.037763470634761</v>
      </c>
      <c r="AO307" s="76">
        <f t="shared" si="48"/>
        <v>15.409001228579516</v>
      </c>
      <c r="AP307" s="63" t="str">
        <f t="shared" si="49"/>
        <v>Buy Stocks</v>
      </c>
      <c r="AQ307" s="63" t="str">
        <f t="shared" si="50"/>
        <v/>
      </c>
      <c r="AR307" s="63" t="str">
        <f t="shared" si="51"/>
        <v/>
      </c>
      <c r="AS307" s="63" t="str">
        <f t="shared" si="52"/>
        <v/>
      </c>
      <c r="AT307" s="78" t="str">
        <f t="shared" si="53"/>
        <v/>
      </c>
      <c r="AU307" s="78" t="str">
        <f t="shared" si="54"/>
        <v/>
      </c>
      <c r="AV307" s="64" t="str">
        <f ca="1">IFERROR(__xludf.DUMMYFUNCTION("IF(TRIM(AU307)="""","""",AU307/INDEX(FILTER(AT$3:AT307,TRIM(AT$3:AT307)&lt;&gt;""""),ROWS(FILTER(AT$3:AT307,TRIM(AT$3:AT307)&lt;&gt;"""")))-1)"),"")</f>
        <v/>
      </c>
      <c r="AW307" s="65" t="e">
        <f t="shared" ca="1" si="46"/>
        <v>#VALUE!</v>
      </c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</row>
    <row r="308" spans="1:68" ht="19" x14ac:dyDescent="0.25">
      <c r="A308" s="5"/>
      <c r="B308" s="5"/>
      <c r="C308" s="5"/>
      <c r="D308" s="5"/>
      <c r="E308" s="5"/>
      <c r="F308" s="5"/>
      <c r="G308" s="5"/>
      <c r="H308" s="6"/>
      <c r="I308" s="5"/>
      <c r="J308" s="83"/>
      <c r="K308" s="83"/>
      <c r="L308" s="83"/>
      <c r="M308" s="83"/>
      <c r="N308" s="83"/>
      <c r="O308" s="83"/>
      <c r="P308" s="83"/>
      <c r="Q308" s="84"/>
      <c r="R308" s="83"/>
      <c r="S308" s="83"/>
      <c r="T308" s="85"/>
      <c r="U308" s="6"/>
      <c r="V308" s="87">
        <v>44363</v>
      </c>
      <c r="W308" s="45">
        <v>141.19999999999999</v>
      </c>
      <c r="X308" s="46"/>
      <c r="Y308" s="61"/>
      <c r="Z308" s="5"/>
      <c r="AA308" s="5"/>
      <c r="AB308" s="5"/>
      <c r="AC308" s="5"/>
      <c r="AD308" s="5"/>
      <c r="AE308" s="5"/>
      <c r="AF308" s="5"/>
      <c r="AG308" s="5"/>
      <c r="AH308" s="6"/>
      <c r="AI308" s="87">
        <v>44363</v>
      </c>
      <c r="AJ308" s="53">
        <v>141.19999999999999</v>
      </c>
      <c r="AK308" s="54">
        <f t="shared" si="44"/>
        <v>-1.0234123089864045E-2</v>
      </c>
      <c r="AL308" s="55">
        <f t="shared" si="47"/>
        <v>9.6324601590332719</v>
      </c>
      <c r="AM308" s="56">
        <v>25</v>
      </c>
      <c r="AN308" s="57">
        <f t="shared" si="45"/>
        <v>15.367539840966728</v>
      </c>
      <c r="AO308" s="76">
        <f t="shared" si="48"/>
        <v>15.249640404422706</v>
      </c>
      <c r="AP308" s="63" t="str">
        <f t="shared" si="49"/>
        <v>Buy Stocks</v>
      </c>
      <c r="AQ308" s="63" t="str">
        <f t="shared" si="50"/>
        <v/>
      </c>
      <c r="AR308" s="63" t="str">
        <f t="shared" si="51"/>
        <v/>
      </c>
      <c r="AS308" s="63" t="str">
        <f t="shared" si="52"/>
        <v/>
      </c>
      <c r="AT308" s="78" t="str">
        <f t="shared" si="53"/>
        <v/>
      </c>
      <c r="AU308" s="78" t="str">
        <f t="shared" si="54"/>
        <v/>
      </c>
      <c r="AV308" s="64" t="str">
        <f ca="1">IFERROR(__xludf.DUMMYFUNCTION("IF(TRIM(AU308)="""","""",AU308/INDEX(FILTER(AT$3:AT308,TRIM(AT$3:AT308)&lt;&gt;""""),ROWS(FILTER(AT$3:AT308,TRIM(AT$3:AT308)&lt;&gt;"""")))-1)"),"")</f>
        <v/>
      </c>
      <c r="AW308" s="65" t="e">
        <f t="shared" ca="1" si="46"/>
        <v>#VALUE!</v>
      </c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</row>
    <row r="309" spans="1:68" ht="19" x14ac:dyDescent="0.25">
      <c r="A309" s="5"/>
      <c r="B309" s="5"/>
      <c r="C309" s="5"/>
      <c r="D309" s="5"/>
      <c r="E309" s="5"/>
      <c r="F309" s="5"/>
      <c r="G309" s="5"/>
      <c r="H309" s="6"/>
      <c r="I309" s="5"/>
      <c r="J309" s="83"/>
      <c r="K309" s="83"/>
      <c r="L309" s="83"/>
      <c r="M309" s="83"/>
      <c r="N309" s="83"/>
      <c r="O309" s="83"/>
      <c r="P309" s="83"/>
      <c r="Q309" s="84"/>
      <c r="R309" s="83"/>
      <c r="S309" s="83"/>
      <c r="T309" s="85"/>
      <c r="U309" s="6"/>
      <c r="V309" s="87">
        <v>44364</v>
      </c>
      <c r="W309" s="45">
        <v>139.07</v>
      </c>
      <c r="X309" s="46"/>
      <c r="Y309" s="61"/>
      <c r="Z309" s="5"/>
      <c r="AA309" s="5"/>
      <c r="AB309" s="5"/>
      <c r="AC309" s="5"/>
      <c r="AD309" s="5"/>
      <c r="AE309" s="5"/>
      <c r="AF309" s="5"/>
      <c r="AG309" s="5"/>
      <c r="AH309" s="6"/>
      <c r="AI309" s="87">
        <v>44364</v>
      </c>
      <c r="AJ309" s="53">
        <v>139.07</v>
      </c>
      <c r="AK309" s="54">
        <f t="shared" si="44"/>
        <v>-1.5084985835694065E-2</v>
      </c>
      <c r="AL309" s="55">
        <f t="shared" si="47"/>
        <v>11.926384940130893</v>
      </c>
      <c r="AM309" s="56">
        <v>25</v>
      </c>
      <c r="AN309" s="57">
        <f t="shared" si="45"/>
        <v>13.073615059869107</v>
      </c>
      <c r="AO309" s="76">
        <f t="shared" si="48"/>
        <v>14.588020476512824</v>
      </c>
      <c r="AP309" s="63" t="str">
        <f t="shared" si="49"/>
        <v>Buy Stocks</v>
      </c>
      <c r="AQ309" s="63" t="str">
        <f t="shared" si="50"/>
        <v/>
      </c>
      <c r="AR309" s="63" t="str">
        <f t="shared" si="51"/>
        <v/>
      </c>
      <c r="AS309" s="63" t="str">
        <f t="shared" si="52"/>
        <v/>
      </c>
      <c r="AT309" s="78" t="str">
        <f t="shared" si="53"/>
        <v/>
      </c>
      <c r="AU309" s="78" t="str">
        <f t="shared" si="54"/>
        <v/>
      </c>
      <c r="AV309" s="64" t="str">
        <f ca="1">IFERROR(__xludf.DUMMYFUNCTION("IF(TRIM(AU309)="""","""",AU309/INDEX(FILTER(AT$3:AT309,TRIM(AT$3:AT309)&lt;&gt;""""),ROWS(FILTER(AT$3:AT309,TRIM(AT$3:AT309)&lt;&gt;"""")))-1)"),"")</f>
        <v/>
      </c>
      <c r="AW309" s="65" t="e">
        <f t="shared" ca="1" si="46"/>
        <v>#VALUE!</v>
      </c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</row>
    <row r="310" spans="1:68" ht="19" x14ac:dyDescent="0.25">
      <c r="A310" s="5"/>
      <c r="B310" s="5"/>
      <c r="C310" s="5"/>
      <c r="D310" s="5"/>
      <c r="E310" s="5"/>
      <c r="F310" s="5"/>
      <c r="G310" s="5"/>
      <c r="H310" s="6"/>
      <c r="I310" s="5"/>
      <c r="J310" s="83"/>
      <c r="K310" s="83"/>
      <c r="L310" s="83"/>
      <c r="M310" s="83"/>
      <c r="N310" s="83"/>
      <c r="O310" s="83"/>
      <c r="P310" s="83"/>
      <c r="Q310" s="84"/>
      <c r="R310" s="83"/>
      <c r="S310" s="83"/>
      <c r="T310" s="85"/>
      <c r="U310" s="6"/>
      <c r="V310" s="87">
        <v>44365</v>
      </c>
      <c r="W310" s="45">
        <v>136.69999999999999</v>
      </c>
      <c r="X310" s="46"/>
      <c r="Y310" s="61"/>
      <c r="Z310" s="5"/>
      <c r="AA310" s="5"/>
      <c r="AB310" s="5"/>
      <c r="AC310" s="5"/>
      <c r="AD310" s="5"/>
      <c r="AE310" s="5"/>
      <c r="AF310" s="5"/>
      <c r="AG310" s="5"/>
      <c r="AH310" s="6"/>
      <c r="AI310" s="87">
        <v>44365</v>
      </c>
      <c r="AJ310" s="53">
        <v>136.69999999999999</v>
      </c>
      <c r="AK310" s="54">
        <f t="shared" si="44"/>
        <v>-1.7041777522111223E-2</v>
      </c>
      <c r="AL310" s="55">
        <f t="shared" si="47"/>
        <v>8.0839344591537898</v>
      </c>
      <c r="AM310" s="56">
        <v>25</v>
      </c>
      <c r="AN310" s="57">
        <f t="shared" si="45"/>
        <v>16.916065540846212</v>
      </c>
      <c r="AO310" s="76">
        <f t="shared" si="48"/>
        <v>14.314073516373849</v>
      </c>
      <c r="AP310" s="63" t="str">
        <f t="shared" si="49"/>
        <v>Buy Stocks</v>
      </c>
      <c r="AQ310" s="63" t="str">
        <f t="shared" si="50"/>
        <v/>
      </c>
      <c r="AR310" s="63" t="str">
        <f t="shared" si="51"/>
        <v/>
      </c>
      <c r="AS310" s="63" t="str">
        <f t="shared" si="52"/>
        <v/>
      </c>
      <c r="AT310" s="78" t="str">
        <f t="shared" si="53"/>
        <v/>
      </c>
      <c r="AU310" s="78" t="str">
        <f t="shared" si="54"/>
        <v/>
      </c>
      <c r="AV310" s="64" t="str">
        <f ca="1">IFERROR(__xludf.DUMMYFUNCTION("IF(TRIM(AU310)="""","""",AU310/INDEX(FILTER(AT$3:AT310,TRIM(AT$3:AT310)&lt;&gt;""""),ROWS(FILTER(AT$3:AT310,TRIM(AT$3:AT310)&lt;&gt;"""")))-1)"),"")</f>
        <v/>
      </c>
      <c r="AW310" s="65" t="e">
        <f t="shared" ca="1" si="46"/>
        <v>#VALUE!</v>
      </c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</row>
    <row r="311" spans="1:68" ht="19" x14ac:dyDescent="0.25">
      <c r="A311" s="5"/>
      <c r="B311" s="5"/>
      <c r="C311" s="5"/>
      <c r="D311" s="5"/>
      <c r="E311" s="5"/>
      <c r="F311" s="5"/>
      <c r="G311" s="5"/>
      <c r="H311" s="6"/>
      <c r="I311" s="5"/>
      <c r="J311" s="83"/>
      <c r="K311" s="83"/>
      <c r="L311" s="83"/>
      <c r="M311" s="83"/>
      <c r="N311" s="83"/>
      <c r="O311" s="83"/>
      <c r="P311" s="83"/>
      <c r="Q311" s="84"/>
      <c r="R311" s="83"/>
      <c r="S311" s="83"/>
      <c r="T311" s="85"/>
      <c r="U311" s="6"/>
      <c r="V311" s="87">
        <v>44368</v>
      </c>
      <c r="W311" s="45">
        <v>140.07</v>
      </c>
      <c r="X311" s="46"/>
      <c r="Y311" s="61"/>
      <c r="Z311" s="5"/>
      <c r="AA311" s="5"/>
      <c r="AB311" s="5"/>
      <c r="AC311" s="5"/>
      <c r="AD311" s="5"/>
      <c r="AE311" s="5"/>
      <c r="AF311" s="5"/>
      <c r="AG311" s="5"/>
      <c r="AH311" s="6"/>
      <c r="AI311" s="87">
        <v>44368</v>
      </c>
      <c r="AJ311" s="53">
        <v>140.07</v>
      </c>
      <c r="AK311" s="54">
        <f t="shared" si="44"/>
        <v>2.4652523774689072E-2</v>
      </c>
      <c r="AL311" s="55">
        <f t="shared" si="47"/>
        <v>26.940726829236933</v>
      </c>
      <c r="AM311" s="56">
        <v>25</v>
      </c>
      <c r="AN311" s="57">
        <f t="shared" si="45"/>
        <v>-1.9407268292369331</v>
      </c>
      <c r="AO311" s="76">
        <f t="shared" si="48"/>
        <v>11.290851416615975</v>
      </c>
      <c r="AP311" s="63" t="str">
        <f t="shared" si="49"/>
        <v>Buy Stocks</v>
      </c>
      <c r="AQ311" s="63" t="str">
        <f t="shared" si="50"/>
        <v/>
      </c>
      <c r="AR311" s="63" t="str">
        <f t="shared" si="51"/>
        <v/>
      </c>
      <c r="AS311" s="63" t="str">
        <f t="shared" si="52"/>
        <v/>
      </c>
      <c r="AT311" s="78" t="str">
        <f t="shared" si="53"/>
        <v/>
      </c>
      <c r="AU311" s="78" t="str">
        <f t="shared" si="54"/>
        <v/>
      </c>
      <c r="AV311" s="64" t="str">
        <f ca="1">IFERROR(__xludf.DUMMYFUNCTION("IF(TRIM(AU311)="""","""",AU311/INDEX(FILTER(AT$3:AT311,TRIM(AT$3:AT311)&lt;&gt;""""),ROWS(FILTER(AT$3:AT311,TRIM(AT$3:AT311)&lt;&gt;"""")))-1)"),"")</f>
        <v/>
      </c>
      <c r="AW311" s="65" t="e">
        <f t="shared" ca="1" si="46"/>
        <v>#VALUE!</v>
      </c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</row>
    <row r="312" spans="1:68" ht="19" x14ac:dyDescent="0.25">
      <c r="A312" s="5"/>
      <c r="B312" s="5"/>
      <c r="C312" s="5"/>
      <c r="D312" s="5"/>
      <c r="E312" s="5"/>
      <c r="F312" s="5"/>
      <c r="G312" s="5"/>
      <c r="H312" s="6"/>
      <c r="I312" s="5"/>
      <c r="J312" s="83"/>
      <c r="K312" s="83"/>
      <c r="L312" s="83"/>
      <c r="M312" s="83"/>
      <c r="N312" s="83"/>
      <c r="O312" s="83"/>
      <c r="P312" s="83"/>
      <c r="Q312" s="84"/>
      <c r="R312" s="83"/>
      <c r="S312" s="83"/>
      <c r="T312" s="85"/>
      <c r="U312" s="6"/>
      <c r="V312" s="87">
        <v>44369</v>
      </c>
      <c r="W312" s="45">
        <v>139.80000000000001</v>
      </c>
      <c r="X312" s="46"/>
      <c r="Y312" s="61"/>
      <c r="Z312" s="5"/>
      <c r="AA312" s="5"/>
      <c r="AB312" s="5"/>
      <c r="AC312" s="5"/>
      <c r="AD312" s="5"/>
      <c r="AE312" s="5"/>
      <c r="AF312" s="5"/>
      <c r="AG312" s="5"/>
      <c r="AH312" s="6"/>
      <c r="AI312" s="87">
        <v>44369</v>
      </c>
      <c r="AJ312" s="53">
        <v>139.80000000000001</v>
      </c>
      <c r="AK312" s="54">
        <f t="shared" si="44"/>
        <v>-1.9276076247589646E-3</v>
      </c>
      <c r="AL312" s="55">
        <f t="shared" si="47"/>
        <v>26.999086843445408</v>
      </c>
      <c r="AM312" s="56">
        <v>25</v>
      </c>
      <c r="AN312" s="57">
        <f t="shared" si="45"/>
        <v>-1.9990868434454079</v>
      </c>
      <c r="AO312" s="76">
        <f t="shared" si="48"/>
        <v>8.2834813537999388</v>
      </c>
      <c r="AP312" s="63" t="str">
        <f t="shared" si="49"/>
        <v>Buy Stocks</v>
      </c>
      <c r="AQ312" s="63" t="str">
        <f t="shared" si="50"/>
        <v/>
      </c>
      <c r="AR312" s="63" t="str">
        <f t="shared" si="51"/>
        <v/>
      </c>
      <c r="AS312" s="63" t="str">
        <f t="shared" si="52"/>
        <v/>
      </c>
      <c r="AT312" s="78" t="str">
        <f t="shared" si="53"/>
        <v/>
      </c>
      <c r="AU312" s="78" t="str">
        <f t="shared" si="54"/>
        <v/>
      </c>
      <c r="AV312" s="64" t="str">
        <f ca="1">IFERROR(__xludf.DUMMYFUNCTION("IF(TRIM(AU312)="""","""",AU312/INDEX(FILTER(AT$3:AT312,TRIM(AT$3:AT312)&lt;&gt;""""),ROWS(FILTER(AT$3:AT312,TRIM(AT$3:AT312)&lt;&gt;"""")))-1)"),"")</f>
        <v/>
      </c>
      <c r="AW312" s="65" t="e">
        <f t="shared" ca="1" si="46"/>
        <v>#VALUE!</v>
      </c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</row>
    <row r="313" spans="1:68" ht="19" x14ac:dyDescent="0.25">
      <c r="A313" s="5"/>
      <c r="B313" s="5"/>
      <c r="C313" s="5"/>
      <c r="D313" s="5"/>
      <c r="E313" s="5"/>
      <c r="F313" s="5"/>
      <c r="G313" s="5"/>
      <c r="H313" s="6"/>
      <c r="I313" s="5"/>
      <c r="J313" s="83"/>
      <c r="K313" s="83"/>
      <c r="L313" s="83"/>
      <c r="M313" s="83"/>
      <c r="N313" s="83"/>
      <c r="O313" s="83"/>
      <c r="P313" s="83"/>
      <c r="Q313" s="84"/>
      <c r="R313" s="83"/>
      <c r="S313" s="83"/>
      <c r="T313" s="85"/>
      <c r="U313" s="6"/>
      <c r="V313" s="87">
        <v>44370</v>
      </c>
      <c r="W313" s="45">
        <v>138.13</v>
      </c>
      <c r="X313" s="46"/>
      <c r="Y313" s="61"/>
      <c r="Z313" s="5"/>
      <c r="AA313" s="5"/>
      <c r="AB313" s="5"/>
      <c r="AC313" s="5"/>
      <c r="AD313" s="5"/>
      <c r="AE313" s="5"/>
      <c r="AF313" s="5"/>
      <c r="AG313" s="5"/>
      <c r="AH313" s="6"/>
      <c r="AI313" s="87">
        <v>44370</v>
      </c>
      <c r="AJ313" s="53">
        <v>138.13</v>
      </c>
      <c r="AK313" s="54">
        <f t="shared" si="44"/>
        <v>-1.1945636623748368E-2</v>
      </c>
      <c r="AL313" s="55">
        <f t="shared" si="47"/>
        <v>27.276876355573915</v>
      </c>
      <c r="AM313" s="56">
        <v>25</v>
      </c>
      <c r="AN313" s="57">
        <f t="shared" si="45"/>
        <v>-2.2768763555739149</v>
      </c>
      <c r="AO313" s="76">
        <f t="shared" si="48"/>
        <v>4.7545981144918121</v>
      </c>
      <c r="AP313" s="63" t="str">
        <f t="shared" si="49"/>
        <v>Buy Stocks</v>
      </c>
      <c r="AQ313" s="63" t="str">
        <f t="shared" si="50"/>
        <v/>
      </c>
      <c r="AR313" s="63" t="str">
        <f t="shared" si="51"/>
        <v/>
      </c>
      <c r="AS313" s="63" t="str">
        <f t="shared" si="52"/>
        <v/>
      </c>
      <c r="AT313" s="78" t="str">
        <f t="shared" si="53"/>
        <v/>
      </c>
      <c r="AU313" s="78" t="str">
        <f t="shared" si="54"/>
        <v/>
      </c>
      <c r="AV313" s="64" t="str">
        <f ca="1">IFERROR(__xludf.DUMMYFUNCTION("IF(TRIM(AU313)="""","""",AU313/INDEX(FILTER(AT$3:AT313,TRIM(AT$3:AT313)&lt;&gt;""""),ROWS(FILTER(AT$3:AT313,TRIM(AT$3:AT313)&lt;&gt;"""")))-1)"),"")</f>
        <v/>
      </c>
      <c r="AW313" s="65" t="e">
        <f t="shared" ca="1" si="46"/>
        <v>#VALUE!</v>
      </c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</row>
    <row r="314" spans="1:68" ht="19" x14ac:dyDescent="0.25">
      <c r="A314" s="5"/>
      <c r="B314" s="5"/>
      <c r="C314" s="5"/>
      <c r="D314" s="5"/>
      <c r="E314" s="5"/>
      <c r="F314" s="5"/>
      <c r="G314" s="5"/>
      <c r="H314" s="6"/>
      <c r="I314" s="5"/>
      <c r="J314" s="83"/>
      <c r="K314" s="83"/>
      <c r="L314" s="83"/>
      <c r="M314" s="83"/>
      <c r="N314" s="83"/>
      <c r="O314" s="83"/>
      <c r="P314" s="83"/>
      <c r="Q314" s="84"/>
      <c r="R314" s="83"/>
      <c r="S314" s="83"/>
      <c r="T314" s="85"/>
      <c r="U314" s="6"/>
      <c r="V314" s="44">
        <v>44371</v>
      </c>
      <c r="W314" s="45">
        <v>138.91999999999999</v>
      </c>
      <c r="X314" s="46"/>
      <c r="Y314" s="61"/>
      <c r="Z314" s="5"/>
      <c r="AA314" s="5"/>
      <c r="AB314" s="5"/>
      <c r="AC314" s="5"/>
      <c r="AD314" s="5"/>
      <c r="AE314" s="5"/>
      <c r="AF314" s="5"/>
      <c r="AG314" s="5"/>
      <c r="AH314" s="6"/>
      <c r="AI314" s="44">
        <v>44371</v>
      </c>
      <c r="AJ314" s="53">
        <v>138.91999999999999</v>
      </c>
      <c r="AK314" s="54">
        <f t="shared" si="44"/>
        <v>5.7192499819009868E-3</v>
      </c>
      <c r="AL314" s="55">
        <f t="shared" si="47"/>
        <v>26.051051829112215</v>
      </c>
      <c r="AM314" s="56">
        <v>25</v>
      </c>
      <c r="AN314" s="57">
        <f t="shared" si="45"/>
        <v>-1.0510518291122146</v>
      </c>
      <c r="AO314" s="76">
        <f t="shared" si="48"/>
        <v>1.9296647366955484</v>
      </c>
      <c r="AP314" s="63" t="str">
        <f t="shared" si="49"/>
        <v>Buy Stocks</v>
      </c>
      <c r="AQ314" s="63" t="str">
        <f t="shared" si="50"/>
        <v/>
      </c>
      <c r="AR314" s="63" t="str">
        <f t="shared" si="51"/>
        <v/>
      </c>
      <c r="AS314" s="63" t="str">
        <f t="shared" si="52"/>
        <v/>
      </c>
      <c r="AT314" s="78" t="str">
        <f t="shared" si="53"/>
        <v/>
      </c>
      <c r="AU314" s="78" t="str">
        <f t="shared" si="54"/>
        <v/>
      </c>
      <c r="AV314" s="64" t="str">
        <f ca="1">IFERROR(__xludf.DUMMYFUNCTION("IF(TRIM(AU314)="""","""",AU314/INDEX(FILTER(AT$3:AT314,TRIM(AT$3:AT314)&lt;&gt;""""),ROWS(FILTER(AT$3:AT314,TRIM(AT$3:AT314)&lt;&gt;"""")))-1)"),"")</f>
        <v/>
      </c>
      <c r="AW314" s="65" t="e">
        <f t="shared" ca="1" si="46"/>
        <v>#VALUE!</v>
      </c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</row>
    <row r="315" spans="1:68" ht="19" x14ac:dyDescent="0.25">
      <c r="A315" s="5"/>
      <c r="B315" s="5"/>
      <c r="C315" s="5"/>
      <c r="D315" s="5"/>
      <c r="E315" s="5"/>
      <c r="F315" s="5"/>
      <c r="G315" s="5"/>
      <c r="H315" s="6"/>
      <c r="I315" s="5"/>
      <c r="J315" s="83"/>
      <c r="K315" s="83"/>
      <c r="L315" s="83"/>
      <c r="M315" s="83"/>
      <c r="N315" s="83"/>
      <c r="O315" s="83"/>
      <c r="P315" s="83"/>
      <c r="Q315" s="84"/>
      <c r="R315" s="83"/>
      <c r="S315" s="83"/>
      <c r="T315" s="85"/>
      <c r="U315" s="6"/>
      <c r="V315" s="44">
        <v>44372</v>
      </c>
      <c r="W315" s="45">
        <v>140.26</v>
      </c>
      <c r="X315" s="46"/>
      <c r="Y315" s="61"/>
      <c r="Z315" s="5"/>
      <c r="AA315" s="5"/>
      <c r="AB315" s="5"/>
      <c r="AC315" s="5"/>
      <c r="AD315" s="5"/>
      <c r="AE315" s="5"/>
      <c r="AF315" s="5"/>
      <c r="AG315" s="5"/>
      <c r="AH315" s="6"/>
      <c r="AI315" s="44">
        <v>44372</v>
      </c>
      <c r="AJ315" s="53">
        <v>140.26</v>
      </c>
      <c r="AK315" s="54">
        <f t="shared" si="44"/>
        <v>9.6458393319895919E-3</v>
      </c>
      <c r="AL315" s="55">
        <f t="shared" si="47"/>
        <v>21.63840515811507</v>
      </c>
      <c r="AM315" s="56">
        <v>25</v>
      </c>
      <c r="AN315" s="57">
        <f t="shared" si="45"/>
        <v>3.36159484188493</v>
      </c>
      <c r="AO315" s="76">
        <f t="shared" si="48"/>
        <v>-0.78122940309670807</v>
      </c>
      <c r="AP315" s="63" t="str">
        <f t="shared" si="49"/>
        <v/>
      </c>
      <c r="AQ315" s="63" t="str">
        <f t="shared" si="50"/>
        <v>Sell Stocks</v>
      </c>
      <c r="AR315" s="63" t="str">
        <f t="shared" si="51"/>
        <v/>
      </c>
      <c r="AS315" s="63" t="str">
        <f t="shared" si="52"/>
        <v>Sell Stocks</v>
      </c>
      <c r="AT315" s="78" t="str">
        <f t="shared" si="53"/>
        <v/>
      </c>
      <c r="AU315" s="77">
        <f t="shared" si="54"/>
        <v>140.26</v>
      </c>
      <c r="AV315" s="64">
        <f ca="1">IFERROR(__xludf.DUMMYFUNCTION("IF(TRIM(AU315)="""","""",AU315/INDEX(FILTER(AT$3:AT315,TRIM(AT$3:AT315)&lt;&gt;""""),ROWS(FILTER(AT$3:AT315,TRIM(AT$3:AT315)&lt;&gt;"""")))-1)"),0.025517291803758)</f>
        <v>2.5517291803757999E-2</v>
      </c>
      <c r="AW315" s="65" t="e">
        <f t="shared" ca="1" si="46"/>
        <v>#VALUE!</v>
      </c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</row>
    <row r="316" spans="1:68" ht="19" x14ac:dyDescent="0.25">
      <c r="A316" s="5"/>
      <c r="B316" s="5"/>
      <c r="C316" s="5"/>
      <c r="D316" s="5"/>
      <c r="E316" s="5"/>
      <c r="F316" s="5"/>
      <c r="G316" s="5"/>
      <c r="H316" s="6"/>
      <c r="I316" s="5"/>
      <c r="J316" s="83"/>
      <c r="K316" s="83"/>
      <c r="L316" s="83"/>
      <c r="M316" s="83"/>
      <c r="N316" s="83"/>
      <c r="O316" s="83"/>
      <c r="P316" s="83"/>
      <c r="Q316" s="84"/>
      <c r="R316" s="83"/>
      <c r="S316" s="83"/>
      <c r="T316" s="85"/>
      <c r="U316" s="6"/>
      <c r="V316" s="44">
        <v>44375</v>
      </c>
      <c r="W316" s="45">
        <v>138.78</v>
      </c>
      <c r="X316" s="46"/>
      <c r="Y316" s="61"/>
      <c r="Z316" s="5"/>
      <c r="AA316" s="5"/>
      <c r="AB316" s="5"/>
      <c r="AC316" s="5"/>
      <c r="AD316" s="5"/>
      <c r="AE316" s="5"/>
      <c r="AF316" s="5"/>
      <c r="AG316" s="5"/>
      <c r="AH316" s="6"/>
      <c r="AI316" s="44">
        <v>44375</v>
      </c>
      <c r="AJ316" s="53">
        <v>138.78</v>
      </c>
      <c r="AK316" s="54">
        <f t="shared" si="44"/>
        <v>-1.0551832311421538E-2</v>
      </c>
      <c r="AL316" s="55">
        <f t="shared" si="47"/>
        <v>15.207464390336792</v>
      </c>
      <c r="AM316" s="56">
        <v>25</v>
      </c>
      <c r="AN316" s="57">
        <f t="shared" si="45"/>
        <v>9.7925356096632079</v>
      </c>
      <c r="AO316" s="76">
        <f t="shared" si="48"/>
        <v>1.5654230846833201</v>
      </c>
      <c r="AP316" s="63" t="str">
        <f t="shared" si="49"/>
        <v>Buy Stocks</v>
      </c>
      <c r="AQ316" s="63" t="str">
        <f t="shared" si="50"/>
        <v/>
      </c>
      <c r="AR316" s="63" t="str">
        <f t="shared" si="51"/>
        <v>Buy Stocks</v>
      </c>
      <c r="AS316" s="63" t="str">
        <f t="shared" si="52"/>
        <v/>
      </c>
      <c r="AT316" s="77">
        <f t="shared" si="53"/>
        <v>138.78</v>
      </c>
      <c r="AU316" s="78" t="str">
        <f t="shared" si="54"/>
        <v/>
      </c>
      <c r="AV316" s="64" t="str">
        <f ca="1">IFERROR(__xludf.DUMMYFUNCTION("IF(TRIM(AU316)="""","""",AU316/INDEX(FILTER(AT$3:AT316,TRIM(AT$3:AT316)&lt;&gt;""""),ROWS(FILTER(AT$3:AT316,TRIM(AT$3:AT316)&lt;&gt;"""")))-1)"),"")</f>
        <v/>
      </c>
      <c r="AW316" s="65" t="e">
        <f t="shared" ca="1" si="46"/>
        <v>#VALUE!</v>
      </c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</row>
    <row r="317" spans="1:68" ht="19" x14ac:dyDescent="0.25">
      <c r="A317" s="5"/>
      <c r="B317" s="5"/>
      <c r="C317" s="5"/>
      <c r="D317" s="5"/>
      <c r="E317" s="5"/>
      <c r="F317" s="5"/>
      <c r="G317" s="5"/>
      <c r="H317" s="6"/>
      <c r="I317" s="5"/>
      <c r="J317" s="83"/>
      <c r="K317" s="83"/>
      <c r="L317" s="83"/>
      <c r="M317" s="83"/>
      <c r="N317" s="83"/>
      <c r="O317" s="83"/>
      <c r="P317" s="83"/>
      <c r="Q317" s="84"/>
      <c r="R317" s="83"/>
      <c r="S317" s="83"/>
      <c r="T317" s="85"/>
      <c r="U317" s="6"/>
      <c r="V317" s="44">
        <v>44376</v>
      </c>
      <c r="W317" s="45">
        <v>139.02000000000001</v>
      </c>
      <c r="X317" s="46"/>
      <c r="Y317" s="61"/>
      <c r="Z317" s="5"/>
      <c r="AA317" s="5"/>
      <c r="AB317" s="5"/>
      <c r="AC317" s="5"/>
      <c r="AD317" s="5"/>
      <c r="AE317" s="5"/>
      <c r="AF317" s="5"/>
      <c r="AG317" s="5"/>
      <c r="AH317" s="6"/>
      <c r="AI317" s="44">
        <v>44376</v>
      </c>
      <c r="AJ317" s="53">
        <v>139.02000000000001</v>
      </c>
      <c r="AK317" s="54">
        <f t="shared" si="44"/>
        <v>1.7293558149589217E-3</v>
      </c>
      <c r="AL317" s="55">
        <f t="shared" si="47"/>
        <v>15.410206097131221</v>
      </c>
      <c r="AM317" s="56">
        <v>25</v>
      </c>
      <c r="AN317" s="57">
        <f t="shared" si="45"/>
        <v>9.5897939028687791</v>
      </c>
      <c r="AO317" s="76">
        <f t="shared" si="48"/>
        <v>3.8831992339461578</v>
      </c>
      <c r="AP317" s="63" t="str">
        <f t="shared" si="49"/>
        <v>Buy Stocks</v>
      </c>
      <c r="AQ317" s="63" t="str">
        <f t="shared" si="50"/>
        <v/>
      </c>
      <c r="AR317" s="63" t="str">
        <f t="shared" si="51"/>
        <v/>
      </c>
      <c r="AS317" s="63" t="str">
        <f t="shared" si="52"/>
        <v/>
      </c>
      <c r="AT317" s="78" t="str">
        <f t="shared" si="53"/>
        <v/>
      </c>
      <c r="AU317" s="78" t="str">
        <f t="shared" si="54"/>
        <v/>
      </c>
      <c r="AV317" s="64" t="str">
        <f ca="1">IFERROR(__xludf.DUMMYFUNCTION("IF(TRIM(AU317)="""","""",AU317/INDEX(FILTER(AT$3:AT317,TRIM(AT$3:AT317)&lt;&gt;""""),ROWS(FILTER(AT$3:AT317,TRIM(AT$3:AT317)&lt;&gt;"""")))-1)"),"")</f>
        <v/>
      </c>
      <c r="AW317" s="65" t="e">
        <f t="shared" ca="1" si="46"/>
        <v>#VALUE!</v>
      </c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</row>
    <row r="318" spans="1:68" ht="19" x14ac:dyDescent="0.25">
      <c r="A318" s="5"/>
      <c r="B318" s="5"/>
      <c r="C318" s="5"/>
      <c r="D318" s="5"/>
      <c r="E318" s="5"/>
      <c r="F318" s="5"/>
      <c r="G318" s="5"/>
      <c r="H318" s="6"/>
      <c r="I318" s="5"/>
      <c r="J318" s="83"/>
      <c r="K318" s="83"/>
      <c r="L318" s="83"/>
      <c r="M318" s="83"/>
      <c r="N318" s="83"/>
      <c r="O318" s="83"/>
      <c r="P318" s="83"/>
      <c r="Q318" s="84"/>
      <c r="R318" s="83"/>
      <c r="S318" s="83"/>
      <c r="T318" s="85"/>
      <c r="U318" s="6"/>
      <c r="V318" s="44">
        <v>44377</v>
      </c>
      <c r="W318" s="45">
        <v>140.02000000000001</v>
      </c>
      <c r="X318" s="46"/>
      <c r="Y318" s="61"/>
      <c r="Z318" s="5"/>
      <c r="AA318" s="5"/>
      <c r="AB318" s="5"/>
      <c r="AC318" s="5"/>
      <c r="AD318" s="5"/>
      <c r="AE318" s="5"/>
      <c r="AF318" s="5"/>
      <c r="AG318" s="5"/>
      <c r="AH318" s="6"/>
      <c r="AI318" s="44">
        <v>44377</v>
      </c>
      <c r="AJ318" s="53">
        <v>140.02000000000001</v>
      </c>
      <c r="AK318" s="54">
        <f t="shared" si="44"/>
        <v>7.1932096101281484E-3</v>
      </c>
      <c r="AL318" s="55">
        <f t="shared" si="47"/>
        <v>12.652181308353851</v>
      </c>
      <c r="AM318" s="56">
        <v>25</v>
      </c>
      <c r="AN318" s="57">
        <f t="shared" si="45"/>
        <v>12.347818691646149</v>
      </c>
      <c r="AO318" s="76">
        <f t="shared" si="48"/>
        <v>6.8081382433901698</v>
      </c>
      <c r="AP318" s="63" t="str">
        <f t="shared" si="49"/>
        <v>Buy Stocks</v>
      </c>
      <c r="AQ318" s="63" t="str">
        <f t="shared" si="50"/>
        <v/>
      </c>
      <c r="AR318" s="63" t="str">
        <f t="shared" si="51"/>
        <v/>
      </c>
      <c r="AS318" s="63" t="str">
        <f t="shared" si="52"/>
        <v/>
      </c>
      <c r="AT318" s="78" t="str">
        <f t="shared" si="53"/>
        <v/>
      </c>
      <c r="AU318" s="78" t="str">
        <f t="shared" si="54"/>
        <v/>
      </c>
      <c r="AV318" s="64" t="str">
        <f ca="1">IFERROR(__xludf.DUMMYFUNCTION("IF(TRIM(AU318)="""","""",AU318/INDEX(FILTER(AT$3:AT318,TRIM(AT$3:AT318)&lt;&gt;""""),ROWS(FILTER(AT$3:AT318,TRIM(AT$3:AT318)&lt;&gt;"""")))-1)"),"")</f>
        <v/>
      </c>
      <c r="AW318" s="65" t="e">
        <f t="shared" ca="1" si="46"/>
        <v>#VALUE!</v>
      </c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</row>
    <row r="319" spans="1:68" ht="19" x14ac:dyDescent="0.25">
      <c r="A319" s="5"/>
      <c r="B319" s="5"/>
      <c r="C319" s="5"/>
      <c r="D319" s="5"/>
      <c r="E319" s="5"/>
      <c r="F319" s="5"/>
      <c r="G319" s="5"/>
      <c r="H319" s="6"/>
      <c r="I319" s="5"/>
      <c r="J319" s="83"/>
      <c r="K319" s="83"/>
      <c r="L319" s="83"/>
      <c r="M319" s="83"/>
      <c r="N319" s="83"/>
      <c r="O319" s="83"/>
      <c r="P319" s="83"/>
      <c r="Q319" s="84"/>
      <c r="R319" s="83"/>
      <c r="S319" s="83"/>
      <c r="T319" s="85"/>
      <c r="U319" s="6"/>
      <c r="V319" s="44">
        <v>44378</v>
      </c>
      <c r="W319" s="45">
        <v>140.26</v>
      </c>
      <c r="X319" s="46"/>
      <c r="Y319" s="61"/>
      <c r="Z319" s="5"/>
      <c r="AA319" s="5"/>
      <c r="AB319" s="5"/>
      <c r="AC319" s="5"/>
      <c r="AD319" s="5"/>
      <c r="AE319" s="5"/>
      <c r="AF319" s="5"/>
      <c r="AG319" s="5"/>
      <c r="AH319" s="6"/>
      <c r="AI319" s="44">
        <v>44378</v>
      </c>
      <c r="AJ319" s="53">
        <v>140.26</v>
      </c>
      <c r="AK319" s="54">
        <f t="shared" si="44"/>
        <v>1.7140408513067751E-3</v>
      </c>
      <c r="AL319" s="55">
        <f t="shared" si="47"/>
        <v>12.375939986586728</v>
      </c>
      <c r="AM319" s="56">
        <v>25</v>
      </c>
      <c r="AN319" s="57">
        <f t="shared" si="45"/>
        <v>12.624060013413272</v>
      </c>
      <c r="AO319" s="76">
        <f t="shared" si="48"/>
        <v>9.5431606118952672</v>
      </c>
      <c r="AP319" s="63" t="str">
        <f t="shared" si="49"/>
        <v>Buy Stocks</v>
      </c>
      <c r="AQ319" s="63" t="str">
        <f t="shared" si="50"/>
        <v/>
      </c>
      <c r="AR319" s="63" t="str">
        <f t="shared" si="51"/>
        <v/>
      </c>
      <c r="AS319" s="63" t="str">
        <f t="shared" si="52"/>
        <v/>
      </c>
      <c r="AT319" s="78" t="str">
        <f t="shared" si="53"/>
        <v/>
      </c>
      <c r="AU319" s="78" t="str">
        <f t="shared" si="54"/>
        <v/>
      </c>
      <c r="AV319" s="64" t="str">
        <f ca="1">IFERROR(__xludf.DUMMYFUNCTION("IF(TRIM(AU319)="""","""",AU319/INDEX(FILTER(AT$3:AT319,TRIM(AT$3:AT319)&lt;&gt;""""),ROWS(FILTER(AT$3:AT319,TRIM(AT$3:AT319)&lt;&gt;"""")))-1)"),"")</f>
        <v/>
      </c>
      <c r="AW319" s="65" t="e">
        <f t="shared" ca="1" si="46"/>
        <v>#VALUE!</v>
      </c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</row>
    <row r="320" spans="1:68" ht="19" x14ac:dyDescent="0.25">
      <c r="A320" s="5"/>
      <c r="B320" s="5"/>
      <c r="C320" s="5"/>
      <c r="D320" s="5"/>
      <c r="E320" s="5"/>
      <c r="F320" s="5"/>
      <c r="G320" s="5"/>
      <c r="H320" s="6"/>
      <c r="I320" s="5"/>
      <c r="J320" s="83"/>
      <c r="K320" s="83"/>
      <c r="L320" s="83"/>
      <c r="M320" s="83"/>
      <c r="N320" s="83"/>
      <c r="O320" s="83"/>
      <c r="P320" s="83"/>
      <c r="Q320" s="84"/>
      <c r="R320" s="83"/>
      <c r="S320" s="83"/>
      <c r="T320" s="85"/>
      <c r="U320" s="6"/>
      <c r="V320" s="87">
        <v>44379</v>
      </c>
      <c r="W320" s="45">
        <v>133.74</v>
      </c>
      <c r="X320" s="46"/>
      <c r="Y320" s="61"/>
      <c r="Z320" s="5"/>
      <c r="AA320" s="5"/>
      <c r="AB320" s="5"/>
      <c r="AC320" s="5"/>
      <c r="AD320" s="5"/>
      <c r="AE320" s="5"/>
      <c r="AF320" s="5"/>
      <c r="AG320" s="5"/>
      <c r="AH320" s="6"/>
      <c r="AI320" s="87">
        <v>44379</v>
      </c>
      <c r="AJ320" s="53">
        <v>133.74</v>
      </c>
      <c r="AK320" s="54">
        <f t="shared" si="44"/>
        <v>-4.6485099101668204E-2</v>
      </c>
      <c r="AL320" s="55">
        <f t="shared" si="47"/>
        <v>34.591117615843878</v>
      </c>
      <c r="AM320" s="56">
        <v>25</v>
      </c>
      <c r="AN320" s="57">
        <f t="shared" si="45"/>
        <v>-9.5911176158438778</v>
      </c>
      <c r="AO320" s="76">
        <f t="shared" si="48"/>
        <v>6.9526181203495057</v>
      </c>
      <c r="AP320" s="63" t="str">
        <f t="shared" si="49"/>
        <v>Buy Stocks</v>
      </c>
      <c r="AQ320" s="63" t="str">
        <f t="shared" si="50"/>
        <v/>
      </c>
      <c r="AR320" s="63" t="str">
        <f t="shared" si="51"/>
        <v/>
      </c>
      <c r="AS320" s="63" t="str">
        <f t="shared" si="52"/>
        <v/>
      </c>
      <c r="AT320" s="78" t="str">
        <f t="shared" si="53"/>
        <v/>
      </c>
      <c r="AU320" s="78" t="str">
        <f t="shared" si="54"/>
        <v/>
      </c>
      <c r="AV320" s="64" t="str">
        <f ca="1">IFERROR(__xludf.DUMMYFUNCTION("IF(TRIM(AU320)="""","""",AU320/INDEX(FILTER(AT$3:AT320,TRIM(AT$3:AT320)&lt;&gt;""""),ROWS(FILTER(AT$3:AT320,TRIM(AT$3:AT320)&lt;&gt;"""")))-1)"),"")</f>
        <v/>
      </c>
      <c r="AW320" s="65" t="e">
        <f t="shared" ca="1" si="46"/>
        <v>#VALUE!</v>
      </c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</row>
    <row r="321" spans="1:68" ht="19" x14ac:dyDescent="0.25">
      <c r="A321" s="5"/>
      <c r="B321" s="5"/>
      <c r="C321" s="5"/>
      <c r="D321" s="5"/>
      <c r="E321" s="5"/>
      <c r="F321" s="5"/>
      <c r="G321" s="5"/>
      <c r="H321" s="6"/>
      <c r="I321" s="5"/>
      <c r="J321" s="83"/>
      <c r="K321" s="83"/>
      <c r="L321" s="83"/>
      <c r="M321" s="83"/>
      <c r="N321" s="83"/>
      <c r="O321" s="83"/>
      <c r="P321" s="83"/>
      <c r="Q321" s="84"/>
      <c r="R321" s="83"/>
      <c r="S321" s="83"/>
      <c r="T321" s="85"/>
      <c r="U321" s="6"/>
      <c r="V321" s="87">
        <v>44383</v>
      </c>
      <c r="W321" s="45">
        <v>132.56</v>
      </c>
      <c r="X321" s="46"/>
      <c r="Y321" s="61"/>
      <c r="Z321" s="5"/>
      <c r="AA321" s="5"/>
      <c r="AB321" s="5"/>
      <c r="AC321" s="5"/>
      <c r="AD321" s="5"/>
      <c r="AE321" s="5"/>
      <c r="AF321" s="5"/>
      <c r="AG321" s="5"/>
      <c r="AH321" s="6"/>
      <c r="AI321" s="87">
        <v>44383</v>
      </c>
      <c r="AJ321" s="53">
        <v>132.56</v>
      </c>
      <c r="AK321" s="54">
        <f t="shared" si="44"/>
        <v>-8.823089576790788E-3</v>
      </c>
      <c r="AL321" s="55">
        <f t="shared" si="47"/>
        <v>34.572842871103845</v>
      </c>
      <c r="AM321" s="56">
        <v>25</v>
      </c>
      <c r="AN321" s="57">
        <f t="shared" si="45"/>
        <v>-9.5728428711038447</v>
      </c>
      <c r="AO321" s="76">
        <f t="shared" si="48"/>
        <v>3.079542424196096</v>
      </c>
      <c r="AP321" s="63" t="str">
        <f t="shared" si="49"/>
        <v>Buy Stocks</v>
      </c>
      <c r="AQ321" s="63" t="str">
        <f t="shared" si="50"/>
        <v/>
      </c>
      <c r="AR321" s="63" t="str">
        <f t="shared" si="51"/>
        <v/>
      </c>
      <c r="AS321" s="63" t="str">
        <f t="shared" si="52"/>
        <v/>
      </c>
      <c r="AT321" s="78" t="str">
        <f t="shared" si="53"/>
        <v/>
      </c>
      <c r="AU321" s="78" t="str">
        <f t="shared" si="54"/>
        <v/>
      </c>
      <c r="AV321" s="64" t="str">
        <f ca="1">IFERROR(__xludf.DUMMYFUNCTION("IF(TRIM(AU321)="""","""",AU321/INDEX(FILTER(AT$3:AT321,TRIM(AT$3:AT321)&lt;&gt;""""),ROWS(FILTER(AT$3:AT321,TRIM(AT$3:AT321)&lt;&gt;"""")))-1)"),"")</f>
        <v/>
      </c>
      <c r="AW321" s="65" t="e">
        <f t="shared" ca="1" si="46"/>
        <v>#VALUE!</v>
      </c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</row>
    <row r="322" spans="1:68" ht="19" x14ac:dyDescent="0.25">
      <c r="A322" s="5"/>
      <c r="B322" s="5"/>
      <c r="C322" s="5"/>
      <c r="D322" s="5"/>
      <c r="E322" s="5"/>
      <c r="F322" s="5"/>
      <c r="G322" s="5"/>
      <c r="H322" s="6"/>
      <c r="I322" s="5"/>
      <c r="J322" s="83"/>
      <c r="K322" s="83"/>
      <c r="L322" s="83"/>
      <c r="M322" s="83"/>
      <c r="N322" s="83"/>
      <c r="O322" s="83"/>
      <c r="P322" s="83"/>
      <c r="Q322" s="84"/>
      <c r="R322" s="83"/>
      <c r="S322" s="83"/>
      <c r="T322" s="85"/>
      <c r="U322" s="6"/>
      <c r="V322" s="87">
        <v>44384</v>
      </c>
      <c r="W322" s="45">
        <v>133.55000000000001</v>
      </c>
      <c r="X322" s="46"/>
      <c r="Y322" s="61"/>
      <c r="Z322" s="5"/>
      <c r="AA322" s="5"/>
      <c r="AB322" s="5"/>
      <c r="AC322" s="5"/>
      <c r="AD322" s="5"/>
      <c r="AE322" s="5"/>
      <c r="AF322" s="5"/>
      <c r="AG322" s="5"/>
      <c r="AH322" s="6"/>
      <c r="AI322" s="87">
        <v>44384</v>
      </c>
      <c r="AJ322" s="53">
        <v>133.55000000000001</v>
      </c>
      <c r="AK322" s="54">
        <f t="shared" si="44"/>
        <v>7.4683162341582232E-3</v>
      </c>
      <c r="AL322" s="55">
        <f t="shared" si="47"/>
        <v>35.902521021074634</v>
      </c>
      <c r="AM322" s="56">
        <v>25</v>
      </c>
      <c r="AN322" s="57">
        <f t="shared" si="45"/>
        <v>-10.902521021074634</v>
      </c>
      <c r="AO322" s="76">
        <f t="shared" si="48"/>
        <v>-1.0189205605925871</v>
      </c>
      <c r="AP322" s="63" t="str">
        <f t="shared" si="49"/>
        <v/>
      </c>
      <c r="AQ322" s="63" t="str">
        <f t="shared" si="50"/>
        <v>Sell Stocks</v>
      </c>
      <c r="AR322" s="63" t="str">
        <f t="shared" si="51"/>
        <v/>
      </c>
      <c r="AS322" s="63" t="str">
        <f t="shared" si="52"/>
        <v>Sell Stocks</v>
      </c>
      <c r="AT322" s="78" t="str">
        <f t="shared" si="53"/>
        <v/>
      </c>
      <c r="AU322" s="77">
        <f t="shared" si="54"/>
        <v>133.55000000000001</v>
      </c>
      <c r="AV322" s="64">
        <f ca="1">IFERROR(__xludf.DUMMYFUNCTION("IF(TRIM(AU322)="""","""",AU322/INDEX(FILTER(AT$3:AT322,TRIM(AT$3:AT322)&lt;&gt;""""),ROWS(FILTER(AT$3:AT322,TRIM(AT$3:AT322)&lt;&gt;"""")))-1)"),-0.0376855454676465)</f>
        <v>-3.7685545467646499E-2</v>
      </c>
      <c r="AW322" s="65" t="e">
        <f t="shared" ca="1" si="46"/>
        <v>#VALUE!</v>
      </c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</row>
    <row r="323" spans="1:68" ht="19" x14ac:dyDescent="0.25">
      <c r="A323" s="5"/>
      <c r="B323" s="5"/>
      <c r="C323" s="5"/>
      <c r="D323" s="5"/>
      <c r="E323" s="5"/>
      <c r="F323" s="5"/>
      <c r="G323" s="5"/>
      <c r="H323" s="6"/>
      <c r="I323" s="5"/>
      <c r="J323" s="83"/>
      <c r="K323" s="83"/>
      <c r="L323" s="83"/>
      <c r="M323" s="83"/>
      <c r="N323" s="83"/>
      <c r="O323" s="83"/>
      <c r="P323" s="83"/>
      <c r="Q323" s="84"/>
      <c r="R323" s="83"/>
      <c r="S323" s="83"/>
      <c r="T323" s="85"/>
      <c r="U323" s="6"/>
      <c r="V323" s="87">
        <v>44385</v>
      </c>
      <c r="W323" s="45">
        <v>134.43</v>
      </c>
      <c r="X323" s="46"/>
      <c r="Y323" s="61"/>
      <c r="Z323" s="5"/>
      <c r="AA323" s="5"/>
      <c r="AB323" s="5"/>
      <c r="AC323" s="5"/>
      <c r="AD323" s="5"/>
      <c r="AE323" s="5"/>
      <c r="AF323" s="5"/>
      <c r="AG323" s="5"/>
      <c r="AH323" s="6"/>
      <c r="AI323" s="87">
        <v>44385</v>
      </c>
      <c r="AJ323" s="53">
        <v>134.43</v>
      </c>
      <c r="AK323" s="54">
        <f t="shared" ref="AK323:AK386" si="55">AJ323/AJ322-1</f>
        <v>6.5892923998502884E-3</v>
      </c>
      <c r="AL323" s="55">
        <f t="shared" si="47"/>
        <v>35.745995836937716</v>
      </c>
      <c r="AM323" s="56">
        <v>25</v>
      </c>
      <c r="AN323" s="57">
        <f t="shared" ref="AN323:AN386" si="56">AM323-AL323</f>
        <v>-10.745995836937716</v>
      </c>
      <c r="AO323" s="76">
        <f t="shared" si="48"/>
        <v>-5.63768346630936</v>
      </c>
      <c r="AP323" s="63" t="str">
        <f t="shared" si="49"/>
        <v/>
      </c>
      <c r="AQ323" s="63" t="str">
        <f t="shared" si="50"/>
        <v>Sell Stocks</v>
      </c>
      <c r="AR323" s="63" t="str">
        <f t="shared" si="51"/>
        <v/>
      </c>
      <c r="AS323" s="63" t="str">
        <f t="shared" si="52"/>
        <v/>
      </c>
      <c r="AT323" s="78" t="str">
        <f t="shared" si="53"/>
        <v/>
      </c>
      <c r="AU323" s="78" t="str">
        <f t="shared" si="54"/>
        <v/>
      </c>
      <c r="AV323" s="64" t="str">
        <f ca="1">IFERROR(__xludf.DUMMYFUNCTION("IF(TRIM(AU323)="""","""",AU323/INDEX(FILTER(AT$3:AT323,TRIM(AT$3:AT323)&lt;&gt;""""),ROWS(FILTER(AT$3:AT323,TRIM(AT$3:AT323)&lt;&gt;"""")))-1)"),"")</f>
        <v/>
      </c>
      <c r="AW323" s="65" t="e">
        <f t="shared" ref="AW323:AW386" ca="1" si="57">AW322*(1+AV323)</f>
        <v>#VALUE!</v>
      </c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</row>
    <row r="324" spans="1:68" ht="19" x14ac:dyDescent="0.25">
      <c r="A324" s="5"/>
      <c r="B324" s="5"/>
      <c r="C324" s="5"/>
      <c r="D324" s="5"/>
      <c r="E324" s="5"/>
      <c r="F324" s="5"/>
      <c r="G324" s="5"/>
      <c r="H324" s="6"/>
      <c r="I324" s="5"/>
      <c r="J324" s="83"/>
      <c r="K324" s="83"/>
      <c r="L324" s="83"/>
      <c r="M324" s="83"/>
      <c r="N324" s="83"/>
      <c r="O324" s="83"/>
      <c r="P324" s="83"/>
      <c r="Q324" s="84"/>
      <c r="R324" s="83"/>
      <c r="S324" s="83"/>
      <c r="T324" s="85"/>
      <c r="U324" s="6"/>
      <c r="V324" s="87">
        <v>44386</v>
      </c>
      <c r="W324" s="45">
        <v>135.16999999999999</v>
      </c>
      <c r="X324" s="46"/>
      <c r="Y324" s="61"/>
      <c r="Z324" s="5"/>
      <c r="AA324" s="5"/>
      <c r="AB324" s="5"/>
      <c r="AC324" s="5"/>
      <c r="AD324" s="5"/>
      <c r="AE324" s="5"/>
      <c r="AF324" s="5"/>
      <c r="AG324" s="5"/>
      <c r="AH324" s="6"/>
      <c r="AI324" s="87">
        <v>44386</v>
      </c>
      <c r="AJ324" s="53">
        <v>135.16999999999999</v>
      </c>
      <c r="AK324" s="54">
        <f t="shared" si="55"/>
        <v>5.5047236479950357E-3</v>
      </c>
      <c r="AL324" s="55">
        <f t="shared" si="47"/>
        <v>36.482494425691748</v>
      </c>
      <c r="AM324" s="56">
        <v>25</v>
      </c>
      <c r="AN324" s="57">
        <f t="shared" si="56"/>
        <v>-11.482494425691748</v>
      </c>
      <c r="AO324" s="76">
        <f t="shared" si="48"/>
        <v>-10.458994354130365</v>
      </c>
      <c r="AP324" s="63" t="str">
        <f t="shared" si="49"/>
        <v/>
      </c>
      <c r="AQ324" s="63" t="str">
        <f t="shared" si="50"/>
        <v>Sell Stocks</v>
      </c>
      <c r="AR324" s="63" t="str">
        <f t="shared" si="51"/>
        <v/>
      </c>
      <c r="AS324" s="63" t="str">
        <f t="shared" si="52"/>
        <v/>
      </c>
      <c r="AT324" s="78" t="str">
        <f t="shared" si="53"/>
        <v/>
      </c>
      <c r="AU324" s="78" t="str">
        <f t="shared" si="54"/>
        <v/>
      </c>
      <c r="AV324" s="64" t="str">
        <f ca="1">IFERROR(__xludf.DUMMYFUNCTION("IF(TRIM(AU324)="""","""",AU324/INDEX(FILTER(AT$3:AT324,TRIM(AT$3:AT324)&lt;&gt;""""),ROWS(FILTER(AT$3:AT324,TRIM(AT$3:AT324)&lt;&gt;"""")))-1)"),"")</f>
        <v/>
      </c>
      <c r="AW324" s="65" t="e">
        <f t="shared" ca="1" si="57"/>
        <v>#VALUE!</v>
      </c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</row>
    <row r="325" spans="1:68" ht="19" x14ac:dyDescent="0.25">
      <c r="A325" s="5"/>
      <c r="B325" s="5"/>
      <c r="C325" s="5"/>
      <c r="D325" s="5"/>
      <c r="E325" s="5"/>
      <c r="F325" s="5"/>
      <c r="G325" s="5"/>
      <c r="H325" s="6"/>
      <c r="I325" s="5"/>
      <c r="J325" s="83"/>
      <c r="K325" s="83"/>
      <c r="L325" s="83"/>
      <c r="M325" s="83"/>
      <c r="N325" s="83"/>
      <c r="O325" s="83"/>
      <c r="P325" s="83"/>
      <c r="Q325" s="84"/>
      <c r="R325" s="83"/>
      <c r="S325" s="83"/>
      <c r="T325" s="85"/>
      <c r="U325" s="6"/>
      <c r="V325" s="87">
        <v>44389</v>
      </c>
      <c r="W325" s="45">
        <v>134.6</v>
      </c>
      <c r="X325" s="46"/>
      <c r="Y325" s="61"/>
      <c r="Z325" s="5"/>
      <c r="AA325" s="5"/>
      <c r="AB325" s="5"/>
      <c r="AC325" s="5"/>
      <c r="AD325" s="5"/>
      <c r="AE325" s="5"/>
      <c r="AF325" s="5"/>
      <c r="AG325" s="5"/>
      <c r="AH325" s="6"/>
      <c r="AI325" s="87">
        <v>44389</v>
      </c>
      <c r="AJ325" s="53">
        <v>134.6</v>
      </c>
      <c r="AK325" s="54">
        <f t="shared" si="55"/>
        <v>-4.2169120366944979E-3</v>
      </c>
      <c r="AL325" s="55">
        <f t="shared" si="47"/>
        <v>11.681998499083662</v>
      </c>
      <c r="AM325" s="56">
        <v>25</v>
      </c>
      <c r="AN325" s="57">
        <f t="shared" si="56"/>
        <v>13.318001500916338</v>
      </c>
      <c r="AO325" s="76">
        <f t="shared" si="48"/>
        <v>-5.8771705307783204</v>
      </c>
      <c r="AP325" s="63" t="str">
        <f t="shared" si="49"/>
        <v/>
      </c>
      <c r="AQ325" s="63" t="str">
        <f t="shared" si="50"/>
        <v>Sell Stocks</v>
      </c>
      <c r="AR325" s="63" t="str">
        <f t="shared" si="51"/>
        <v/>
      </c>
      <c r="AS325" s="63" t="str">
        <f t="shared" si="52"/>
        <v/>
      </c>
      <c r="AT325" s="78" t="str">
        <f t="shared" si="53"/>
        <v/>
      </c>
      <c r="AU325" s="78" t="str">
        <f t="shared" si="54"/>
        <v/>
      </c>
      <c r="AV325" s="64" t="str">
        <f ca="1">IFERROR(__xludf.DUMMYFUNCTION("IF(TRIM(AU325)="""","""",AU325/INDEX(FILTER(AT$3:AT325,TRIM(AT$3:AT325)&lt;&gt;""""),ROWS(FILTER(AT$3:AT325,TRIM(AT$3:AT325)&lt;&gt;"""")))-1)"),"")</f>
        <v/>
      </c>
      <c r="AW325" s="65" t="e">
        <f t="shared" ca="1" si="57"/>
        <v>#VALUE!</v>
      </c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</row>
    <row r="326" spans="1:68" ht="19" x14ac:dyDescent="0.25">
      <c r="A326" s="5"/>
      <c r="B326" s="5"/>
      <c r="C326" s="5"/>
      <c r="D326" s="5"/>
      <c r="E326" s="5"/>
      <c r="F326" s="5"/>
      <c r="G326" s="5"/>
      <c r="H326" s="6"/>
      <c r="I326" s="5"/>
      <c r="J326" s="83"/>
      <c r="K326" s="83"/>
      <c r="L326" s="83"/>
      <c r="M326" s="83"/>
      <c r="N326" s="83"/>
      <c r="O326" s="83"/>
      <c r="P326" s="83"/>
      <c r="Q326" s="84"/>
      <c r="R326" s="83"/>
      <c r="S326" s="83"/>
      <c r="T326" s="85"/>
      <c r="U326" s="6"/>
      <c r="V326" s="87">
        <v>44390</v>
      </c>
      <c r="W326" s="45">
        <v>133.99</v>
      </c>
      <c r="X326" s="46"/>
      <c r="Y326" s="61"/>
      <c r="Z326" s="5"/>
      <c r="AA326" s="5"/>
      <c r="AB326" s="5"/>
      <c r="AC326" s="5"/>
      <c r="AD326" s="5"/>
      <c r="AE326" s="5"/>
      <c r="AF326" s="5"/>
      <c r="AG326" s="5"/>
      <c r="AH326" s="6"/>
      <c r="AI326" s="87">
        <v>44390</v>
      </c>
      <c r="AJ326" s="53">
        <v>133.99</v>
      </c>
      <c r="AK326" s="54">
        <f t="shared" si="55"/>
        <v>-4.5319465081722354E-3</v>
      </c>
      <c r="AL326" s="55">
        <f t="shared" si="47"/>
        <v>9.5389529283511472</v>
      </c>
      <c r="AM326" s="56">
        <v>25</v>
      </c>
      <c r="AN326" s="57">
        <f t="shared" si="56"/>
        <v>15.461047071648853</v>
      </c>
      <c r="AO326" s="76">
        <f t="shared" si="48"/>
        <v>-0.87039254222778129</v>
      </c>
      <c r="AP326" s="63" t="str">
        <f t="shared" si="49"/>
        <v/>
      </c>
      <c r="AQ326" s="63" t="str">
        <f t="shared" si="50"/>
        <v>Sell Stocks</v>
      </c>
      <c r="AR326" s="63" t="str">
        <f t="shared" si="51"/>
        <v/>
      </c>
      <c r="AS326" s="63" t="str">
        <f t="shared" si="52"/>
        <v/>
      </c>
      <c r="AT326" s="78" t="str">
        <f t="shared" si="53"/>
        <v/>
      </c>
      <c r="AU326" s="78" t="str">
        <f t="shared" si="54"/>
        <v/>
      </c>
      <c r="AV326" s="64" t="str">
        <f ca="1">IFERROR(__xludf.DUMMYFUNCTION("IF(TRIM(AU326)="""","""",AU326/INDEX(FILTER(AT$3:AT326,TRIM(AT$3:AT326)&lt;&gt;""""),ROWS(FILTER(AT$3:AT326,TRIM(AT$3:AT326)&lt;&gt;"""")))-1)"),"")</f>
        <v/>
      </c>
      <c r="AW326" s="65" t="e">
        <f t="shared" ca="1" si="57"/>
        <v>#VALUE!</v>
      </c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</row>
    <row r="327" spans="1:68" ht="19" x14ac:dyDescent="0.25">
      <c r="A327" s="5"/>
      <c r="B327" s="5"/>
      <c r="C327" s="5"/>
      <c r="D327" s="5"/>
      <c r="E327" s="5"/>
      <c r="F327" s="5"/>
      <c r="G327" s="5"/>
      <c r="H327" s="6"/>
      <c r="I327" s="5"/>
      <c r="J327" s="83"/>
      <c r="K327" s="83"/>
      <c r="L327" s="83"/>
      <c r="M327" s="83"/>
      <c r="N327" s="83"/>
      <c r="O327" s="83"/>
      <c r="P327" s="83"/>
      <c r="Q327" s="84"/>
      <c r="R327" s="83"/>
      <c r="S327" s="83"/>
      <c r="T327" s="85"/>
      <c r="U327" s="6"/>
      <c r="V327" s="87">
        <v>44391</v>
      </c>
      <c r="W327" s="45">
        <v>133.55000000000001</v>
      </c>
      <c r="X327" s="46"/>
      <c r="Y327" s="61"/>
      <c r="Z327" s="5"/>
      <c r="AA327" s="5"/>
      <c r="AB327" s="5"/>
      <c r="AC327" s="5"/>
      <c r="AD327" s="5"/>
      <c r="AE327" s="5"/>
      <c r="AF327" s="5"/>
      <c r="AG327" s="5"/>
      <c r="AH327" s="6"/>
      <c r="AI327" s="87">
        <v>44391</v>
      </c>
      <c r="AJ327" s="53">
        <v>133.55000000000001</v>
      </c>
      <c r="AK327" s="54">
        <f t="shared" si="55"/>
        <v>-3.28382715127995E-3</v>
      </c>
      <c r="AL327" s="55">
        <f t="shared" ref="AL327:AL390" si="58">_xlfn.STDEV.S(AK323:AK327)*SQRT(252)*100</f>
        <v>8.7965549655448747</v>
      </c>
      <c r="AM327" s="56">
        <v>25</v>
      </c>
      <c r="AN327" s="57">
        <f t="shared" si="56"/>
        <v>16.203445034455125</v>
      </c>
      <c r="AO327" s="76">
        <f t="shared" ref="AO327:AO390" si="59">AVERAGE(AN323:AN327)</f>
        <v>4.5508006688781704</v>
      </c>
      <c r="AP327" s="63" t="str">
        <f t="shared" ref="AP327:AP390" si="60">IF(AO327&gt;0,"Buy Stocks","")</f>
        <v>Buy Stocks</v>
      </c>
      <c r="AQ327" s="63" t="str">
        <f t="shared" ref="AQ327:AQ390" si="61">IF(AO327&lt;0,"Sell Stocks","")</f>
        <v/>
      </c>
      <c r="AR327" s="63" t="str">
        <f t="shared" ref="AR327:AR390" si="62">IF(AND(AP327="Buy Stocks",AP326=""),"Buy Stocks","")</f>
        <v>Buy Stocks</v>
      </c>
      <c r="AS327" s="63" t="str">
        <f t="shared" ref="AS327:AS390" si="63">IF(AND(AQ327="Sell Stocks",AQ326=""),"Sell Stocks","")</f>
        <v/>
      </c>
      <c r="AT327" s="77">
        <f t="shared" ref="AT327:AT390" si="64">IF(AR327="Buy Stocks",AJ327,"")</f>
        <v>133.55000000000001</v>
      </c>
      <c r="AU327" s="78" t="str">
        <f t="shared" ref="AU327:AU390" si="65">IF(AS327="Sell Stocks",AJ327,"")</f>
        <v/>
      </c>
      <c r="AV327" s="64" t="str">
        <f ca="1">IFERROR(__xludf.DUMMYFUNCTION("IF(TRIM(AU327)="""","""",AU327/INDEX(FILTER(AT$3:AT327,TRIM(AT$3:AT327)&lt;&gt;""""),ROWS(FILTER(AT$3:AT327,TRIM(AT$3:AT327)&lt;&gt;"""")))-1)"),"")</f>
        <v/>
      </c>
      <c r="AW327" s="65" t="e">
        <f t="shared" ca="1" si="57"/>
        <v>#VALUE!</v>
      </c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</row>
    <row r="328" spans="1:68" ht="19" x14ac:dyDescent="0.25">
      <c r="A328" s="5"/>
      <c r="B328" s="5"/>
      <c r="C328" s="5"/>
      <c r="D328" s="5"/>
      <c r="E328" s="5"/>
      <c r="F328" s="5"/>
      <c r="G328" s="5"/>
      <c r="H328" s="6"/>
      <c r="I328" s="5"/>
      <c r="J328" s="83"/>
      <c r="K328" s="83"/>
      <c r="L328" s="83"/>
      <c r="M328" s="83"/>
      <c r="N328" s="83"/>
      <c r="O328" s="83"/>
      <c r="P328" s="83"/>
      <c r="Q328" s="84"/>
      <c r="R328" s="83"/>
      <c r="S328" s="83"/>
      <c r="T328" s="85"/>
      <c r="U328" s="6"/>
      <c r="V328" s="87">
        <v>44392</v>
      </c>
      <c r="W328" s="45">
        <v>134.15</v>
      </c>
      <c r="X328" s="46"/>
      <c r="Y328" s="61"/>
      <c r="Z328" s="5"/>
      <c r="AA328" s="5"/>
      <c r="AB328" s="5"/>
      <c r="AC328" s="5"/>
      <c r="AD328" s="5"/>
      <c r="AE328" s="5"/>
      <c r="AF328" s="5"/>
      <c r="AG328" s="5"/>
      <c r="AH328" s="6"/>
      <c r="AI328" s="87">
        <v>44392</v>
      </c>
      <c r="AJ328" s="53">
        <v>134.15</v>
      </c>
      <c r="AK328" s="54">
        <f t="shared" si="55"/>
        <v>4.4926993635341361E-3</v>
      </c>
      <c r="AL328" s="55">
        <f t="shared" si="58"/>
        <v>7.8879804305402299</v>
      </c>
      <c r="AM328" s="56">
        <v>25</v>
      </c>
      <c r="AN328" s="57">
        <f t="shared" si="56"/>
        <v>17.112019569459768</v>
      </c>
      <c r="AO328" s="76">
        <f t="shared" si="59"/>
        <v>10.122403750157668</v>
      </c>
      <c r="AP328" s="63" t="str">
        <f t="shared" si="60"/>
        <v>Buy Stocks</v>
      </c>
      <c r="AQ328" s="63" t="str">
        <f t="shared" si="61"/>
        <v/>
      </c>
      <c r="AR328" s="63" t="str">
        <f t="shared" si="62"/>
        <v/>
      </c>
      <c r="AS328" s="63" t="str">
        <f t="shared" si="63"/>
        <v/>
      </c>
      <c r="AT328" s="78" t="str">
        <f t="shared" si="64"/>
        <v/>
      </c>
      <c r="AU328" s="78" t="str">
        <f t="shared" si="65"/>
        <v/>
      </c>
      <c r="AV328" s="64" t="str">
        <f ca="1">IFERROR(__xludf.DUMMYFUNCTION("IF(TRIM(AU328)="""","""",AU328/INDEX(FILTER(AT$3:AT328,TRIM(AT$3:AT328)&lt;&gt;""""),ROWS(FILTER(AT$3:AT328,TRIM(AT$3:AT328)&lt;&gt;"""")))-1)"),"")</f>
        <v/>
      </c>
      <c r="AW328" s="65" t="e">
        <f t="shared" ca="1" si="57"/>
        <v>#VALUE!</v>
      </c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</row>
    <row r="329" spans="1:68" ht="19" x14ac:dyDescent="0.25">
      <c r="A329" s="5"/>
      <c r="B329" s="5"/>
      <c r="C329" s="5"/>
      <c r="D329" s="5"/>
      <c r="E329" s="5"/>
      <c r="F329" s="5"/>
      <c r="G329" s="5"/>
      <c r="H329" s="6"/>
      <c r="I329" s="5"/>
      <c r="J329" s="83"/>
      <c r="K329" s="83"/>
      <c r="L329" s="83"/>
      <c r="M329" s="83"/>
      <c r="N329" s="83"/>
      <c r="O329" s="83"/>
      <c r="P329" s="83"/>
      <c r="Q329" s="84"/>
      <c r="R329" s="83"/>
      <c r="S329" s="83"/>
      <c r="T329" s="85"/>
      <c r="U329" s="6"/>
      <c r="V329" s="87">
        <v>44393</v>
      </c>
      <c r="W329" s="45">
        <v>132.66999999999999</v>
      </c>
      <c r="X329" s="46"/>
      <c r="Y329" s="61"/>
      <c r="Z329" s="5"/>
      <c r="AA329" s="5"/>
      <c r="AB329" s="5"/>
      <c r="AC329" s="5"/>
      <c r="AD329" s="5"/>
      <c r="AE329" s="5"/>
      <c r="AF329" s="5"/>
      <c r="AG329" s="5"/>
      <c r="AH329" s="6"/>
      <c r="AI329" s="87">
        <v>44393</v>
      </c>
      <c r="AJ329" s="53">
        <v>132.66999999999999</v>
      </c>
      <c r="AK329" s="54">
        <f t="shared" si="55"/>
        <v>-1.1032426388371319E-2</v>
      </c>
      <c r="AL329" s="55">
        <f t="shared" si="58"/>
        <v>8.7675685782176416</v>
      </c>
      <c r="AM329" s="56">
        <v>25</v>
      </c>
      <c r="AN329" s="57">
        <f t="shared" si="56"/>
        <v>16.232431421782358</v>
      </c>
      <c r="AO329" s="76">
        <f t="shared" si="59"/>
        <v>15.665388919652489</v>
      </c>
      <c r="AP329" s="63" t="str">
        <f t="shared" si="60"/>
        <v>Buy Stocks</v>
      </c>
      <c r="AQ329" s="63" t="str">
        <f t="shared" si="61"/>
        <v/>
      </c>
      <c r="AR329" s="63" t="str">
        <f t="shared" si="62"/>
        <v/>
      </c>
      <c r="AS329" s="63" t="str">
        <f t="shared" si="63"/>
        <v/>
      </c>
      <c r="AT329" s="78" t="str">
        <f t="shared" si="64"/>
        <v/>
      </c>
      <c r="AU329" s="78" t="str">
        <f t="shared" si="65"/>
        <v/>
      </c>
      <c r="AV329" s="64" t="str">
        <f ca="1">IFERROR(__xludf.DUMMYFUNCTION("IF(TRIM(AU329)="""","""",AU329/INDEX(FILTER(AT$3:AT329,TRIM(AT$3:AT329)&lt;&gt;""""),ROWS(FILTER(AT$3:AT329,TRIM(AT$3:AT329)&lt;&gt;"""")))-1)"),"")</f>
        <v/>
      </c>
      <c r="AW329" s="65" t="e">
        <f t="shared" ca="1" si="57"/>
        <v>#VALUE!</v>
      </c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</row>
    <row r="330" spans="1:68" ht="19" x14ac:dyDescent="0.25">
      <c r="A330" s="5"/>
      <c r="B330" s="5"/>
      <c r="C330" s="5"/>
      <c r="D330" s="5"/>
      <c r="E330" s="5"/>
      <c r="F330" s="5"/>
      <c r="G330" s="5"/>
      <c r="H330" s="6"/>
      <c r="I330" s="5"/>
      <c r="J330" s="83"/>
      <c r="K330" s="83"/>
      <c r="L330" s="83"/>
      <c r="M330" s="83"/>
      <c r="N330" s="83"/>
      <c r="O330" s="83"/>
      <c r="P330" s="83"/>
      <c r="Q330" s="84"/>
      <c r="R330" s="83"/>
      <c r="S330" s="83"/>
      <c r="T330" s="85"/>
      <c r="U330" s="6"/>
      <c r="V330" s="87">
        <v>44396</v>
      </c>
      <c r="W330" s="45">
        <v>131.74</v>
      </c>
      <c r="X330" s="46"/>
      <c r="Y330" s="61"/>
      <c r="Z330" s="5"/>
      <c r="AA330" s="5"/>
      <c r="AB330" s="5"/>
      <c r="AC330" s="5"/>
      <c r="AD330" s="5"/>
      <c r="AE330" s="5"/>
      <c r="AF330" s="5"/>
      <c r="AG330" s="5"/>
      <c r="AH330" s="6"/>
      <c r="AI330" s="87">
        <v>44396</v>
      </c>
      <c r="AJ330" s="53">
        <v>131.74</v>
      </c>
      <c r="AK330" s="54">
        <f t="shared" si="55"/>
        <v>-7.0098741237655249E-3</v>
      </c>
      <c r="AL330" s="55">
        <f t="shared" si="58"/>
        <v>9.0867978822433368</v>
      </c>
      <c r="AM330" s="56">
        <v>25</v>
      </c>
      <c r="AN330" s="57">
        <f t="shared" si="56"/>
        <v>15.913202117756663</v>
      </c>
      <c r="AO330" s="76">
        <f t="shared" si="59"/>
        <v>16.184429043020554</v>
      </c>
      <c r="AP330" s="63" t="str">
        <f t="shared" si="60"/>
        <v>Buy Stocks</v>
      </c>
      <c r="AQ330" s="63" t="str">
        <f t="shared" si="61"/>
        <v/>
      </c>
      <c r="AR330" s="63" t="str">
        <f t="shared" si="62"/>
        <v/>
      </c>
      <c r="AS330" s="63" t="str">
        <f t="shared" si="63"/>
        <v/>
      </c>
      <c r="AT330" s="78" t="str">
        <f t="shared" si="64"/>
        <v/>
      </c>
      <c r="AU330" s="78" t="str">
        <f t="shared" si="65"/>
        <v/>
      </c>
      <c r="AV330" s="64" t="str">
        <f ca="1">IFERROR(__xludf.DUMMYFUNCTION("IF(TRIM(AU330)="""","""",AU330/INDEX(FILTER(AT$3:AT330,TRIM(AT$3:AT330)&lt;&gt;""""),ROWS(FILTER(AT$3:AT330,TRIM(AT$3:AT330)&lt;&gt;"""")))-1)"),"")</f>
        <v/>
      </c>
      <c r="AW330" s="65" t="e">
        <f t="shared" ca="1" si="57"/>
        <v>#VALUE!</v>
      </c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</row>
    <row r="331" spans="1:68" ht="19" x14ac:dyDescent="0.25">
      <c r="A331" s="5"/>
      <c r="B331" s="5"/>
      <c r="C331" s="5"/>
      <c r="D331" s="5"/>
      <c r="E331" s="5"/>
      <c r="F331" s="5"/>
      <c r="G331" s="5"/>
      <c r="H331" s="6"/>
      <c r="I331" s="5"/>
      <c r="J331" s="83"/>
      <c r="K331" s="83"/>
      <c r="L331" s="83"/>
      <c r="M331" s="83"/>
      <c r="N331" s="83"/>
      <c r="O331" s="83"/>
      <c r="P331" s="83"/>
      <c r="Q331" s="84"/>
      <c r="R331" s="83"/>
      <c r="S331" s="83"/>
      <c r="T331" s="85"/>
      <c r="U331" s="6"/>
      <c r="V331" s="87">
        <v>44397</v>
      </c>
      <c r="W331" s="45">
        <v>133.69</v>
      </c>
      <c r="X331" s="46"/>
      <c r="Y331" s="61"/>
      <c r="Z331" s="5"/>
      <c r="AA331" s="5"/>
      <c r="AB331" s="5"/>
      <c r="AC331" s="5"/>
      <c r="AD331" s="5"/>
      <c r="AE331" s="5"/>
      <c r="AF331" s="5"/>
      <c r="AG331" s="5"/>
      <c r="AH331" s="6"/>
      <c r="AI331" s="87">
        <v>44397</v>
      </c>
      <c r="AJ331" s="53">
        <v>133.69</v>
      </c>
      <c r="AK331" s="54">
        <f t="shared" si="55"/>
        <v>1.4801882495824925E-2</v>
      </c>
      <c r="AL331" s="55">
        <f t="shared" si="58"/>
        <v>16.26829072014926</v>
      </c>
      <c r="AM331" s="56">
        <v>25</v>
      </c>
      <c r="AN331" s="57">
        <f t="shared" si="56"/>
        <v>8.7317092798507403</v>
      </c>
      <c r="AO331" s="76">
        <f t="shared" si="59"/>
        <v>14.838561484660932</v>
      </c>
      <c r="AP331" s="63" t="str">
        <f t="shared" si="60"/>
        <v>Buy Stocks</v>
      </c>
      <c r="AQ331" s="63" t="str">
        <f t="shared" si="61"/>
        <v/>
      </c>
      <c r="AR331" s="63" t="str">
        <f t="shared" si="62"/>
        <v/>
      </c>
      <c r="AS331" s="63" t="str">
        <f t="shared" si="63"/>
        <v/>
      </c>
      <c r="AT331" s="78" t="str">
        <f t="shared" si="64"/>
        <v/>
      </c>
      <c r="AU331" s="78" t="str">
        <f t="shared" si="65"/>
        <v/>
      </c>
      <c r="AV331" s="64" t="str">
        <f ca="1">IFERROR(__xludf.DUMMYFUNCTION("IF(TRIM(AU331)="""","""",AU331/INDEX(FILTER(AT$3:AT331,TRIM(AT$3:AT331)&lt;&gt;""""),ROWS(FILTER(AT$3:AT331,TRIM(AT$3:AT331)&lt;&gt;"""")))-1)"),"")</f>
        <v/>
      </c>
      <c r="AW331" s="65" t="e">
        <f t="shared" ca="1" si="57"/>
        <v>#VALUE!</v>
      </c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</row>
    <row r="332" spans="1:68" ht="19" x14ac:dyDescent="0.25">
      <c r="A332" s="5"/>
      <c r="B332" s="5"/>
      <c r="C332" s="5"/>
      <c r="D332" s="5"/>
      <c r="E332" s="5"/>
      <c r="F332" s="5"/>
      <c r="G332" s="5"/>
      <c r="H332" s="6"/>
      <c r="I332" s="5"/>
      <c r="J332" s="83"/>
      <c r="K332" s="83"/>
      <c r="L332" s="83"/>
      <c r="M332" s="83"/>
      <c r="N332" s="83"/>
      <c r="O332" s="83"/>
      <c r="P332" s="83"/>
      <c r="Q332" s="84"/>
      <c r="R332" s="83"/>
      <c r="S332" s="83"/>
      <c r="T332" s="85"/>
      <c r="U332" s="6"/>
      <c r="V332" s="87">
        <v>44398</v>
      </c>
      <c r="W332" s="45">
        <v>134.96</v>
      </c>
      <c r="X332" s="46"/>
      <c r="Y332" s="61"/>
      <c r="Z332" s="5"/>
      <c r="AA332" s="5"/>
      <c r="AB332" s="5"/>
      <c r="AC332" s="5"/>
      <c r="AD332" s="5"/>
      <c r="AE332" s="5"/>
      <c r="AF332" s="5"/>
      <c r="AG332" s="5"/>
      <c r="AH332" s="6"/>
      <c r="AI332" s="87">
        <v>44398</v>
      </c>
      <c r="AJ332" s="53">
        <v>134.96</v>
      </c>
      <c r="AK332" s="54">
        <f t="shared" si="55"/>
        <v>9.4995886004938246E-3</v>
      </c>
      <c r="AL332" s="55">
        <f t="shared" si="58"/>
        <v>17.339847861933873</v>
      </c>
      <c r="AM332" s="56">
        <v>25</v>
      </c>
      <c r="AN332" s="57">
        <f t="shared" si="56"/>
        <v>7.6601521380661275</v>
      </c>
      <c r="AO332" s="76">
        <f t="shared" si="59"/>
        <v>13.12990290538313</v>
      </c>
      <c r="AP332" s="63" t="str">
        <f t="shared" si="60"/>
        <v>Buy Stocks</v>
      </c>
      <c r="AQ332" s="63" t="str">
        <f t="shared" si="61"/>
        <v/>
      </c>
      <c r="AR332" s="63" t="str">
        <f t="shared" si="62"/>
        <v/>
      </c>
      <c r="AS332" s="63" t="str">
        <f t="shared" si="63"/>
        <v/>
      </c>
      <c r="AT332" s="78" t="str">
        <f t="shared" si="64"/>
        <v/>
      </c>
      <c r="AU332" s="78" t="str">
        <f t="shared" si="65"/>
        <v/>
      </c>
      <c r="AV332" s="64" t="str">
        <f ca="1">IFERROR(__xludf.DUMMYFUNCTION("IF(TRIM(AU332)="""","""",AU332/INDEX(FILTER(AT$3:AT332,TRIM(AT$3:AT332)&lt;&gt;""""),ROWS(FILTER(AT$3:AT332,TRIM(AT$3:AT332)&lt;&gt;"""")))-1)"),"")</f>
        <v/>
      </c>
      <c r="AW332" s="65" t="e">
        <f t="shared" ca="1" si="57"/>
        <v>#VALUE!</v>
      </c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</row>
    <row r="333" spans="1:68" ht="19" x14ac:dyDescent="0.25">
      <c r="A333" s="5"/>
      <c r="B333" s="5"/>
      <c r="C333" s="5"/>
      <c r="D333" s="5"/>
      <c r="E333" s="5"/>
      <c r="F333" s="5"/>
      <c r="G333" s="5"/>
      <c r="H333" s="6"/>
      <c r="I333" s="5"/>
      <c r="J333" s="83"/>
      <c r="K333" s="83"/>
      <c r="L333" s="83"/>
      <c r="M333" s="83"/>
      <c r="N333" s="83"/>
      <c r="O333" s="83"/>
      <c r="P333" s="83"/>
      <c r="Q333" s="84"/>
      <c r="R333" s="83"/>
      <c r="S333" s="83"/>
      <c r="T333" s="85"/>
      <c r="U333" s="6"/>
      <c r="V333" s="87">
        <v>44399</v>
      </c>
      <c r="W333" s="45">
        <v>134.4</v>
      </c>
      <c r="X333" s="46"/>
      <c r="Y333" s="61"/>
      <c r="Z333" s="5"/>
      <c r="AA333" s="5"/>
      <c r="AB333" s="5"/>
      <c r="AC333" s="5"/>
      <c r="AD333" s="5"/>
      <c r="AE333" s="5"/>
      <c r="AF333" s="5"/>
      <c r="AG333" s="5"/>
      <c r="AH333" s="6"/>
      <c r="AI333" s="87">
        <v>44399</v>
      </c>
      <c r="AJ333" s="53">
        <v>134.4</v>
      </c>
      <c r="AK333" s="54">
        <f t="shared" si="55"/>
        <v>-4.1493775933609811E-3</v>
      </c>
      <c r="AL333" s="55">
        <f t="shared" si="58"/>
        <v>17.686327831956206</v>
      </c>
      <c r="AM333" s="56">
        <v>25</v>
      </c>
      <c r="AN333" s="57">
        <f t="shared" si="56"/>
        <v>7.3136721680437944</v>
      </c>
      <c r="AO333" s="76">
        <f t="shared" si="59"/>
        <v>11.170233425099937</v>
      </c>
      <c r="AP333" s="63" t="str">
        <f t="shared" si="60"/>
        <v>Buy Stocks</v>
      </c>
      <c r="AQ333" s="63" t="str">
        <f t="shared" si="61"/>
        <v/>
      </c>
      <c r="AR333" s="63" t="str">
        <f t="shared" si="62"/>
        <v/>
      </c>
      <c r="AS333" s="63" t="str">
        <f t="shared" si="63"/>
        <v/>
      </c>
      <c r="AT333" s="78" t="str">
        <f t="shared" si="64"/>
        <v/>
      </c>
      <c r="AU333" s="78" t="str">
        <f t="shared" si="65"/>
        <v/>
      </c>
      <c r="AV333" s="64" t="str">
        <f ca="1">IFERROR(__xludf.DUMMYFUNCTION("IF(TRIM(AU333)="""","""",AU333/INDEX(FILTER(AT$3:AT333,TRIM(AT$3:AT333)&lt;&gt;""""),ROWS(FILTER(AT$3:AT333,TRIM(AT$3:AT333)&lt;&gt;"""")))-1)"),"")</f>
        <v/>
      </c>
      <c r="AW333" s="65" t="e">
        <f t="shared" ca="1" si="57"/>
        <v>#VALUE!</v>
      </c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</row>
    <row r="334" spans="1:68" ht="19" x14ac:dyDescent="0.25">
      <c r="A334" s="5"/>
      <c r="B334" s="5"/>
      <c r="C334" s="5"/>
      <c r="D334" s="5"/>
      <c r="E334" s="5"/>
      <c r="F334" s="5"/>
      <c r="G334" s="5"/>
      <c r="H334" s="6"/>
      <c r="I334" s="5"/>
      <c r="J334" s="83"/>
      <c r="K334" s="83"/>
      <c r="L334" s="83"/>
      <c r="M334" s="83"/>
      <c r="N334" s="83"/>
      <c r="O334" s="83"/>
      <c r="P334" s="83"/>
      <c r="Q334" s="84"/>
      <c r="R334" s="83"/>
      <c r="S334" s="83"/>
      <c r="T334" s="85"/>
      <c r="U334" s="6"/>
      <c r="V334" s="44">
        <v>44400</v>
      </c>
      <c r="W334" s="45">
        <v>135</v>
      </c>
      <c r="X334" s="46"/>
      <c r="Y334" s="61"/>
      <c r="Z334" s="5"/>
      <c r="AA334" s="5"/>
      <c r="AB334" s="5"/>
      <c r="AC334" s="5"/>
      <c r="AD334" s="5"/>
      <c r="AE334" s="5"/>
      <c r="AF334" s="5"/>
      <c r="AG334" s="5"/>
      <c r="AH334" s="6"/>
      <c r="AI334" s="44">
        <v>44400</v>
      </c>
      <c r="AJ334" s="53">
        <v>135</v>
      </c>
      <c r="AK334" s="54">
        <f t="shared" si="55"/>
        <v>4.4642857142855874E-3</v>
      </c>
      <c r="AL334" s="55">
        <f t="shared" si="58"/>
        <v>14.497728835702237</v>
      </c>
      <c r="AM334" s="56">
        <v>25</v>
      </c>
      <c r="AN334" s="57">
        <f t="shared" si="56"/>
        <v>10.502271164297763</v>
      </c>
      <c r="AO334" s="76">
        <f t="shared" si="59"/>
        <v>10.024201373603017</v>
      </c>
      <c r="AP334" s="63" t="str">
        <f t="shared" si="60"/>
        <v>Buy Stocks</v>
      </c>
      <c r="AQ334" s="63" t="str">
        <f t="shared" si="61"/>
        <v/>
      </c>
      <c r="AR334" s="63" t="str">
        <f t="shared" si="62"/>
        <v/>
      </c>
      <c r="AS334" s="63" t="str">
        <f t="shared" si="63"/>
        <v/>
      </c>
      <c r="AT334" s="78" t="str">
        <f t="shared" si="64"/>
        <v/>
      </c>
      <c r="AU334" s="78" t="str">
        <f t="shared" si="65"/>
        <v/>
      </c>
      <c r="AV334" s="64" t="str">
        <f ca="1">IFERROR(__xludf.DUMMYFUNCTION("IF(TRIM(AU334)="""","""",AU334/INDEX(FILTER(AT$3:AT334,TRIM(AT$3:AT334)&lt;&gt;""""),ROWS(FILTER(AT$3:AT334,TRIM(AT$3:AT334)&lt;&gt;"""")))-1)"),"")</f>
        <v/>
      </c>
      <c r="AW334" s="65" t="e">
        <f t="shared" ca="1" si="57"/>
        <v>#VALUE!</v>
      </c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</row>
    <row r="335" spans="1:68" ht="19" x14ac:dyDescent="0.25">
      <c r="A335" s="5"/>
      <c r="B335" s="5"/>
      <c r="C335" s="5"/>
      <c r="D335" s="5"/>
      <c r="E335" s="5"/>
      <c r="F335" s="5"/>
      <c r="G335" s="5"/>
      <c r="H335" s="6"/>
      <c r="I335" s="5"/>
      <c r="J335" s="83"/>
      <c r="K335" s="83"/>
      <c r="L335" s="83"/>
      <c r="M335" s="83"/>
      <c r="N335" s="83"/>
      <c r="O335" s="83"/>
      <c r="P335" s="83"/>
      <c r="Q335" s="84"/>
      <c r="R335" s="83"/>
      <c r="S335" s="83"/>
      <c r="T335" s="85"/>
      <c r="U335" s="6"/>
      <c r="V335" s="44">
        <v>44403</v>
      </c>
      <c r="W335" s="45">
        <v>136.37</v>
      </c>
      <c r="X335" s="46"/>
      <c r="Y335" s="61"/>
      <c r="Z335" s="5"/>
      <c r="AA335" s="5"/>
      <c r="AB335" s="5"/>
      <c r="AC335" s="5"/>
      <c r="AD335" s="5"/>
      <c r="AE335" s="5"/>
      <c r="AF335" s="5"/>
      <c r="AG335" s="5"/>
      <c r="AH335" s="6"/>
      <c r="AI335" s="44">
        <v>44403</v>
      </c>
      <c r="AJ335" s="53">
        <v>136.37</v>
      </c>
      <c r="AK335" s="54">
        <f t="shared" si="55"/>
        <v>1.0148148148148239E-2</v>
      </c>
      <c r="AL335" s="55">
        <f t="shared" si="58"/>
        <v>11.440541202988506</v>
      </c>
      <c r="AM335" s="56">
        <v>25</v>
      </c>
      <c r="AN335" s="57">
        <f t="shared" si="56"/>
        <v>13.559458797011494</v>
      </c>
      <c r="AO335" s="76">
        <f t="shared" si="59"/>
        <v>9.5534527094539836</v>
      </c>
      <c r="AP335" s="63" t="str">
        <f t="shared" si="60"/>
        <v>Buy Stocks</v>
      </c>
      <c r="AQ335" s="63" t="str">
        <f t="shared" si="61"/>
        <v/>
      </c>
      <c r="AR335" s="63" t="str">
        <f t="shared" si="62"/>
        <v/>
      </c>
      <c r="AS335" s="63" t="str">
        <f t="shared" si="63"/>
        <v/>
      </c>
      <c r="AT335" s="78" t="str">
        <f t="shared" si="64"/>
        <v/>
      </c>
      <c r="AU335" s="78" t="str">
        <f t="shared" si="65"/>
        <v/>
      </c>
      <c r="AV335" s="64" t="str">
        <f ca="1">IFERROR(__xludf.DUMMYFUNCTION("IF(TRIM(AU335)="""","""",AU335/INDEX(FILTER(AT$3:AT335,TRIM(AT$3:AT335)&lt;&gt;""""),ROWS(FILTER(AT$3:AT335,TRIM(AT$3:AT335)&lt;&gt;"""")))-1)"),"")</f>
        <v/>
      </c>
      <c r="AW335" s="65" t="e">
        <f t="shared" ca="1" si="57"/>
        <v>#VALUE!</v>
      </c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</row>
    <row r="336" spans="1:68" ht="19" x14ac:dyDescent="0.25">
      <c r="A336" s="5"/>
      <c r="B336" s="5"/>
      <c r="C336" s="5"/>
      <c r="D336" s="5"/>
      <c r="E336" s="5"/>
      <c r="F336" s="5"/>
      <c r="G336" s="5"/>
      <c r="H336" s="6"/>
      <c r="I336" s="5"/>
      <c r="J336" s="83"/>
      <c r="K336" s="83"/>
      <c r="L336" s="83"/>
      <c r="M336" s="83"/>
      <c r="N336" s="83"/>
      <c r="O336" s="83"/>
      <c r="P336" s="83"/>
      <c r="Q336" s="84"/>
      <c r="R336" s="83"/>
      <c r="S336" s="83"/>
      <c r="T336" s="85"/>
      <c r="U336" s="6"/>
      <c r="V336" s="44">
        <v>44404</v>
      </c>
      <c r="W336" s="45">
        <v>136.35</v>
      </c>
      <c r="X336" s="46"/>
      <c r="Y336" s="61"/>
      <c r="Z336" s="5"/>
      <c r="AA336" s="5"/>
      <c r="AB336" s="5"/>
      <c r="AC336" s="5"/>
      <c r="AD336" s="5"/>
      <c r="AE336" s="5"/>
      <c r="AF336" s="5"/>
      <c r="AG336" s="5"/>
      <c r="AH336" s="6"/>
      <c r="AI336" s="44">
        <v>44404</v>
      </c>
      <c r="AJ336" s="53">
        <v>136.35</v>
      </c>
      <c r="AK336" s="54">
        <f t="shared" si="55"/>
        <v>-1.4665982254169485E-4</v>
      </c>
      <c r="AL336" s="55">
        <f t="shared" si="58"/>
        <v>9.7812327076769687</v>
      </c>
      <c r="AM336" s="56">
        <v>25</v>
      </c>
      <c r="AN336" s="57">
        <f t="shared" si="56"/>
        <v>15.218767292323031</v>
      </c>
      <c r="AO336" s="76">
        <f t="shared" si="59"/>
        <v>10.850864311948442</v>
      </c>
      <c r="AP336" s="63" t="str">
        <f t="shared" si="60"/>
        <v>Buy Stocks</v>
      </c>
      <c r="AQ336" s="63" t="str">
        <f t="shared" si="61"/>
        <v/>
      </c>
      <c r="AR336" s="63" t="str">
        <f t="shared" si="62"/>
        <v/>
      </c>
      <c r="AS336" s="63" t="str">
        <f t="shared" si="63"/>
        <v/>
      </c>
      <c r="AT336" s="78" t="str">
        <f t="shared" si="64"/>
        <v/>
      </c>
      <c r="AU336" s="78" t="str">
        <f t="shared" si="65"/>
        <v/>
      </c>
      <c r="AV336" s="64" t="str">
        <f ca="1">IFERROR(__xludf.DUMMYFUNCTION("IF(TRIM(AU336)="""","""",AU336/INDEX(FILTER(AT$3:AT336,TRIM(AT$3:AT336)&lt;&gt;""""),ROWS(FILTER(AT$3:AT336,TRIM(AT$3:AT336)&lt;&gt;"""")))-1)"),"")</f>
        <v/>
      </c>
      <c r="AW336" s="65" t="e">
        <f t="shared" ca="1" si="57"/>
        <v>#VALUE!</v>
      </c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</row>
    <row r="337" spans="1:68" ht="19" x14ac:dyDescent="0.25">
      <c r="A337" s="5"/>
      <c r="B337" s="5"/>
      <c r="C337" s="5"/>
      <c r="D337" s="5"/>
      <c r="E337" s="5"/>
      <c r="F337" s="5"/>
      <c r="G337" s="5"/>
      <c r="H337" s="6"/>
      <c r="I337" s="5"/>
      <c r="J337" s="83"/>
      <c r="K337" s="83"/>
      <c r="L337" s="83"/>
      <c r="M337" s="83"/>
      <c r="N337" s="83"/>
      <c r="O337" s="83"/>
      <c r="P337" s="83"/>
      <c r="Q337" s="84"/>
      <c r="R337" s="83"/>
      <c r="S337" s="83"/>
      <c r="T337" s="85"/>
      <c r="U337" s="6"/>
      <c r="V337" s="44">
        <v>44405</v>
      </c>
      <c r="W337" s="45">
        <v>135.41</v>
      </c>
      <c r="X337" s="46"/>
      <c r="Y337" s="61"/>
      <c r="Z337" s="5"/>
      <c r="AA337" s="5"/>
      <c r="AB337" s="5"/>
      <c r="AC337" s="5"/>
      <c r="AD337" s="5"/>
      <c r="AE337" s="5"/>
      <c r="AF337" s="5"/>
      <c r="AG337" s="5"/>
      <c r="AH337" s="6"/>
      <c r="AI337" s="44">
        <v>44405</v>
      </c>
      <c r="AJ337" s="53">
        <v>135.41</v>
      </c>
      <c r="AK337" s="54">
        <f t="shared" si="55"/>
        <v>-6.8940227356069084E-3</v>
      </c>
      <c r="AL337" s="55">
        <f t="shared" si="58"/>
        <v>10.805708311647393</v>
      </c>
      <c r="AM337" s="56">
        <v>25</v>
      </c>
      <c r="AN337" s="57">
        <f t="shared" si="56"/>
        <v>14.194291688352607</v>
      </c>
      <c r="AO337" s="76">
        <f t="shared" si="59"/>
        <v>12.157692222005739</v>
      </c>
      <c r="AP337" s="63" t="str">
        <f t="shared" si="60"/>
        <v>Buy Stocks</v>
      </c>
      <c r="AQ337" s="63" t="str">
        <f t="shared" si="61"/>
        <v/>
      </c>
      <c r="AR337" s="63" t="str">
        <f t="shared" si="62"/>
        <v/>
      </c>
      <c r="AS337" s="63" t="str">
        <f t="shared" si="63"/>
        <v/>
      </c>
      <c r="AT337" s="78" t="str">
        <f t="shared" si="64"/>
        <v/>
      </c>
      <c r="AU337" s="78" t="str">
        <f t="shared" si="65"/>
        <v/>
      </c>
      <c r="AV337" s="64" t="str">
        <f ca="1">IFERROR(__xludf.DUMMYFUNCTION("IF(TRIM(AU337)="""","""",AU337/INDEX(FILTER(AT$3:AT337,TRIM(AT$3:AT337)&lt;&gt;""""),ROWS(FILTER(AT$3:AT337,TRIM(AT$3:AT337)&lt;&gt;"""")))-1)"),"")</f>
        <v/>
      </c>
      <c r="AW337" s="65" t="e">
        <f t="shared" ca="1" si="57"/>
        <v>#VALUE!</v>
      </c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</row>
    <row r="338" spans="1:68" ht="19" x14ac:dyDescent="0.25">
      <c r="A338" s="5"/>
      <c r="B338" s="5"/>
      <c r="C338" s="5"/>
      <c r="D338" s="5"/>
      <c r="E338" s="5"/>
      <c r="F338" s="5"/>
      <c r="G338" s="5"/>
      <c r="H338" s="6"/>
      <c r="I338" s="5"/>
      <c r="J338" s="83"/>
      <c r="K338" s="83"/>
      <c r="L338" s="83"/>
      <c r="M338" s="83"/>
      <c r="N338" s="83"/>
      <c r="O338" s="83"/>
      <c r="P338" s="83"/>
      <c r="Q338" s="84"/>
      <c r="R338" s="83"/>
      <c r="S338" s="83"/>
      <c r="T338" s="85"/>
      <c r="U338" s="6"/>
      <c r="V338" s="44">
        <v>44406</v>
      </c>
      <c r="W338" s="45">
        <v>135.57</v>
      </c>
      <c r="X338" s="46"/>
      <c r="Y338" s="61"/>
      <c r="Z338" s="5"/>
      <c r="AA338" s="5"/>
      <c r="AB338" s="5"/>
      <c r="AC338" s="5"/>
      <c r="AD338" s="5"/>
      <c r="AE338" s="5"/>
      <c r="AF338" s="5"/>
      <c r="AG338" s="5"/>
      <c r="AH338" s="6"/>
      <c r="AI338" s="44">
        <v>44406</v>
      </c>
      <c r="AJ338" s="53">
        <v>135.57</v>
      </c>
      <c r="AK338" s="54">
        <f t="shared" si="55"/>
        <v>1.1815966324495442E-3</v>
      </c>
      <c r="AL338" s="55">
        <f t="shared" si="58"/>
        <v>9.9306360910057467</v>
      </c>
      <c r="AM338" s="56">
        <v>25</v>
      </c>
      <c r="AN338" s="57">
        <f t="shared" si="56"/>
        <v>15.069363908994253</v>
      </c>
      <c r="AO338" s="76">
        <f t="shared" si="59"/>
        <v>13.708830570195829</v>
      </c>
      <c r="AP338" s="63" t="str">
        <f t="shared" si="60"/>
        <v>Buy Stocks</v>
      </c>
      <c r="AQ338" s="63" t="str">
        <f t="shared" si="61"/>
        <v/>
      </c>
      <c r="AR338" s="63" t="str">
        <f t="shared" si="62"/>
        <v/>
      </c>
      <c r="AS338" s="63" t="str">
        <f t="shared" si="63"/>
        <v/>
      </c>
      <c r="AT338" s="78" t="str">
        <f t="shared" si="64"/>
        <v/>
      </c>
      <c r="AU338" s="78" t="str">
        <f t="shared" si="65"/>
        <v/>
      </c>
      <c r="AV338" s="64" t="str">
        <f ca="1">IFERROR(__xludf.DUMMYFUNCTION("IF(TRIM(AU338)="""","""",AU338/INDEX(FILTER(AT$3:AT338,TRIM(AT$3:AT338)&lt;&gt;""""),ROWS(FILTER(AT$3:AT338,TRIM(AT$3:AT338)&lt;&gt;"""")))-1)"),"")</f>
        <v/>
      </c>
      <c r="AW338" s="65" t="e">
        <f t="shared" ca="1" si="57"/>
        <v>#VALUE!</v>
      </c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</row>
    <row r="339" spans="1:68" ht="19" x14ac:dyDescent="0.25">
      <c r="A339" s="5"/>
      <c r="B339" s="5"/>
      <c r="C339" s="5"/>
      <c r="D339" s="5"/>
      <c r="E339" s="5"/>
      <c r="F339" s="5"/>
      <c r="G339" s="5"/>
      <c r="H339" s="6"/>
      <c r="I339" s="5"/>
      <c r="J339" s="83"/>
      <c r="K339" s="83"/>
      <c r="L339" s="83"/>
      <c r="M339" s="83"/>
      <c r="N339" s="83"/>
      <c r="O339" s="83"/>
      <c r="P339" s="83"/>
      <c r="Q339" s="84"/>
      <c r="R339" s="83"/>
      <c r="S339" s="83"/>
      <c r="T339" s="85"/>
      <c r="U339" s="6"/>
      <c r="V339" s="44">
        <v>44407</v>
      </c>
      <c r="W339" s="45">
        <v>134.63999999999999</v>
      </c>
      <c r="X339" s="46"/>
      <c r="Y339" s="61"/>
      <c r="Z339" s="5"/>
      <c r="AA339" s="5"/>
      <c r="AB339" s="5"/>
      <c r="AC339" s="5"/>
      <c r="AD339" s="5"/>
      <c r="AE339" s="5"/>
      <c r="AF339" s="5"/>
      <c r="AG339" s="5"/>
      <c r="AH339" s="6"/>
      <c r="AI339" s="44">
        <v>44407</v>
      </c>
      <c r="AJ339" s="53">
        <v>134.63999999999999</v>
      </c>
      <c r="AK339" s="54">
        <f t="shared" si="55"/>
        <v>-6.8599247621156101E-3</v>
      </c>
      <c r="AL339" s="55">
        <f t="shared" si="58"/>
        <v>11.159305972228307</v>
      </c>
      <c r="AM339" s="56">
        <v>25</v>
      </c>
      <c r="AN339" s="57">
        <f t="shared" si="56"/>
        <v>13.840694027771693</v>
      </c>
      <c r="AO339" s="76">
        <f t="shared" si="59"/>
        <v>14.376515142890616</v>
      </c>
      <c r="AP339" s="63" t="str">
        <f t="shared" si="60"/>
        <v>Buy Stocks</v>
      </c>
      <c r="AQ339" s="63" t="str">
        <f t="shared" si="61"/>
        <v/>
      </c>
      <c r="AR339" s="63" t="str">
        <f t="shared" si="62"/>
        <v/>
      </c>
      <c r="AS339" s="63" t="str">
        <f t="shared" si="63"/>
        <v/>
      </c>
      <c r="AT339" s="78" t="str">
        <f t="shared" si="64"/>
        <v/>
      </c>
      <c r="AU339" s="78" t="str">
        <f t="shared" si="65"/>
        <v/>
      </c>
      <c r="AV339" s="64" t="str">
        <f ca="1">IFERROR(__xludf.DUMMYFUNCTION("IF(TRIM(AU339)="""","""",AU339/INDEX(FILTER(AT$3:AT339,TRIM(AT$3:AT339)&lt;&gt;""""),ROWS(FILTER(AT$3:AT339,TRIM(AT$3:AT339)&lt;&gt;"""")))-1)"),"")</f>
        <v/>
      </c>
      <c r="AW339" s="65" t="e">
        <f t="shared" ca="1" si="57"/>
        <v>#VALUE!</v>
      </c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</row>
    <row r="340" spans="1:68" ht="19" x14ac:dyDescent="0.25">
      <c r="A340" s="5"/>
      <c r="B340" s="5"/>
      <c r="C340" s="5"/>
      <c r="D340" s="5"/>
      <c r="E340" s="5"/>
      <c r="F340" s="5"/>
      <c r="G340" s="5"/>
      <c r="H340" s="6"/>
      <c r="I340" s="5"/>
      <c r="J340" s="83"/>
      <c r="K340" s="83"/>
      <c r="L340" s="83"/>
      <c r="M340" s="83"/>
      <c r="N340" s="83"/>
      <c r="O340" s="83"/>
      <c r="P340" s="83"/>
      <c r="Q340" s="84"/>
      <c r="R340" s="83"/>
      <c r="S340" s="83"/>
      <c r="T340" s="85"/>
      <c r="U340" s="6"/>
      <c r="V340" s="87">
        <v>44410</v>
      </c>
      <c r="W340" s="45">
        <v>135.08000000000001</v>
      </c>
      <c r="X340" s="46"/>
      <c r="Y340" s="61"/>
      <c r="Z340" s="5"/>
      <c r="AA340" s="5"/>
      <c r="AB340" s="5"/>
      <c r="AC340" s="5"/>
      <c r="AD340" s="5"/>
      <c r="AE340" s="5"/>
      <c r="AF340" s="5"/>
      <c r="AG340" s="5"/>
      <c r="AH340" s="6"/>
      <c r="AI340" s="87">
        <v>44410</v>
      </c>
      <c r="AJ340" s="53">
        <v>135.08000000000001</v>
      </c>
      <c r="AK340" s="54">
        <f t="shared" si="55"/>
        <v>3.2679738562093608E-3</v>
      </c>
      <c r="AL340" s="55">
        <f t="shared" si="58"/>
        <v>7.4803736060445827</v>
      </c>
      <c r="AM340" s="56">
        <v>25</v>
      </c>
      <c r="AN340" s="57">
        <f t="shared" si="56"/>
        <v>17.519626393955416</v>
      </c>
      <c r="AO340" s="76">
        <f t="shared" si="59"/>
        <v>15.168548662279401</v>
      </c>
      <c r="AP340" s="63" t="str">
        <f t="shared" si="60"/>
        <v>Buy Stocks</v>
      </c>
      <c r="AQ340" s="63" t="str">
        <f t="shared" si="61"/>
        <v/>
      </c>
      <c r="AR340" s="63" t="str">
        <f t="shared" si="62"/>
        <v/>
      </c>
      <c r="AS340" s="63" t="str">
        <f t="shared" si="63"/>
        <v/>
      </c>
      <c r="AT340" s="78" t="str">
        <f t="shared" si="64"/>
        <v/>
      </c>
      <c r="AU340" s="78" t="str">
        <f t="shared" si="65"/>
        <v/>
      </c>
      <c r="AV340" s="64" t="str">
        <f ca="1">IFERROR(__xludf.DUMMYFUNCTION("IF(TRIM(AU340)="""","""",AU340/INDEX(FILTER(AT$3:AT340,TRIM(AT$3:AT340)&lt;&gt;""""),ROWS(FILTER(AT$3:AT340,TRIM(AT$3:AT340)&lt;&gt;"""")))-1)"),"")</f>
        <v/>
      </c>
      <c r="AW340" s="65" t="e">
        <f t="shared" ca="1" si="57"/>
        <v>#VALUE!</v>
      </c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</row>
    <row r="341" spans="1:68" ht="19" x14ac:dyDescent="0.25">
      <c r="A341" s="5"/>
      <c r="B341" s="5"/>
      <c r="C341" s="5"/>
      <c r="D341" s="5"/>
      <c r="E341" s="5"/>
      <c r="F341" s="5"/>
      <c r="G341" s="5"/>
      <c r="H341" s="6"/>
      <c r="I341" s="5"/>
      <c r="J341" s="83"/>
      <c r="K341" s="83"/>
      <c r="L341" s="83"/>
      <c r="M341" s="83"/>
      <c r="N341" s="83"/>
      <c r="O341" s="83"/>
      <c r="P341" s="83"/>
      <c r="Q341" s="84"/>
      <c r="R341" s="83"/>
      <c r="S341" s="83"/>
      <c r="T341" s="85"/>
      <c r="U341" s="6"/>
      <c r="V341" s="87">
        <v>44411</v>
      </c>
      <c r="W341" s="45">
        <v>137.61000000000001</v>
      </c>
      <c r="X341" s="46"/>
      <c r="Y341" s="61"/>
      <c r="Z341" s="5"/>
      <c r="AA341" s="5"/>
      <c r="AB341" s="5"/>
      <c r="AC341" s="5"/>
      <c r="AD341" s="5"/>
      <c r="AE341" s="5"/>
      <c r="AF341" s="5"/>
      <c r="AG341" s="5"/>
      <c r="AH341" s="6"/>
      <c r="AI341" s="87">
        <v>44411</v>
      </c>
      <c r="AJ341" s="53">
        <v>137.61000000000001</v>
      </c>
      <c r="AK341" s="54">
        <f t="shared" si="55"/>
        <v>1.8729641693810972E-2</v>
      </c>
      <c r="AL341" s="55">
        <f t="shared" si="58"/>
        <v>16.643539482691821</v>
      </c>
      <c r="AM341" s="56">
        <v>25</v>
      </c>
      <c r="AN341" s="57">
        <f t="shared" si="56"/>
        <v>8.3564605173081787</v>
      </c>
      <c r="AO341" s="76">
        <f t="shared" si="59"/>
        <v>13.796087307276432</v>
      </c>
      <c r="AP341" s="63" t="str">
        <f t="shared" si="60"/>
        <v>Buy Stocks</v>
      </c>
      <c r="AQ341" s="63" t="str">
        <f t="shared" si="61"/>
        <v/>
      </c>
      <c r="AR341" s="63" t="str">
        <f t="shared" si="62"/>
        <v/>
      </c>
      <c r="AS341" s="63" t="str">
        <f t="shared" si="63"/>
        <v/>
      </c>
      <c r="AT341" s="78" t="str">
        <f t="shared" si="64"/>
        <v/>
      </c>
      <c r="AU341" s="78" t="str">
        <f t="shared" si="65"/>
        <v/>
      </c>
      <c r="AV341" s="64" t="str">
        <f ca="1">IFERROR(__xludf.DUMMYFUNCTION("IF(TRIM(AU341)="""","""",AU341/INDEX(FILTER(AT$3:AT341,TRIM(AT$3:AT341)&lt;&gt;""""),ROWS(FILTER(AT$3:AT341,TRIM(AT$3:AT341)&lt;&gt;"""")))-1)"),"")</f>
        <v/>
      </c>
      <c r="AW341" s="65" t="e">
        <f t="shared" ca="1" si="57"/>
        <v>#VALUE!</v>
      </c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</row>
    <row r="342" spans="1:68" ht="19" x14ac:dyDescent="0.25">
      <c r="A342" s="5"/>
      <c r="B342" s="5"/>
      <c r="C342" s="5"/>
      <c r="D342" s="5"/>
      <c r="E342" s="5"/>
      <c r="F342" s="5"/>
      <c r="G342" s="5"/>
      <c r="H342" s="6"/>
      <c r="I342" s="5"/>
      <c r="J342" s="83"/>
      <c r="K342" s="83"/>
      <c r="L342" s="83"/>
      <c r="M342" s="83"/>
      <c r="N342" s="83"/>
      <c r="O342" s="83"/>
      <c r="P342" s="83"/>
      <c r="Q342" s="84"/>
      <c r="R342" s="83"/>
      <c r="S342" s="83"/>
      <c r="T342" s="85"/>
      <c r="U342" s="6"/>
      <c r="V342" s="87">
        <v>44412</v>
      </c>
      <c r="W342" s="45">
        <v>136.36000000000001</v>
      </c>
      <c r="X342" s="46"/>
      <c r="Y342" s="61"/>
      <c r="Z342" s="5"/>
      <c r="AA342" s="5"/>
      <c r="AB342" s="5"/>
      <c r="AC342" s="5"/>
      <c r="AD342" s="5"/>
      <c r="AE342" s="5"/>
      <c r="AF342" s="5"/>
      <c r="AG342" s="5"/>
      <c r="AH342" s="6"/>
      <c r="AI342" s="87">
        <v>44412</v>
      </c>
      <c r="AJ342" s="53">
        <v>136.36000000000001</v>
      </c>
      <c r="AK342" s="54">
        <f t="shared" si="55"/>
        <v>-9.0836421771673947E-3</v>
      </c>
      <c r="AL342" s="55">
        <f t="shared" si="58"/>
        <v>17.425400216543451</v>
      </c>
      <c r="AM342" s="56">
        <v>25</v>
      </c>
      <c r="AN342" s="57">
        <f t="shared" si="56"/>
        <v>7.5745997834565486</v>
      </c>
      <c r="AO342" s="76">
        <f t="shared" si="59"/>
        <v>12.472148926297217</v>
      </c>
      <c r="AP342" s="63" t="str">
        <f t="shared" si="60"/>
        <v>Buy Stocks</v>
      </c>
      <c r="AQ342" s="63" t="str">
        <f t="shared" si="61"/>
        <v/>
      </c>
      <c r="AR342" s="63" t="str">
        <f t="shared" si="62"/>
        <v/>
      </c>
      <c r="AS342" s="63" t="str">
        <f t="shared" si="63"/>
        <v/>
      </c>
      <c r="AT342" s="78" t="str">
        <f t="shared" si="64"/>
        <v/>
      </c>
      <c r="AU342" s="78" t="str">
        <f t="shared" si="65"/>
        <v/>
      </c>
      <c r="AV342" s="64" t="str">
        <f ca="1">IFERROR(__xludf.DUMMYFUNCTION("IF(TRIM(AU342)="""","""",AU342/INDEX(FILTER(AT$3:AT342,TRIM(AT$3:AT342)&lt;&gt;""""),ROWS(FILTER(AT$3:AT342,TRIM(AT$3:AT342)&lt;&gt;"""")))-1)"),"")</f>
        <v/>
      </c>
      <c r="AW342" s="65" t="e">
        <f t="shared" ca="1" si="57"/>
        <v>#VALUE!</v>
      </c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</row>
    <row r="343" spans="1:68" ht="19" x14ac:dyDescent="0.25">
      <c r="A343" s="5"/>
      <c r="B343" s="5"/>
      <c r="C343" s="5"/>
      <c r="D343" s="5"/>
      <c r="E343" s="5"/>
      <c r="F343" s="5"/>
      <c r="G343" s="5"/>
      <c r="H343" s="6"/>
      <c r="I343" s="5"/>
      <c r="J343" s="83"/>
      <c r="K343" s="83"/>
      <c r="L343" s="83"/>
      <c r="M343" s="83"/>
      <c r="N343" s="83"/>
      <c r="O343" s="83"/>
      <c r="P343" s="83"/>
      <c r="Q343" s="84"/>
      <c r="R343" s="83"/>
      <c r="S343" s="83"/>
      <c r="T343" s="85"/>
      <c r="U343" s="6"/>
      <c r="V343" s="87">
        <v>44413</v>
      </c>
      <c r="W343" s="45">
        <v>136.37</v>
      </c>
      <c r="X343" s="46"/>
      <c r="Y343" s="61"/>
      <c r="Z343" s="5"/>
      <c r="AA343" s="5"/>
      <c r="AB343" s="5"/>
      <c r="AC343" s="5"/>
      <c r="AD343" s="5"/>
      <c r="AE343" s="5"/>
      <c r="AF343" s="5"/>
      <c r="AG343" s="5"/>
      <c r="AH343" s="6"/>
      <c r="AI343" s="87">
        <v>44413</v>
      </c>
      <c r="AJ343" s="53">
        <v>136.37</v>
      </c>
      <c r="AK343" s="54">
        <f t="shared" si="55"/>
        <v>7.3335288941045462E-5</v>
      </c>
      <c r="AL343" s="55">
        <f t="shared" si="58"/>
        <v>17.453778937977933</v>
      </c>
      <c r="AM343" s="56">
        <v>25</v>
      </c>
      <c r="AN343" s="57">
        <f t="shared" si="56"/>
        <v>7.5462210620220667</v>
      </c>
      <c r="AO343" s="76">
        <f t="shared" si="59"/>
        <v>10.967520356902781</v>
      </c>
      <c r="AP343" s="63" t="str">
        <f t="shared" si="60"/>
        <v>Buy Stocks</v>
      </c>
      <c r="AQ343" s="63" t="str">
        <f t="shared" si="61"/>
        <v/>
      </c>
      <c r="AR343" s="63" t="str">
        <f t="shared" si="62"/>
        <v/>
      </c>
      <c r="AS343" s="63" t="str">
        <f t="shared" si="63"/>
        <v/>
      </c>
      <c r="AT343" s="78" t="str">
        <f t="shared" si="64"/>
        <v/>
      </c>
      <c r="AU343" s="78" t="str">
        <f t="shared" si="65"/>
        <v/>
      </c>
      <c r="AV343" s="64" t="str">
        <f ca="1">IFERROR(__xludf.DUMMYFUNCTION("IF(TRIM(AU343)="""","""",AU343/INDEX(FILTER(AT$3:AT343,TRIM(AT$3:AT343)&lt;&gt;""""),ROWS(FILTER(AT$3:AT343,TRIM(AT$3:AT343)&lt;&gt;"""")))-1)"),"")</f>
        <v/>
      </c>
      <c r="AW343" s="65" t="e">
        <f t="shared" ca="1" si="57"/>
        <v>#VALUE!</v>
      </c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</row>
    <row r="344" spans="1:68" ht="19" x14ac:dyDescent="0.25">
      <c r="A344" s="5"/>
      <c r="B344" s="5"/>
      <c r="C344" s="5"/>
      <c r="D344" s="5"/>
      <c r="E344" s="5"/>
      <c r="F344" s="5"/>
      <c r="G344" s="5"/>
      <c r="H344" s="6"/>
      <c r="I344" s="5"/>
      <c r="J344" s="83"/>
      <c r="K344" s="83"/>
      <c r="L344" s="83"/>
      <c r="M344" s="83"/>
      <c r="N344" s="83"/>
      <c r="O344" s="83"/>
      <c r="P344" s="83"/>
      <c r="Q344" s="84"/>
      <c r="R344" s="83"/>
      <c r="S344" s="83"/>
      <c r="T344" s="85"/>
      <c r="U344" s="6"/>
      <c r="V344" s="87">
        <v>44414</v>
      </c>
      <c r="W344" s="45">
        <v>137.63</v>
      </c>
      <c r="X344" s="46"/>
      <c r="Y344" s="61"/>
      <c r="Z344" s="5"/>
      <c r="AA344" s="5"/>
      <c r="AB344" s="5"/>
      <c r="AC344" s="5"/>
      <c r="AD344" s="5"/>
      <c r="AE344" s="5"/>
      <c r="AF344" s="5"/>
      <c r="AG344" s="5"/>
      <c r="AH344" s="6"/>
      <c r="AI344" s="87">
        <v>44414</v>
      </c>
      <c r="AJ344" s="53">
        <v>137.63</v>
      </c>
      <c r="AK344" s="54">
        <f t="shared" si="55"/>
        <v>9.2395688201216686E-3</v>
      </c>
      <c r="AL344" s="55">
        <f t="shared" si="58"/>
        <v>16.469751798221687</v>
      </c>
      <c r="AM344" s="56">
        <v>25</v>
      </c>
      <c r="AN344" s="57">
        <f t="shared" si="56"/>
        <v>8.5302482017783134</v>
      </c>
      <c r="AO344" s="76">
        <f t="shared" si="59"/>
        <v>9.9054311917041069</v>
      </c>
      <c r="AP344" s="63" t="str">
        <f t="shared" si="60"/>
        <v>Buy Stocks</v>
      </c>
      <c r="AQ344" s="63" t="str">
        <f t="shared" si="61"/>
        <v/>
      </c>
      <c r="AR344" s="63" t="str">
        <f t="shared" si="62"/>
        <v/>
      </c>
      <c r="AS344" s="63" t="str">
        <f t="shared" si="63"/>
        <v/>
      </c>
      <c r="AT344" s="78" t="str">
        <f t="shared" si="64"/>
        <v/>
      </c>
      <c r="AU344" s="78" t="str">
        <f t="shared" si="65"/>
        <v/>
      </c>
      <c r="AV344" s="64" t="str">
        <f ca="1">IFERROR(__xludf.DUMMYFUNCTION("IF(TRIM(AU344)="""","""",AU344/INDEX(FILTER(AT$3:AT344,TRIM(AT$3:AT344)&lt;&gt;""""),ROWS(FILTER(AT$3:AT344,TRIM(AT$3:AT344)&lt;&gt;"""")))-1)"),"")</f>
        <v/>
      </c>
      <c r="AW344" s="65" t="e">
        <f t="shared" ca="1" si="57"/>
        <v>#VALUE!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</row>
    <row r="345" spans="1:68" ht="19" x14ac:dyDescent="0.25">
      <c r="A345" s="5"/>
      <c r="B345" s="5"/>
      <c r="C345" s="5"/>
      <c r="D345" s="5"/>
      <c r="E345" s="5"/>
      <c r="F345" s="5"/>
      <c r="G345" s="5"/>
      <c r="H345" s="6"/>
      <c r="I345" s="5"/>
      <c r="J345" s="83"/>
      <c r="K345" s="83"/>
      <c r="L345" s="83"/>
      <c r="M345" s="83"/>
      <c r="N345" s="83"/>
      <c r="O345" s="83"/>
      <c r="P345" s="83"/>
      <c r="Q345" s="84"/>
      <c r="R345" s="83"/>
      <c r="S345" s="83"/>
      <c r="T345" s="85"/>
      <c r="U345" s="6"/>
      <c r="V345" s="87">
        <v>44417</v>
      </c>
      <c r="W345" s="45">
        <v>134.91999999999999</v>
      </c>
      <c r="X345" s="46"/>
      <c r="Y345" s="61"/>
      <c r="Z345" s="5"/>
      <c r="AA345" s="5"/>
      <c r="AB345" s="5"/>
      <c r="AC345" s="5"/>
      <c r="AD345" s="5"/>
      <c r="AE345" s="5"/>
      <c r="AF345" s="5"/>
      <c r="AG345" s="5"/>
      <c r="AH345" s="6"/>
      <c r="AI345" s="87">
        <v>44417</v>
      </c>
      <c r="AJ345" s="53">
        <v>134.91999999999999</v>
      </c>
      <c r="AK345" s="54">
        <f t="shared" si="55"/>
        <v>-1.9690474460510088E-2</v>
      </c>
      <c r="AL345" s="55">
        <f t="shared" si="58"/>
        <v>23.894888925755414</v>
      </c>
      <c r="AM345" s="56">
        <v>25</v>
      </c>
      <c r="AN345" s="57">
        <f t="shared" si="56"/>
        <v>1.1051110742445864</v>
      </c>
      <c r="AO345" s="76">
        <f t="shared" si="59"/>
        <v>6.6225281277619388</v>
      </c>
      <c r="AP345" s="63" t="str">
        <f t="shared" si="60"/>
        <v>Buy Stocks</v>
      </c>
      <c r="AQ345" s="63" t="str">
        <f t="shared" si="61"/>
        <v/>
      </c>
      <c r="AR345" s="63" t="str">
        <f t="shared" si="62"/>
        <v/>
      </c>
      <c r="AS345" s="63" t="str">
        <f t="shared" si="63"/>
        <v/>
      </c>
      <c r="AT345" s="78" t="str">
        <f t="shared" si="64"/>
        <v/>
      </c>
      <c r="AU345" s="78" t="str">
        <f t="shared" si="65"/>
        <v/>
      </c>
      <c r="AV345" s="64" t="str">
        <f ca="1">IFERROR(__xludf.DUMMYFUNCTION("IF(TRIM(AU345)="""","""",AU345/INDEX(FILTER(AT$3:AT345,TRIM(AT$3:AT345)&lt;&gt;""""),ROWS(FILTER(AT$3:AT345,TRIM(AT$3:AT345)&lt;&gt;"""")))-1)"),"")</f>
        <v/>
      </c>
      <c r="AW345" s="65" t="e">
        <f t="shared" ca="1" si="57"/>
        <v>#VALUE!</v>
      </c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</row>
    <row r="346" spans="1:68" ht="19" x14ac:dyDescent="0.25">
      <c r="A346" s="5"/>
      <c r="B346" s="5"/>
      <c r="C346" s="5"/>
      <c r="D346" s="5"/>
      <c r="E346" s="5"/>
      <c r="F346" s="5"/>
      <c r="G346" s="5"/>
      <c r="H346" s="6"/>
      <c r="I346" s="5"/>
      <c r="J346" s="83"/>
      <c r="K346" s="83"/>
      <c r="L346" s="83"/>
      <c r="M346" s="83"/>
      <c r="N346" s="83"/>
      <c r="O346" s="83"/>
      <c r="P346" s="83"/>
      <c r="Q346" s="84"/>
      <c r="R346" s="83"/>
      <c r="S346" s="83"/>
      <c r="T346" s="85"/>
      <c r="U346" s="6"/>
      <c r="V346" s="87">
        <v>44418</v>
      </c>
      <c r="W346" s="45">
        <v>135.04</v>
      </c>
      <c r="X346" s="46"/>
      <c r="Y346" s="61"/>
      <c r="Z346" s="5"/>
      <c r="AA346" s="5"/>
      <c r="AB346" s="5"/>
      <c r="AC346" s="5"/>
      <c r="AD346" s="5"/>
      <c r="AE346" s="5"/>
      <c r="AF346" s="5"/>
      <c r="AG346" s="5"/>
      <c r="AH346" s="6"/>
      <c r="AI346" s="87">
        <v>44418</v>
      </c>
      <c r="AJ346" s="53">
        <v>135.04</v>
      </c>
      <c r="AK346" s="54">
        <f t="shared" si="55"/>
        <v>8.8941595019265129E-4</v>
      </c>
      <c r="AL346" s="55">
        <f t="shared" si="58"/>
        <v>17.523383903912411</v>
      </c>
      <c r="AM346" s="56">
        <v>25</v>
      </c>
      <c r="AN346" s="57">
        <f t="shared" si="56"/>
        <v>7.4766160960875894</v>
      </c>
      <c r="AO346" s="76">
        <f t="shared" si="59"/>
        <v>6.4465592435178207</v>
      </c>
      <c r="AP346" s="63" t="str">
        <f t="shared" si="60"/>
        <v>Buy Stocks</v>
      </c>
      <c r="AQ346" s="63" t="str">
        <f t="shared" si="61"/>
        <v/>
      </c>
      <c r="AR346" s="63" t="str">
        <f t="shared" si="62"/>
        <v/>
      </c>
      <c r="AS346" s="63" t="str">
        <f t="shared" si="63"/>
        <v/>
      </c>
      <c r="AT346" s="78" t="str">
        <f t="shared" si="64"/>
        <v/>
      </c>
      <c r="AU346" s="78" t="str">
        <f t="shared" si="65"/>
        <v/>
      </c>
      <c r="AV346" s="64" t="str">
        <f ca="1">IFERROR(__xludf.DUMMYFUNCTION("IF(TRIM(AU346)="""","""",AU346/INDEX(FILTER(AT$3:AT346,TRIM(AT$3:AT346)&lt;&gt;""""),ROWS(FILTER(AT$3:AT346,TRIM(AT$3:AT346)&lt;&gt;"""")))-1)"),"")</f>
        <v/>
      </c>
      <c r="AW346" s="65" t="e">
        <f t="shared" ca="1" si="57"/>
        <v>#VALUE!</v>
      </c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</row>
    <row r="347" spans="1:68" ht="19" x14ac:dyDescent="0.25">
      <c r="A347" s="5"/>
      <c r="B347" s="5"/>
      <c r="C347" s="5"/>
      <c r="D347" s="5"/>
      <c r="E347" s="5"/>
      <c r="F347" s="5"/>
      <c r="G347" s="5"/>
      <c r="H347" s="6"/>
      <c r="I347" s="5"/>
      <c r="J347" s="83"/>
      <c r="K347" s="83"/>
      <c r="L347" s="83"/>
      <c r="M347" s="83"/>
      <c r="N347" s="83"/>
      <c r="O347" s="83"/>
      <c r="P347" s="83"/>
      <c r="Q347" s="84"/>
      <c r="R347" s="83"/>
      <c r="S347" s="83"/>
      <c r="T347" s="85"/>
      <c r="U347" s="6"/>
      <c r="V347" s="87">
        <v>44419</v>
      </c>
      <c r="W347" s="45">
        <v>135.76</v>
      </c>
      <c r="X347" s="46"/>
      <c r="Y347" s="61"/>
      <c r="Z347" s="5"/>
      <c r="AA347" s="5"/>
      <c r="AB347" s="5"/>
      <c r="AC347" s="5"/>
      <c r="AD347" s="5"/>
      <c r="AE347" s="5"/>
      <c r="AF347" s="5"/>
      <c r="AG347" s="5"/>
      <c r="AH347" s="6"/>
      <c r="AI347" s="87">
        <v>44419</v>
      </c>
      <c r="AJ347" s="53">
        <v>135.76</v>
      </c>
      <c r="AK347" s="54">
        <f t="shared" si="55"/>
        <v>5.3317535545023276E-3</v>
      </c>
      <c r="AL347" s="55">
        <f t="shared" si="58"/>
        <v>17.72787607424387</v>
      </c>
      <c r="AM347" s="56">
        <v>25</v>
      </c>
      <c r="AN347" s="57">
        <f t="shared" si="56"/>
        <v>7.2721239257561301</v>
      </c>
      <c r="AO347" s="76">
        <f t="shared" si="59"/>
        <v>6.3860640719777368</v>
      </c>
      <c r="AP347" s="63" t="str">
        <f t="shared" si="60"/>
        <v>Buy Stocks</v>
      </c>
      <c r="AQ347" s="63" t="str">
        <f t="shared" si="61"/>
        <v/>
      </c>
      <c r="AR347" s="63" t="str">
        <f t="shared" si="62"/>
        <v/>
      </c>
      <c r="AS347" s="63" t="str">
        <f t="shared" si="63"/>
        <v/>
      </c>
      <c r="AT347" s="78" t="str">
        <f t="shared" si="64"/>
        <v/>
      </c>
      <c r="AU347" s="78" t="str">
        <f t="shared" si="65"/>
        <v/>
      </c>
      <c r="AV347" s="64" t="str">
        <f ca="1">IFERROR(__xludf.DUMMYFUNCTION("IF(TRIM(AU347)="""","""",AU347/INDEX(FILTER(AT$3:AT347,TRIM(AT$3:AT347)&lt;&gt;""""),ROWS(FILTER(AT$3:AT347,TRIM(AT$3:AT347)&lt;&gt;"""")))-1)"),"")</f>
        <v/>
      </c>
      <c r="AW347" s="65" t="e">
        <f t="shared" ca="1" si="57"/>
        <v>#VALUE!</v>
      </c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</row>
    <row r="348" spans="1:68" ht="19" x14ac:dyDescent="0.25">
      <c r="A348" s="5"/>
      <c r="B348" s="5"/>
      <c r="C348" s="5"/>
      <c r="D348" s="5"/>
      <c r="E348" s="5"/>
      <c r="F348" s="5"/>
      <c r="G348" s="5"/>
      <c r="H348" s="6"/>
      <c r="I348" s="5"/>
      <c r="J348" s="83"/>
      <c r="K348" s="83"/>
      <c r="L348" s="83"/>
      <c r="M348" s="83"/>
      <c r="N348" s="83"/>
      <c r="O348" s="83"/>
      <c r="P348" s="83"/>
      <c r="Q348" s="84"/>
      <c r="R348" s="83"/>
      <c r="S348" s="83"/>
      <c r="T348" s="85"/>
      <c r="U348" s="6"/>
      <c r="V348" s="87">
        <v>44420</v>
      </c>
      <c r="W348" s="45">
        <v>136.66</v>
      </c>
      <c r="X348" s="46"/>
      <c r="Y348" s="61"/>
      <c r="Z348" s="5"/>
      <c r="AA348" s="5"/>
      <c r="AB348" s="5"/>
      <c r="AC348" s="5"/>
      <c r="AD348" s="5"/>
      <c r="AE348" s="5"/>
      <c r="AF348" s="5"/>
      <c r="AG348" s="5"/>
      <c r="AH348" s="6"/>
      <c r="AI348" s="87">
        <v>44420</v>
      </c>
      <c r="AJ348" s="53">
        <v>136.66</v>
      </c>
      <c r="AK348" s="54">
        <f t="shared" si="55"/>
        <v>6.6293459045374536E-3</v>
      </c>
      <c r="AL348" s="55">
        <f t="shared" si="58"/>
        <v>18.531400248507598</v>
      </c>
      <c r="AM348" s="56">
        <v>25</v>
      </c>
      <c r="AN348" s="57">
        <f t="shared" si="56"/>
        <v>6.4685997514924019</v>
      </c>
      <c r="AO348" s="76">
        <f t="shared" si="59"/>
        <v>6.1705398098718041</v>
      </c>
      <c r="AP348" s="63" t="str">
        <f t="shared" si="60"/>
        <v>Buy Stocks</v>
      </c>
      <c r="AQ348" s="63" t="str">
        <f t="shared" si="61"/>
        <v/>
      </c>
      <c r="AR348" s="63" t="str">
        <f t="shared" si="62"/>
        <v/>
      </c>
      <c r="AS348" s="63" t="str">
        <f t="shared" si="63"/>
        <v/>
      </c>
      <c r="AT348" s="78" t="str">
        <f t="shared" si="64"/>
        <v/>
      </c>
      <c r="AU348" s="78" t="str">
        <f t="shared" si="65"/>
        <v/>
      </c>
      <c r="AV348" s="64" t="str">
        <f ca="1">IFERROR(__xludf.DUMMYFUNCTION("IF(TRIM(AU348)="""","""",AU348/INDEX(FILTER(AT$3:AT348,TRIM(AT$3:AT348)&lt;&gt;""""),ROWS(FILTER(AT$3:AT348,TRIM(AT$3:AT348)&lt;&gt;"""")))-1)"),"")</f>
        <v/>
      </c>
      <c r="AW348" s="65" t="e">
        <f t="shared" ca="1" si="57"/>
        <v>#VALUE!</v>
      </c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</row>
    <row r="349" spans="1:68" ht="19" x14ac:dyDescent="0.25">
      <c r="A349" s="5"/>
      <c r="B349" s="5"/>
      <c r="C349" s="5"/>
      <c r="D349" s="5"/>
      <c r="E349" s="5"/>
      <c r="F349" s="5"/>
      <c r="G349" s="5"/>
      <c r="H349" s="6"/>
      <c r="I349" s="5"/>
      <c r="J349" s="83"/>
      <c r="K349" s="83"/>
      <c r="L349" s="83"/>
      <c r="M349" s="83"/>
      <c r="N349" s="83"/>
      <c r="O349" s="83"/>
      <c r="P349" s="83"/>
      <c r="Q349" s="84"/>
      <c r="R349" s="83"/>
      <c r="S349" s="83"/>
      <c r="T349" s="85"/>
      <c r="U349" s="6"/>
      <c r="V349" s="87">
        <v>44421</v>
      </c>
      <c r="W349" s="45">
        <v>136.76</v>
      </c>
      <c r="X349" s="46"/>
      <c r="Y349" s="61"/>
      <c r="Z349" s="5"/>
      <c r="AA349" s="5"/>
      <c r="AB349" s="5"/>
      <c r="AC349" s="5"/>
      <c r="AD349" s="5"/>
      <c r="AE349" s="5"/>
      <c r="AF349" s="5"/>
      <c r="AG349" s="5"/>
      <c r="AH349" s="6"/>
      <c r="AI349" s="87">
        <v>44421</v>
      </c>
      <c r="AJ349" s="53">
        <v>136.76</v>
      </c>
      <c r="AK349" s="54">
        <f t="shared" si="55"/>
        <v>7.3174301185430224E-4</v>
      </c>
      <c r="AL349" s="55">
        <f t="shared" si="58"/>
        <v>16.91128868431802</v>
      </c>
      <c r="AM349" s="56">
        <v>25</v>
      </c>
      <c r="AN349" s="57">
        <f t="shared" si="56"/>
        <v>8.0887113156819801</v>
      </c>
      <c r="AO349" s="76">
        <f t="shared" si="59"/>
        <v>6.0822324326525372</v>
      </c>
      <c r="AP349" s="63" t="str">
        <f t="shared" si="60"/>
        <v>Buy Stocks</v>
      </c>
      <c r="AQ349" s="63" t="str">
        <f t="shared" si="61"/>
        <v/>
      </c>
      <c r="AR349" s="63" t="str">
        <f t="shared" si="62"/>
        <v/>
      </c>
      <c r="AS349" s="63" t="str">
        <f t="shared" si="63"/>
        <v/>
      </c>
      <c r="AT349" s="78" t="str">
        <f t="shared" si="64"/>
        <v/>
      </c>
      <c r="AU349" s="78" t="str">
        <f t="shared" si="65"/>
        <v/>
      </c>
      <c r="AV349" s="64" t="str">
        <f ca="1">IFERROR(__xludf.DUMMYFUNCTION("IF(TRIM(AU349)="""","""",AU349/INDEX(FILTER(AT$3:AT349,TRIM(AT$3:AT349)&lt;&gt;""""),ROWS(FILTER(AT$3:AT349,TRIM(AT$3:AT349)&lt;&gt;"""")))-1)"),"")</f>
        <v/>
      </c>
      <c r="AW349" s="65" t="e">
        <f t="shared" ca="1" si="57"/>
        <v>#VALUE!</v>
      </c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</row>
    <row r="350" spans="1:68" ht="19" x14ac:dyDescent="0.25">
      <c r="A350" s="5"/>
      <c r="B350" s="5"/>
      <c r="C350" s="5"/>
      <c r="D350" s="5"/>
      <c r="E350" s="5"/>
      <c r="F350" s="5"/>
      <c r="G350" s="5"/>
      <c r="H350" s="6"/>
      <c r="I350" s="5"/>
      <c r="J350" s="83"/>
      <c r="K350" s="83"/>
      <c r="L350" s="83"/>
      <c r="M350" s="83"/>
      <c r="N350" s="83"/>
      <c r="O350" s="83"/>
      <c r="P350" s="83"/>
      <c r="Q350" s="84"/>
      <c r="R350" s="83"/>
      <c r="S350" s="83"/>
      <c r="T350" s="85"/>
      <c r="U350" s="6"/>
      <c r="V350" s="87">
        <v>44424</v>
      </c>
      <c r="W350" s="45">
        <v>137.15</v>
      </c>
      <c r="X350" s="46"/>
      <c r="Y350" s="61"/>
      <c r="Z350" s="5"/>
      <c r="AA350" s="5"/>
      <c r="AB350" s="5"/>
      <c r="AC350" s="5"/>
      <c r="AD350" s="5"/>
      <c r="AE350" s="5"/>
      <c r="AF350" s="5"/>
      <c r="AG350" s="5"/>
      <c r="AH350" s="6"/>
      <c r="AI350" s="87">
        <v>44424</v>
      </c>
      <c r="AJ350" s="53">
        <v>137.15</v>
      </c>
      <c r="AK350" s="54">
        <f t="shared" si="55"/>
        <v>2.8517110266161882E-3</v>
      </c>
      <c r="AL350" s="55">
        <f t="shared" si="58"/>
        <v>4.1864418969242534</v>
      </c>
      <c r="AM350" s="56">
        <v>25</v>
      </c>
      <c r="AN350" s="57">
        <f t="shared" si="56"/>
        <v>20.813558103075746</v>
      </c>
      <c r="AO350" s="76">
        <f t="shared" si="59"/>
        <v>10.023921838418769</v>
      </c>
      <c r="AP350" s="63" t="str">
        <f t="shared" si="60"/>
        <v>Buy Stocks</v>
      </c>
      <c r="AQ350" s="63" t="str">
        <f t="shared" si="61"/>
        <v/>
      </c>
      <c r="AR350" s="63" t="str">
        <f t="shared" si="62"/>
        <v/>
      </c>
      <c r="AS350" s="63" t="str">
        <f t="shared" si="63"/>
        <v/>
      </c>
      <c r="AT350" s="78" t="str">
        <f t="shared" si="64"/>
        <v/>
      </c>
      <c r="AU350" s="78" t="str">
        <f t="shared" si="65"/>
        <v/>
      </c>
      <c r="AV350" s="64" t="str">
        <f ca="1">IFERROR(__xludf.DUMMYFUNCTION("IF(TRIM(AU350)="""","""",AU350/INDEX(FILTER(AT$3:AT350,TRIM(AT$3:AT350)&lt;&gt;""""),ROWS(FILTER(AT$3:AT350,TRIM(AT$3:AT350)&lt;&gt;"""")))-1)"),"")</f>
        <v/>
      </c>
      <c r="AW350" s="65" t="e">
        <f t="shared" ca="1" si="57"/>
        <v>#VALUE!</v>
      </c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</row>
    <row r="351" spans="1:68" ht="19" x14ac:dyDescent="0.25">
      <c r="A351" s="5"/>
      <c r="B351" s="5"/>
      <c r="C351" s="5"/>
      <c r="D351" s="5"/>
      <c r="E351" s="5"/>
      <c r="F351" s="5"/>
      <c r="G351" s="5"/>
      <c r="H351" s="6"/>
      <c r="I351" s="5"/>
      <c r="J351" s="83"/>
      <c r="K351" s="83"/>
      <c r="L351" s="83"/>
      <c r="M351" s="83"/>
      <c r="N351" s="83"/>
      <c r="O351" s="83"/>
      <c r="P351" s="83"/>
      <c r="Q351" s="84"/>
      <c r="R351" s="83"/>
      <c r="S351" s="83"/>
      <c r="T351" s="85"/>
      <c r="U351" s="6"/>
      <c r="V351" s="87">
        <v>44425</v>
      </c>
      <c r="W351" s="45">
        <v>136.03</v>
      </c>
      <c r="X351" s="46"/>
      <c r="Y351" s="61"/>
      <c r="Z351" s="5"/>
      <c r="AA351" s="5"/>
      <c r="AB351" s="5"/>
      <c r="AC351" s="5"/>
      <c r="AD351" s="5"/>
      <c r="AE351" s="5"/>
      <c r="AF351" s="5"/>
      <c r="AG351" s="5"/>
      <c r="AH351" s="6"/>
      <c r="AI351" s="87">
        <v>44425</v>
      </c>
      <c r="AJ351" s="53">
        <v>136.03</v>
      </c>
      <c r="AK351" s="54">
        <f t="shared" si="55"/>
        <v>-8.1662413415968249E-3</v>
      </c>
      <c r="AL351" s="55">
        <f t="shared" si="58"/>
        <v>9.2849970149512444</v>
      </c>
      <c r="AM351" s="56">
        <v>25</v>
      </c>
      <c r="AN351" s="57">
        <f t="shared" si="56"/>
        <v>15.715002985048756</v>
      </c>
      <c r="AO351" s="76">
        <f t="shared" si="59"/>
        <v>11.671599216211003</v>
      </c>
      <c r="AP351" s="63" t="str">
        <f t="shared" si="60"/>
        <v>Buy Stocks</v>
      </c>
      <c r="AQ351" s="63" t="str">
        <f t="shared" si="61"/>
        <v/>
      </c>
      <c r="AR351" s="63" t="str">
        <f t="shared" si="62"/>
        <v/>
      </c>
      <c r="AS351" s="63" t="str">
        <f t="shared" si="63"/>
        <v/>
      </c>
      <c r="AT351" s="78" t="str">
        <f t="shared" si="64"/>
        <v/>
      </c>
      <c r="AU351" s="78" t="str">
        <f t="shared" si="65"/>
        <v/>
      </c>
      <c r="AV351" s="64" t="str">
        <f ca="1">IFERROR(__xludf.DUMMYFUNCTION("IF(TRIM(AU351)="""","""",AU351/INDEX(FILTER(AT$3:AT351,TRIM(AT$3:AT351)&lt;&gt;""""),ROWS(FILTER(AT$3:AT351,TRIM(AT$3:AT351)&lt;&gt;"""")))-1)"),"")</f>
        <v/>
      </c>
      <c r="AW351" s="65" t="e">
        <f t="shared" ca="1" si="57"/>
        <v>#VALUE!</v>
      </c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</row>
    <row r="352" spans="1:68" ht="19" x14ac:dyDescent="0.25">
      <c r="A352" s="5"/>
      <c r="B352" s="5"/>
      <c r="C352" s="5"/>
      <c r="D352" s="5"/>
      <c r="E352" s="5"/>
      <c r="F352" s="5"/>
      <c r="G352" s="5"/>
      <c r="H352" s="6"/>
      <c r="I352" s="5"/>
      <c r="J352" s="83"/>
      <c r="K352" s="83"/>
      <c r="L352" s="83"/>
      <c r="M352" s="83"/>
      <c r="N352" s="83"/>
      <c r="O352" s="83"/>
      <c r="P352" s="83"/>
      <c r="Q352" s="84"/>
      <c r="R352" s="83"/>
      <c r="S352" s="83"/>
      <c r="T352" s="85"/>
      <c r="U352" s="6"/>
      <c r="V352" s="87">
        <v>44426</v>
      </c>
      <c r="W352" s="45">
        <v>133.22</v>
      </c>
      <c r="X352" s="46"/>
      <c r="Y352" s="61"/>
      <c r="Z352" s="5"/>
      <c r="AA352" s="5"/>
      <c r="AB352" s="5"/>
      <c r="AC352" s="5"/>
      <c r="AD352" s="5"/>
      <c r="AE352" s="5"/>
      <c r="AF352" s="5"/>
      <c r="AG352" s="5"/>
      <c r="AH352" s="6"/>
      <c r="AI352" s="87">
        <v>44426</v>
      </c>
      <c r="AJ352" s="53">
        <v>133.22</v>
      </c>
      <c r="AK352" s="54">
        <f t="shared" si="55"/>
        <v>-2.0657207968830416E-2</v>
      </c>
      <c r="AL352" s="55">
        <f t="shared" si="58"/>
        <v>17.33072479012824</v>
      </c>
      <c r="AM352" s="56">
        <v>25</v>
      </c>
      <c r="AN352" s="57">
        <f t="shared" si="56"/>
        <v>7.6692752098717598</v>
      </c>
      <c r="AO352" s="76">
        <f t="shared" si="59"/>
        <v>11.751029473034128</v>
      </c>
      <c r="AP352" s="63" t="str">
        <f t="shared" si="60"/>
        <v>Buy Stocks</v>
      </c>
      <c r="AQ352" s="63" t="str">
        <f t="shared" si="61"/>
        <v/>
      </c>
      <c r="AR352" s="63" t="str">
        <f t="shared" si="62"/>
        <v/>
      </c>
      <c r="AS352" s="63" t="str">
        <f t="shared" si="63"/>
        <v/>
      </c>
      <c r="AT352" s="78" t="str">
        <f t="shared" si="64"/>
        <v/>
      </c>
      <c r="AU352" s="78" t="str">
        <f t="shared" si="65"/>
        <v/>
      </c>
      <c r="AV352" s="64" t="str">
        <f ca="1">IFERROR(__xludf.DUMMYFUNCTION("IF(TRIM(AU352)="""","""",AU352/INDEX(FILTER(AT$3:AT352,TRIM(AT$3:AT352)&lt;&gt;""""),ROWS(FILTER(AT$3:AT352,TRIM(AT$3:AT352)&lt;&gt;"""")))-1)"),"")</f>
        <v/>
      </c>
      <c r="AW352" s="65" t="e">
        <f t="shared" ca="1" si="57"/>
        <v>#VALUE!</v>
      </c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</row>
    <row r="353" spans="1:68" ht="19" x14ac:dyDescent="0.25">
      <c r="A353" s="5"/>
      <c r="B353" s="5"/>
      <c r="C353" s="5"/>
      <c r="D353" s="5"/>
      <c r="E353" s="5"/>
      <c r="F353" s="5"/>
      <c r="G353" s="5"/>
      <c r="H353" s="6"/>
      <c r="I353" s="5"/>
      <c r="J353" s="83"/>
      <c r="K353" s="83"/>
      <c r="L353" s="83"/>
      <c r="M353" s="83"/>
      <c r="N353" s="83"/>
      <c r="O353" s="83"/>
      <c r="P353" s="83"/>
      <c r="Q353" s="84"/>
      <c r="R353" s="83"/>
      <c r="S353" s="83"/>
      <c r="T353" s="85"/>
      <c r="U353" s="6"/>
      <c r="V353" s="87">
        <v>44427</v>
      </c>
      <c r="W353" s="45">
        <v>131.83000000000001</v>
      </c>
      <c r="X353" s="46"/>
      <c r="Y353" s="61"/>
      <c r="Z353" s="5"/>
      <c r="AA353" s="5"/>
      <c r="AB353" s="5"/>
      <c r="AC353" s="5"/>
      <c r="AD353" s="5"/>
      <c r="AE353" s="5"/>
      <c r="AF353" s="5"/>
      <c r="AG353" s="5"/>
      <c r="AH353" s="6"/>
      <c r="AI353" s="87">
        <v>44427</v>
      </c>
      <c r="AJ353" s="53">
        <v>131.83000000000001</v>
      </c>
      <c r="AK353" s="54">
        <f t="shared" si="55"/>
        <v>-1.043386878847008E-2</v>
      </c>
      <c r="AL353" s="55">
        <f t="shared" si="58"/>
        <v>14.984731270210816</v>
      </c>
      <c r="AM353" s="56">
        <v>25</v>
      </c>
      <c r="AN353" s="57">
        <f t="shared" si="56"/>
        <v>10.015268729789184</v>
      </c>
      <c r="AO353" s="76">
        <f t="shared" si="59"/>
        <v>12.460363268693484</v>
      </c>
      <c r="AP353" s="63" t="str">
        <f t="shared" si="60"/>
        <v>Buy Stocks</v>
      </c>
      <c r="AQ353" s="63" t="str">
        <f t="shared" si="61"/>
        <v/>
      </c>
      <c r="AR353" s="63" t="str">
        <f t="shared" si="62"/>
        <v/>
      </c>
      <c r="AS353" s="63" t="str">
        <f t="shared" si="63"/>
        <v/>
      </c>
      <c r="AT353" s="78" t="str">
        <f t="shared" si="64"/>
        <v/>
      </c>
      <c r="AU353" s="78" t="str">
        <f t="shared" si="65"/>
        <v/>
      </c>
      <c r="AV353" s="64" t="str">
        <f ca="1">IFERROR(__xludf.DUMMYFUNCTION("IF(TRIM(AU353)="""","""",AU353/INDEX(FILTER(AT$3:AT353,TRIM(AT$3:AT353)&lt;&gt;""""),ROWS(FILTER(AT$3:AT353,TRIM(AT$3:AT353)&lt;&gt;"""")))-1)"),"")</f>
        <v/>
      </c>
      <c r="AW353" s="65" t="e">
        <f t="shared" ca="1" si="57"/>
        <v>#VALUE!</v>
      </c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</row>
    <row r="354" spans="1:68" ht="19" x14ac:dyDescent="0.25">
      <c r="A354" s="5"/>
      <c r="B354" s="5"/>
      <c r="C354" s="5"/>
      <c r="D354" s="5"/>
      <c r="E354" s="5"/>
      <c r="F354" s="5"/>
      <c r="G354" s="5"/>
      <c r="H354" s="6"/>
      <c r="I354" s="5"/>
      <c r="J354" s="83"/>
      <c r="K354" s="83"/>
      <c r="L354" s="83"/>
      <c r="M354" s="83"/>
      <c r="N354" s="83"/>
      <c r="O354" s="83"/>
      <c r="P354" s="83"/>
      <c r="Q354" s="84"/>
      <c r="R354" s="83"/>
      <c r="S354" s="83"/>
      <c r="T354" s="85"/>
      <c r="U354" s="6"/>
      <c r="V354" s="87">
        <v>44428</v>
      </c>
      <c r="W354" s="45">
        <v>132.87</v>
      </c>
      <c r="X354" s="46"/>
      <c r="Y354" s="61"/>
      <c r="Z354" s="5"/>
      <c r="AA354" s="5"/>
      <c r="AB354" s="5"/>
      <c r="AC354" s="5"/>
      <c r="AD354" s="5"/>
      <c r="AE354" s="5"/>
      <c r="AF354" s="5"/>
      <c r="AG354" s="5"/>
      <c r="AH354" s="6"/>
      <c r="AI354" s="87">
        <v>44428</v>
      </c>
      <c r="AJ354" s="53">
        <v>132.87</v>
      </c>
      <c r="AK354" s="54">
        <f t="shared" si="55"/>
        <v>7.888947887430664E-3</v>
      </c>
      <c r="AL354" s="55">
        <f t="shared" si="58"/>
        <v>17.924863145855767</v>
      </c>
      <c r="AM354" s="56">
        <v>25</v>
      </c>
      <c r="AN354" s="57">
        <f t="shared" si="56"/>
        <v>7.0751368541442332</v>
      </c>
      <c r="AO354" s="76">
        <f t="shared" si="59"/>
        <v>12.257648376385935</v>
      </c>
      <c r="AP354" s="63" t="str">
        <f t="shared" si="60"/>
        <v>Buy Stocks</v>
      </c>
      <c r="AQ354" s="63" t="str">
        <f t="shared" si="61"/>
        <v/>
      </c>
      <c r="AR354" s="63" t="str">
        <f t="shared" si="62"/>
        <v/>
      </c>
      <c r="AS354" s="63" t="str">
        <f t="shared" si="63"/>
        <v/>
      </c>
      <c r="AT354" s="78" t="str">
        <f t="shared" si="64"/>
        <v/>
      </c>
      <c r="AU354" s="78" t="str">
        <f t="shared" si="65"/>
        <v/>
      </c>
      <c r="AV354" s="64" t="str">
        <f ca="1">IFERROR(__xludf.DUMMYFUNCTION("IF(TRIM(AU354)="""","""",AU354/INDEX(FILTER(AT$3:AT354,TRIM(AT$3:AT354)&lt;&gt;""""),ROWS(FILTER(AT$3:AT354,TRIM(AT$3:AT354)&lt;&gt;"""")))-1)"),"")</f>
        <v/>
      </c>
      <c r="AW354" s="65" t="e">
        <f t="shared" ca="1" si="57"/>
        <v>#VALUE!</v>
      </c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</row>
    <row r="355" spans="1:68" ht="19" x14ac:dyDescent="0.25">
      <c r="A355" s="5"/>
      <c r="B355" s="5"/>
      <c r="C355" s="5"/>
      <c r="D355" s="5"/>
      <c r="E355" s="5"/>
      <c r="F355" s="5"/>
      <c r="G355" s="5"/>
      <c r="H355" s="6"/>
      <c r="I355" s="5"/>
      <c r="J355" s="83"/>
      <c r="K355" s="83"/>
      <c r="L355" s="83"/>
      <c r="M355" s="83"/>
      <c r="N355" s="83"/>
      <c r="O355" s="83"/>
      <c r="P355" s="83"/>
      <c r="Q355" s="84"/>
      <c r="R355" s="83"/>
      <c r="S355" s="83"/>
      <c r="T355" s="85"/>
      <c r="U355" s="6"/>
      <c r="V355" s="87">
        <v>44431</v>
      </c>
      <c r="W355" s="45">
        <v>133.36000000000001</v>
      </c>
      <c r="X355" s="46"/>
      <c r="Y355" s="61"/>
      <c r="Z355" s="5"/>
      <c r="AA355" s="5"/>
      <c r="AB355" s="5"/>
      <c r="AC355" s="5"/>
      <c r="AD355" s="5"/>
      <c r="AE355" s="5"/>
      <c r="AF355" s="5"/>
      <c r="AG355" s="5"/>
      <c r="AH355" s="6"/>
      <c r="AI355" s="87">
        <v>44431</v>
      </c>
      <c r="AJ355" s="53">
        <v>133.36000000000001</v>
      </c>
      <c r="AK355" s="54">
        <f t="shared" si="55"/>
        <v>3.6878151576729135E-3</v>
      </c>
      <c r="AL355" s="55">
        <f t="shared" si="58"/>
        <v>18.184216028012482</v>
      </c>
      <c r="AM355" s="56">
        <v>25</v>
      </c>
      <c r="AN355" s="57">
        <f t="shared" si="56"/>
        <v>6.8157839719875177</v>
      </c>
      <c r="AO355" s="76">
        <f t="shared" si="59"/>
        <v>9.4580935501682895</v>
      </c>
      <c r="AP355" s="63" t="str">
        <f t="shared" si="60"/>
        <v>Buy Stocks</v>
      </c>
      <c r="AQ355" s="63" t="str">
        <f t="shared" si="61"/>
        <v/>
      </c>
      <c r="AR355" s="63" t="str">
        <f t="shared" si="62"/>
        <v/>
      </c>
      <c r="AS355" s="63" t="str">
        <f t="shared" si="63"/>
        <v/>
      </c>
      <c r="AT355" s="78" t="str">
        <f t="shared" si="64"/>
        <v/>
      </c>
      <c r="AU355" s="78" t="str">
        <f t="shared" si="65"/>
        <v/>
      </c>
      <c r="AV355" s="64" t="str">
        <f ca="1">IFERROR(__xludf.DUMMYFUNCTION("IF(TRIM(AU355)="""","""",AU355/INDEX(FILTER(AT$3:AT355,TRIM(AT$3:AT355)&lt;&gt;""""),ROWS(FILTER(AT$3:AT355,TRIM(AT$3:AT355)&lt;&gt;"""")))-1)"),"")</f>
        <v/>
      </c>
      <c r="AW355" s="65" t="e">
        <f t="shared" ca="1" si="57"/>
        <v>#VALUE!</v>
      </c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</row>
    <row r="356" spans="1:68" ht="19" x14ac:dyDescent="0.25">
      <c r="A356" s="5"/>
      <c r="B356" s="5"/>
      <c r="C356" s="5"/>
      <c r="D356" s="5"/>
      <c r="E356" s="5"/>
      <c r="F356" s="5"/>
      <c r="G356" s="5"/>
      <c r="H356" s="6"/>
      <c r="I356" s="5"/>
      <c r="J356" s="83"/>
      <c r="K356" s="83"/>
      <c r="L356" s="83"/>
      <c r="M356" s="83"/>
      <c r="N356" s="83"/>
      <c r="O356" s="83"/>
      <c r="P356" s="83"/>
      <c r="Q356" s="84"/>
      <c r="R356" s="83"/>
      <c r="S356" s="83"/>
      <c r="T356" s="85"/>
      <c r="U356" s="6"/>
      <c r="V356" s="44">
        <v>44432</v>
      </c>
      <c r="W356" s="45">
        <v>133.57</v>
      </c>
      <c r="X356" s="46"/>
      <c r="Y356" s="61"/>
      <c r="Z356" s="5"/>
      <c r="AA356" s="5"/>
      <c r="AB356" s="5"/>
      <c r="AC356" s="5"/>
      <c r="AD356" s="5"/>
      <c r="AE356" s="5"/>
      <c r="AF356" s="5"/>
      <c r="AG356" s="5"/>
      <c r="AH356" s="6"/>
      <c r="AI356" s="44">
        <v>44432</v>
      </c>
      <c r="AJ356" s="53">
        <v>133.57</v>
      </c>
      <c r="AK356" s="54">
        <f t="shared" si="55"/>
        <v>1.5746850629871911E-3</v>
      </c>
      <c r="AL356" s="55">
        <f t="shared" si="58"/>
        <v>18.606638525221211</v>
      </c>
      <c r="AM356" s="56">
        <v>25</v>
      </c>
      <c r="AN356" s="57">
        <f t="shared" si="56"/>
        <v>6.3933614747787892</v>
      </c>
      <c r="AO356" s="76">
        <f t="shared" si="59"/>
        <v>7.5937652481142974</v>
      </c>
      <c r="AP356" s="63" t="str">
        <f t="shared" si="60"/>
        <v>Buy Stocks</v>
      </c>
      <c r="AQ356" s="63" t="str">
        <f t="shared" si="61"/>
        <v/>
      </c>
      <c r="AR356" s="63" t="str">
        <f t="shared" si="62"/>
        <v/>
      </c>
      <c r="AS356" s="63" t="str">
        <f t="shared" si="63"/>
        <v/>
      </c>
      <c r="AT356" s="78" t="str">
        <f t="shared" si="64"/>
        <v/>
      </c>
      <c r="AU356" s="78" t="str">
        <f t="shared" si="65"/>
        <v/>
      </c>
      <c r="AV356" s="64" t="str">
        <f ca="1">IFERROR(__xludf.DUMMYFUNCTION("IF(TRIM(AU356)="""","""",AU356/INDEX(FILTER(AT$3:AT356,TRIM(AT$3:AT356)&lt;&gt;""""),ROWS(FILTER(AT$3:AT356,TRIM(AT$3:AT356)&lt;&gt;"""")))-1)"),"")</f>
        <v/>
      </c>
      <c r="AW356" s="65" t="e">
        <f t="shared" ca="1" si="57"/>
        <v>#VALUE!</v>
      </c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</row>
    <row r="357" spans="1:68" ht="19" x14ac:dyDescent="0.25">
      <c r="A357" s="5"/>
      <c r="B357" s="5"/>
      <c r="C357" s="5"/>
      <c r="D357" s="5"/>
      <c r="E357" s="5"/>
      <c r="F357" s="5"/>
      <c r="G357" s="5"/>
      <c r="H357" s="6"/>
      <c r="I357" s="5"/>
      <c r="J357" s="83"/>
      <c r="K357" s="83"/>
      <c r="L357" s="83"/>
      <c r="M357" s="83"/>
      <c r="N357" s="83"/>
      <c r="O357" s="83"/>
      <c r="P357" s="83"/>
      <c r="Q357" s="84"/>
      <c r="R357" s="83"/>
      <c r="S357" s="83"/>
      <c r="T357" s="85"/>
      <c r="U357" s="6"/>
      <c r="V357" s="44">
        <v>44433</v>
      </c>
      <c r="W357" s="45">
        <v>133.59</v>
      </c>
      <c r="X357" s="46"/>
      <c r="Y357" s="61"/>
      <c r="Z357" s="5"/>
      <c r="AA357" s="5"/>
      <c r="AB357" s="5"/>
      <c r="AC357" s="5"/>
      <c r="AD357" s="5"/>
      <c r="AE357" s="5"/>
      <c r="AF357" s="5"/>
      <c r="AG357" s="5"/>
      <c r="AH357" s="6"/>
      <c r="AI357" s="44">
        <v>44433</v>
      </c>
      <c r="AJ357" s="53">
        <v>133.59</v>
      </c>
      <c r="AK357" s="54">
        <f t="shared" si="55"/>
        <v>1.4973422175645901E-4</v>
      </c>
      <c r="AL357" s="55">
        <f t="shared" si="58"/>
        <v>10.812126413343865</v>
      </c>
      <c r="AM357" s="56">
        <v>25</v>
      </c>
      <c r="AN357" s="57">
        <f t="shared" si="56"/>
        <v>14.187873586656135</v>
      </c>
      <c r="AO357" s="76">
        <f t="shared" si="59"/>
        <v>8.8974849234711719</v>
      </c>
      <c r="AP357" s="63" t="str">
        <f t="shared" si="60"/>
        <v>Buy Stocks</v>
      </c>
      <c r="AQ357" s="63" t="str">
        <f t="shared" si="61"/>
        <v/>
      </c>
      <c r="AR357" s="63" t="str">
        <f t="shared" si="62"/>
        <v/>
      </c>
      <c r="AS357" s="63" t="str">
        <f t="shared" si="63"/>
        <v/>
      </c>
      <c r="AT357" s="78" t="str">
        <f t="shared" si="64"/>
        <v/>
      </c>
      <c r="AU357" s="78" t="str">
        <f t="shared" si="65"/>
        <v/>
      </c>
      <c r="AV357" s="64" t="str">
        <f ca="1">IFERROR(__xludf.DUMMYFUNCTION("IF(TRIM(AU357)="""","""",AU357/INDEX(FILTER(AT$3:AT357,TRIM(AT$3:AT357)&lt;&gt;""""),ROWS(FILTER(AT$3:AT357,TRIM(AT$3:AT357)&lt;&gt;"""")))-1)"),"")</f>
        <v/>
      </c>
      <c r="AW357" s="65" t="e">
        <f t="shared" ca="1" si="57"/>
        <v>#VALUE!</v>
      </c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</row>
    <row r="358" spans="1:68" ht="19" x14ac:dyDescent="0.25">
      <c r="A358" s="5"/>
      <c r="B358" s="5"/>
      <c r="C358" s="5"/>
      <c r="D358" s="5"/>
      <c r="E358" s="5"/>
      <c r="F358" s="5"/>
      <c r="G358" s="5"/>
      <c r="H358" s="6"/>
      <c r="I358" s="5"/>
      <c r="J358" s="83"/>
      <c r="K358" s="83"/>
      <c r="L358" s="83"/>
      <c r="M358" s="83"/>
      <c r="N358" s="83"/>
      <c r="O358" s="83"/>
      <c r="P358" s="83"/>
      <c r="Q358" s="84"/>
      <c r="R358" s="83"/>
      <c r="S358" s="83"/>
      <c r="T358" s="85"/>
      <c r="U358" s="6"/>
      <c r="V358" s="44">
        <v>44434</v>
      </c>
      <c r="W358" s="45">
        <v>132.56</v>
      </c>
      <c r="X358" s="46"/>
      <c r="Y358" s="61"/>
      <c r="Z358" s="5"/>
      <c r="AA358" s="5"/>
      <c r="AB358" s="5"/>
      <c r="AC358" s="5"/>
      <c r="AD358" s="5"/>
      <c r="AE358" s="5"/>
      <c r="AF358" s="5"/>
      <c r="AG358" s="5"/>
      <c r="AH358" s="6"/>
      <c r="AI358" s="44">
        <v>44434</v>
      </c>
      <c r="AJ358" s="53">
        <v>132.56</v>
      </c>
      <c r="AK358" s="54">
        <f t="shared" si="55"/>
        <v>-7.7101579459540881E-3</v>
      </c>
      <c r="AL358" s="55">
        <f t="shared" si="58"/>
        <v>9.1030357186735653</v>
      </c>
      <c r="AM358" s="56">
        <v>25</v>
      </c>
      <c r="AN358" s="57">
        <f t="shared" si="56"/>
        <v>15.896964281326435</v>
      </c>
      <c r="AO358" s="76">
        <f t="shared" si="59"/>
        <v>10.073824033778621</v>
      </c>
      <c r="AP358" s="63" t="str">
        <f t="shared" si="60"/>
        <v>Buy Stocks</v>
      </c>
      <c r="AQ358" s="63" t="str">
        <f t="shared" si="61"/>
        <v/>
      </c>
      <c r="AR358" s="63" t="str">
        <f t="shared" si="62"/>
        <v/>
      </c>
      <c r="AS358" s="63" t="str">
        <f t="shared" si="63"/>
        <v/>
      </c>
      <c r="AT358" s="78" t="str">
        <f t="shared" si="64"/>
        <v/>
      </c>
      <c r="AU358" s="78" t="str">
        <f t="shared" si="65"/>
        <v/>
      </c>
      <c r="AV358" s="64" t="str">
        <f ca="1">IFERROR(__xludf.DUMMYFUNCTION("IF(TRIM(AU358)="""","""",AU358/INDEX(FILTER(AT$3:AT358,TRIM(AT$3:AT358)&lt;&gt;""""),ROWS(FILTER(AT$3:AT358,TRIM(AT$3:AT358)&lt;&gt;"""")))-1)"),"")</f>
        <v/>
      </c>
      <c r="AW358" s="65" t="e">
        <f t="shared" ca="1" si="57"/>
        <v>#VALUE!</v>
      </c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</row>
    <row r="359" spans="1:68" ht="19" x14ac:dyDescent="0.25">
      <c r="A359" s="5"/>
      <c r="B359" s="5"/>
      <c r="C359" s="5"/>
      <c r="D359" s="5"/>
      <c r="E359" s="5"/>
      <c r="F359" s="5"/>
      <c r="G359" s="5"/>
      <c r="H359" s="6"/>
      <c r="I359" s="5"/>
      <c r="J359" s="83"/>
      <c r="K359" s="83"/>
      <c r="L359" s="83"/>
      <c r="M359" s="83"/>
      <c r="N359" s="83"/>
      <c r="O359" s="83"/>
      <c r="P359" s="83"/>
      <c r="Q359" s="84"/>
      <c r="R359" s="83"/>
      <c r="S359" s="83"/>
      <c r="T359" s="85"/>
      <c r="U359" s="6"/>
      <c r="V359" s="44">
        <v>44435</v>
      </c>
      <c r="W359" s="45">
        <v>133.16</v>
      </c>
      <c r="X359" s="46"/>
      <c r="Y359" s="61"/>
      <c r="Z359" s="5"/>
      <c r="AA359" s="5"/>
      <c r="AB359" s="5"/>
      <c r="AC359" s="5"/>
      <c r="AD359" s="5"/>
      <c r="AE359" s="5"/>
      <c r="AF359" s="5"/>
      <c r="AG359" s="5"/>
      <c r="AH359" s="6"/>
      <c r="AI359" s="44">
        <v>44435</v>
      </c>
      <c r="AJ359" s="53">
        <v>133.16</v>
      </c>
      <c r="AK359" s="54">
        <f t="shared" si="55"/>
        <v>4.5262522631261959E-3</v>
      </c>
      <c r="AL359" s="55">
        <f t="shared" si="58"/>
        <v>7.7380059941685024</v>
      </c>
      <c r="AM359" s="56">
        <v>25</v>
      </c>
      <c r="AN359" s="57">
        <f t="shared" si="56"/>
        <v>17.261994005831497</v>
      </c>
      <c r="AO359" s="76">
        <f t="shared" si="59"/>
        <v>12.111195464116076</v>
      </c>
      <c r="AP359" s="63" t="str">
        <f t="shared" si="60"/>
        <v>Buy Stocks</v>
      </c>
      <c r="AQ359" s="63" t="str">
        <f t="shared" si="61"/>
        <v/>
      </c>
      <c r="AR359" s="63" t="str">
        <f t="shared" si="62"/>
        <v/>
      </c>
      <c r="AS359" s="63" t="str">
        <f t="shared" si="63"/>
        <v/>
      </c>
      <c r="AT359" s="78" t="str">
        <f t="shared" si="64"/>
        <v/>
      </c>
      <c r="AU359" s="78" t="str">
        <f t="shared" si="65"/>
        <v/>
      </c>
      <c r="AV359" s="64" t="str">
        <f ca="1">IFERROR(__xludf.DUMMYFUNCTION("IF(TRIM(AU359)="""","""",AU359/INDEX(FILTER(AT$3:AT359,TRIM(AT$3:AT359)&lt;&gt;""""),ROWS(FILTER(AT$3:AT359,TRIM(AT$3:AT359)&lt;&gt;"""")))-1)"),"")</f>
        <v/>
      </c>
      <c r="AW359" s="65" t="e">
        <f t="shared" ca="1" si="57"/>
        <v>#VALUE!</v>
      </c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</row>
    <row r="360" spans="1:68" ht="19" x14ac:dyDescent="0.25">
      <c r="A360" s="5"/>
      <c r="B360" s="5"/>
      <c r="C360" s="5"/>
      <c r="D360" s="5"/>
      <c r="E360" s="5"/>
      <c r="F360" s="5"/>
      <c r="G360" s="5"/>
      <c r="H360" s="6"/>
      <c r="I360" s="5"/>
      <c r="J360" s="83"/>
      <c r="K360" s="83"/>
      <c r="L360" s="83"/>
      <c r="M360" s="83"/>
      <c r="N360" s="83"/>
      <c r="O360" s="83"/>
      <c r="P360" s="83"/>
      <c r="Q360" s="84"/>
      <c r="R360" s="83"/>
      <c r="S360" s="83"/>
      <c r="T360" s="85"/>
      <c r="U360" s="6"/>
      <c r="V360" s="44">
        <v>44438</v>
      </c>
      <c r="W360" s="45">
        <v>132.74</v>
      </c>
      <c r="X360" s="46"/>
      <c r="Y360" s="61"/>
      <c r="Z360" s="5"/>
      <c r="AA360" s="5"/>
      <c r="AB360" s="5"/>
      <c r="AC360" s="5"/>
      <c r="AD360" s="5"/>
      <c r="AE360" s="5"/>
      <c r="AF360" s="5"/>
      <c r="AG360" s="5"/>
      <c r="AH360" s="6"/>
      <c r="AI360" s="44">
        <v>44438</v>
      </c>
      <c r="AJ360" s="53">
        <v>132.74</v>
      </c>
      <c r="AK360" s="54">
        <f t="shared" si="55"/>
        <v>-3.1541003304295101E-3</v>
      </c>
      <c r="AL360" s="55">
        <f t="shared" si="58"/>
        <v>7.4511691937794637</v>
      </c>
      <c r="AM360" s="56">
        <v>25</v>
      </c>
      <c r="AN360" s="57">
        <f t="shared" si="56"/>
        <v>17.548830806220536</v>
      </c>
      <c r="AO360" s="76">
        <f t="shared" si="59"/>
        <v>14.257804830962678</v>
      </c>
      <c r="AP360" s="63" t="str">
        <f t="shared" si="60"/>
        <v>Buy Stocks</v>
      </c>
      <c r="AQ360" s="63" t="str">
        <f t="shared" si="61"/>
        <v/>
      </c>
      <c r="AR360" s="63" t="str">
        <f t="shared" si="62"/>
        <v/>
      </c>
      <c r="AS360" s="63" t="str">
        <f t="shared" si="63"/>
        <v/>
      </c>
      <c r="AT360" s="78" t="str">
        <f t="shared" si="64"/>
        <v/>
      </c>
      <c r="AU360" s="78" t="str">
        <f t="shared" si="65"/>
        <v/>
      </c>
      <c r="AV360" s="64" t="str">
        <f ca="1">IFERROR(__xludf.DUMMYFUNCTION("IF(TRIM(AU360)="""","""",AU360/INDEX(FILTER(AT$3:AT360,TRIM(AT$3:AT360)&lt;&gt;""""),ROWS(FILTER(AT$3:AT360,TRIM(AT$3:AT360)&lt;&gt;"""")))-1)"),"")</f>
        <v/>
      </c>
      <c r="AW360" s="65" t="e">
        <f t="shared" ca="1" si="57"/>
        <v>#VALUE!</v>
      </c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</row>
    <row r="361" spans="1:68" ht="19" x14ac:dyDescent="0.25">
      <c r="A361" s="5"/>
      <c r="B361" s="5"/>
      <c r="C361" s="5"/>
      <c r="D361" s="5"/>
      <c r="E361" s="5"/>
      <c r="F361" s="5"/>
      <c r="G361" s="5"/>
      <c r="H361" s="6"/>
      <c r="I361" s="5"/>
      <c r="J361" s="83"/>
      <c r="K361" s="83"/>
      <c r="L361" s="83"/>
      <c r="M361" s="83"/>
      <c r="N361" s="83"/>
      <c r="O361" s="83"/>
      <c r="P361" s="83"/>
      <c r="Q361" s="84"/>
      <c r="R361" s="83"/>
      <c r="S361" s="83"/>
      <c r="T361" s="85"/>
      <c r="U361" s="6"/>
      <c r="V361" s="44">
        <v>44439</v>
      </c>
      <c r="W361" s="45">
        <v>134.05000000000001</v>
      </c>
      <c r="X361" s="46"/>
      <c r="Y361" s="61"/>
      <c r="Z361" s="5"/>
      <c r="AA361" s="5"/>
      <c r="AB361" s="5"/>
      <c r="AC361" s="5"/>
      <c r="AD361" s="5"/>
      <c r="AE361" s="5"/>
      <c r="AF361" s="5"/>
      <c r="AG361" s="5"/>
      <c r="AH361" s="6"/>
      <c r="AI361" s="44">
        <v>44439</v>
      </c>
      <c r="AJ361" s="53">
        <v>134.05000000000001</v>
      </c>
      <c r="AK361" s="54">
        <f t="shared" si="55"/>
        <v>9.8689166792225169E-3</v>
      </c>
      <c r="AL361" s="55">
        <f t="shared" si="58"/>
        <v>10.783873208618559</v>
      </c>
      <c r="AM361" s="56">
        <v>25</v>
      </c>
      <c r="AN361" s="57">
        <f t="shared" si="56"/>
        <v>14.216126791381441</v>
      </c>
      <c r="AO361" s="76">
        <f t="shared" si="59"/>
        <v>15.822357894283209</v>
      </c>
      <c r="AP361" s="63" t="str">
        <f t="shared" si="60"/>
        <v>Buy Stocks</v>
      </c>
      <c r="AQ361" s="63" t="str">
        <f t="shared" si="61"/>
        <v/>
      </c>
      <c r="AR361" s="63" t="str">
        <f t="shared" si="62"/>
        <v/>
      </c>
      <c r="AS361" s="63" t="str">
        <f t="shared" si="63"/>
        <v/>
      </c>
      <c r="AT361" s="78" t="str">
        <f t="shared" si="64"/>
        <v/>
      </c>
      <c r="AU361" s="78" t="str">
        <f t="shared" si="65"/>
        <v/>
      </c>
      <c r="AV361" s="64" t="str">
        <f ca="1">IFERROR(__xludf.DUMMYFUNCTION("IF(TRIM(AU361)="""","""",AU361/INDEX(FILTER(AT$3:AT361,TRIM(AT$3:AT361)&lt;&gt;""""),ROWS(FILTER(AT$3:AT361,TRIM(AT$3:AT361)&lt;&gt;"""")))-1)"),"")</f>
        <v/>
      </c>
      <c r="AW361" s="65" t="e">
        <f t="shared" ca="1" si="57"/>
        <v>#VALUE!</v>
      </c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</row>
    <row r="362" spans="1:68" ht="19" x14ac:dyDescent="0.25">
      <c r="A362" s="5"/>
      <c r="B362" s="5"/>
      <c r="C362" s="5"/>
      <c r="D362" s="5"/>
      <c r="E362" s="5"/>
      <c r="F362" s="5"/>
      <c r="G362" s="5"/>
      <c r="H362" s="6"/>
      <c r="I362" s="5"/>
      <c r="J362" s="83"/>
      <c r="K362" s="83"/>
      <c r="L362" s="83"/>
      <c r="M362" s="83"/>
      <c r="N362" s="83"/>
      <c r="O362" s="83"/>
      <c r="P362" s="83"/>
      <c r="Q362" s="84"/>
      <c r="R362" s="83"/>
      <c r="S362" s="83"/>
      <c r="T362" s="85"/>
      <c r="U362" s="6"/>
      <c r="V362" s="44">
        <v>44440</v>
      </c>
      <c r="W362" s="45">
        <v>133.05000000000001</v>
      </c>
      <c r="X362" s="46"/>
      <c r="Y362" s="61"/>
      <c r="Z362" s="5"/>
      <c r="AA362" s="5"/>
      <c r="AB362" s="5"/>
      <c r="AC362" s="5"/>
      <c r="AD362" s="5"/>
      <c r="AE362" s="5"/>
      <c r="AF362" s="5"/>
      <c r="AG362" s="5"/>
      <c r="AH362" s="6"/>
      <c r="AI362" s="44">
        <v>44440</v>
      </c>
      <c r="AJ362" s="53">
        <v>133.05000000000001</v>
      </c>
      <c r="AK362" s="54">
        <f t="shared" si="55"/>
        <v>-7.4599030212607609E-3</v>
      </c>
      <c r="AL362" s="55">
        <f t="shared" si="58"/>
        <v>12.292244461865735</v>
      </c>
      <c r="AM362" s="56">
        <v>25</v>
      </c>
      <c r="AN362" s="57">
        <f t="shared" si="56"/>
        <v>12.707755538134265</v>
      </c>
      <c r="AO362" s="76">
        <f t="shared" si="59"/>
        <v>15.526334284578834</v>
      </c>
      <c r="AP362" s="63" t="str">
        <f t="shared" si="60"/>
        <v>Buy Stocks</v>
      </c>
      <c r="AQ362" s="63" t="str">
        <f t="shared" si="61"/>
        <v/>
      </c>
      <c r="AR362" s="63" t="str">
        <f t="shared" si="62"/>
        <v/>
      </c>
      <c r="AS362" s="63" t="str">
        <f t="shared" si="63"/>
        <v/>
      </c>
      <c r="AT362" s="78" t="str">
        <f t="shared" si="64"/>
        <v/>
      </c>
      <c r="AU362" s="78" t="str">
        <f t="shared" si="65"/>
        <v/>
      </c>
      <c r="AV362" s="64" t="str">
        <f ca="1">IFERROR(__xludf.DUMMYFUNCTION("IF(TRIM(AU362)="""","""",AU362/INDEX(FILTER(AT$3:AT362,TRIM(AT$3:AT362)&lt;&gt;""""),ROWS(FILTER(AT$3:AT362,TRIM(AT$3:AT362)&lt;&gt;"""")))-1)"),"")</f>
        <v/>
      </c>
      <c r="AW362" s="65" t="e">
        <f t="shared" ca="1" si="57"/>
        <v>#VALUE!</v>
      </c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</row>
    <row r="363" spans="1:68" ht="19" x14ac:dyDescent="0.25">
      <c r="A363" s="5"/>
      <c r="B363" s="5"/>
      <c r="C363" s="5"/>
      <c r="D363" s="5"/>
      <c r="E363" s="5"/>
      <c r="F363" s="5"/>
      <c r="G363" s="5"/>
      <c r="H363" s="6"/>
      <c r="I363" s="5"/>
      <c r="J363" s="83"/>
      <c r="K363" s="83"/>
      <c r="L363" s="83"/>
      <c r="M363" s="83"/>
      <c r="N363" s="83"/>
      <c r="O363" s="83"/>
      <c r="P363" s="83"/>
      <c r="Q363" s="84"/>
      <c r="R363" s="83"/>
      <c r="S363" s="83"/>
      <c r="T363" s="85"/>
      <c r="U363" s="6"/>
      <c r="V363" s="44">
        <v>44441</v>
      </c>
      <c r="W363" s="45">
        <v>133.72999999999999</v>
      </c>
      <c r="X363" s="46"/>
      <c r="Y363" s="61"/>
      <c r="Z363" s="5"/>
      <c r="AA363" s="5"/>
      <c r="AB363" s="5"/>
      <c r="AC363" s="5"/>
      <c r="AD363" s="5"/>
      <c r="AE363" s="5"/>
      <c r="AF363" s="5"/>
      <c r="AG363" s="5"/>
      <c r="AH363" s="6"/>
      <c r="AI363" s="44">
        <v>44441</v>
      </c>
      <c r="AJ363" s="53">
        <v>133.72999999999999</v>
      </c>
      <c r="AK363" s="54">
        <f t="shared" si="55"/>
        <v>5.1108605787295591E-3</v>
      </c>
      <c r="AL363" s="55">
        <f t="shared" si="58"/>
        <v>11.049280347355765</v>
      </c>
      <c r="AM363" s="56">
        <v>25</v>
      </c>
      <c r="AN363" s="57">
        <f t="shared" si="56"/>
        <v>13.950719652644235</v>
      </c>
      <c r="AO363" s="76">
        <f t="shared" si="59"/>
        <v>15.137085358842395</v>
      </c>
      <c r="AP363" s="63" t="str">
        <f t="shared" si="60"/>
        <v>Buy Stocks</v>
      </c>
      <c r="AQ363" s="63" t="str">
        <f t="shared" si="61"/>
        <v/>
      </c>
      <c r="AR363" s="63" t="str">
        <f t="shared" si="62"/>
        <v/>
      </c>
      <c r="AS363" s="63" t="str">
        <f t="shared" si="63"/>
        <v/>
      </c>
      <c r="AT363" s="78" t="str">
        <f t="shared" si="64"/>
        <v/>
      </c>
      <c r="AU363" s="78" t="str">
        <f t="shared" si="65"/>
        <v/>
      </c>
      <c r="AV363" s="64" t="str">
        <f ca="1">IFERROR(__xludf.DUMMYFUNCTION("IF(TRIM(AU363)="""","""",AU363/INDEX(FILTER(AT$3:AT363,TRIM(AT$3:AT363)&lt;&gt;""""),ROWS(FILTER(AT$3:AT363,TRIM(AT$3:AT363)&lt;&gt;"""")))-1)"),"")</f>
        <v/>
      </c>
      <c r="AW363" s="65" t="e">
        <f t="shared" ca="1" si="57"/>
        <v>#VALUE!</v>
      </c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</row>
    <row r="364" spans="1:68" ht="19" x14ac:dyDescent="0.25">
      <c r="A364" s="5"/>
      <c r="B364" s="5"/>
      <c r="C364" s="5"/>
      <c r="D364" s="5"/>
      <c r="E364" s="5"/>
      <c r="F364" s="5"/>
      <c r="G364" s="5"/>
      <c r="H364" s="6"/>
      <c r="I364" s="5"/>
      <c r="J364" s="83"/>
      <c r="K364" s="83"/>
      <c r="L364" s="83"/>
      <c r="M364" s="83"/>
      <c r="N364" s="83"/>
      <c r="O364" s="83"/>
      <c r="P364" s="83"/>
      <c r="Q364" s="84"/>
      <c r="R364" s="83"/>
      <c r="S364" s="83"/>
      <c r="T364" s="85"/>
      <c r="U364" s="6"/>
      <c r="V364" s="44">
        <v>44442</v>
      </c>
      <c r="W364" s="45">
        <v>133.32</v>
      </c>
      <c r="X364" s="46"/>
      <c r="Y364" s="61"/>
      <c r="Z364" s="5"/>
      <c r="AA364" s="5"/>
      <c r="AB364" s="5"/>
      <c r="AC364" s="5"/>
      <c r="AD364" s="5"/>
      <c r="AE364" s="5"/>
      <c r="AF364" s="5"/>
      <c r="AG364" s="5"/>
      <c r="AH364" s="6"/>
      <c r="AI364" s="44">
        <v>44442</v>
      </c>
      <c r="AJ364" s="53">
        <v>133.32</v>
      </c>
      <c r="AK364" s="54">
        <f t="shared" si="55"/>
        <v>-3.0658790099453714E-3</v>
      </c>
      <c r="AL364" s="55">
        <f t="shared" si="58"/>
        <v>11.173685484127233</v>
      </c>
      <c r="AM364" s="56">
        <v>25</v>
      </c>
      <c r="AN364" s="57">
        <f t="shared" si="56"/>
        <v>13.826314515872767</v>
      </c>
      <c r="AO364" s="76">
        <f t="shared" si="59"/>
        <v>14.44994946085065</v>
      </c>
      <c r="AP364" s="63" t="str">
        <f t="shared" si="60"/>
        <v>Buy Stocks</v>
      </c>
      <c r="AQ364" s="63" t="str">
        <f t="shared" si="61"/>
        <v/>
      </c>
      <c r="AR364" s="63" t="str">
        <f t="shared" si="62"/>
        <v/>
      </c>
      <c r="AS364" s="63" t="str">
        <f t="shared" si="63"/>
        <v/>
      </c>
      <c r="AT364" s="78" t="str">
        <f t="shared" si="64"/>
        <v/>
      </c>
      <c r="AU364" s="78" t="str">
        <f t="shared" si="65"/>
        <v/>
      </c>
      <c r="AV364" s="64" t="str">
        <f ca="1">IFERROR(__xludf.DUMMYFUNCTION("IF(TRIM(AU364)="""","""",AU364/INDEX(FILTER(AT$3:AT364,TRIM(AT$3:AT364)&lt;&gt;""""),ROWS(FILTER(AT$3:AT364,TRIM(AT$3:AT364)&lt;&gt;"""")))-1)"),"")</f>
        <v/>
      </c>
      <c r="AW364" s="65" t="e">
        <f t="shared" ca="1" si="57"/>
        <v>#VALUE!</v>
      </c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</row>
    <row r="365" spans="1:68" ht="19" x14ac:dyDescent="0.25">
      <c r="A365" s="5"/>
      <c r="B365" s="5"/>
      <c r="C365" s="5"/>
      <c r="D365" s="5"/>
      <c r="E365" s="5"/>
      <c r="F365" s="5"/>
      <c r="G365" s="5"/>
      <c r="H365" s="6"/>
      <c r="I365" s="5"/>
      <c r="J365" s="83"/>
      <c r="K365" s="83"/>
      <c r="L365" s="83"/>
      <c r="M365" s="83"/>
      <c r="N365" s="83"/>
      <c r="O365" s="83"/>
      <c r="P365" s="83"/>
      <c r="Q365" s="84"/>
      <c r="R365" s="83"/>
      <c r="S365" s="83"/>
      <c r="T365" s="85"/>
      <c r="U365" s="6"/>
      <c r="V365" s="44">
        <v>44446</v>
      </c>
      <c r="W365" s="45">
        <v>131.87</v>
      </c>
      <c r="X365" s="46"/>
      <c r="Y365" s="61"/>
      <c r="Z365" s="5"/>
      <c r="AA365" s="5"/>
      <c r="AB365" s="5"/>
      <c r="AC365" s="5"/>
      <c r="AD365" s="5"/>
      <c r="AE365" s="5"/>
      <c r="AF365" s="5"/>
      <c r="AG365" s="5"/>
      <c r="AH365" s="6"/>
      <c r="AI365" s="44">
        <v>44446</v>
      </c>
      <c r="AJ365" s="53">
        <v>131.87</v>
      </c>
      <c r="AK365" s="54">
        <f t="shared" si="55"/>
        <v>-1.0876087608760798E-2</v>
      </c>
      <c r="AL365" s="55">
        <f t="shared" si="58"/>
        <v>13.715767875968577</v>
      </c>
      <c r="AM365" s="56">
        <v>25</v>
      </c>
      <c r="AN365" s="57">
        <f t="shared" si="56"/>
        <v>11.284232124031423</v>
      </c>
      <c r="AO365" s="76">
        <f t="shared" si="59"/>
        <v>13.197029724412825</v>
      </c>
      <c r="AP365" s="63" t="str">
        <f t="shared" si="60"/>
        <v>Buy Stocks</v>
      </c>
      <c r="AQ365" s="63" t="str">
        <f t="shared" si="61"/>
        <v/>
      </c>
      <c r="AR365" s="63" t="str">
        <f t="shared" si="62"/>
        <v/>
      </c>
      <c r="AS365" s="63" t="str">
        <f t="shared" si="63"/>
        <v/>
      </c>
      <c r="AT365" s="78" t="str">
        <f t="shared" si="64"/>
        <v/>
      </c>
      <c r="AU365" s="78" t="str">
        <f t="shared" si="65"/>
        <v/>
      </c>
      <c r="AV365" s="64" t="str">
        <f ca="1">IFERROR(__xludf.DUMMYFUNCTION("IF(TRIM(AU365)="""","""",AU365/INDEX(FILTER(AT$3:AT365,TRIM(AT$3:AT365)&lt;&gt;""""),ROWS(FILTER(AT$3:AT365,TRIM(AT$3:AT365)&lt;&gt;"""")))-1)"),"")</f>
        <v/>
      </c>
      <c r="AW365" s="65" t="e">
        <f t="shared" ca="1" si="57"/>
        <v>#VALUE!</v>
      </c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</row>
    <row r="366" spans="1:68" ht="19" x14ac:dyDescent="0.25">
      <c r="A366" s="5"/>
      <c r="B366" s="5"/>
      <c r="C366" s="5"/>
      <c r="D366" s="5"/>
      <c r="E366" s="5"/>
      <c r="F366" s="5"/>
      <c r="G366" s="5"/>
      <c r="H366" s="6"/>
      <c r="I366" s="5"/>
      <c r="J366" s="83"/>
      <c r="K366" s="83"/>
      <c r="L366" s="83"/>
      <c r="M366" s="83"/>
      <c r="N366" s="83"/>
      <c r="O366" s="83"/>
      <c r="P366" s="83"/>
      <c r="Q366" s="84"/>
      <c r="R366" s="83"/>
      <c r="S366" s="83"/>
      <c r="T366" s="85"/>
      <c r="U366" s="6"/>
      <c r="V366" s="44">
        <v>44447</v>
      </c>
      <c r="W366" s="45">
        <v>132.44999999999999</v>
      </c>
      <c r="X366" s="46"/>
      <c r="Y366" s="61"/>
      <c r="Z366" s="5"/>
      <c r="AA366" s="5"/>
      <c r="AB366" s="5"/>
      <c r="AC366" s="5"/>
      <c r="AD366" s="5"/>
      <c r="AE366" s="5"/>
      <c r="AF366" s="5"/>
      <c r="AG366" s="5"/>
      <c r="AH366" s="6"/>
      <c r="AI366" s="44">
        <v>44447</v>
      </c>
      <c r="AJ366" s="53">
        <v>132.44999999999999</v>
      </c>
      <c r="AK366" s="54">
        <f t="shared" si="55"/>
        <v>4.3982710244936385E-3</v>
      </c>
      <c r="AL366" s="55">
        <f t="shared" si="58"/>
        <v>11.239479175951685</v>
      </c>
      <c r="AM366" s="56">
        <v>25</v>
      </c>
      <c r="AN366" s="57">
        <f t="shared" si="56"/>
        <v>13.760520824048315</v>
      </c>
      <c r="AO366" s="76">
        <f t="shared" si="59"/>
        <v>13.1059085309462</v>
      </c>
      <c r="AP366" s="63" t="str">
        <f t="shared" si="60"/>
        <v>Buy Stocks</v>
      </c>
      <c r="AQ366" s="63" t="str">
        <f t="shared" si="61"/>
        <v/>
      </c>
      <c r="AR366" s="63" t="str">
        <f t="shared" si="62"/>
        <v/>
      </c>
      <c r="AS366" s="63" t="str">
        <f t="shared" si="63"/>
        <v/>
      </c>
      <c r="AT366" s="78" t="str">
        <f t="shared" si="64"/>
        <v/>
      </c>
      <c r="AU366" s="78" t="str">
        <f t="shared" si="65"/>
        <v/>
      </c>
      <c r="AV366" s="64" t="str">
        <f ca="1">IFERROR(__xludf.DUMMYFUNCTION("IF(TRIM(AU366)="""","""",AU366/INDEX(FILTER(AT$3:AT366,TRIM(AT$3:AT366)&lt;&gt;""""),ROWS(FILTER(AT$3:AT366,TRIM(AT$3:AT366)&lt;&gt;"""")))-1)"),"")</f>
        <v/>
      </c>
      <c r="AW366" s="65" t="e">
        <f t="shared" ca="1" si="57"/>
        <v>#VALUE!</v>
      </c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</row>
    <row r="367" spans="1:68" ht="19" x14ac:dyDescent="0.25">
      <c r="A367" s="5"/>
      <c r="B367" s="5"/>
      <c r="C367" s="5"/>
      <c r="D367" s="5"/>
      <c r="E367" s="5"/>
      <c r="F367" s="5"/>
      <c r="G367" s="5"/>
      <c r="H367" s="6"/>
      <c r="I367" s="5"/>
      <c r="J367" s="83"/>
      <c r="K367" s="83"/>
      <c r="L367" s="83"/>
      <c r="M367" s="83"/>
      <c r="N367" s="83"/>
      <c r="O367" s="83"/>
      <c r="P367" s="83"/>
      <c r="Q367" s="84"/>
      <c r="R367" s="83"/>
      <c r="S367" s="83"/>
      <c r="T367" s="85"/>
      <c r="U367" s="6"/>
      <c r="V367" s="44">
        <v>44448</v>
      </c>
      <c r="W367" s="45">
        <v>131.56</v>
      </c>
      <c r="X367" s="46"/>
      <c r="Y367" s="61"/>
      <c r="Z367" s="5"/>
      <c r="AA367" s="5"/>
      <c r="AB367" s="5"/>
      <c r="AC367" s="5"/>
      <c r="AD367" s="5"/>
      <c r="AE367" s="5"/>
      <c r="AF367" s="5"/>
      <c r="AG367" s="5"/>
      <c r="AH367" s="6"/>
      <c r="AI367" s="44">
        <v>44448</v>
      </c>
      <c r="AJ367" s="53">
        <v>131.56</v>
      </c>
      <c r="AK367" s="54">
        <f t="shared" si="55"/>
        <v>-6.7195167987919024E-3</v>
      </c>
      <c r="AL367" s="55">
        <f t="shared" si="58"/>
        <v>11.039105132780774</v>
      </c>
      <c r="AM367" s="56">
        <v>25</v>
      </c>
      <c r="AN367" s="57">
        <f t="shared" si="56"/>
        <v>13.960894867219226</v>
      </c>
      <c r="AO367" s="76">
        <f t="shared" si="59"/>
        <v>13.356536396763193</v>
      </c>
      <c r="AP367" s="63" t="str">
        <f t="shared" si="60"/>
        <v>Buy Stocks</v>
      </c>
      <c r="AQ367" s="63" t="str">
        <f t="shared" si="61"/>
        <v/>
      </c>
      <c r="AR367" s="63" t="str">
        <f t="shared" si="62"/>
        <v/>
      </c>
      <c r="AS367" s="63" t="str">
        <f t="shared" si="63"/>
        <v/>
      </c>
      <c r="AT367" s="78" t="str">
        <f t="shared" si="64"/>
        <v/>
      </c>
      <c r="AU367" s="78" t="str">
        <f t="shared" si="65"/>
        <v/>
      </c>
      <c r="AV367" s="64" t="str">
        <f ca="1">IFERROR(__xludf.DUMMYFUNCTION("IF(TRIM(AU367)="""","""",AU367/INDEX(FILTER(AT$3:AT367,TRIM(AT$3:AT367)&lt;&gt;""""),ROWS(FILTER(AT$3:AT367,TRIM(AT$3:AT367)&lt;&gt;"""")))-1)"),"")</f>
        <v/>
      </c>
      <c r="AW367" s="65" t="e">
        <f t="shared" ca="1" si="57"/>
        <v>#VALUE!</v>
      </c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</row>
    <row r="368" spans="1:68" ht="19" x14ac:dyDescent="0.25">
      <c r="A368" s="5"/>
      <c r="B368" s="5"/>
      <c r="C368" s="5"/>
      <c r="D368" s="5"/>
      <c r="E368" s="5"/>
      <c r="F368" s="5"/>
      <c r="G368" s="5"/>
      <c r="H368" s="6"/>
      <c r="I368" s="5"/>
      <c r="J368" s="83"/>
      <c r="K368" s="83"/>
      <c r="L368" s="83"/>
      <c r="M368" s="83"/>
      <c r="N368" s="83"/>
      <c r="O368" s="83"/>
      <c r="P368" s="83"/>
      <c r="Q368" s="84"/>
      <c r="R368" s="83"/>
      <c r="S368" s="83"/>
      <c r="T368" s="85"/>
      <c r="U368" s="6"/>
      <c r="V368" s="44">
        <v>44449</v>
      </c>
      <c r="W368" s="45">
        <v>130.88</v>
      </c>
      <c r="X368" s="46"/>
      <c r="Y368" s="61"/>
      <c r="Z368" s="5"/>
      <c r="AA368" s="5"/>
      <c r="AB368" s="5"/>
      <c r="AC368" s="5"/>
      <c r="AD368" s="5"/>
      <c r="AE368" s="5"/>
      <c r="AF368" s="5"/>
      <c r="AG368" s="5"/>
      <c r="AH368" s="6"/>
      <c r="AI368" s="44">
        <v>44449</v>
      </c>
      <c r="AJ368" s="53">
        <v>130.88</v>
      </c>
      <c r="AK368" s="54">
        <f t="shared" si="55"/>
        <v>-5.1687442991791288E-3</v>
      </c>
      <c r="AL368" s="55">
        <f t="shared" si="58"/>
        <v>8.946089925265678</v>
      </c>
      <c r="AM368" s="56">
        <v>25</v>
      </c>
      <c r="AN368" s="57">
        <f t="shared" si="56"/>
        <v>16.053910074734322</v>
      </c>
      <c r="AO368" s="76">
        <f t="shared" si="59"/>
        <v>13.777174481181211</v>
      </c>
      <c r="AP368" s="63" t="str">
        <f t="shared" si="60"/>
        <v>Buy Stocks</v>
      </c>
      <c r="AQ368" s="63" t="str">
        <f t="shared" si="61"/>
        <v/>
      </c>
      <c r="AR368" s="63" t="str">
        <f t="shared" si="62"/>
        <v/>
      </c>
      <c r="AS368" s="63" t="str">
        <f t="shared" si="63"/>
        <v/>
      </c>
      <c r="AT368" s="78" t="str">
        <f t="shared" si="64"/>
        <v/>
      </c>
      <c r="AU368" s="78" t="str">
        <f t="shared" si="65"/>
        <v/>
      </c>
      <c r="AV368" s="64" t="str">
        <f ca="1">IFERROR(__xludf.DUMMYFUNCTION("IF(TRIM(AU368)="""","""",AU368/INDEX(FILTER(AT$3:AT368,TRIM(AT$3:AT368)&lt;&gt;""""),ROWS(FILTER(AT$3:AT368,TRIM(AT$3:AT368)&lt;&gt;"""")))-1)"),"")</f>
        <v/>
      </c>
      <c r="AW368" s="65" t="e">
        <f t="shared" ca="1" si="57"/>
        <v>#VALUE!</v>
      </c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</row>
    <row r="369" spans="1:68" ht="19" x14ac:dyDescent="0.25">
      <c r="A369" s="5"/>
      <c r="B369" s="5"/>
      <c r="C369" s="5"/>
      <c r="D369" s="5"/>
      <c r="E369" s="5"/>
      <c r="F369" s="5"/>
      <c r="G369" s="5"/>
      <c r="H369" s="6"/>
      <c r="I369" s="5"/>
      <c r="J369" s="83"/>
      <c r="K369" s="83"/>
      <c r="L369" s="83"/>
      <c r="M369" s="83"/>
      <c r="N369" s="83"/>
      <c r="O369" s="83"/>
      <c r="P369" s="83"/>
      <c r="Q369" s="84"/>
      <c r="R369" s="83"/>
      <c r="S369" s="83"/>
      <c r="T369" s="85"/>
      <c r="U369" s="6"/>
      <c r="V369" s="44">
        <v>44452</v>
      </c>
      <c r="W369" s="45">
        <v>131.96</v>
      </c>
      <c r="X369" s="46"/>
      <c r="Y369" s="61"/>
      <c r="Z369" s="5"/>
      <c r="AA369" s="5"/>
      <c r="AB369" s="5"/>
      <c r="AC369" s="5"/>
      <c r="AD369" s="5"/>
      <c r="AE369" s="5"/>
      <c r="AF369" s="5"/>
      <c r="AG369" s="5"/>
      <c r="AH369" s="6"/>
      <c r="AI369" s="44">
        <v>44452</v>
      </c>
      <c r="AJ369" s="53">
        <v>131.96</v>
      </c>
      <c r="AK369" s="54">
        <f t="shared" si="55"/>
        <v>8.2518337408314935E-3</v>
      </c>
      <c r="AL369" s="55">
        <f t="shared" si="58"/>
        <v>12.727729271196026</v>
      </c>
      <c r="AM369" s="56">
        <v>25</v>
      </c>
      <c r="AN369" s="57">
        <f t="shared" si="56"/>
        <v>12.272270728803974</v>
      </c>
      <c r="AO369" s="76">
        <f t="shared" si="59"/>
        <v>13.466365723767453</v>
      </c>
      <c r="AP369" s="63" t="str">
        <f t="shared" si="60"/>
        <v>Buy Stocks</v>
      </c>
      <c r="AQ369" s="63" t="str">
        <f t="shared" si="61"/>
        <v/>
      </c>
      <c r="AR369" s="63" t="str">
        <f t="shared" si="62"/>
        <v/>
      </c>
      <c r="AS369" s="63" t="str">
        <f t="shared" si="63"/>
        <v/>
      </c>
      <c r="AT369" s="78" t="str">
        <f t="shared" si="64"/>
        <v/>
      </c>
      <c r="AU369" s="78" t="str">
        <f t="shared" si="65"/>
        <v/>
      </c>
      <c r="AV369" s="64" t="str">
        <f ca="1">IFERROR(__xludf.DUMMYFUNCTION("IF(TRIM(AU369)="""","""",AU369/INDEX(FILTER(AT$3:AT369,TRIM(AT$3:AT369)&lt;&gt;""""),ROWS(FILTER(AT$3:AT369,TRIM(AT$3:AT369)&lt;&gt;"""")))-1)"),"")</f>
        <v/>
      </c>
      <c r="AW369" s="65" t="e">
        <f t="shared" ca="1" si="57"/>
        <v>#VALUE!</v>
      </c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</row>
    <row r="370" spans="1:68" ht="19" x14ac:dyDescent="0.25">
      <c r="A370" s="5"/>
      <c r="B370" s="5"/>
      <c r="C370" s="5"/>
      <c r="D370" s="5"/>
      <c r="E370" s="5"/>
      <c r="F370" s="5"/>
      <c r="G370" s="5"/>
      <c r="H370" s="6"/>
      <c r="I370" s="5"/>
      <c r="J370" s="83"/>
      <c r="K370" s="83"/>
      <c r="L370" s="83"/>
      <c r="M370" s="83"/>
      <c r="N370" s="83"/>
      <c r="O370" s="83"/>
      <c r="P370" s="83"/>
      <c r="Q370" s="84"/>
      <c r="R370" s="83"/>
      <c r="S370" s="83"/>
      <c r="T370" s="85"/>
      <c r="U370" s="6"/>
      <c r="V370" s="44">
        <v>44453</v>
      </c>
      <c r="W370" s="45">
        <v>130.11000000000001</v>
      </c>
      <c r="X370" s="46"/>
      <c r="Y370" s="61"/>
      <c r="Z370" s="5"/>
      <c r="AA370" s="5"/>
      <c r="AB370" s="5"/>
      <c r="AC370" s="5"/>
      <c r="AD370" s="5"/>
      <c r="AE370" s="5"/>
      <c r="AF370" s="5"/>
      <c r="AG370" s="5"/>
      <c r="AH370" s="6"/>
      <c r="AI370" s="44">
        <v>44453</v>
      </c>
      <c r="AJ370" s="53">
        <v>130.11000000000001</v>
      </c>
      <c r="AK370" s="54">
        <f t="shared" si="55"/>
        <v>-1.401939981812661E-2</v>
      </c>
      <c r="AL370" s="55">
        <f t="shared" si="58"/>
        <v>14.214032570071042</v>
      </c>
      <c r="AM370" s="56">
        <v>25</v>
      </c>
      <c r="AN370" s="57">
        <f t="shared" si="56"/>
        <v>10.785967429928958</v>
      </c>
      <c r="AO370" s="76">
        <f t="shared" si="59"/>
        <v>13.366712784946959</v>
      </c>
      <c r="AP370" s="63" t="str">
        <f t="shared" si="60"/>
        <v>Buy Stocks</v>
      </c>
      <c r="AQ370" s="63" t="str">
        <f t="shared" si="61"/>
        <v/>
      </c>
      <c r="AR370" s="63" t="str">
        <f t="shared" si="62"/>
        <v/>
      </c>
      <c r="AS370" s="63" t="str">
        <f t="shared" si="63"/>
        <v/>
      </c>
      <c r="AT370" s="78" t="str">
        <f t="shared" si="64"/>
        <v/>
      </c>
      <c r="AU370" s="78" t="str">
        <f t="shared" si="65"/>
        <v/>
      </c>
      <c r="AV370" s="64" t="str">
        <f ca="1">IFERROR(__xludf.DUMMYFUNCTION("IF(TRIM(AU370)="""","""",AU370/INDEX(FILTER(AT$3:AT370,TRIM(AT$3:AT370)&lt;&gt;""""),ROWS(FILTER(AT$3:AT370,TRIM(AT$3:AT370)&lt;&gt;"""")))-1)"),"")</f>
        <v/>
      </c>
      <c r="AW370" s="65" t="e">
        <f t="shared" ca="1" si="57"/>
        <v>#VALUE!</v>
      </c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</row>
    <row r="371" spans="1:68" ht="19" x14ac:dyDescent="0.25">
      <c r="A371" s="5"/>
      <c r="B371" s="5"/>
      <c r="C371" s="5"/>
      <c r="D371" s="5"/>
      <c r="E371" s="5"/>
      <c r="F371" s="5"/>
      <c r="G371" s="5"/>
      <c r="H371" s="6"/>
      <c r="I371" s="5"/>
      <c r="J371" s="83"/>
      <c r="K371" s="83"/>
      <c r="L371" s="83"/>
      <c r="M371" s="83"/>
      <c r="N371" s="83"/>
      <c r="O371" s="83"/>
      <c r="P371" s="83"/>
      <c r="Q371" s="84"/>
      <c r="R371" s="83"/>
      <c r="S371" s="83"/>
      <c r="T371" s="85"/>
      <c r="U371" s="6"/>
      <c r="V371" s="44">
        <v>44454</v>
      </c>
      <c r="W371" s="45">
        <v>131.05000000000001</v>
      </c>
      <c r="X371" s="46"/>
      <c r="Y371" s="61"/>
      <c r="Z371" s="5"/>
      <c r="AA371" s="5"/>
      <c r="AB371" s="5"/>
      <c r="AC371" s="5"/>
      <c r="AD371" s="5"/>
      <c r="AE371" s="5"/>
      <c r="AF371" s="5"/>
      <c r="AG371" s="5"/>
      <c r="AH371" s="6"/>
      <c r="AI371" s="44">
        <v>44454</v>
      </c>
      <c r="AJ371" s="53">
        <v>131.05000000000001</v>
      </c>
      <c r="AK371" s="54">
        <f t="shared" si="55"/>
        <v>7.2246560602566845E-3</v>
      </c>
      <c r="AL371" s="55">
        <f t="shared" si="58"/>
        <v>15.204305466736075</v>
      </c>
      <c r="AM371" s="56">
        <v>25</v>
      </c>
      <c r="AN371" s="57">
        <f t="shared" si="56"/>
        <v>9.7956945332639247</v>
      </c>
      <c r="AO371" s="76">
        <f t="shared" si="59"/>
        <v>12.573747526790083</v>
      </c>
      <c r="AP371" s="63" t="str">
        <f t="shared" si="60"/>
        <v>Buy Stocks</v>
      </c>
      <c r="AQ371" s="63" t="str">
        <f t="shared" si="61"/>
        <v/>
      </c>
      <c r="AR371" s="63" t="str">
        <f t="shared" si="62"/>
        <v/>
      </c>
      <c r="AS371" s="63" t="str">
        <f t="shared" si="63"/>
        <v/>
      </c>
      <c r="AT371" s="78" t="str">
        <f t="shared" si="64"/>
        <v/>
      </c>
      <c r="AU371" s="78" t="str">
        <f t="shared" si="65"/>
        <v/>
      </c>
      <c r="AV371" s="64" t="str">
        <f ca="1">IFERROR(__xludf.DUMMYFUNCTION("IF(TRIM(AU371)="""","""",AU371/INDEX(FILTER(AT$3:AT371,TRIM(AT$3:AT371)&lt;&gt;""""),ROWS(FILTER(AT$3:AT371,TRIM(AT$3:AT371)&lt;&gt;"""")))-1)"),"")</f>
        <v/>
      </c>
      <c r="AW371" s="65" t="e">
        <f t="shared" ca="1" si="57"/>
        <v>#VALUE!</v>
      </c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</row>
    <row r="372" spans="1:68" ht="19" x14ac:dyDescent="0.25">
      <c r="A372" s="5"/>
      <c r="B372" s="5"/>
      <c r="C372" s="5"/>
      <c r="D372" s="5"/>
      <c r="E372" s="5"/>
      <c r="F372" s="5"/>
      <c r="G372" s="5"/>
      <c r="H372" s="6"/>
      <c r="I372" s="5"/>
      <c r="J372" s="83"/>
      <c r="K372" s="83"/>
      <c r="L372" s="83"/>
      <c r="M372" s="83"/>
      <c r="N372" s="83"/>
      <c r="O372" s="83"/>
      <c r="P372" s="83"/>
      <c r="Q372" s="84"/>
      <c r="R372" s="83"/>
      <c r="S372" s="83"/>
      <c r="T372" s="85"/>
      <c r="U372" s="6"/>
      <c r="V372" s="44">
        <v>44455</v>
      </c>
      <c r="W372" s="45">
        <v>130.31</v>
      </c>
      <c r="X372" s="46"/>
      <c r="Y372" s="61"/>
      <c r="Z372" s="5"/>
      <c r="AA372" s="5"/>
      <c r="AB372" s="5"/>
      <c r="AC372" s="5"/>
      <c r="AD372" s="5"/>
      <c r="AE372" s="5"/>
      <c r="AF372" s="5"/>
      <c r="AG372" s="5"/>
      <c r="AH372" s="6"/>
      <c r="AI372" s="44">
        <v>44455</v>
      </c>
      <c r="AJ372" s="53">
        <v>130.31</v>
      </c>
      <c r="AK372" s="54">
        <f t="shared" si="55"/>
        <v>-5.646699732926419E-3</v>
      </c>
      <c r="AL372" s="55">
        <f t="shared" si="58"/>
        <v>15.016255834295549</v>
      </c>
      <c r="AM372" s="56">
        <v>25</v>
      </c>
      <c r="AN372" s="57">
        <f t="shared" si="56"/>
        <v>9.9837441657044508</v>
      </c>
      <c r="AO372" s="76">
        <f t="shared" si="59"/>
        <v>11.778317386487126</v>
      </c>
      <c r="AP372" s="63" t="str">
        <f t="shared" si="60"/>
        <v>Buy Stocks</v>
      </c>
      <c r="AQ372" s="63" t="str">
        <f t="shared" si="61"/>
        <v/>
      </c>
      <c r="AR372" s="63" t="str">
        <f t="shared" si="62"/>
        <v/>
      </c>
      <c r="AS372" s="63" t="str">
        <f t="shared" si="63"/>
        <v/>
      </c>
      <c r="AT372" s="78" t="str">
        <f t="shared" si="64"/>
        <v/>
      </c>
      <c r="AU372" s="78" t="str">
        <f t="shared" si="65"/>
        <v/>
      </c>
      <c r="AV372" s="64" t="str">
        <f ca="1">IFERROR(__xludf.DUMMYFUNCTION("IF(TRIM(AU372)="""","""",AU372/INDEX(FILTER(AT$3:AT372,TRIM(AT$3:AT372)&lt;&gt;""""),ROWS(FILTER(AT$3:AT372,TRIM(AT$3:AT372)&lt;&gt;"""")))-1)"),"")</f>
        <v/>
      </c>
      <c r="AW372" s="65" t="e">
        <f t="shared" ca="1" si="57"/>
        <v>#VALUE!</v>
      </c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</row>
    <row r="373" spans="1:68" ht="19" x14ac:dyDescent="0.25">
      <c r="A373" s="5"/>
      <c r="B373" s="5"/>
      <c r="C373" s="5"/>
      <c r="D373" s="5"/>
      <c r="E373" s="5"/>
      <c r="F373" s="5"/>
      <c r="G373" s="5"/>
      <c r="H373" s="6"/>
      <c r="I373" s="5"/>
      <c r="J373" s="83"/>
      <c r="K373" s="83"/>
      <c r="L373" s="83"/>
      <c r="M373" s="83"/>
      <c r="N373" s="83"/>
      <c r="O373" s="83"/>
      <c r="P373" s="83"/>
      <c r="Q373" s="84"/>
      <c r="R373" s="83"/>
      <c r="S373" s="83"/>
      <c r="T373" s="85"/>
      <c r="U373" s="6"/>
      <c r="V373" s="44">
        <v>44456</v>
      </c>
      <c r="W373" s="45">
        <v>129.16999999999999</v>
      </c>
      <c r="X373" s="46"/>
      <c r="Y373" s="61"/>
      <c r="Z373" s="5"/>
      <c r="AA373" s="5"/>
      <c r="AB373" s="5"/>
      <c r="AC373" s="5"/>
      <c r="AD373" s="5"/>
      <c r="AE373" s="5"/>
      <c r="AF373" s="5"/>
      <c r="AG373" s="5"/>
      <c r="AH373" s="6"/>
      <c r="AI373" s="44">
        <v>44456</v>
      </c>
      <c r="AJ373" s="53">
        <v>129.16999999999999</v>
      </c>
      <c r="AK373" s="54">
        <f t="shared" si="55"/>
        <v>-8.7483692732714946E-3</v>
      </c>
      <c r="AL373" s="55">
        <f t="shared" si="58"/>
        <v>15.710408420512753</v>
      </c>
      <c r="AM373" s="56">
        <v>25</v>
      </c>
      <c r="AN373" s="57">
        <f t="shared" si="56"/>
        <v>9.2895915794872472</v>
      </c>
      <c r="AO373" s="76">
        <f t="shared" si="59"/>
        <v>10.425453687437713</v>
      </c>
      <c r="AP373" s="63" t="str">
        <f t="shared" si="60"/>
        <v>Buy Stocks</v>
      </c>
      <c r="AQ373" s="63" t="str">
        <f t="shared" si="61"/>
        <v/>
      </c>
      <c r="AR373" s="63" t="str">
        <f t="shared" si="62"/>
        <v/>
      </c>
      <c r="AS373" s="63" t="str">
        <f t="shared" si="63"/>
        <v/>
      </c>
      <c r="AT373" s="78" t="str">
        <f t="shared" si="64"/>
        <v/>
      </c>
      <c r="AU373" s="78" t="str">
        <f t="shared" si="65"/>
        <v/>
      </c>
      <c r="AV373" s="64" t="str">
        <f ca="1">IFERROR(__xludf.DUMMYFUNCTION("IF(TRIM(AU373)="""","""",AU373/INDEX(FILTER(AT$3:AT373,TRIM(AT$3:AT373)&lt;&gt;""""),ROWS(FILTER(AT$3:AT373,TRIM(AT$3:AT373)&lt;&gt;"""")))-1)"),"")</f>
        <v/>
      </c>
      <c r="AW373" s="65" t="e">
        <f t="shared" ca="1" si="57"/>
        <v>#VALUE!</v>
      </c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</row>
    <row r="374" spans="1:68" ht="19" x14ac:dyDescent="0.25">
      <c r="A374" s="5"/>
      <c r="B374" s="5"/>
      <c r="C374" s="5"/>
      <c r="D374" s="5"/>
      <c r="E374" s="5"/>
      <c r="F374" s="5"/>
      <c r="G374" s="5"/>
      <c r="H374" s="6"/>
      <c r="I374" s="5"/>
      <c r="J374" s="83"/>
      <c r="K374" s="83"/>
      <c r="L374" s="83"/>
      <c r="M374" s="83"/>
      <c r="N374" s="83"/>
      <c r="O374" s="83"/>
      <c r="P374" s="83"/>
      <c r="Q374" s="84"/>
      <c r="R374" s="83"/>
      <c r="S374" s="83"/>
      <c r="T374" s="85"/>
      <c r="U374" s="6"/>
      <c r="V374" s="44">
        <v>44459</v>
      </c>
      <c r="W374" s="45">
        <v>128.29</v>
      </c>
      <c r="X374" s="46"/>
      <c r="Y374" s="61"/>
      <c r="Z374" s="5"/>
      <c r="AA374" s="5"/>
      <c r="AB374" s="5"/>
      <c r="AC374" s="5"/>
      <c r="AD374" s="5"/>
      <c r="AE374" s="5"/>
      <c r="AF374" s="5"/>
      <c r="AG374" s="5"/>
      <c r="AH374" s="6"/>
      <c r="AI374" s="44">
        <v>44459</v>
      </c>
      <c r="AJ374" s="53">
        <v>128.29</v>
      </c>
      <c r="AK374" s="54">
        <f t="shared" si="55"/>
        <v>-6.8127274134860416E-3</v>
      </c>
      <c r="AL374" s="55">
        <f t="shared" si="58"/>
        <v>12.467887714509176</v>
      </c>
      <c r="AM374" s="56">
        <v>25</v>
      </c>
      <c r="AN374" s="57">
        <f t="shared" si="56"/>
        <v>12.532112285490824</v>
      </c>
      <c r="AO374" s="76">
        <f t="shared" si="59"/>
        <v>10.477421998775082</v>
      </c>
      <c r="AP374" s="63" t="str">
        <f t="shared" si="60"/>
        <v>Buy Stocks</v>
      </c>
      <c r="AQ374" s="63" t="str">
        <f t="shared" si="61"/>
        <v/>
      </c>
      <c r="AR374" s="63" t="str">
        <f t="shared" si="62"/>
        <v/>
      </c>
      <c r="AS374" s="63" t="str">
        <f t="shared" si="63"/>
        <v/>
      </c>
      <c r="AT374" s="78" t="str">
        <f t="shared" si="64"/>
        <v/>
      </c>
      <c r="AU374" s="78" t="str">
        <f t="shared" si="65"/>
        <v/>
      </c>
      <c r="AV374" s="64" t="str">
        <f ca="1">IFERROR(__xludf.DUMMYFUNCTION("IF(TRIM(AU374)="""","""",AU374/INDEX(FILTER(AT$3:AT374,TRIM(AT$3:AT374)&lt;&gt;""""),ROWS(FILTER(AT$3:AT374,TRIM(AT$3:AT374)&lt;&gt;"""")))-1)"),"")</f>
        <v/>
      </c>
      <c r="AW374" s="65" t="e">
        <f t="shared" ca="1" si="57"/>
        <v>#VALUE!</v>
      </c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</row>
    <row r="375" spans="1:68" ht="19" x14ac:dyDescent="0.25">
      <c r="A375" s="5"/>
      <c r="B375" s="5"/>
      <c r="C375" s="5"/>
      <c r="D375" s="5"/>
      <c r="E375" s="5"/>
      <c r="F375" s="5"/>
      <c r="G375" s="5"/>
      <c r="H375" s="6"/>
      <c r="I375" s="5"/>
      <c r="J375" s="83"/>
      <c r="K375" s="83"/>
      <c r="L375" s="83"/>
      <c r="M375" s="83"/>
      <c r="N375" s="83"/>
      <c r="O375" s="83"/>
      <c r="P375" s="83"/>
      <c r="Q375" s="84"/>
      <c r="R375" s="83"/>
      <c r="S375" s="83"/>
      <c r="T375" s="85"/>
      <c r="U375" s="6"/>
      <c r="V375" s="44">
        <v>44460</v>
      </c>
      <c r="W375" s="45">
        <v>127.01</v>
      </c>
      <c r="X375" s="46"/>
      <c r="Y375" s="61"/>
      <c r="Z375" s="5"/>
      <c r="AA375" s="5"/>
      <c r="AB375" s="5"/>
      <c r="AC375" s="5"/>
      <c r="AD375" s="5"/>
      <c r="AE375" s="5"/>
      <c r="AF375" s="5"/>
      <c r="AG375" s="5"/>
      <c r="AH375" s="6"/>
      <c r="AI375" s="44">
        <v>44460</v>
      </c>
      <c r="AJ375" s="53">
        <v>127.01</v>
      </c>
      <c r="AK375" s="54">
        <f t="shared" si="55"/>
        <v>-9.9773949645334259E-3</v>
      </c>
      <c r="AL375" s="55">
        <f t="shared" si="58"/>
        <v>10.991163863272481</v>
      </c>
      <c r="AM375" s="56">
        <v>25</v>
      </c>
      <c r="AN375" s="57">
        <f t="shared" si="56"/>
        <v>14.008836136727519</v>
      </c>
      <c r="AO375" s="76">
        <f t="shared" si="59"/>
        <v>11.121995740134793</v>
      </c>
      <c r="AP375" s="63" t="str">
        <f t="shared" si="60"/>
        <v>Buy Stocks</v>
      </c>
      <c r="AQ375" s="63" t="str">
        <f t="shared" si="61"/>
        <v/>
      </c>
      <c r="AR375" s="63" t="str">
        <f t="shared" si="62"/>
        <v/>
      </c>
      <c r="AS375" s="63" t="str">
        <f t="shared" si="63"/>
        <v/>
      </c>
      <c r="AT375" s="78" t="str">
        <f t="shared" si="64"/>
        <v/>
      </c>
      <c r="AU375" s="78" t="str">
        <f t="shared" si="65"/>
        <v/>
      </c>
      <c r="AV375" s="64" t="str">
        <f ca="1">IFERROR(__xludf.DUMMYFUNCTION("IF(TRIM(AU375)="""","""",AU375/INDEX(FILTER(AT$3:AT375,TRIM(AT$3:AT375)&lt;&gt;""""),ROWS(FILTER(AT$3:AT375,TRIM(AT$3:AT375)&lt;&gt;"""")))-1)"),"")</f>
        <v/>
      </c>
      <c r="AW375" s="65" t="e">
        <f t="shared" ca="1" si="57"/>
        <v>#VALUE!</v>
      </c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</row>
    <row r="376" spans="1:68" ht="19" x14ac:dyDescent="0.25">
      <c r="A376" s="5"/>
      <c r="B376" s="5"/>
      <c r="C376" s="5"/>
      <c r="D376" s="5"/>
      <c r="E376" s="5"/>
      <c r="F376" s="5"/>
      <c r="G376" s="5"/>
      <c r="H376" s="6"/>
      <c r="I376" s="5"/>
      <c r="J376" s="83"/>
      <c r="K376" s="83"/>
      <c r="L376" s="83"/>
      <c r="M376" s="83"/>
      <c r="N376" s="83"/>
      <c r="O376" s="83"/>
      <c r="P376" s="83"/>
      <c r="Q376" s="84"/>
      <c r="R376" s="83"/>
      <c r="S376" s="83"/>
      <c r="T376" s="85"/>
      <c r="U376" s="6"/>
      <c r="V376" s="44">
        <v>44461</v>
      </c>
      <c r="W376" s="45">
        <v>128.59</v>
      </c>
      <c r="X376" s="46"/>
      <c r="Y376" s="61"/>
      <c r="Z376" s="5"/>
      <c r="AA376" s="5"/>
      <c r="AB376" s="5"/>
      <c r="AC376" s="5"/>
      <c r="AD376" s="5"/>
      <c r="AE376" s="5"/>
      <c r="AF376" s="5"/>
      <c r="AG376" s="5"/>
      <c r="AH376" s="6"/>
      <c r="AI376" s="44">
        <v>44461</v>
      </c>
      <c r="AJ376" s="53">
        <v>128.59</v>
      </c>
      <c r="AK376" s="54">
        <f t="shared" si="55"/>
        <v>1.243996535705838E-2</v>
      </c>
      <c r="AL376" s="55">
        <f t="shared" si="58"/>
        <v>14.610949261531713</v>
      </c>
      <c r="AM376" s="56">
        <v>25</v>
      </c>
      <c r="AN376" s="57">
        <f t="shared" si="56"/>
        <v>10.389050738468287</v>
      </c>
      <c r="AO376" s="76">
        <f t="shared" si="59"/>
        <v>11.240666981175664</v>
      </c>
      <c r="AP376" s="63" t="str">
        <f t="shared" si="60"/>
        <v>Buy Stocks</v>
      </c>
      <c r="AQ376" s="63" t="str">
        <f t="shared" si="61"/>
        <v/>
      </c>
      <c r="AR376" s="63" t="str">
        <f t="shared" si="62"/>
        <v/>
      </c>
      <c r="AS376" s="63" t="str">
        <f t="shared" si="63"/>
        <v/>
      </c>
      <c r="AT376" s="78" t="str">
        <f t="shared" si="64"/>
        <v/>
      </c>
      <c r="AU376" s="78" t="str">
        <f t="shared" si="65"/>
        <v/>
      </c>
      <c r="AV376" s="64" t="str">
        <f ca="1">IFERROR(__xludf.DUMMYFUNCTION("IF(TRIM(AU376)="""","""",AU376/INDEX(FILTER(AT$3:AT376,TRIM(AT$3:AT376)&lt;&gt;""""),ROWS(FILTER(AT$3:AT376,TRIM(AT$3:AT376)&lt;&gt;"""")))-1)"),"")</f>
        <v/>
      </c>
      <c r="AW376" s="65" t="e">
        <f t="shared" ca="1" si="57"/>
        <v>#VALUE!</v>
      </c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</row>
    <row r="377" spans="1:68" ht="19" x14ac:dyDescent="0.25">
      <c r="A377" s="5"/>
      <c r="B377" s="5"/>
      <c r="C377" s="5"/>
      <c r="D377" s="5"/>
      <c r="E377" s="5"/>
      <c r="F377" s="5"/>
      <c r="G377" s="5"/>
      <c r="H377" s="6"/>
      <c r="I377" s="5"/>
      <c r="J377" s="83"/>
      <c r="K377" s="83"/>
      <c r="L377" s="83"/>
      <c r="M377" s="83"/>
      <c r="N377" s="83"/>
      <c r="O377" s="83"/>
      <c r="P377" s="83"/>
      <c r="Q377" s="84"/>
      <c r="R377" s="83"/>
      <c r="S377" s="83"/>
      <c r="T377" s="85"/>
      <c r="U377" s="6"/>
      <c r="V377" s="44">
        <v>44462</v>
      </c>
      <c r="W377" s="45">
        <v>130.6</v>
      </c>
      <c r="X377" s="46"/>
      <c r="Y377" s="61"/>
      <c r="Z377" s="5"/>
      <c r="AA377" s="5"/>
      <c r="AB377" s="5"/>
      <c r="AC377" s="5"/>
      <c r="AD377" s="5"/>
      <c r="AE377" s="5"/>
      <c r="AF377" s="5"/>
      <c r="AG377" s="5"/>
      <c r="AH377" s="6"/>
      <c r="AI377" s="44">
        <v>44462</v>
      </c>
      <c r="AJ377" s="53">
        <v>130.6</v>
      </c>
      <c r="AK377" s="54">
        <f t="shared" si="55"/>
        <v>1.5631075511314929E-2</v>
      </c>
      <c r="AL377" s="55">
        <f t="shared" si="58"/>
        <v>19.768322160677297</v>
      </c>
      <c r="AM377" s="56">
        <v>25</v>
      </c>
      <c r="AN377" s="57">
        <f t="shared" si="56"/>
        <v>5.2316778393227032</v>
      </c>
      <c r="AO377" s="76">
        <f t="shared" si="59"/>
        <v>10.290253715899315</v>
      </c>
      <c r="AP377" s="63" t="str">
        <f t="shared" si="60"/>
        <v>Buy Stocks</v>
      </c>
      <c r="AQ377" s="63" t="str">
        <f t="shared" si="61"/>
        <v/>
      </c>
      <c r="AR377" s="63" t="str">
        <f t="shared" si="62"/>
        <v/>
      </c>
      <c r="AS377" s="63" t="str">
        <f t="shared" si="63"/>
        <v/>
      </c>
      <c r="AT377" s="78" t="str">
        <f t="shared" si="64"/>
        <v/>
      </c>
      <c r="AU377" s="78" t="str">
        <f t="shared" si="65"/>
        <v/>
      </c>
      <c r="AV377" s="64" t="str">
        <f ca="1">IFERROR(__xludf.DUMMYFUNCTION("IF(TRIM(AU377)="""","""",AU377/INDEX(FILTER(AT$3:AT377,TRIM(AT$3:AT377)&lt;&gt;""""),ROWS(FILTER(AT$3:AT377,TRIM(AT$3:AT377)&lt;&gt;"""")))-1)"),"")</f>
        <v/>
      </c>
      <c r="AW377" s="65" t="e">
        <f t="shared" ca="1" si="57"/>
        <v>#VALUE!</v>
      </c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</row>
    <row r="378" spans="1:68" ht="19" x14ac:dyDescent="0.25">
      <c r="A378" s="5"/>
      <c r="B378" s="5"/>
      <c r="C378" s="5"/>
      <c r="D378" s="5"/>
      <c r="E378" s="5"/>
      <c r="F378" s="5"/>
      <c r="G378" s="5"/>
      <c r="H378" s="6"/>
      <c r="I378" s="5"/>
      <c r="J378" s="83"/>
      <c r="K378" s="83"/>
      <c r="L378" s="83"/>
      <c r="M378" s="83"/>
      <c r="N378" s="83"/>
      <c r="O378" s="83"/>
      <c r="P378" s="83"/>
      <c r="Q378" s="84"/>
      <c r="R378" s="83"/>
      <c r="S378" s="83"/>
      <c r="T378" s="85"/>
      <c r="U378" s="6"/>
      <c r="V378" s="44">
        <v>44463</v>
      </c>
      <c r="W378" s="45">
        <v>131.33000000000001</v>
      </c>
      <c r="X378" s="46"/>
      <c r="Y378" s="61"/>
      <c r="Z378" s="5"/>
      <c r="AA378" s="5"/>
      <c r="AB378" s="5"/>
      <c r="AC378" s="5"/>
      <c r="AD378" s="5"/>
      <c r="AE378" s="5"/>
      <c r="AF378" s="5"/>
      <c r="AG378" s="5"/>
      <c r="AH378" s="6"/>
      <c r="AI378" s="44">
        <v>44463</v>
      </c>
      <c r="AJ378" s="53">
        <v>131.33000000000001</v>
      </c>
      <c r="AK378" s="54">
        <f t="shared" si="55"/>
        <v>5.5895865237367559E-3</v>
      </c>
      <c r="AL378" s="55">
        <f t="shared" si="58"/>
        <v>18.088679805159316</v>
      </c>
      <c r="AM378" s="56">
        <v>25</v>
      </c>
      <c r="AN378" s="57">
        <f t="shared" si="56"/>
        <v>6.9113201948406839</v>
      </c>
      <c r="AO378" s="76">
        <f t="shared" si="59"/>
        <v>9.8145994389700029</v>
      </c>
      <c r="AP378" s="63" t="str">
        <f t="shared" si="60"/>
        <v>Buy Stocks</v>
      </c>
      <c r="AQ378" s="63" t="str">
        <f t="shared" si="61"/>
        <v/>
      </c>
      <c r="AR378" s="63" t="str">
        <f t="shared" si="62"/>
        <v/>
      </c>
      <c r="AS378" s="63" t="str">
        <f t="shared" si="63"/>
        <v/>
      </c>
      <c r="AT378" s="78" t="str">
        <f t="shared" si="64"/>
        <v/>
      </c>
      <c r="AU378" s="78" t="str">
        <f t="shared" si="65"/>
        <v/>
      </c>
      <c r="AV378" s="64" t="str">
        <f ca="1">IFERROR(__xludf.DUMMYFUNCTION("IF(TRIM(AU378)="""","""",AU378/INDEX(FILTER(AT$3:AT378,TRIM(AT$3:AT378)&lt;&gt;""""),ROWS(FILTER(AT$3:AT378,TRIM(AT$3:AT378)&lt;&gt;"""")))-1)"),"")</f>
        <v/>
      </c>
      <c r="AW378" s="65" t="e">
        <f t="shared" ca="1" si="57"/>
        <v>#VALUE!</v>
      </c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</row>
    <row r="379" spans="1:68" ht="19" x14ac:dyDescent="0.25">
      <c r="A379" s="5"/>
      <c r="B379" s="5"/>
      <c r="C379" s="5"/>
      <c r="D379" s="5"/>
      <c r="E379" s="5"/>
      <c r="F379" s="5"/>
      <c r="G379" s="5"/>
      <c r="H379" s="6"/>
      <c r="I379" s="5"/>
      <c r="J379" s="83"/>
      <c r="K379" s="83"/>
      <c r="L379" s="83"/>
      <c r="M379" s="83"/>
      <c r="N379" s="83"/>
      <c r="O379" s="83"/>
      <c r="P379" s="83"/>
      <c r="Q379" s="84"/>
      <c r="R379" s="83"/>
      <c r="S379" s="83"/>
      <c r="T379" s="85"/>
      <c r="U379" s="6"/>
      <c r="V379" s="44">
        <v>44466</v>
      </c>
      <c r="W379" s="45">
        <v>132.35</v>
      </c>
      <c r="X379" s="46"/>
      <c r="Y379" s="61"/>
      <c r="Z379" s="5"/>
      <c r="AA379" s="5"/>
      <c r="AB379" s="5"/>
      <c r="AC379" s="5"/>
      <c r="AD379" s="5"/>
      <c r="AE379" s="5"/>
      <c r="AF379" s="5"/>
      <c r="AG379" s="5"/>
      <c r="AH379" s="6"/>
      <c r="AI379" s="44">
        <v>44466</v>
      </c>
      <c r="AJ379" s="53">
        <v>132.35</v>
      </c>
      <c r="AK379" s="54">
        <f t="shared" si="55"/>
        <v>7.7666945861569747E-3</v>
      </c>
      <c r="AL379" s="55">
        <f t="shared" si="58"/>
        <v>15.722518233302548</v>
      </c>
      <c r="AM379" s="56">
        <v>25</v>
      </c>
      <c r="AN379" s="57">
        <f t="shared" si="56"/>
        <v>9.2774817666974521</v>
      </c>
      <c r="AO379" s="76">
        <f t="shared" si="59"/>
        <v>9.1636733352113282</v>
      </c>
      <c r="AP379" s="63" t="str">
        <f t="shared" si="60"/>
        <v>Buy Stocks</v>
      </c>
      <c r="AQ379" s="63" t="str">
        <f t="shared" si="61"/>
        <v/>
      </c>
      <c r="AR379" s="63" t="str">
        <f t="shared" si="62"/>
        <v/>
      </c>
      <c r="AS379" s="63" t="str">
        <f t="shared" si="63"/>
        <v/>
      </c>
      <c r="AT379" s="78" t="str">
        <f t="shared" si="64"/>
        <v/>
      </c>
      <c r="AU379" s="78" t="str">
        <f t="shared" si="65"/>
        <v/>
      </c>
      <c r="AV379" s="64" t="str">
        <f ca="1">IFERROR(__xludf.DUMMYFUNCTION("IF(TRIM(AU379)="""","""",AU379/INDEX(FILTER(AT$3:AT379,TRIM(AT$3:AT379)&lt;&gt;""""),ROWS(FILTER(AT$3:AT379,TRIM(AT$3:AT379)&lt;&gt;"""")))-1)"),"")</f>
        <v/>
      </c>
      <c r="AW379" s="65" t="e">
        <f t="shared" ca="1" si="57"/>
        <v>#VALUE!</v>
      </c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</row>
    <row r="380" spans="1:68" ht="19" x14ac:dyDescent="0.25">
      <c r="A380" s="5"/>
      <c r="B380" s="5"/>
      <c r="C380" s="5"/>
      <c r="D380" s="5"/>
      <c r="E380" s="5"/>
      <c r="F380" s="5"/>
      <c r="G380" s="5"/>
      <c r="H380" s="6"/>
      <c r="I380" s="5"/>
      <c r="J380" s="83"/>
      <c r="K380" s="83"/>
      <c r="L380" s="83"/>
      <c r="M380" s="83"/>
      <c r="N380" s="83"/>
      <c r="O380" s="83"/>
      <c r="P380" s="83"/>
      <c r="Q380" s="84"/>
      <c r="R380" s="83"/>
      <c r="S380" s="83"/>
      <c r="T380" s="85"/>
      <c r="U380" s="6"/>
      <c r="V380" s="44">
        <v>44467</v>
      </c>
      <c r="W380" s="45">
        <v>131.31</v>
      </c>
      <c r="X380" s="46"/>
      <c r="Y380" s="61"/>
      <c r="Z380" s="5"/>
      <c r="AA380" s="5"/>
      <c r="AB380" s="5"/>
      <c r="AC380" s="5"/>
      <c r="AD380" s="5"/>
      <c r="AE380" s="5"/>
      <c r="AF380" s="5"/>
      <c r="AG380" s="5"/>
      <c r="AH380" s="6"/>
      <c r="AI380" s="44">
        <v>44467</v>
      </c>
      <c r="AJ380" s="53">
        <v>131.31</v>
      </c>
      <c r="AK380" s="54">
        <f t="shared" si="55"/>
        <v>-7.8579523989421585E-3</v>
      </c>
      <c r="AL380" s="55">
        <f t="shared" si="58"/>
        <v>14.353381670461809</v>
      </c>
      <c r="AM380" s="56">
        <v>25</v>
      </c>
      <c r="AN380" s="57">
        <f t="shared" si="56"/>
        <v>10.646618329538191</v>
      </c>
      <c r="AO380" s="76">
        <f t="shared" si="59"/>
        <v>8.4912297737734637</v>
      </c>
      <c r="AP380" s="63" t="str">
        <f t="shared" si="60"/>
        <v>Buy Stocks</v>
      </c>
      <c r="AQ380" s="63" t="str">
        <f t="shared" si="61"/>
        <v/>
      </c>
      <c r="AR380" s="63" t="str">
        <f t="shared" si="62"/>
        <v/>
      </c>
      <c r="AS380" s="63" t="str">
        <f t="shared" si="63"/>
        <v/>
      </c>
      <c r="AT380" s="78" t="str">
        <f t="shared" si="64"/>
        <v/>
      </c>
      <c r="AU380" s="78" t="str">
        <f t="shared" si="65"/>
        <v/>
      </c>
      <c r="AV380" s="64" t="str">
        <f ca="1">IFERROR(__xludf.DUMMYFUNCTION("IF(TRIM(AU380)="""","""",AU380/INDEX(FILTER(AT$3:AT380,TRIM(AT$3:AT380)&lt;&gt;""""),ROWS(FILTER(AT$3:AT380,TRIM(AT$3:AT380)&lt;&gt;"""")))-1)"),"")</f>
        <v/>
      </c>
      <c r="AW380" s="65" t="e">
        <f t="shared" ca="1" si="57"/>
        <v>#VALUE!</v>
      </c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</row>
    <row r="381" spans="1:68" ht="19" x14ac:dyDescent="0.25">
      <c r="A381" s="5"/>
      <c r="B381" s="5"/>
      <c r="C381" s="5"/>
      <c r="D381" s="5"/>
      <c r="E381" s="5"/>
      <c r="F381" s="5"/>
      <c r="G381" s="5"/>
      <c r="H381" s="6"/>
      <c r="I381" s="5"/>
      <c r="J381" s="83"/>
      <c r="K381" s="83"/>
      <c r="L381" s="83"/>
      <c r="M381" s="83"/>
      <c r="N381" s="83"/>
      <c r="O381" s="83"/>
      <c r="P381" s="83"/>
      <c r="Q381" s="84"/>
      <c r="R381" s="83"/>
      <c r="S381" s="83"/>
      <c r="T381" s="85"/>
      <c r="U381" s="6"/>
      <c r="V381" s="44">
        <v>44468</v>
      </c>
      <c r="W381" s="45">
        <v>132.94</v>
      </c>
      <c r="X381" s="46"/>
      <c r="Y381" s="61"/>
      <c r="Z381" s="5"/>
      <c r="AA381" s="5"/>
      <c r="AB381" s="5"/>
      <c r="AC381" s="5"/>
      <c r="AD381" s="5"/>
      <c r="AE381" s="5"/>
      <c r="AF381" s="5"/>
      <c r="AG381" s="5"/>
      <c r="AH381" s="6"/>
      <c r="AI381" s="44">
        <v>44468</v>
      </c>
      <c r="AJ381" s="53">
        <v>132.94</v>
      </c>
      <c r="AK381" s="54">
        <f t="shared" si="55"/>
        <v>1.2413372934277689E-2</v>
      </c>
      <c r="AL381" s="55">
        <f t="shared" si="58"/>
        <v>14.346709057236797</v>
      </c>
      <c r="AM381" s="56">
        <v>25</v>
      </c>
      <c r="AN381" s="57">
        <f t="shared" si="56"/>
        <v>10.653290942763203</v>
      </c>
      <c r="AO381" s="76">
        <f t="shared" si="59"/>
        <v>8.5440778146324483</v>
      </c>
      <c r="AP381" s="63" t="str">
        <f t="shared" si="60"/>
        <v>Buy Stocks</v>
      </c>
      <c r="AQ381" s="63" t="str">
        <f t="shared" si="61"/>
        <v/>
      </c>
      <c r="AR381" s="63" t="str">
        <f t="shared" si="62"/>
        <v/>
      </c>
      <c r="AS381" s="63" t="str">
        <f t="shared" si="63"/>
        <v/>
      </c>
      <c r="AT381" s="78" t="str">
        <f t="shared" si="64"/>
        <v/>
      </c>
      <c r="AU381" s="78" t="str">
        <f t="shared" si="65"/>
        <v/>
      </c>
      <c r="AV381" s="64" t="str">
        <f ca="1">IFERROR(__xludf.DUMMYFUNCTION("IF(TRIM(AU381)="""","""",AU381/INDEX(FILTER(AT$3:AT381,TRIM(AT$3:AT381)&lt;&gt;""""),ROWS(FILTER(AT$3:AT381,TRIM(AT$3:AT381)&lt;&gt;"""")))-1)"),"")</f>
        <v/>
      </c>
      <c r="AW381" s="65" t="e">
        <f t="shared" ca="1" si="57"/>
        <v>#VALUE!</v>
      </c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</row>
    <row r="382" spans="1:68" ht="19" x14ac:dyDescent="0.25">
      <c r="A382" s="5"/>
      <c r="B382" s="5"/>
      <c r="C382" s="5"/>
      <c r="D382" s="5"/>
      <c r="E382" s="5"/>
      <c r="F382" s="5"/>
      <c r="G382" s="5"/>
      <c r="H382" s="6"/>
      <c r="I382" s="5"/>
      <c r="J382" s="83"/>
      <c r="K382" s="83"/>
      <c r="L382" s="83"/>
      <c r="M382" s="83"/>
      <c r="N382" s="83"/>
      <c r="O382" s="83"/>
      <c r="P382" s="83"/>
      <c r="Q382" s="84"/>
      <c r="R382" s="83"/>
      <c r="S382" s="83"/>
      <c r="T382" s="85"/>
      <c r="U382" s="6"/>
      <c r="V382" s="44">
        <v>44469</v>
      </c>
      <c r="W382" s="45">
        <v>132.69999999999999</v>
      </c>
      <c r="X382" s="46"/>
      <c r="Y382" s="61"/>
      <c r="Z382" s="5"/>
      <c r="AA382" s="5"/>
      <c r="AB382" s="5"/>
      <c r="AC382" s="5"/>
      <c r="AD382" s="5"/>
      <c r="AE382" s="5"/>
      <c r="AF382" s="5"/>
      <c r="AG382" s="5"/>
      <c r="AH382" s="6"/>
      <c r="AI382" s="44">
        <v>44469</v>
      </c>
      <c r="AJ382" s="53">
        <v>132.69999999999999</v>
      </c>
      <c r="AK382" s="54">
        <f t="shared" si="55"/>
        <v>-1.8053257108470167E-3</v>
      </c>
      <c r="AL382" s="55">
        <f t="shared" si="58"/>
        <v>12.768384803036767</v>
      </c>
      <c r="AM382" s="56">
        <v>25</v>
      </c>
      <c r="AN382" s="57">
        <f t="shared" si="56"/>
        <v>12.231615196963233</v>
      </c>
      <c r="AO382" s="76">
        <f t="shared" si="59"/>
        <v>9.9440652861605514</v>
      </c>
      <c r="AP382" s="63" t="str">
        <f t="shared" si="60"/>
        <v>Buy Stocks</v>
      </c>
      <c r="AQ382" s="63" t="str">
        <f t="shared" si="61"/>
        <v/>
      </c>
      <c r="AR382" s="63" t="str">
        <f t="shared" si="62"/>
        <v/>
      </c>
      <c r="AS382" s="63" t="str">
        <f t="shared" si="63"/>
        <v/>
      </c>
      <c r="AT382" s="78" t="str">
        <f t="shared" si="64"/>
        <v/>
      </c>
      <c r="AU382" s="78" t="str">
        <f t="shared" si="65"/>
        <v/>
      </c>
      <c r="AV382" s="64" t="str">
        <f ca="1">IFERROR(__xludf.DUMMYFUNCTION("IF(TRIM(AU382)="""","""",AU382/INDEX(FILTER(AT$3:AT382,TRIM(AT$3:AT382)&lt;&gt;""""),ROWS(FILTER(AT$3:AT382,TRIM(AT$3:AT382)&lt;&gt;"""")))-1)"),"")</f>
        <v/>
      </c>
      <c r="AW382" s="65" t="e">
        <f t="shared" ca="1" si="57"/>
        <v>#VALUE!</v>
      </c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</row>
    <row r="383" spans="1:68" ht="19" x14ac:dyDescent="0.25">
      <c r="A383" s="5"/>
      <c r="B383" s="5"/>
      <c r="C383" s="5"/>
      <c r="D383" s="5"/>
      <c r="E383" s="5"/>
      <c r="F383" s="5"/>
      <c r="G383" s="5"/>
      <c r="H383" s="6"/>
      <c r="I383" s="5"/>
      <c r="J383" s="83"/>
      <c r="K383" s="83"/>
      <c r="L383" s="83"/>
      <c r="M383" s="83"/>
      <c r="N383" s="83"/>
      <c r="O383" s="83"/>
      <c r="P383" s="83"/>
      <c r="Q383" s="84"/>
      <c r="R383" s="83"/>
      <c r="S383" s="83"/>
      <c r="T383" s="85"/>
      <c r="U383" s="6"/>
      <c r="V383" s="44">
        <v>44470</v>
      </c>
      <c r="W383" s="45">
        <v>136.88999999999999</v>
      </c>
      <c r="X383" s="46"/>
      <c r="Y383" s="61"/>
      <c r="Z383" s="5"/>
      <c r="AA383" s="5"/>
      <c r="AB383" s="5"/>
      <c r="AC383" s="5"/>
      <c r="AD383" s="5"/>
      <c r="AE383" s="5"/>
      <c r="AF383" s="5"/>
      <c r="AG383" s="5"/>
      <c r="AH383" s="6"/>
      <c r="AI383" s="44">
        <v>44470</v>
      </c>
      <c r="AJ383" s="53">
        <v>136.88999999999999</v>
      </c>
      <c r="AK383" s="54">
        <f t="shared" si="55"/>
        <v>3.1574981160512383E-2</v>
      </c>
      <c r="AL383" s="55">
        <f t="shared" si="58"/>
        <v>24.101769158436515</v>
      </c>
      <c r="AM383" s="56">
        <v>25</v>
      </c>
      <c r="AN383" s="57">
        <f t="shared" si="56"/>
        <v>0.89823084156348543</v>
      </c>
      <c r="AO383" s="76">
        <f t="shared" si="59"/>
        <v>8.7414474155051121</v>
      </c>
      <c r="AP383" s="63" t="str">
        <f t="shared" si="60"/>
        <v>Buy Stocks</v>
      </c>
      <c r="AQ383" s="63" t="str">
        <f t="shared" si="61"/>
        <v/>
      </c>
      <c r="AR383" s="63" t="str">
        <f t="shared" si="62"/>
        <v/>
      </c>
      <c r="AS383" s="63" t="str">
        <f t="shared" si="63"/>
        <v/>
      </c>
      <c r="AT383" s="78" t="str">
        <f t="shared" si="64"/>
        <v/>
      </c>
      <c r="AU383" s="78" t="str">
        <f t="shared" si="65"/>
        <v/>
      </c>
      <c r="AV383" s="64" t="str">
        <f ca="1">IFERROR(__xludf.DUMMYFUNCTION("IF(TRIM(AU383)="""","""",AU383/INDEX(FILTER(AT$3:AT383,TRIM(AT$3:AT383)&lt;&gt;""""),ROWS(FILTER(AT$3:AT383,TRIM(AT$3:AT383)&lt;&gt;"""")))-1)"),"")</f>
        <v/>
      </c>
      <c r="AW383" s="65" t="e">
        <f t="shared" ca="1" si="57"/>
        <v>#VALUE!</v>
      </c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</row>
    <row r="384" spans="1:68" ht="19" x14ac:dyDescent="0.25">
      <c r="A384" s="5"/>
      <c r="B384" s="5"/>
      <c r="C384" s="5"/>
      <c r="D384" s="5"/>
      <c r="E384" s="5"/>
      <c r="F384" s="5"/>
      <c r="G384" s="5"/>
      <c r="H384" s="6"/>
      <c r="I384" s="5"/>
      <c r="J384" s="83"/>
      <c r="K384" s="83"/>
      <c r="L384" s="83"/>
      <c r="M384" s="83"/>
      <c r="N384" s="83"/>
      <c r="O384" s="83"/>
      <c r="P384" s="83"/>
      <c r="Q384" s="84"/>
      <c r="R384" s="83"/>
      <c r="S384" s="83"/>
      <c r="T384" s="85"/>
      <c r="U384" s="6"/>
      <c r="V384" s="44">
        <v>44473</v>
      </c>
      <c r="W384" s="45">
        <v>137.65</v>
      </c>
      <c r="X384" s="46"/>
      <c r="Y384" s="61"/>
      <c r="Z384" s="5"/>
      <c r="AA384" s="5"/>
      <c r="AB384" s="5"/>
      <c r="AC384" s="5"/>
      <c r="AD384" s="5"/>
      <c r="AE384" s="5"/>
      <c r="AF384" s="5"/>
      <c r="AG384" s="5"/>
      <c r="AH384" s="6"/>
      <c r="AI384" s="44">
        <v>44473</v>
      </c>
      <c r="AJ384" s="53">
        <v>137.65</v>
      </c>
      <c r="AK384" s="54">
        <f t="shared" si="55"/>
        <v>5.5519029878006165E-3</v>
      </c>
      <c r="AL384" s="55">
        <f t="shared" si="58"/>
        <v>24.190619962004313</v>
      </c>
      <c r="AM384" s="56">
        <v>25</v>
      </c>
      <c r="AN384" s="57">
        <f t="shared" si="56"/>
        <v>0.80938003799568747</v>
      </c>
      <c r="AO384" s="76">
        <f t="shared" si="59"/>
        <v>7.04782706976476</v>
      </c>
      <c r="AP384" s="63" t="str">
        <f t="shared" si="60"/>
        <v>Buy Stocks</v>
      </c>
      <c r="AQ384" s="63" t="str">
        <f t="shared" si="61"/>
        <v/>
      </c>
      <c r="AR384" s="63" t="str">
        <f t="shared" si="62"/>
        <v/>
      </c>
      <c r="AS384" s="63" t="str">
        <f t="shared" si="63"/>
        <v/>
      </c>
      <c r="AT384" s="78" t="str">
        <f t="shared" si="64"/>
        <v/>
      </c>
      <c r="AU384" s="78" t="str">
        <f t="shared" si="65"/>
        <v/>
      </c>
      <c r="AV384" s="64" t="str">
        <f ca="1">IFERROR(__xludf.DUMMYFUNCTION("IF(TRIM(AU384)="""","""",AU384/INDEX(FILTER(AT$3:AT384,TRIM(AT$3:AT384)&lt;&gt;""""),ROWS(FILTER(AT$3:AT384,TRIM(AT$3:AT384)&lt;&gt;"""")))-1)"),"")</f>
        <v/>
      </c>
      <c r="AW384" s="65" t="e">
        <f t="shared" ca="1" si="57"/>
        <v>#VALUE!</v>
      </c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</row>
    <row r="385" spans="1:68" ht="19" x14ac:dyDescent="0.25">
      <c r="A385" s="5"/>
      <c r="B385" s="5"/>
      <c r="C385" s="5"/>
      <c r="D385" s="5"/>
      <c r="E385" s="5"/>
      <c r="F385" s="5"/>
      <c r="G385" s="5"/>
      <c r="H385" s="6"/>
      <c r="I385" s="5"/>
      <c r="J385" s="83"/>
      <c r="K385" s="83"/>
      <c r="L385" s="83"/>
      <c r="M385" s="83"/>
      <c r="N385" s="83"/>
      <c r="O385" s="83"/>
      <c r="P385" s="83"/>
      <c r="Q385" s="84"/>
      <c r="R385" s="83"/>
      <c r="S385" s="83"/>
      <c r="T385" s="85"/>
      <c r="U385" s="6"/>
      <c r="V385" s="44">
        <v>44474</v>
      </c>
      <c r="W385" s="45">
        <v>136.72999999999999</v>
      </c>
      <c r="X385" s="46"/>
      <c r="Y385" s="61"/>
      <c r="Z385" s="5"/>
      <c r="AA385" s="5"/>
      <c r="AB385" s="5"/>
      <c r="AC385" s="5"/>
      <c r="AD385" s="5"/>
      <c r="AE385" s="5"/>
      <c r="AF385" s="5"/>
      <c r="AG385" s="5"/>
      <c r="AH385" s="6"/>
      <c r="AI385" s="44">
        <v>44474</v>
      </c>
      <c r="AJ385" s="53">
        <v>136.72999999999999</v>
      </c>
      <c r="AK385" s="54">
        <f t="shared" si="55"/>
        <v>-6.6836178714131389E-3</v>
      </c>
      <c r="AL385" s="55">
        <f t="shared" si="58"/>
        <v>23.716094648392279</v>
      </c>
      <c r="AM385" s="56">
        <v>25</v>
      </c>
      <c r="AN385" s="57">
        <f t="shared" si="56"/>
        <v>1.2839053516077215</v>
      </c>
      <c r="AO385" s="76">
        <f t="shared" si="59"/>
        <v>5.1752844741786657</v>
      </c>
      <c r="AP385" s="63" t="str">
        <f t="shared" si="60"/>
        <v>Buy Stocks</v>
      </c>
      <c r="AQ385" s="63" t="str">
        <f t="shared" si="61"/>
        <v/>
      </c>
      <c r="AR385" s="63" t="str">
        <f t="shared" si="62"/>
        <v/>
      </c>
      <c r="AS385" s="63" t="str">
        <f t="shared" si="63"/>
        <v/>
      </c>
      <c r="AT385" s="78" t="str">
        <f t="shared" si="64"/>
        <v/>
      </c>
      <c r="AU385" s="78" t="str">
        <f t="shared" si="65"/>
        <v/>
      </c>
      <c r="AV385" s="64" t="str">
        <f ca="1">IFERROR(__xludf.DUMMYFUNCTION("IF(TRIM(AU385)="""","""",AU385/INDEX(FILTER(AT$3:AT385,TRIM(AT$3:AT385)&lt;&gt;""""),ROWS(FILTER(AT$3:AT385,TRIM(AT$3:AT385)&lt;&gt;"""")))-1)"),"")</f>
        <v/>
      </c>
      <c r="AW385" s="65" t="e">
        <f t="shared" ca="1" si="57"/>
        <v>#VALUE!</v>
      </c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</row>
    <row r="386" spans="1:68" ht="19" x14ac:dyDescent="0.25">
      <c r="A386" s="5"/>
      <c r="B386" s="5"/>
      <c r="C386" s="5"/>
      <c r="D386" s="5"/>
      <c r="E386" s="5"/>
      <c r="F386" s="5"/>
      <c r="G386" s="5"/>
      <c r="H386" s="6"/>
      <c r="I386" s="5"/>
      <c r="J386" s="83"/>
      <c r="K386" s="83"/>
      <c r="L386" s="83"/>
      <c r="M386" s="83"/>
      <c r="N386" s="83"/>
      <c r="O386" s="83"/>
      <c r="P386" s="83"/>
      <c r="Q386" s="84"/>
      <c r="R386" s="83"/>
      <c r="S386" s="83"/>
      <c r="T386" s="85"/>
      <c r="U386" s="6"/>
      <c r="V386" s="44">
        <v>44475</v>
      </c>
      <c r="W386" s="45">
        <v>135.97999999999999</v>
      </c>
      <c r="X386" s="46"/>
      <c r="Y386" s="61"/>
      <c r="Z386" s="5"/>
      <c r="AA386" s="5"/>
      <c r="AB386" s="5"/>
      <c r="AC386" s="5"/>
      <c r="AD386" s="5"/>
      <c r="AE386" s="5"/>
      <c r="AF386" s="5"/>
      <c r="AG386" s="5"/>
      <c r="AH386" s="6"/>
      <c r="AI386" s="44">
        <v>44475</v>
      </c>
      <c r="AJ386" s="53">
        <v>135.97999999999999</v>
      </c>
      <c r="AK386" s="54">
        <f t="shared" si="55"/>
        <v>-5.4852629269362962E-3</v>
      </c>
      <c r="AL386" s="55">
        <f t="shared" si="58"/>
        <v>25.082373273404617</v>
      </c>
      <c r="AM386" s="56">
        <v>25</v>
      </c>
      <c r="AN386" s="57">
        <f t="shared" si="56"/>
        <v>-8.2373273404616754E-2</v>
      </c>
      <c r="AO386" s="76">
        <f t="shared" si="59"/>
        <v>3.0281516309451022</v>
      </c>
      <c r="AP386" s="63" t="str">
        <f t="shared" si="60"/>
        <v>Buy Stocks</v>
      </c>
      <c r="AQ386" s="63" t="str">
        <f t="shared" si="61"/>
        <v/>
      </c>
      <c r="AR386" s="63" t="str">
        <f t="shared" si="62"/>
        <v/>
      </c>
      <c r="AS386" s="63" t="str">
        <f t="shared" si="63"/>
        <v/>
      </c>
      <c r="AT386" s="78" t="str">
        <f t="shared" si="64"/>
        <v/>
      </c>
      <c r="AU386" s="78" t="str">
        <f t="shared" si="65"/>
        <v/>
      </c>
      <c r="AV386" s="64" t="str">
        <f ca="1">IFERROR(__xludf.DUMMYFUNCTION("IF(TRIM(AU386)="""","""",AU386/INDEX(FILTER(AT$3:AT386,TRIM(AT$3:AT386)&lt;&gt;""""),ROWS(FILTER(AT$3:AT386,TRIM(AT$3:AT386)&lt;&gt;"""")))-1)"),"")</f>
        <v/>
      </c>
      <c r="AW386" s="65" t="e">
        <f t="shared" ca="1" si="57"/>
        <v>#VALUE!</v>
      </c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</row>
    <row r="387" spans="1:68" ht="19" x14ac:dyDescent="0.25">
      <c r="A387" s="5"/>
      <c r="B387" s="5"/>
      <c r="C387" s="5"/>
      <c r="D387" s="5"/>
      <c r="E387" s="5"/>
      <c r="F387" s="5"/>
      <c r="G387" s="5"/>
      <c r="H387" s="6"/>
      <c r="I387" s="5"/>
      <c r="J387" s="83"/>
      <c r="K387" s="83"/>
      <c r="L387" s="83"/>
      <c r="M387" s="83"/>
      <c r="N387" s="83"/>
      <c r="O387" s="83"/>
      <c r="P387" s="83"/>
      <c r="Q387" s="84"/>
      <c r="R387" s="83"/>
      <c r="S387" s="83"/>
      <c r="T387" s="85"/>
      <c r="U387" s="6"/>
      <c r="V387" s="44">
        <v>44476</v>
      </c>
      <c r="W387" s="45">
        <v>135.44999999999999</v>
      </c>
      <c r="X387" s="46"/>
      <c r="Y387" s="61"/>
      <c r="Z387" s="5"/>
      <c r="AA387" s="5"/>
      <c r="AB387" s="5"/>
      <c r="AC387" s="5"/>
      <c r="AD387" s="5"/>
      <c r="AE387" s="5"/>
      <c r="AF387" s="5"/>
      <c r="AG387" s="5"/>
      <c r="AH387" s="6"/>
      <c r="AI387" s="44">
        <v>44476</v>
      </c>
      <c r="AJ387" s="53">
        <v>135.44999999999999</v>
      </c>
      <c r="AK387" s="54">
        <f t="shared" ref="AK387:AK450" si="66">AJ387/AJ386-1</f>
        <v>-3.8976320047066082E-3</v>
      </c>
      <c r="AL387" s="55">
        <f t="shared" si="58"/>
        <v>25.461711096712069</v>
      </c>
      <c r="AM387" s="56">
        <v>25</v>
      </c>
      <c r="AN387" s="57">
        <f t="shared" ref="AN387:AN450" si="67">AM387-AL387</f>
        <v>-0.46171109671206878</v>
      </c>
      <c r="AO387" s="76">
        <f t="shared" si="59"/>
        <v>0.48948637221004176</v>
      </c>
      <c r="AP387" s="63" t="str">
        <f t="shared" si="60"/>
        <v>Buy Stocks</v>
      </c>
      <c r="AQ387" s="63" t="str">
        <f t="shared" si="61"/>
        <v/>
      </c>
      <c r="AR387" s="63" t="str">
        <f t="shared" si="62"/>
        <v/>
      </c>
      <c r="AS387" s="63" t="str">
        <f t="shared" si="63"/>
        <v/>
      </c>
      <c r="AT387" s="78" t="str">
        <f t="shared" si="64"/>
        <v/>
      </c>
      <c r="AU387" s="78" t="str">
        <f t="shared" si="65"/>
        <v/>
      </c>
      <c r="AV387" s="64" t="str">
        <f ca="1">IFERROR(__xludf.DUMMYFUNCTION("IF(TRIM(AU387)="""","""",AU387/INDEX(FILTER(AT$3:AT387,TRIM(AT$3:AT387)&lt;&gt;""""),ROWS(FILTER(AT$3:AT387,TRIM(AT$3:AT387)&lt;&gt;"""")))-1)"),"")</f>
        <v/>
      </c>
      <c r="AW387" s="65" t="e">
        <f t="shared" ref="AW387:AW450" ca="1" si="68">AW386*(1+AV387)</f>
        <v>#VALUE!</v>
      </c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</row>
    <row r="388" spans="1:68" ht="19" x14ac:dyDescent="0.25">
      <c r="A388" s="5"/>
      <c r="B388" s="5"/>
      <c r="C388" s="5"/>
      <c r="D388" s="5"/>
      <c r="E388" s="5"/>
      <c r="F388" s="5"/>
      <c r="G388" s="5"/>
      <c r="H388" s="6"/>
      <c r="I388" s="5"/>
      <c r="J388" s="83"/>
      <c r="K388" s="83"/>
      <c r="L388" s="83"/>
      <c r="M388" s="83"/>
      <c r="N388" s="83"/>
      <c r="O388" s="83"/>
      <c r="P388" s="83"/>
      <c r="Q388" s="84"/>
      <c r="R388" s="83"/>
      <c r="S388" s="83"/>
      <c r="T388" s="85"/>
      <c r="U388" s="6"/>
      <c r="V388" s="44">
        <v>44477</v>
      </c>
      <c r="W388" s="45">
        <v>136.80000000000001</v>
      </c>
      <c r="X388" s="46"/>
      <c r="Y388" s="61"/>
      <c r="Z388" s="5"/>
      <c r="AA388" s="5"/>
      <c r="AB388" s="5"/>
      <c r="AC388" s="5"/>
      <c r="AD388" s="5"/>
      <c r="AE388" s="5"/>
      <c r="AF388" s="5"/>
      <c r="AG388" s="5"/>
      <c r="AH388" s="6"/>
      <c r="AI388" s="44">
        <v>44477</v>
      </c>
      <c r="AJ388" s="53">
        <v>136.80000000000001</v>
      </c>
      <c r="AK388" s="54">
        <f t="shared" si="66"/>
        <v>9.9667774086380501E-3</v>
      </c>
      <c r="AL388" s="55">
        <f t="shared" si="58"/>
        <v>11.774205182298159</v>
      </c>
      <c r="AM388" s="56">
        <v>25</v>
      </c>
      <c r="AN388" s="57">
        <f t="shared" si="67"/>
        <v>13.225794817701841</v>
      </c>
      <c r="AO388" s="76">
        <f t="shared" si="59"/>
        <v>2.954999167437713</v>
      </c>
      <c r="AP388" s="63" t="str">
        <f t="shared" si="60"/>
        <v>Buy Stocks</v>
      </c>
      <c r="AQ388" s="63" t="str">
        <f t="shared" si="61"/>
        <v/>
      </c>
      <c r="AR388" s="63" t="str">
        <f t="shared" si="62"/>
        <v/>
      </c>
      <c r="AS388" s="63" t="str">
        <f t="shared" si="63"/>
        <v/>
      </c>
      <c r="AT388" s="78" t="str">
        <f t="shared" si="64"/>
        <v/>
      </c>
      <c r="AU388" s="78" t="str">
        <f t="shared" si="65"/>
        <v/>
      </c>
      <c r="AV388" s="64" t="str">
        <f ca="1">IFERROR(__xludf.DUMMYFUNCTION("IF(TRIM(AU388)="""","""",AU388/INDEX(FILTER(AT$3:AT388,TRIM(AT$3:AT388)&lt;&gt;""""),ROWS(FILTER(AT$3:AT388,TRIM(AT$3:AT388)&lt;&gt;"""")))-1)"),"")</f>
        <v/>
      </c>
      <c r="AW388" s="65" t="e">
        <f t="shared" ca="1" si="68"/>
        <v>#VALUE!</v>
      </c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</row>
    <row r="389" spans="1:68" ht="19" x14ac:dyDescent="0.25">
      <c r="A389" s="5"/>
      <c r="B389" s="5"/>
      <c r="C389" s="5"/>
      <c r="D389" s="5"/>
      <c r="E389" s="5"/>
      <c r="F389" s="5"/>
      <c r="G389" s="5"/>
      <c r="H389" s="6"/>
      <c r="I389" s="5"/>
      <c r="J389" s="83"/>
      <c r="K389" s="83"/>
      <c r="L389" s="83"/>
      <c r="M389" s="83"/>
      <c r="N389" s="83"/>
      <c r="O389" s="83"/>
      <c r="P389" s="83"/>
      <c r="Q389" s="84"/>
      <c r="R389" s="83"/>
      <c r="S389" s="83"/>
      <c r="T389" s="85"/>
      <c r="U389" s="6"/>
      <c r="V389" s="44">
        <v>44480</v>
      </c>
      <c r="W389" s="45">
        <v>136.04</v>
      </c>
      <c r="X389" s="46"/>
      <c r="Y389" s="61"/>
      <c r="Z389" s="5"/>
      <c r="AA389" s="5"/>
      <c r="AB389" s="5"/>
      <c r="AC389" s="5"/>
      <c r="AD389" s="5"/>
      <c r="AE389" s="5"/>
      <c r="AF389" s="5"/>
      <c r="AG389" s="5"/>
      <c r="AH389" s="6"/>
      <c r="AI389" s="44">
        <v>44480</v>
      </c>
      <c r="AJ389" s="53">
        <v>136.04</v>
      </c>
      <c r="AK389" s="54">
        <f t="shared" si="66"/>
        <v>-5.5555555555556468E-3</v>
      </c>
      <c r="AL389" s="55">
        <f t="shared" si="58"/>
        <v>11.026273654753963</v>
      </c>
      <c r="AM389" s="56">
        <v>25</v>
      </c>
      <c r="AN389" s="57">
        <f t="shared" si="67"/>
        <v>13.973726345246037</v>
      </c>
      <c r="AO389" s="76">
        <f t="shared" si="59"/>
        <v>5.5878684288877825</v>
      </c>
      <c r="AP389" s="63" t="str">
        <f t="shared" si="60"/>
        <v>Buy Stocks</v>
      </c>
      <c r="AQ389" s="63" t="str">
        <f t="shared" si="61"/>
        <v/>
      </c>
      <c r="AR389" s="63" t="str">
        <f t="shared" si="62"/>
        <v/>
      </c>
      <c r="AS389" s="63" t="str">
        <f t="shared" si="63"/>
        <v/>
      </c>
      <c r="AT389" s="78" t="str">
        <f t="shared" si="64"/>
        <v/>
      </c>
      <c r="AU389" s="78" t="str">
        <f t="shared" si="65"/>
        <v/>
      </c>
      <c r="AV389" s="64" t="str">
        <f ca="1">IFERROR(__xludf.DUMMYFUNCTION("IF(TRIM(AU389)="""","""",AU389/INDEX(FILTER(AT$3:AT389,TRIM(AT$3:AT389)&lt;&gt;""""),ROWS(FILTER(AT$3:AT389,TRIM(AT$3:AT389)&lt;&gt;"""")))-1)"),"")</f>
        <v/>
      </c>
      <c r="AW389" s="65" t="e">
        <f t="shared" ca="1" si="68"/>
        <v>#VALUE!</v>
      </c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</row>
    <row r="390" spans="1:68" ht="19" x14ac:dyDescent="0.25">
      <c r="A390" s="5"/>
      <c r="B390" s="5"/>
      <c r="C390" s="5"/>
      <c r="D390" s="5"/>
      <c r="E390" s="5"/>
      <c r="F390" s="5"/>
      <c r="G390" s="5"/>
      <c r="H390" s="6"/>
      <c r="I390" s="5"/>
      <c r="J390" s="83"/>
      <c r="K390" s="83"/>
      <c r="L390" s="83"/>
      <c r="M390" s="83"/>
      <c r="N390" s="83"/>
      <c r="O390" s="83"/>
      <c r="P390" s="83"/>
      <c r="Q390" s="84"/>
      <c r="R390" s="83"/>
      <c r="S390" s="83"/>
      <c r="T390" s="85"/>
      <c r="U390" s="6"/>
      <c r="V390" s="44">
        <v>44481</v>
      </c>
      <c r="W390" s="45">
        <v>134.16999999999999</v>
      </c>
      <c r="X390" s="46"/>
      <c r="Y390" s="61"/>
      <c r="Z390" s="5"/>
      <c r="AA390" s="5"/>
      <c r="AB390" s="5"/>
      <c r="AC390" s="5"/>
      <c r="AD390" s="5"/>
      <c r="AE390" s="5"/>
      <c r="AF390" s="5"/>
      <c r="AG390" s="5"/>
      <c r="AH390" s="6"/>
      <c r="AI390" s="44">
        <v>44481</v>
      </c>
      <c r="AJ390" s="53">
        <v>134.16999999999999</v>
      </c>
      <c r="AK390" s="54">
        <f t="shared" si="66"/>
        <v>-1.3745957071449655E-2</v>
      </c>
      <c r="AL390" s="55">
        <f t="shared" si="58"/>
        <v>13.617929113467413</v>
      </c>
      <c r="AM390" s="56">
        <v>25</v>
      </c>
      <c r="AN390" s="57">
        <f t="shared" si="67"/>
        <v>11.382070886532587</v>
      </c>
      <c r="AO390" s="76">
        <f t="shared" si="59"/>
        <v>7.6075015358727551</v>
      </c>
      <c r="AP390" s="63" t="str">
        <f t="shared" si="60"/>
        <v>Buy Stocks</v>
      </c>
      <c r="AQ390" s="63" t="str">
        <f t="shared" si="61"/>
        <v/>
      </c>
      <c r="AR390" s="63" t="str">
        <f t="shared" si="62"/>
        <v/>
      </c>
      <c r="AS390" s="63" t="str">
        <f t="shared" si="63"/>
        <v/>
      </c>
      <c r="AT390" s="78" t="str">
        <f t="shared" si="64"/>
        <v/>
      </c>
      <c r="AU390" s="78" t="str">
        <f t="shared" si="65"/>
        <v/>
      </c>
      <c r="AV390" s="64" t="str">
        <f ca="1">IFERROR(__xludf.DUMMYFUNCTION("IF(TRIM(AU390)="""","""",AU390/INDEX(FILTER(AT$3:AT390,TRIM(AT$3:AT390)&lt;&gt;""""),ROWS(FILTER(AT$3:AT390,TRIM(AT$3:AT390)&lt;&gt;"""")))-1)"),"")</f>
        <v/>
      </c>
      <c r="AW390" s="65" t="e">
        <f t="shared" ca="1" si="68"/>
        <v>#VALUE!</v>
      </c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</row>
    <row r="391" spans="1:68" ht="19" x14ac:dyDescent="0.25">
      <c r="A391" s="5"/>
      <c r="B391" s="5"/>
      <c r="C391" s="5"/>
      <c r="D391" s="5"/>
      <c r="E391" s="5"/>
      <c r="F391" s="5"/>
      <c r="G391" s="5"/>
      <c r="H391" s="6"/>
      <c r="I391" s="5"/>
      <c r="J391" s="83"/>
      <c r="K391" s="83"/>
      <c r="L391" s="83"/>
      <c r="M391" s="83"/>
      <c r="N391" s="83"/>
      <c r="O391" s="83"/>
      <c r="P391" s="83"/>
      <c r="Q391" s="84"/>
      <c r="R391" s="83"/>
      <c r="S391" s="83"/>
      <c r="T391" s="85"/>
      <c r="U391" s="6"/>
      <c r="V391" s="44">
        <v>44482</v>
      </c>
      <c r="W391" s="45">
        <v>134.44999999999999</v>
      </c>
      <c r="X391" s="46"/>
      <c r="Y391" s="61"/>
      <c r="Z391" s="5"/>
      <c r="AA391" s="5"/>
      <c r="AB391" s="5"/>
      <c r="AC391" s="5"/>
      <c r="AD391" s="5"/>
      <c r="AE391" s="5"/>
      <c r="AF391" s="5"/>
      <c r="AG391" s="5"/>
      <c r="AH391" s="6"/>
      <c r="AI391" s="44">
        <v>44482</v>
      </c>
      <c r="AJ391" s="53">
        <v>134.44999999999999</v>
      </c>
      <c r="AK391" s="54">
        <f t="shared" si="66"/>
        <v>2.0869046731757379E-3</v>
      </c>
      <c r="AL391" s="55">
        <f t="shared" ref="AL391:AL454" si="69">_xlfn.STDEV.S(AK387:AK391)*SQRT(252)*100</f>
        <v>14.061593560104695</v>
      </c>
      <c r="AM391" s="56">
        <v>25</v>
      </c>
      <c r="AN391" s="57">
        <f t="shared" si="67"/>
        <v>10.938406439895305</v>
      </c>
      <c r="AO391" s="76">
        <f t="shared" ref="AO391:AO454" si="70">AVERAGE(AN387:AN391)</f>
        <v>9.8116574785327408</v>
      </c>
      <c r="AP391" s="63" t="str">
        <f t="shared" ref="AP391:AP454" si="71">IF(AO391&gt;0,"Buy Stocks","")</f>
        <v>Buy Stocks</v>
      </c>
      <c r="AQ391" s="63" t="str">
        <f t="shared" ref="AQ391:AQ454" si="72">IF(AO391&lt;0,"Sell Stocks","")</f>
        <v/>
      </c>
      <c r="AR391" s="63" t="str">
        <f t="shared" ref="AR391:AR454" si="73">IF(AND(AP391="Buy Stocks",AP390=""),"Buy Stocks","")</f>
        <v/>
      </c>
      <c r="AS391" s="63" t="str">
        <f t="shared" ref="AS391:AS454" si="74">IF(AND(AQ391="Sell Stocks",AQ390=""),"Sell Stocks","")</f>
        <v/>
      </c>
      <c r="AT391" s="78" t="str">
        <f t="shared" ref="AT391:AT454" si="75">IF(AR391="Buy Stocks",AJ391,"")</f>
        <v/>
      </c>
      <c r="AU391" s="78" t="str">
        <f t="shared" ref="AU391:AU454" si="76">IF(AS391="Sell Stocks",AJ391,"")</f>
        <v/>
      </c>
      <c r="AV391" s="64" t="str">
        <f ca="1">IFERROR(__xludf.DUMMYFUNCTION("IF(TRIM(AU391)="""","""",AU391/INDEX(FILTER(AT$3:AT391,TRIM(AT$3:AT391)&lt;&gt;""""),ROWS(FILTER(AT$3:AT391,TRIM(AT$3:AT391)&lt;&gt;"""")))-1)"),"")</f>
        <v/>
      </c>
      <c r="AW391" s="65" t="e">
        <f t="shared" ca="1" si="68"/>
        <v>#VALUE!</v>
      </c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</row>
    <row r="392" spans="1:68" ht="19" x14ac:dyDescent="0.25">
      <c r="A392" s="5"/>
      <c r="B392" s="5"/>
      <c r="C392" s="5"/>
      <c r="D392" s="5"/>
      <c r="E392" s="5"/>
      <c r="F392" s="5"/>
      <c r="G392" s="5"/>
      <c r="H392" s="6"/>
      <c r="I392" s="5"/>
      <c r="J392" s="83"/>
      <c r="K392" s="83"/>
      <c r="L392" s="83"/>
      <c r="M392" s="83"/>
      <c r="N392" s="83"/>
      <c r="O392" s="83"/>
      <c r="P392" s="83"/>
      <c r="Q392" s="84"/>
      <c r="R392" s="83"/>
      <c r="S392" s="83"/>
      <c r="T392" s="85"/>
      <c r="U392" s="6"/>
      <c r="V392" s="44">
        <v>44483</v>
      </c>
      <c r="W392" s="45">
        <v>136.96</v>
      </c>
      <c r="X392" s="46"/>
      <c r="Y392" s="61"/>
      <c r="Z392" s="5"/>
      <c r="AA392" s="5"/>
      <c r="AB392" s="5"/>
      <c r="AC392" s="5"/>
      <c r="AD392" s="5"/>
      <c r="AE392" s="5"/>
      <c r="AF392" s="5"/>
      <c r="AG392" s="5"/>
      <c r="AH392" s="6"/>
      <c r="AI392" s="44">
        <v>44483</v>
      </c>
      <c r="AJ392" s="53">
        <v>136.96</v>
      </c>
      <c r="AK392" s="54">
        <f t="shared" si="66"/>
        <v>1.8668650055782887E-2</v>
      </c>
      <c r="AL392" s="55">
        <f t="shared" si="69"/>
        <v>20.172790124273384</v>
      </c>
      <c r="AM392" s="56">
        <v>25</v>
      </c>
      <c r="AN392" s="57">
        <f t="shared" si="67"/>
        <v>4.8272098757266164</v>
      </c>
      <c r="AO392" s="76">
        <f t="shared" si="70"/>
        <v>10.869441673020477</v>
      </c>
      <c r="AP392" s="63" t="str">
        <f t="shared" si="71"/>
        <v>Buy Stocks</v>
      </c>
      <c r="AQ392" s="63" t="str">
        <f t="shared" si="72"/>
        <v/>
      </c>
      <c r="AR392" s="63" t="str">
        <f t="shared" si="73"/>
        <v/>
      </c>
      <c r="AS392" s="63" t="str">
        <f t="shared" si="74"/>
        <v/>
      </c>
      <c r="AT392" s="78" t="str">
        <f t="shared" si="75"/>
        <v/>
      </c>
      <c r="AU392" s="78" t="str">
        <f t="shared" si="76"/>
        <v/>
      </c>
      <c r="AV392" s="64" t="str">
        <f ca="1">IFERROR(__xludf.DUMMYFUNCTION("IF(TRIM(AU392)="""","""",AU392/INDEX(FILTER(AT$3:AT392,TRIM(AT$3:AT392)&lt;&gt;""""),ROWS(FILTER(AT$3:AT392,TRIM(AT$3:AT392)&lt;&gt;"""")))-1)"),"")</f>
        <v/>
      </c>
      <c r="AW392" s="65" t="e">
        <f t="shared" ca="1" si="68"/>
        <v>#VALUE!</v>
      </c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</row>
    <row r="393" spans="1:68" ht="19" x14ac:dyDescent="0.25">
      <c r="A393" s="5"/>
      <c r="B393" s="5"/>
      <c r="C393" s="5"/>
      <c r="D393" s="5"/>
      <c r="E393" s="5"/>
      <c r="F393" s="5"/>
      <c r="G393" s="5"/>
      <c r="H393" s="6"/>
      <c r="I393" s="5"/>
      <c r="J393" s="83"/>
      <c r="K393" s="83"/>
      <c r="L393" s="83"/>
      <c r="M393" s="83"/>
      <c r="N393" s="83"/>
      <c r="O393" s="83"/>
      <c r="P393" s="83"/>
      <c r="Q393" s="84"/>
      <c r="R393" s="83"/>
      <c r="S393" s="83"/>
      <c r="T393" s="85"/>
      <c r="U393" s="6"/>
      <c r="V393" s="44">
        <v>44484</v>
      </c>
      <c r="W393" s="45">
        <v>138.13</v>
      </c>
      <c r="X393" s="46"/>
      <c r="Y393" s="61"/>
      <c r="Z393" s="5"/>
      <c r="AA393" s="5"/>
      <c r="AB393" s="5"/>
      <c r="AC393" s="5"/>
      <c r="AD393" s="5"/>
      <c r="AE393" s="5"/>
      <c r="AF393" s="5"/>
      <c r="AG393" s="5"/>
      <c r="AH393" s="6"/>
      <c r="AI393" s="44">
        <v>44484</v>
      </c>
      <c r="AJ393" s="53">
        <v>138.13</v>
      </c>
      <c r="AK393" s="54">
        <f t="shared" si="66"/>
        <v>8.5426401869157509E-3</v>
      </c>
      <c r="AL393" s="55">
        <f t="shared" si="69"/>
        <v>19.853913385059897</v>
      </c>
      <c r="AM393" s="56">
        <v>25</v>
      </c>
      <c r="AN393" s="57">
        <f t="shared" si="67"/>
        <v>5.1460866149401028</v>
      </c>
      <c r="AO393" s="76">
        <f t="shared" si="70"/>
        <v>9.2535000324681285</v>
      </c>
      <c r="AP393" s="63" t="str">
        <f t="shared" si="71"/>
        <v>Buy Stocks</v>
      </c>
      <c r="AQ393" s="63" t="str">
        <f t="shared" si="72"/>
        <v/>
      </c>
      <c r="AR393" s="63" t="str">
        <f t="shared" si="73"/>
        <v/>
      </c>
      <c r="AS393" s="63" t="str">
        <f t="shared" si="74"/>
        <v/>
      </c>
      <c r="AT393" s="78" t="str">
        <f t="shared" si="75"/>
        <v/>
      </c>
      <c r="AU393" s="78" t="str">
        <f t="shared" si="76"/>
        <v/>
      </c>
      <c r="AV393" s="64" t="str">
        <f ca="1">IFERROR(__xludf.DUMMYFUNCTION("IF(TRIM(AU393)="""","""",AU393/INDEX(FILTER(AT$3:AT393,TRIM(AT$3:AT393)&lt;&gt;""""),ROWS(FILTER(AT$3:AT393,TRIM(AT$3:AT393)&lt;&gt;"""")))-1)"),"")</f>
        <v/>
      </c>
      <c r="AW393" s="65" t="e">
        <f t="shared" ca="1" si="68"/>
        <v>#VALUE!</v>
      </c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</row>
    <row r="394" spans="1:68" ht="19" x14ac:dyDescent="0.25">
      <c r="A394" s="5"/>
      <c r="B394" s="5"/>
      <c r="C394" s="5"/>
      <c r="D394" s="5"/>
      <c r="E394" s="5"/>
      <c r="F394" s="5"/>
      <c r="G394" s="5"/>
      <c r="H394" s="6"/>
      <c r="I394" s="5"/>
      <c r="J394" s="83"/>
      <c r="K394" s="83"/>
      <c r="L394" s="83"/>
      <c r="M394" s="83"/>
      <c r="N394" s="83"/>
      <c r="O394" s="83"/>
      <c r="P394" s="83"/>
      <c r="Q394" s="84"/>
      <c r="R394" s="83"/>
      <c r="S394" s="83"/>
      <c r="T394" s="85"/>
      <c r="U394" s="6"/>
      <c r="V394" s="44">
        <v>44487</v>
      </c>
      <c r="W394" s="45">
        <v>135.94</v>
      </c>
      <c r="X394" s="46"/>
      <c r="Y394" s="61"/>
      <c r="Z394" s="5"/>
      <c r="AA394" s="5"/>
      <c r="AB394" s="5"/>
      <c r="AC394" s="5"/>
      <c r="AD394" s="5"/>
      <c r="AE394" s="5"/>
      <c r="AF394" s="5"/>
      <c r="AG394" s="5"/>
      <c r="AH394" s="6"/>
      <c r="AI394" s="44">
        <v>44487</v>
      </c>
      <c r="AJ394" s="53">
        <v>135.94</v>
      </c>
      <c r="AK394" s="54">
        <f t="shared" si="66"/>
        <v>-1.5854629696662514E-2</v>
      </c>
      <c r="AL394" s="55">
        <f t="shared" si="69"/>
        <v>23.359713175519264</v>
      </c>
      <c r="AM394" s="56">
        <v>25</v>
      </c>
      <c r="AN394" s="57">
        <f t="shared" si="67"/>
        <v>1.6402868244807358</v>
      </c>
      <c r="AO394" s="76">
        <f t="shared" si="70"/>
        <v>6.7868121283150682</v>
      </c>
      <c r="AP394" s="63" t="str">
        <f t="shared" si="71"/>
        <v>Buy Stocks</v>
      </c>
      <c r="AQ394" s="63" t="str">
        <f t="shared" si="72"/>
        <v/>
      </c>
      <c r="AR394" s="63" t="str">
        <f t="shared" si="73"/>
        <v/>
      </c>
      <c r="AS394" s="63" t="str">
        <f t="shared" si="74"/>
        <v/>
      </c>
      <c r="AT394" s="78" t="str">
        <f t="shared" si="75"/>
        <v/>
      </c>
      <c r="AU394" s="78" t="str">
        <f t="shared" si="76"/>
        <v/>
      </c>
      <c r="AV394" s="64" t="str">
        <f ca="1">IFERROR(__xludf.DUMMYFUNCTION("IF(TRIM(AU394)="""","""",AU394/INDEX(FILTER(AT$3:AT394,TRIM(AT$3:AT394)&lt;&gt;""""),ROWS(FILTER(AT$3:AT394,TRIM(AT$3:AT394)&lt;&gt;"""")))-1)"),"")</f>
        <v/>
      </c>
      <c r="AW394" s="65" t="e">
        <f t="shared" ca="1" si="68"/>
        <v>#VALUE!</v>
      </c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</row>
    <row r="395" spans="1:68" ht="19" x14ac:dyDescent="0.25">
      <c r="A395" s="5"/>
      <c r="B395" s="5"/>
      <c r="C395" s="5"/>
      <c r="D395" s="5"/>
      <c r="E395" s="5"/>
      <c r="F395" s="5"/>
      <c r="G395" s="5"/>
      <c r="H395" s="6"/>
      <c r="I395" s="5"/>
      <c r="J395" s="83"/>
      <c r="K395" s="83"/>
      <c r="L395" s="83"/>
      <c r="M395" s="83"/>
      <c r="N395" s="83"/>
      <c r="O395" s="83"/>
      <c r="P395" s="83"/>
      <c r="Q395" s="84"/>
      <c r="R395" s="83"/>
      <c r="S395" s="83"/>
      <c r="T395" s="85"/>
      <c r="U395" s="6"/>
      <c r="V395" s="44">
        <v>44488</v>
      </c>
      <c r="W395" s="45">
        <v>135.61000000000001</v>
      </c>
      <c r="X395" s="46"/>
      <c r="Y395" s="61"/>
      <c r="Z395" s="5"/>
      <c r="AA395" s="5"/>
      <c r="AB395" s="5"/>
      <c r="AC395" s="5"/>
      <c r="AD395" s="5"/>
      <c r="AE395" s="5"/>
      <c r="AF395" s="5"/>
      <c r="AG395" s="5"/>
      <c r="AH395" s="6"/>
      <c r="AI395" s="44">
        <v>44488</v>
      </c>
      <c r="AJ395" s="53">
        <v>135.61000000000001</v>
      </c>
      <c r="AK395" s="54">
        <f t="shared" si="66"/>
        <v>-2.4275415624539498E-3</v>
      </c>
      <c r="AL395" s="55">
        <f t="shared" si="69"/>
        <v>20.373278903078226</v>
      </c>
      <c r="AM395" s="56">
        <v>25</v>
      </c>
      <c r="AN395" s="57">
        <f t="shared" si="67"/>
        <v>4.6267210969217736</v>
      </c>
      <c r="AO395" s="76">
        <f t="shared" si="70"/>
        <v>5.4357421703929063</v>
      </c>
      <c r="AP395" s="63" t="str">
        <f t="shared" si="71"/>
        <v>Buy Stocks</v>
      </c>
      <c r="AQ395" s="63" t="str">
        <f t="shared" si="72"/>
        <v/>
      </c>
      <c r="AR395" s="63" t="str">
        <f t="shared" si="73"/>
        <v/>
      </c>
      <c r="AS395" s="63" t="str">
        <f t="shared" si="74"/>
        <v/>
      </c>
      <c r="AT395" s="78" t="str">
        <f t="shared" si="75"/>
        <v/>
      </c>
      <c r="AU395" s="78" t="str">
        <f t="shared" si="76"/>
        <v/>
      </c>
      <c r="AV395" s="64" t="str">
        <f ca="1">IFERROR(__xludf.DUMMYFUNCTION("IF(TRIM(AU395)="""","""",AU395/INDEX(FILTER(AT$3:AT395,TRIM(AT$3:AT395)&lt;&gt;""""),ROWS(FILTER(AT$3:AT395,TRIM(AT$3:AT395)&lt;&gt;"""")))-1)"),"")</f>
        <v/>
      </c>
      <c r="AW395" s="65" t="e">
        <f t="shared" ca="1" si="68"/>
        <v>#VALUE!</v>
      </c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</row>
    <row r="396" spans="1:68" ht="19" x14ac:dyDescent="0.25">
      <c r="A396" s="5"/>
      <c r="B396" s="5"/>
      <c r="C396" s="5"/>
      <c r="D396" s="5"/>
      <c r="E396" s="5"/>
      <c r="F396" s="5"/>
      <c r="G396" s="5"/>
      <c r="H396" s="6"/>
      <c r="I396" s="5"/>
      <c r="J396" s="83"/>
      <c r="K396" s="83"/>
      <c r="L396" s="83"/>
      <c r="M396" s="83"/>
      <c r="N396" s="83"/>
      <c r="O396" s="83"/>
      <c r="P396" s="83"/>
      <c r="Q396" s="84"/>
      <c r="R396" s="83"/>
      <c r="S396" s="83"/>
      <c r="T396" s="85"/>
      <c r="U396" s="6"/>
      <c r="V396" s="44">
        <v>44489</v>
      </c>
      <c r="W396" s="45">
        <v>135.54</v>
      </c>
      <c r="X396" s="46"/>
      <c r="Y396" s="61"/>
      <c r="Z396" s="5"/>
      <c r="AA396" s="5"/>
      <c r="AB396" s="5"/>
      <c r="AC396" s="5"/>
      <c r="AD396" s="5"/>
      <c r="AE396" s="5"/>
      <c r="AF396" s="5"/>
      <c r="AG396" s="5"/>
      <c r="AH396" s="6"/>
      <c r="AI396" s="44">
        <v>44489</v>
      </c>
      <c r="AJ396" s="53">
        <v>135.54</v>
      </c>
      <c r="AK396" s="54">
        <f t="shared" si="66"/>
        <v>-5.1618612196757674E-4</v>
      </c>
      <c r="AL396" s="55">
        <f t="shared" si="69"/>
        <v>20.466242702142296</v>
      </c>
      <c r="AM396" s="56">
        <v>25</v>
      </c>
      <c r="AN396" s="57">
        <f t="shared" si="67"/>
        <v>4.5337572978577043</v>
      </c>
      <c r="AO396" s="76">
        <f t="shared" si="70"/>
        <v>4.1548123419853864</v>
      </c>
      <c r="AP396" s="63" t="str">
        <f t="shared" si="71"/>
        <v>Buy Stocks</v>
      </c>
      <c r="AQ396" s="63" t="str">
        <f t="shared" si="72"/>
        <v/>
      </c>
      <c r="AR396" s="63" t="str">
        <f t="shared" si="73"/>
        <v/>
      </c>
      <c r="AS396" s="63" t="str">
        <f t="shared" si="74"/>
        <v/>
      </c>
      <c r="AT396" s="78" t="str">
        <f t="shared" si="75"/>
        <v/>
      </c>
      <c r="AU396" s="78" t="str">
        <f t="shared" si="76"/>
        <v/>
      </c>
      <c r="AV396" s="64" t="str">
        <f ca="1">IFERROR(__xludf.DUMMYFUNCTION("IF(TRIM(AU396)="""","""",AU396/INDEX(FILTER(AT$3:AT396,TRIM(AT$3:AT396)&lt;&gt;""""),ROWS(FILTER(AT$3:AT396,TRIM(AT$3:AT396)&lt;&gt;"""")))-1)"),"")</f>
        <v/>
      </c>
      <c r="AW396" s="65" t="e">
        <f t="shared" ca="1" si="68"/>
        <v>#VALUE!</v>
      </c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</row>
    <row r="397" spans="1:68" ht="19" x14ac:dyDescent="0.25">
      <c r="A397" s="5"/>
      <c r="B397" s="5"/>
      <c r="C397" s="5"/>
      <c r="D397" s="5"/>
      <c r="E397" s="5"/>
      <c r="F397" s="5"/>
      <c r="G397" s="5"/>
      <c r="H397" s="6"/>
      <c r="I397" s="5"/>
      <c r="J397" s="83"/>
      <c r="K397" s="83"/>
      <c r="L397" s="83"/>
      <c r="M397" s="83"/>
      <c r="N397" s="83"/>
      <c r="O397" s="83"/>
      <c r="P397" s="83"/>
      <c r="Q397" s="84"/>
      <c r="R397" s="83"/>
      <c r="S397" s="83"/>
      <c r="T397" s="85"/>
      <c r="U397" s="6"/>
      <c r="V397" s="44">
        <v>44490</v>
      </c>
      <c r="W397" s="45">
        <v>122.58</v>
      </c>
      <c r="X397" s="46"/>
      <c r="Y397" s="61"/>
      <c r="Z397" s="5"/>
      <c r="AA397" s="5"/>
      <c r="AB397" s="5"/>
      <c r="AC397" s="5"/>
      <c r="AD397" s="5"/>
      <c r="AE397" s="5"/>
      <c r="AF397" s="5"/>
      <c r="AG397" s="5"/>
      <c r="AH397" s="6"/>
      <c r="AI397" s="44">
        <v>44490</v>
      </c>
      <c r="AJ397" s="53">
        <v>122.58</v>
      </c>
      <c r="AK397" s="54">
        <f t="shared" si="66"/>
        <v>-9.5617529880478003E-2</v>
      </c>
      <c r="AL397" s="55">
        <f t="shared" si="69"/>
        <v>67.496479675433974</v>
      </c>
      <c r="AM397" s="56">
        <v>25</v>
      </c>
      <c r="AN397" s="57">
        <f t="shared" si="67"/>
        <v>-42.496479675433974</v>
      </c>
      <c r="AO397" s="76">
        <f t="shared" si="70"/>
        <v>-5.3099255682467312</v>
      </c>
      <c r="AP397" s="63" t="str">
        <f t="shared" si="71"/>
        <v/>
      </c>
      <c r="AQ397" s="63" t="str">
        <f t="shared" si="72"/>
        <v>Sell Stocks</v>
      </c>
      <c r="AR397" s="63" t="str">
        <f t="shared" si="73"/>
        <v/>
      </c>
      <c r="AS397" s="63" t="str">
        <f t="shared" si="74"/>
        <v>Sell Stocks</v>
      </c>
      <c r="AT397" s="78" t="str">
        <f t="shared" si="75"/>
        <v/>
      </c>
      <c r="AU397" s="77">
        <f t="shared" si="76"/>
        <v>122.58</v>
      </c>
      <c r="AV397" s="64">
        <f ca="1">IFERROR(__xludf.DUMMYFUNCTION("IF(TRIM(AU397)="""","""",AU397/INDEX(FILTER(AT$3:AT397,TRIM(AT$3:AT397)&lt;&gt;""""),ROWS(FILTER(AT$3:AT397,TRIM(AT$3:AT397)&lt;&gt;"""")))-1)"),-0.0821415200299514)</f>
        <v>-8.2141520029951398E-2</v>
      </c>
      <c r="AW397" s="65" t="e">
        <f t="shared" ca="1" si="68"/>
        <v>#VALUE!</v>
      </c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</row>
    <row r="398" spans="1:68" ht="19" x14ac:dyDescent="0.25">
      <c r="A398" s="5"/>
      <c r="B398" s="5"/>
      <c r="C398" s="5"/>
      <c r="D398" s="5"/>
      <c r="E398" s="5"/>
      <c r="F398" s="5"/>
      <c r="G398" s="5"/>
      <c r="H398" s="6"/>
      <c r="I398" s="5"/>
      <c r="J398" s="83"/>
      <c r="K398" s="83"/>
      <c r="L398" s="83"/>
      <c r="M398" s="83"/>
      <c r="N398" s="83"/>
      <c r="O398" s="83"/>
      <c r="P398" s="83"/>
      <c r="Q398" s="84"/>
      <c r="R398" s="83"/>
      <c r="S398" s="83"/>
      <c r="T398" s="85"/>
      <c r="U398" s="6"/>
      <c r="V398" s="44">
        <v>44491</v>
      </c>
      <c r="W398" s="45">
        <v>122.15</v>
      </c>
      <c r="X398" s="46"/>
      <c r="Y398" s="61"/>
      <c r="Z398" s="5"/>
      <c r="AA398" s="5"/>
      <c r="AB398" s="5"/>
      <c r="AC398" s="5"/>
      <c r="AD398" s="5"/>
      <c r="AE398" s="5"/>
      <c r="AF398" s="5"/>
      <c r="AG398" s="5"/>
      <c r="AH398" s="6"/>
      <c r="AI398" s="44">
        <v>44491</v>
      </c>
      <c r="AJ398" s="53">
        <v>122.15</v>
      </c>
      <c r="AK398" s="54">
        <f t="shared" si="66"/>
        <v>-3.5079131995431334E-3</v>
      </c>
      <c r="AL398" s="55">
        <f t="shared" si="69"/>
        <v>64.635479587263504</v>
      </c>
      <c r="AM398" s="56">
        <v>25</v>
      </c>
      <c r="AN398" s="57">
        <f t="shared" si="67"/>
        <v>-39.635479587263504</v>
      </c>
      <c r="AO398" s="76">
        <f t="shared" si="70"/>
        <v>-14.266238808687453</v>
      </c>
      <c r="AP398" s="63" t="str">
        <f t="shared" si="71"/>
        <v/>
      </c>
      <c r="AQ398" s="63" t="str">
        <f t="shared" si="72"/>
        <v>Sell Stocks</v>
      </c>
      <c r="AR398" s="63" t="str">
        <f t="shared" si="73"/>
        <v/>
      </c>
      <c r="AS398" s="63" t="str">
        <f t="shared" si="74"/>
        <v/>
      </c>
      <c r="AT398" s="78" t="str">
        <f t="shared" si="75"/>
        <v/>
      </c>
      <c r="AU398" s="78" t="str">
        <f t="shared" si="76"/>
        <v/>
      </c>
      <c r="AV398" s="64" t="str">
        <f ca="1">IFERROR(__xludf.DUMMYFUNCTION("IF(TRIM(AU398)="""","""",AU398/INDEX(FILTER(AT$3:AT398,TRIM(AT$3:AT398)&lt;&gt;""""),ROWS(FILTER(AT$3:AT398,TRIM(AT$3:AT398)&lt;&gt;"""")))-1)"),"")</f>
        <v/>
      </c>
      <c r="AW398" s="65" t="e">
        <f t="shared" ca="1" si="68"/>
        <v>#VALUE!</v>
      </c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</row>
    <row r="399" spans="1:68" ht="19" x14ac:dyDescent="0.25">
      <c r="A399" s="5"/>
      <c r="B399" s="5"/>
      <c r="C399" s="5"/>
      <c r="D399" s="5"/>
      <c r="E399" s="5"/>
      <c r="F399" s="5"/>
      <c r="G399" s="5"/>
      <c r="H399" s="6"/>
      <c r="I399" s="5"/>
      <c r="J399" s="83"/>
      <c r="K399" s="83"/>
      <c r="L399" s="83"/>
      <c r="M399" s="83"/>
      <c r="N399" s="83"/>
      <c r="O399" s="83"/>
      <c r="P399" s="83"/>
      <c r="Q399" s="84"/>
      <c r="R399" s="83"/>
      <c r="S399" s="83"/>
      <c r="T399" s="85"/>
      <c r="U399" s="6"/>
      <c r="V399" s="44">
        <v>44494</v>
      </c>
      <c r="W399" s="45">
        <v>121.92</v>
      </c>
      <c r="X399" s="46"/>
      <c r="Y399" s="61"/>
      <c r="Z399" s="5"/>
      <c r="AA399" s="5"/>
      <c r="AB399" s="5"/>
      <c r="AC399" s="5"/>
      <c r="AD399" s="5"/>
      <c r="AE399" s="5"/>
      <c r="AF399" s="5"/>
      <c r="AG399" s="5"/>
      <c r="AH399" s="6"/>
      <c r="AI399" s="44">
        <v>44494</v>
      </c>
      <c r="AJ399" s="53">
        <v>121.92</v>
      </c>
      <c r="AK399" s="54">
        <f t="shared" si="66"/>
        <v>-1.8829308227589214E-3</v>
      </c>
      <c r="AL399" s="55">
        <f t="shared" si="69"/>
        <v>66.424499154187345</v>
      </c>
      <c r="AM399" s="56">
        <v>25</v>
      </c>
      <c r="AN399" s="57">
        <f t="shared" si="67"/>
        <v>-41.424499154187345</v>
      </c>
      <c r="AO399" s="76">
        <f t="shared" si="70"/>
        <v>-22.879196004421068</v>
      </c>
      <c r="AP399" s="63" t="str">
        <f t="shared" si="71"/>
        <v/>
      </c>
      <c r="AQ399" s="63" t="str">
        <f t="shared" si="72"/>
        <v>Sell Stocks</v>
      </c>
      <c r="AR399" s="63" t="str">
        <f t="shared" si="73"/>
        <v/>
      </c>
      <c r="AS399" s="63" t="str">
        <f t="shared" si="74"/>
        <v/>
      </c>
      <c r="AT399" s="78" t="str">
        <f t="shared" si="75"/>
        <v/>
      </c>
      <c r="AU399" s="78" t="str">
        <f t="shared" si="76"/>
        <v/>
      </c>
      <c r="AV399" s="64" t="str">
        <f ca="1">IFERROR(__xludf.DUMMYFUNCTION("IF(TRIM(AU399)="""","""",AU399/INDEX(FILTER(AT$3:AT399,TRIM(AT$3:AT399)&lt;&gt;""""),ROWS(FILTER(AT$3:AT399,TRIM(AT$3:AT399)&lt;&gt;"""")))-1)"),"")</f>
        <v/>
      </c>
      <c r="AW399" s="65" t="e">
        <f t="shared" ca="1" si="68"/>
        <v>#VALUE!</v>
      </c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</row>
    <row r="400" spans="1:68" ht="19" x14ac:dyDescent="0.25">
      <c r="A400" s="5"/>
      <c r="B400" s="5"/>
      <c r="C400" s="5"/>
      <c r="D400" s="5"/>
      <c r="E400" s="5"/>
      <c r="F400" s="5"/>
      <c r="G400" s="5"/>
      <c r="H400" s="6"/>
      <c r="I400" s="5"/>
      <c r="J400" s="83"/>
      <c r="K400" s="83"/>
      <c r="L400" s="83"/>
      <c r="M400" s="83"/>
      <c r="N400" s="83"/>
      <c r="O400" s="83"/>
      <c r="P400" s="83"/>
      <c r="Q400" s="84"/>
      <c r="R400" s="83"/>
      <c r="S400" s="83"/>
      <c r="T400" s="85"/>
      <c r="U400" s="6"/>
      <c r="V400" s="44">
        <v>44495</v>
      </c>
      <c r="W400" s="45">
        <v>121.43</v>
      </c>
      <c r="X400" s="46"/>
      <c r="Y400" s="61"/>
      <c r="Z400" s="5"/>
      <c r="AA400" s="5"/>
      <c r="AB400" s="5"/>
      <c r="AC400" s="5"/>
      <c r="AD400" s="5"/>
      <c r="AE400" s="5"/>
      <c r="AF400" s="5"/>
      <c r="AG400" s="5"/>
      <c r="AH400" s="6"/>
      <c r="AI400" s="44">
        <v>44495</v>
      </c>
      <c r="AJ400" s="53">
        <v>121.43</v>
      </c>
      <c r="AK400" s="54">
        <f t="shared" si="66"/>
        <v>-4.0190288713910505E-3</v>
      </c>
      <c r="AL400" s="55">
        <f t="shared" si="69"/>
        <v>66.156390708961197</v>
      </c>
      <c r="AM400" s="56">
        <v>25</v>
      </c>
      <c r="AN400" s="57">
        <f t="shared" si="67"/>
        <v>-41.156390708961197</v>
      </c>
      <c r="AO400" s="76">
        <f t="shared" si="70"/>
        <v>-32.035818365597663</v>
      </c>
      <c r="AP400" s="63" t="str">
        <f t="shared" si="71"/>
        <v/>
      </c>
      <c r="AQ400" s="63" t="str">
        <f t="shared" si="72"/>
        <v>Sell Stocks</v>
      </c>
      <c r="AR400" s="63" t="str">
        <f t="shared" si="73"/>
        <v/>
      </c>
      <c r="AS400" s="63" t="str">
        <f t="shared" si="74"/>
        <v/>
      </c>
      <c r="AT400" s="78" t="str">
        <f t="shared" si="75"/>
        <v/>
      </c>
      <c r="AU400" s="78" t="str">
        <f t="shared" si="76"/>
        <v/>
      </c>
      <c r="AV400" s="64" t="str">
        <f ca="1">IFERROR(__xludf.DUMMYFUNCTION("IF(TRIM(AU400)="""","""",AU400/INDEX(FILTER(AT$3:AT400,TRIM(AT$3:AT400)&lt;&gt;""""),ROWS(FILTER(AT$3:AT400,TRIM(AT$3:AT400)&lt;&gt;"""")))-1)"),"")</f>
        <v/>
      </c>
      <c r="AW400" s="65" t="e">
        <f t="shared" ca="1" si="68"/>
        <v>#VALUE!</v>
      </c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</row>
    <row r="401" spans="1:68" ht="19" x14ac:dyDescent="0.25">
      <c r="A401" s="5"/>
      <c r="B401" s="5"/>
      <c r="C401" s="5"/>
      <c r="D401" s="5"/>
      <c r="E401" s="5"/>
      <c r="F401" s="5"/>
      <c r="G401" s="5"/>
      <c r="H401" s="6"/>
      <c r="I401" s="5"/>
      <c r="J401" s="83"/>
      <c r="K401" s="83"/>
      <c r="L401" s="83"/>
      <c r="M401" s="83"/>
      <c r="N401" s="83"/>
      <c r="O401" s="83"/>
      <c r="P401" s="83"/>
      <c r="Q401" s="84"/>
      <c r="R401" s="83"/>
      <c r="S401" s="83"/>
      <c r="T401" s="85"/>
      <c r="U401" s="6"/>
      <c r="V401" s="44">
        <v>44496</v>
      </c>
      <c r="W401" s="45">
        <v>119.56</v>
      </c>
      <c r="X401" s="46"/>
      <c r="Y401" s="61"/>
      <c r="Z401" s="5"/>
      <c r="AA401" s="5"/>
      <c r="AB401" s="5"/>
      <c r="AC401" s="5"/>
      <c r="AD401" s="5"/>
      <c r="AE401" s="5"/>
      <c r="AF401" s="5"/>
      <c r="AG401" s="5"/>
      <c r="AH401" s="6"/>
      <c r="AI401" s="44">
        <v>44496</v>
      </c>
      <c r="AJ401" s="53">
        <v>119.56</v>
      </c>
      <c r="AK401" s="54">
        <f t="shared" si="66"/>
        <v>-1.5399818825660883E-2</v>
      </c>
      <c r="AL401" s="55">
        <f t="shared" si="69"/>
        <v>64.047918538756832</v>
      </c>
      <c r="AM401" s="56">
        <v>25</v>
      </c>
      <c r="AN401" s="57">
        <f t="shared" si="67"/>
        <v>-39.047918538756832</v>
      </c>
      <c r="AO401" s="76">
        <f t="shared" si="70"/>
        <v>-40.752153532920566</v>
      </c>
      <c r="AP401" s="63" t="str">
        <f t="shared" si="71"/>
        <v/>
      </c>
      <c r="AQ401" s="63" t="str">
        <f t="shared" si="72"/>
        <v>Sell Stocks</v>
      </c>
      <c r="AR401" s="63" t="str">
        <f t="shared" si="73"/>
        <v/>
      </c>
      <c r="AS401" s="63" t="str">
        <f t="shared" si="74"/>
        <v/>
      </c>
      <c r="AT401" s="78" t="str">
        <f t="shared" si="75"/>
        <v/>
      </c>
      <c r="AU401" s="78" t="str">
        <f t="shared" si="76"/>
        <v/>
      </c>
      <c r="AV401" s="64" t="str">
        <f ca="1">IFERROR(__xludf.DUMMYFUNCTION("IF(TRIM(AU401)="""","""",AU401/INDEX(FILTER(AT$3:AT401,TRIM(AT$3:AT401)&lt;&gt;""""),ROWS(FILTER(AT$3:AT401,TRIM(AT$3:AT401)&lt;&gt;"""")))-1)"),"")</f>
        <v/>
      </c>
      <c r="AW401" s="65" t="e">
        <f t="shared" ca="1" si="68"/>
        <v>#VALUE!</v>
      </c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</row>
    <row r="402" spans="1:68" ht="19" x14ac:dyDescent="0.25">
      <c r="A402" s="5"/>
      <c r="B402" s="5"/>
      <c r="C402" s="5"/>
      <c r="D402" s="5"/>
      <c r="E402" s="5"/>
      <c r="F402" s="5"/>
      <c r="G402" s="5"/>
      <c r="H402" s="6"/>
      <c r="I402" s="5"/>
      <c r="J402" s="83"/>
      <c r="K402" s="83"/>
      <c r="L402" s="83"/>
      <c r="M402" s="83"/>
      <c r="N402" s="83"/>
      <c r="O402" s="83"/>
      <c r="P402" s="83"/>
      <c r="Q402" s="84"/>
      <c r="R402" s="83"/>
      <c r="S402" s="83"/>
      <c r="T402" s="85"/>
      <c r="U402" s="6"/>
      <c r="V402" s="44">
        <v>44497</v>
      </c>
      <c r="W402" s="45">
        <v>120.2</v>
      </c>
      <c r="X402" s="46"/>
      <c r="Y402" s="61"/>
      <c r="Z402" s="5"/>
      <c r="AA402" s="5"/>
      <c r="AB402" s="5"/>
      <c r="AC402" s="5"/>
      <c r="AD402" s="5"/>
      <c r="AE402" s="5"/>
      <c r="AF402" s="5"/>
      <c r="AG402" s="5"/>
      <c r="AH402" s="6"/>
      <c r="AI402" s="44">
        <v>44497</v>
      </c>
      <c r="AJ402" s="53">
        <v>120.2</v>
      </c>
      <c r="AK402" s="54">
        <f t="shared" si="66"/>
        <v>5.352960856473743E-3</v>
      </c>
      <c r="AL402" s="55">
        <f t="shared" si="69"/>
        <v>11.82888426895714</v>
      </c>
      <c r="AM402" s="56">
        <v>25</v>
      </c>
      <c r="AN402" s="57">
        <f t="shared" si="67"/>
        <v>13.17111573104286</v>
      </c>
      <c r="AO402" s="76">
        <f t="shared" si="70"/>
        <v>-29.618634451625201</v>
      </c>
      <c r="AP402" s="63" t="str">
        <f t="shared" si="71"/>
        <v/>
      </c>
      <c r="AQ402" s="63" t="str">
        <f t="shared" si="72"/>
        <v>Sell Stocks</v>
      </c>
      <c r="AR402" s="63" t="str">
        <f t="shared" si="73"/>
        <v/>
      </c>
      <c r="AS402" s="63" t="str">
        <f t="shared" si="74"/>
        <v/>
      </c>
      <c r="AT402" s="78" t="str">
        <f t="shared" si="75"/>
        <v/>
      </c>
      <c r="AU402" s="78" t="str">
        <f t="shared" si="76"/>
        <v/>
      </c>
      <c r="AV402" s="64" t="str">
        <f ca="1">IFERROR(__xludf.DUMMYFUNCTION("IF(TRIM(AU402)="""","""",AU402/INDEX(FILTER(AT$3:AT402,TRIM(AT$3:AT402)&lt;&gt;""""),ROWS(FILTER(AT$3:AT402,TRIM(AT$3:AT402)&lt;&gt;"""")))-1)"),"")</f>
        <v/>
      </c>
      <c r="AW402" s="65" t="e">
        <f t="shared" ca="1" si="68"/>
        <v>#VALUE!</v>
      </c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</row>
    <row r="403" spans="1:68" ht="19" x14ac:dyDescent="0.25">
      <c r="A403" s="5"/>
      <c r="B403" s="5"/>
      <c r="C403" s="5"/>
      <c r="D403" s="5"/>
      <c r="E403" s="5"/>
      <c r="F403" s="5"/>
      <c r="G403" s="5"/>
      <c r="H403" s="6"/>
      <c r="I403" s="5"/>
      <c r="J403" s="83"/>
      <c r="K403" s="83"/>
      <c r="L403" s="83"/>
      <c r="M403" s="83"/>
      <c r="N403" s="83"/>
      <c r="O403" s="83"/>
      <c r="P403" s="83"/>
      <c r="Q403" s="84"/>
      <c r="R403" s="83"/>
      <c r="S403" s="83"/>
      <c r="T403" s="85"/>
      <c r="U403" s="6"/>
      <c r="V403" s="44">
        <v>44498</v>
      </c>
      <c r="W403" s="45">
        <v>119.49</v>
      </c>
      <c r="X403" s="46"/>
      <c r="Y403" s="61"/>
      <c r="Z403" s="5"/>
      <c r="AA403" s="5"/>
      <c r="AB403" s="5"/>
      <c r="AC403" s="5"/>
      <c r="AD403" s="5"/>
      <c r="AE403" s="5"/>
      <c r="AF403" s="5"/>
      <c r="AG403" s="5"/>
      <c r="AH403" s="6"/>
      <c r="AI403" s="44">
        <v>44498</v>
      </c>
      <c r="AJ403" s="53">
        <v>119.49</v>
      </c>
      <c r="AK403" s="54">
        <f t="shared" si="66"/>
        <v>-5.9068219633944263E-3</v>
      </c>
      <c r="AL403" s="55">
        <f t="shared" si="69"/>
        <v>11.902265734878412</v>
      </c>
      <c r="AM403" s="56">
        <v>25</v>
      </c>
      <c r="AN403" s="57">
        <f t="shared" si="67"/>
        <v>13.097734265121588</v>
      </c>
      <c r="AO403" s="76">
        <f t="shared" si="70"/>
        <v>-19.071991681148184</v>
      </c>
      <c r="AP403" s="63" t="str">
        <f t="shared" si="71"/>
        <v/>
      </c>
      <c r="AQ403" s="63" t="str">
        <f t="shared" si="72"/>
        <v>Sell Stocks</v>
      </c>
      <c r="AR403" s="63" t="str">
        <f t="shared" si="73"/>
        <v/>
      </c>
      <c r="AS403" s="63" t="str">
        <f t="shared" si="74"/>
        <v/>
      </c>
      <c r="AT403" s="78" t="str">
        <f t="shared" si="75"/>
        <v/>
      </c>
      <c r="AU403" s="78" t="str">
        <f t="shared" si="76"/>
        <v/>
      </c>
      <c r="AV403" s="64" t="str">
        <f ca="1">IFERROR(__xludf.DUMMYFUNCTION("IF(TRIM(AU403)="""","""",AU403/INDEX(FILTER(AT$3:AT403,TRIM(AT$3:AT403)&lt;&gt;""""),ROWS(FILTER(AT$3:AT403,TRIM(AT$3:AT403)&lt;&gt;"""")))-1)"),"")</f>
        <v/>
      </c>
      <c r="AW403" s="65" t="e">
        <f t="shared" ca="1" si="68"/>
        <v>#VALUE!</v>
      </c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</row>
    <row r="404" spans="1:68" ht="19" x14ac:dyDescent="0.25">
      <c r="A404" s="5"/>
      <c r="B404" s="5"/>
      <c r="C404" s="5"/>
      <c r="D404" s="5"/>
      <c r="E404" s="5"/>
      <c r="F404" s="5"/>
      <c r="G404" s="5"/>
      <c r="H404" s="6"/>
      <c r="I404" s="5"/>
      <c r="J404" s="83"/>
      <c r="K404" s="83"/>
      <c r="L404" s="83"/>
      <c r="M404" s="83"/>
      <c r="N404" s="83"/>
      <c r="O404" s="83"/>
      <c r="P404" s="83"/>
      <c r="Q404" s="84"/>
      <c r="R404" s="83"/>
      <c r="S404" s="83"/>
      <c r="T404" s="85"/>
      <c r="U404" s="6"/>
      <c r="V404" s="44">
        <v>44501</v>
      </c>
      <c r="W404" s="45">
        <v>120.62</v>
      </c>
      <c r="X404" s="46"/>
      <c r="Y404" s="61"/>
      <c r="Z404" s="5"/>
      <c r="AA404" s="5"/>
      <c r="AB404" s="5"/>
      <c r="AC404" s="5"/>
      <c r="AD404" s="5"/>
      <c r="AE404" s="5"/>
      <c r="AF404" s="5"/>
      <c r="AG404" s="5"/>
      <c r="AH404" s="6"/>
      <c r="AI404" s="44">
        <v>44501</v>
      </c>
      <c r="AJ404" s="53">
        <v>120.62</v>
      </c>
      <c r="AK404" s="54">
        <f t="shared" si="66"/>
        <v>9.4568583145033802E-3</v>
      </c>
      <c r="AL404" s="55">
        <f t="shared" si="69"/>
        <v>15.55716542728848</v>
      </c>
      <c r="AM404" s="56">
        <v>25</v>
      </c>
      <c r="AN404" s="57">
        <f t="shared" si="67"/>
        <v>9.4428345727115204</v>
      </c>
      <c r="AO404" s="76">
        <f t="shared" si="70"/>
        <v>-8.8985249357684122</v>
      </c>
      <c r="AP404" s="63" t="str">
        <f t="shared" si="71"/>
        <v/>
      </c>
      <c r="AQ404" s="63" t="str">
        <f t="shared" si="72"/>
        <v>Sell Stocks</v>
      </c>
      <c r="AR404" s="63" t="str">
        <f t="shared" si="73"/>
        <v/>
      </c>
      <c r="AS404" s="63" t="str">
        <f t="shared" si="74"/>
        <v/>
      </c>
      <c r="AT404" s="78" t="str">
        <f t="shared" si="75"/>
        <v/>
      </c>
      <c r="AU404" s="78" t="str">
        <f t="shared" si="76"/>
        <v/>
      </c>
      <c r="AV404" s="64" t="str">
        <f ca="1">IFERROR(__xludf.DUMMYFUNCTION("IF(TRIM(AU404)="""","""",AU404/INDEX(FILTER(AT$3:AT404,TRIM(AT$3:AT404)&lt;&gt;""""),ROWS(FILTER(AT$3:AT404,TRIM(AT$3:AT404)&lt;&gt;"""")))-1)"),"")</f>
        <v/>
      </c>
      <c r="AW404" s="65" t="e">
        <f t="shared" ca="1" si="68"/>
        <v>#VALUE!</v>
      </c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</row>
    <row r="405" spans="1:68" ht="19" x14ac:dyDescent="0.25">
      <c r="A405" s="5"/>
      <c r="B405" s="5"/>
      <c r="C405" s="5"/>
      <c r="D405" s="5"/>
      <c r="E405" s="5"/>
      <c r="F405" s="5"/>
      <c r="G405" s="5"/>
      <c r="H405" s="6"/>
      <c r="I405" s="5"/>
      <c r="J405" s="83"/>
      <c r="K405" s="83"/>
      <c r="L405" s="83"/>
      <c r="M405" s="83"/>
      <c r="N405" s="83"/>
      <c r="O405" s="83"/>
      <c r="P405" s="83"/>
      <c r="Q405" s="84"/>
      <c r="R405" s="83"/>
      <c r="S405" s="83"/>
      <c r="T405" s="85"/>
      <c r="U405" s="6"/>
      <c r="V405" s="44">
        <v>44502</v>
      </c>
      <c r="W405" s="45">
        <v>120.52</v>
      </c>
      <c r="X405" s="46"/>
      <c r="Y405" s="61"/>
      <c r="Z405" s="5"/>
      <c r="AA405" s="5"/>
      <c r="AB405" s="5"/>
      <c r="AC405" s="5"/>
      <c r="AD405" s="5"/>
      <c r="AE405" s="5"/>
      <c r="AF405" s="5"/>
      <c r="AG405" s="5"/>
      <c r="AH405" s="6"/>
      <c r="AI405" s="44">
        <v>44502</v>
      </c>
      <c r="AJ405" s="53">
        <v>120.52</v>
      </c>
      <c r="AK405" s="54">
        <f t="shared" si="66"/>
        <v>-8.2904990880461327E-4</v>
      </c>
      <c r="AL405" s="55">
        <f t="shared" si="69"/>
        <v>15.474286119745981</v>
      </c>
      <c r="AM405" s="56">
        <v>25</v>
      </c>
      <c r="AN405" s="57">
        <f t="shared" si="67"/>
        <v>9.5257138802540187</v>
      </c>
      <c r="AO405" s="76">
        <f t="shared" si="70"/>
        <v>1.2378959820746309</v>
      </c>
      <c r="AP405" s="63" t="str">
        <f t="shared" si="71"/>
        <v>Buy Stocks</v>
      </c>
      <c r="AQ405" s="63" t="str">
        <f t="shared" si="72"/>
        <v/>
      </c>
      <c r="AR405" s="63" t="str">
        <f t="shared" si="73"/>
        <v>Buy Stocks</v>
      </c>
      <c r="AS405" s="63" t="str">
        <f t="shared" si="74"/>
        <v/>
      </c>
      <c r="AT405" s="77">
        <f t="shared" si="75"/>
        <v>120.52</v>
      </c>
      <c r="AU405" s="78" t="str">
        <f t="shared" si="76"/>
        <v/>
      </c>
      <c r="AV405" s="64" t="str">
        <f ca="1">IFERROR(__xludf.DUMMYFUNCTION("IF(TRIM(AU405)="""","""",AU405/INDEX(FILTER(AT$3:AT405,TRIM(AT$3:AT405)&lt;&gt;""""),ROWS(FILTER(AT$3:AT405,TRIM(AT$3:AT405)&lt;&gt;"""")))-1)"),"")</f>
        <v/>
      </c>
      <c r="AW405" s="65" t="e">
        <f t="shared" ca="1" si="68"/>
        <v>#VALUE!</v>
      </c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</row>
    <row r="406" spans="1:68" ht="19" x14ac:dyDescent="0.25">
      <c r="A406" s="5"/>
      <c r="B406" s="5"/>
      <c r="C406" s="5"/>
      <c r="D406" s="5"/>
      <c r="E406" s="5"/>
      <c r="F406" s="5"/>
      <c r="G406" s="5"/>
      <c r="H406" s="6"/>
      <c r="I406" s="5"/>
      <c r="J406" s="83"/>
      <c r="K406" s="83"/>
      <c r="L406" s="83"/>
      <c r="M406" s="83"/>
      <c r="N406" s="83"/>
      <c r="O406" s="83"/>
      <c r="P406" s="83"/>
      <c r="Q406" s="84"/>
      <c r="R406" s="83"/>
      <c r="S406" s="83"/>
      <c r="T406" s="85"/>
      <c r="U406" s="6"/>
      <c r="V406" s="44">
        <v>44503</v>
      </c>
      <c r="W406" s="45">
        <v>121.43</v>
      </c>
      <c r="X406" s="46"/>
      <c r="Y406" s="61"/>
      <c r="Z406" s="5"/>
      <c r="AA406" s="5"/>
      <c r="AB406" s="5"/>
      <c r="AC406" s="5"/>
      <c r="AD406" s="5"/>
      <c r="AE406" s="5"/>
      <c r="AF406" s="5"/>
      <c r="AG406" s="5"/>
      <c r="AH406" s="6"/>
      <c r="AI406" s="44">
        <v>44503</v>
      </c>
      <c r="AJ406" s="53">
        <v>121.43</v>
      </c>
      <c r="AK406" s="54">
        <f t="shared" si="66"/>
        <v>7.5506140059742322E-3</v>
      </c>
      <c r="AL406" s="55">
        <f t="shared" si="69"/>
        <v>10.097816044262794</v>
      </c>
      <c r="AM406" s="56">
        <v>25</v>
      </c>
      <c r="AN406" s="57">
        <f t="shared" si="67"/>
        <v>14.902183955737206</v>
      </c>
      <c r="AO406" s="76">
        <f t="shared" si="70"/>
        <v>12.027916480973438</v>
      </c>
      <c r="AP406" s="63" t="str">
        <f t="shared" si="71"/>
        <v>Buy Stocks</v>
      </c>
      <c r="AQ406" s="63" t="str">
        <f t="shared" si="72"/>
        <v/>
      </c>
      <c r="AR406" s="63" t="str">
        <f t="shared" si="73"/>
        <v/>
      </c>
      <c r="AS406" s="63" t="str">
        <f t="shared" si="74"/>
        <v/>
      </c>
      <c r="AT406" s="78" t="str">
        <f t="shared" si="75"/>
        <v/>
      </c>
      <c r="AU406" s="78" t="str">
        <f t="shared" si="76"/>
        <v/>
      </c>
      <c r="AV406" s="64" t="str">
        <f ca="1">IFERROR(__xludf.DUMMYFUNCTION("IF(TRIM(AU406)="""","""",AU406/INDEX(FILTER(AT$3:AT406,TRIM(AT$3:AT406)&lt;&gt;""""),ROWS(FILTER(AT$3:AT406,TRIM(AT$3:AT406)&lt;&gt;"""")))-1)"),"")</f>
        <v/>
      </c>
      <c r="AW406" s="65" t="e">
        <f t="shared" ca="1" si="68"/>
        <v>#VALUE!</v>
      </c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</row>
    <row r="407" spans="1:68" ht="19" x14ac:dyDescent="0.25">
      <c r="A407" s="5"/>
      <c r="B407" s="5"/>
      <c r="C407" s="5"/>
      <c r="D407" s="5"/>
      <c r="E407" s="5"/>
      <c r="F407" s="5"/>
      <c r="G407" s="5"/>
      <c r="H407" s="6"/>
      <c r="I407" s="5"/>
      <c r="J407" s="83"/>
      <c r="K407" s="83"/>
      <c r="L407" s="83"/>
      <c r="M407" s="83"/>
      <c r="N407" s="83"/>
      <c r="O407" s="83"/>
      <c r="P407" s="83"/>
      <c r="Q407" s="84"/>
      <c r="R407" s="83"/>
      <c r="S407" s="83"/>
      <c r="T407" s="85"/>
      <c r="U407" s="6"/>
      <c r="V407" s="44">
        <v>44504</v>
      </c>
      <c r="W407" s="45">
        <v>120.85</v>
      </c>
      <c r="X407" s="46"/>
      <c r="Y407" s="61"/>
      <c r="Z407" s="5"/>
      <c r="AA407" s="5"/>
      <c r="AB407" s="5"/>
      <c r="AC407" s="5"/>
      <c r="AD407" s="5"/>
      <c r="AE407" s="5"/>
      <c r="AF407" s="5"/>
      <c r="AG407" s="5"/>
      <c r="AH407" s="6"/>
      <c r="AI407" s="44">
        <v>44504</v>
      </c>
      <c r="AJ407" s="53">
        <v>120.85</v>
      </c>
      <c r="AK407" s="54">
        <f t="shared" si="66"/>
        <v>-4.7764143951248839E-3</v>
      </c>
      <c r="AL407" s="55">
        <f t="shared" si="69"/>
        <v>11.191148937797987</v>
      </c>
      <c r="AM407" s="56">
        <v>25</v>
      </c>
      <c r="AN407" s="57">
        <f t="shared" si="67"/>
        <v>13.808851062202013</v>
      </c>
      <c r="AO407" s="76">
        <f t="shared" si="70"/>
        <v>12.155463547205269</v>
      </c>
      <c r="AP407" s="63" t="str">
        <f t="shared" si="71"/>
        <v>Buy Stocks</v>
      </c>
      <c r="AQ407" s="63" t="str">
        <f t="shared" si="72"/>
        <v/>
      </c>
      <c r="AR407" s="63" t="str">
        <f t="shared" si="73"/>
        <v/>
      </c>
      <c r="AS407" s="63" t="str">
        <f t="shared" si="74"/>
        <v/>
      </c>
      <c r="AT407" s="78" t="str">
        <f t="shared" si="75"/>
        <v/>
      </c>
      <c r="AU407" s="78" t="str">
        <f t="shared" si="76"/>
        <v/>
      </c>
      <c r="AV407" s="64" t="str">
        <f ca="1">IFERROR(__xludf.DUMMYFUNCTION("IF(TRIM(AU407)="""","""",AU407/INDEX(FILTER(AT$3:AT407,TRIM(AT$3:AT407)&lt;&gt;""""),ROWS(FILTER(AT$3:AT407,TRIM(AT$3:AT407)&lt;&gt;"""")))-1)"),"")</f>
        <v/>
      </c>
      <c r="AW407" s="65" t="e">
        <f t="shared" ca="1" si="68"/>
        <v>#VALUE!</v>
      </c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</row>
    <row r="408" spans="1:68" ht="19" x14ac:dyDescent="0.25">
      <c r="A408" s="5"/>
      <c r="B408" s="5"/>
      <c r="C408" s="5"/>
      <c r="D408" s="5"/>
      <c r="E408" s="5"/>
      <c r="F408" s="5"/>
      <c r="G408" s="5"/>
      <c r="H408" s="6"/>
      <c r="I408" s="5"/>
      <c r="J408" s="83"/>
      <c r="K408" s="83"/>
      <c r="L408" s="83"/>
      <c r="M408" s="83"/>
      <c r="N408" s="83"/>
      <c r="O408" s="83"/>
      <c r="P408" s="83"/>
      <c r="Q408" s="84"/>
      <c r="R408" s="83"/>
      <c r="S408" s="83"/>
      <c r="T408" s="85"/>
      <c r="U408" s="6"/>
      <c r="V408" s="44">
        <v>44505</v>
      </c>
      <c r="W408" s="45">
        <v>123.61</v>
      </c>
      <c r="X408" s="46"/>
      <c r="Y408" s="61"/>
      <c r="Z408" s="5"/>
      <c r="AA408" s="5"/>
      <c r="AB408" s="5"/>
      <c r="AC408" s="5"/>
      <c r="AD408" s="5"/>
      <c r="AE408" s="5"/>
      <c r="AF408" s="5"/>
      <c r="AG408" s="5"/>
      <c r="AH408" s="6"/>
      <c r="AI408" s="44">
        <v>44505</v>
      </c>
      <c r="AJ408" s="53">
        <v>123.61</v>
      </c>
      <c r="AK408" s="54">
        <f t="shared" si="66"/>
        <v>2.2838229209764194E-2</v>
      </c>
      <c r="AL408" s="55">
        <f t="shared" si="69"/>
        <v>16.968864030871593</v>
      </c>
      <c r="AM408" s="56">
        <v>25</v>
      </c>
      <c r="AN408" s="57">
        <f t="shared" si="67"/>
        <v>8.0311359691284068</v>
      </c>
      <c r="AO408" s="76">
        <f t="shared" si="70"/>
        <v>11.142143888006633</v>
      </c>
      <c r="AP408" s="63" t="str">
        <f t="shared" si="71"/>
        <v>Buy Stocks</v>
      </c>
      <c r="AQ408" s="63" t="str">
        <f t="shared" si="72"/>
        <v/>
      </c>
      <c r="AR408" s="63" t="str">
        <f t="shared" si="73"/>
        <v/>
      </c>
      <c r="AS408" s="63" t="str">
        <f t="shared" si="74"/>
        <v/>
      </c>
      <c r="AT408" s="78" t="str">
        <f t="shared" si="75"/>
        <v/>
      </c>
      <c r="AU408" s="78" t="str">
        <f t="shared" si="76"/>
        <v/>
      </c>
      <c r="AV408" s="64" t="str">
        <f ca="1">IFERROR(__xludf.DUMMYFUNCTION("IF(TRIM(AU408)="""","""",AU408/INDEX(FILTER(AT$3:AT408,TRIM(AT$3:AT408)&lt;&gt;""""),ROWS(FILTER(AT$3:AT408,TRIM(AT$3:AT408)&lt;&gt;"""")))-1)"),"")</f>
        <v/>
      </c>
      <c r="AW408" s="65" t="e">
        <f t="shared" ca="1" si="68"/>
        <v>#VALUE!</v>
      </c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</row>
    <row r="409" spans="1:68" ht="19" x14ac:dyDescent="0.25">
      <c r="A409" s="5"/>
      <c r="B409" s="5"/>
      <c r="C409" s="5"/>
      <c r="D409" s="5"/>
      <c r="E409" s="5"/>
      <c r="F409" s="5"/>
      <c r="G409" s="5"/>
      <c r="H409" s="6"/>
      <c r="I409" s="5"/>
      <c r="J409" s="83"/>
      <c r="K409" s="83"/>
      <c r="L409" s="83"/>
      <c r="M409" s="83"/>
      <c r="N409" s="83"/>
      <c r="O409" s="83"/>
      <c r="P409" s="83"/>
      <c r="Q409" s="84"/>
      <c r="R409" s="83"/>
      <c r="S409" s="83"/>
      <c r="T409" s="85"/>
      <c r="U409" s="6"/>
      <c r="V409" s="44">
        <v>44508</v>
      </c>
      <c r="W409" s="45">
        <v>124.54</v>
      </c>
      <c r="X409" s="46"/>
      <c r="Y409" s="61"/>
      <c r="Z409" s="5"/>
      <c r="AA409" s="5"/>
      <c r="AB409" s="5"/>
      <c r="AC409" s="5"/>
      <c r="AD409" s="5"/>
      <c r="AE409" s="5"/>
      <c r="AF409" s="5"/>
      <c r="AG409" s="5"/>
      <c r="AH409" s="6"/>
      <c r="AI409" s="44">
        <v>44508</v>
      </c>
      <c r="AJ409" s="53">
        <v>124.54</v>
      </c>
      <c r="AK409" s="54">
        <f t="shared" si="66"/>
        <v>7.5236631340507287E-3</v>
      </c>
      <c r="AL409" s="55">
        <f t="shared" si="69"/>
        <v>16.836606193665954</v>
      </c>
      <c r="AM409" s="56">
        <v>25</v>
      </c>
      <c r="AN409" s="57">
        <f t="shared" si="67"/>
        <v>8.1633938063340459</v>
      </c>
      <c r="AO409" s="76">
        <f t="shared" si="70"/>
        <v>10.88625573473114</v>
      </c>
      <c r="AP409" s="63" t="str">
        <f t="shared" si="71"/>
        <v>Buy Stocks</v>
      </c>
      <c r="AQ409" s="63" t="str">
        <f t="shared" si="72"/>
        <v/>
      </c>
      <c r="AR409" s="63" t="str">
        <f t="shared" si="73"/>
        <v/>
      </c>
      <c r="AS409" s="63" t="str">
        <f t="shared" si="74"/>
        <v/>
      </c>
      <c r="AT409" s="78" t="str">
        <f t="shared" si="75"/>
        <v/>
      </c>
      <c r="AU409" s="78" t="str">
        <f t="shared" si="76"/>
        <v/>
      </c>
      <c r="AV409" s="64" t="str">
        <f ca="1">IFERROR(__xludf.DUMMYFUNCTION("IF(TRIM(AU409)="""","""",AU409/INDEX(FILTER(AT$3:AT409,TRIM(AT$3:AT409)&lt;&gt;""""),ROWS(FILTER(AT$3:AT409,TRIM(AT$3:AT409)&lt;&gt;"""")))-1)"),"")</f>
        <v/>
      </c>
      <c r="AW409" s="65" t="e">
        <f t="shared" ca="1" si="68"/>
        <v>#VALUE!</v>
      </c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</row>
    <row r="410" spans="1:68" ht="19" x14ac:dyDescent="0.25">
      <c r="A410" s="5"/>
      <c r="B410" s="5"/>
      <c r="C410" s="5"/>
      <c r="D410" s="5"/>
      <c r="E410" s="5"/>
      <c r="F410" s="5"/>
      <c r="G410" s="5"/>
      <c r="H410" s="6"/>
      <c r="I410" s="5"/>
      <c r="J410" s="83"/>
      <c r="K410" s="83"/>
      <c r="L410" s="83"/>
      <c r="M410" s="83"/>
      <c r="N410" s="83"/>
      <c r="O410" s="83"/>
      <c r="P410" s="83"/>
      <c r="Q410" s="84"/>
      <c r="R410" s="83"/>
      <c r="S410" s="83"/>
      <c r="T410" s="85"/>
      <c r="U410" s="6"/>
      <c r="V410" s="44">
        <v>44509</v>
      </c>
      <c r="W410" s="45">
        <v>120.85</v>
      </c>
      <c r="X410" s="46"/>
      <c r="Y410" s="61"/>
      <c r="Z410" s="5"/>
      <c r="AA410" s="5"/>
      <c r="AB410" s="5"/>
      <c r="AC410" s="5"/>
      <c r="AD410" s="5"/>
      <c r="AE410" s="5"/>
      <c r="AF410" s="5"/>
      <c r="AG410" s="5"/>
      <c r="AH410" s="6"/>
      <c r="AI410" s="44">
        <v>44509</v>
      </c>
      <c r="AJ410" s="53">
        <v>120.85</v>
      </c>
      <c r="AK410" s="54">
        <f t="shared" si="66"/>
        <v>-2.9629034848241642E-2</v>
      </c>
      <c r="AL410" s="55">
        <f t="shared" si="69"/>
        <v>31.08158046179889</v>
      </c>
      <c r="AM410" s="56">
        <v>25</v>
      </c>
      <c r="AN410" s="57">
        <f t="shared" si="67"/>
        <v>-6.0815804617988896</v>
      </c>
      <c r="AO410" s="76">
        <f t="shared" si="70"/>
        <v>7.7647968663205544</v>
      </c>
      <c r="AP410" s="63" t="str">
        <f t="shared" si="71"/>
        <v>Buy Stocks</v>
      </c>
      <c r="AQ410" s="63" t="str">
        <f t="shared" si="72"/>
        <v/>
      </c>
      <c r="AR410" s="63" t="str">
        <f t="shared" si="73"/>
        <v/>
      </c>
      <c r="AS410" s="63" t="str">
        <f t="shared" si="74"/>
        <v/>
      </c>
      <c r="AT410" s="78" t="str">
        <f t="shared" si="75"/>
        <v/>
      </c>
      <c r="AU410" s="78" t="str">
        <f t="shared" si="76"/>
        <v/>
      </c>
      <c r="AV410" s="64" t="str">
        <f ca="1">IFERROR(__xludf.DUMMYFUNCTION("IF(TRIM(AU410)="""","""",AU410/INDEX(FILTER(AT$3:AT410,TRIM(AT$3:AT410)&lt;&gt;""""),ROWS(FILTER(AT$3:AT410,TRIM(AT$3:AT410)&lt;&gt;"""")))-1)"),"")</f>
        <v/>
      </c>
      <c r="AW410" s="65" t="e">
        <f t="shared" ca="1" si="68"/>
        <v>#VALUE!</v>
      </c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</row>
    <row r="411" spans="1:68" ht="19" x14ac:dyDescent="0.25">
      <c r="A411" s="5"/>
      <c r="B411" s="5"/>
      <c r="C411" s="5"/>
      <c r="D411" s="5"/>
      <c r="E411" s="5"/>
      <c r="F411" s="5"/>
      <c r="G411" s="5"/>
      <c r="H411" s="6"/>
      <c r="I411" s="5"/>
      <c r="J411" s="83"/>
      <c r="K411" s="83"/>
      <c r="L411" s="83"/>
      <c r="M411" s="83"/>
      <c r="N411" s="83"/>
      <c r="O411" s="83"/>
      <c r="P411" s="83"/>
      <c r="Q411" s="84"/>
      <c r="R411" s="83"/>
      <c r="S411" s="83"/>
      <c r="T411" s="85"/>
      <c r="U411" s="6"/>
      <c r="V411" s="44">
        <v>44510</v>
      </c>
      <c r="W411" s="45">
        <v>120.22</v>
      </c>
      <c r="X411" s="46"/>
      <c r="Y411" s="61"/>
      <c r="Z411" s="5"/>
      <c r="AA411" s="5"/>
      <c r="AB411" s="5"/>
      <c r="AC411" s="5"/>
      <c r="AD411" s="5"/>
      <c r="AE411" s="5"/>
      <c r="AF411" s="5"/>
      <c r="AG411" s="5"/>
      <c r="AH411" s="6"/>
      <c r="AI411" s="44">
        <v>44510</v>
      </c>
      <c r="AJ411" s="53">
        <v>120.22</v>
      </c>
      <c r="AK411" s="54">
        <f t="shared" si="66"/>
        <v>-5.2130740587504887E-3</v>
      </c>
      <c r="AL411" s="55">
        <f t="shared" si="69"/>
        <v>30.627138129205655</v>
      </c>
      <c r="AM411" s="56">
        <v>25</v>
      </c>
      <c r="AN411" s="57">
        <f t="shared" si="67"/>
        <v>-5.6271381292056546</v>
      </c>
      <c r="AO411" s="76">
        <f t="shared" si="70"/>
        <v>3.6589324493319841</v>
      </c>
      <c r="AP411" s="63" t="str">
        <f t="shared" si="71"/>
        <v>Buy Stocks</v>
      </c>
      <c r="AQ411" s="63" t="str">
        <f t="shared" si="72"/>
        <v/>
      </c>
      <c r="AR411" s="63" t="str">
        <f t="shared" si="73"/>
        <v/>
      </c>
      <c r="AS411" s="63" t="str">
        <f t="shared" si="74"/>
        <v/>
      </c>
      <c r="AT411" s="78" t="str">
        <f t="shared" si="75"/>
        <v/>
      </c>
      <c r="AU411" s="78" t="str">
        <f t="shared" si="76"/>
        <v/>
      </c>
      <c r="AV411" s="64" t="str">
        <f ca="1">IFERROR(__xludf.DUMMYFUNCTION("IF(TRIM(AU411)="""","""",AU411/INDEX(FILTER(AT$3:AT411,TRIM(AT$3:AT411)&lt;&gt;""""),ROWS(FILTER(AT$3:AT411,TRIM(AT$3:AT411)&lt;&gt;"""")))-1)"),"")</f>
        <v/>
      </c>
      <c r="AW411" s="65" t="e">
        <f t="shared" ca="1" si="68"/>
        <v>#VALUE!</v>
      </c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</row>
    <row r="412" spans="1:68" ht="19" x14ac:dyDescent="0.25">
      <c r="A412" s="5"/>
      <c r="B412" s="5"/>
      <c r="C412" s="5"/>
      <c r="D412" s="5"/>
      <c r="E412" s="5"/>
      <c r="F412" s="5"/>
      <c r="G412" s="5"/>
      <c r="H412" s="6"/>
      <c r="I412" s="5"/>
      <c r="J412" s="83"/>
      <c r="K412" s="83"/>
      <c r="L412" s="83"/>
      <c r="M412" s="83"/>
      <c r="N412" s="83"/>
      <c r="O412" s="83"/>
      <c r="P412" s="83"/>
      <c r="Q412" s="84"/>
      <c r="R412" s="83"/>
      <c r="S412" s="83"/>
      <c r="T412" s="85"/>
      <c r="U412" s="6"/>
      <c r="V412" s="44">
        <v>44511</v>
      </c>
      <c r="W412" s="45">
        <v>120.27</v>
      </c>
      <c r="X412" s="46"/>
      <c r="Y412" s="61"/>
      <c r="Z412" s="5"/>
      <c r="AA412" s="5"/>
      <c r="AB412" s="5"/>
      <c r="AC412" s="5"/>
      <c r="AD412" s="5"/>
      <c r="AE412" s="5"/>
      <c r="AF412" s="5"/>
      <c r="AG412" s="5"/>
      <c r="AH412" s="6"/>
      <c r="AI412" s="44">
        <v>44511</v>
      </c>
      <c r="AJ412" s="53">
        <v>120.27</v>
      </c>
      <c r="AK412" s="54">
        <f t="shared" si="66"/>
        <v>4.1590417567793914E-4</v>
      </c>
      <c r="AL412" s="55">
        <f t="shared" si="69"/>
        <v>30.536415139898963</v>
      </c>
      <c r="AM412" s="56">
        <v>25</v>
      </c>
      <c r="AN412" s="57">
        <f t="shared" si="67"/>
        <v>-5.5364151398989634</v>
      </c>
      <c r="AO412" s="76">
        <f t="shared" si="70"/>
        <v>-0.21012079108821097</v>
      </c>
      <c r="AP412" s="63" t="str">
        <f t="shared" si="71"/>
        <v/>
      </c>
      <c r="AQ412" s="63" t="str">
        <f t="shared" si="72"/>
        <v>Sell Stocks</v>
      </c>
      <c r="AR412" s="63" t="str">
        <f t="shared" si="73"/>
        <v/>
      </c>
      <c r="AS412" s="63" t="str">
        <f t="shared" si="74"/>
        <v>Sell Stocks</v>
      </c>
      <c r="AT412" s="78" t="str">
        <f t="shared" si="75"/>
        <v/>
      </c>
      <c r="AU412" s="77">
        <f t="shared" si="76"/>
        <v>120.27</v>
      </c>
      <c r="AV412" s="64">
        <f ca="1">IFERROR(__xludf.DUMMYFUNCTION("IF(TRIM(AU412)="""","""",AU412/INDEX(FILTER(AT$3:AT412,TRIM(AT$3:AT412)&lt;&gt;""""),ROWS(FILTER(AT$3:AT412,TRIM(AT$3:AT412)&lt;&gt;"""")))-1)"),-0.00207434450713572)</f>
        <v>-2.0743445071357198E-3</v>
      </c>
      <c r="AW412" s="65" t="e">
        <f t="shared" ca="1" si="68"/>
        <v>#VALUE!</v>
      </c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</row>
    <row r="413" spans="1:68" ht="19" x14ac:dyDescent="0.25">
      <c r="A413" s="5"/>
      <c r="B413" s="5"/>
      <c r="C413" s="5"/>
      <c r="D413" s="5"/>
      <c r="E413" s="5"/>
      <c r="F413" s="5"/>
      <c r="G413" s="5"/>
      <c r="H413" s="6"/>
      <c r="I413" s="5"/>
      <c r="J413" s="83"/>
      <c r="K413" s="83"/>
      <c r="L413" s="83"/>
      <c r="M413" s="83"/>
      <c r="N413" s="83"/>
      <c r="O413" s="83"/>
      <c r="P413" s="83"/>
      <c r="Q413" s="84"/>
      <c r="R413" s="83"/>
      <c r="S413" s="83"/>
      <c r="T413" s="85"/>
      <c r="U413" s="6"/>
      <c r="V413" s="44">
        <v>44512</v>
      </c>
      <c r="W413" s="45">
        <v>118.96</v>
      </c>
      <c r="X413" s="46"/>
      <c r="Y413" s="61"/>
      <c r="Z413" s="5"/>
      <c r="AA413" s="5"/>
      <c r="AB413" s="5"/>
      <c r="AC413" s="5"/>
      <c r="AD413" s="5"/>
      <c r="AE413" s="5"/>
      <c r="AF413" s="5"/>
      <c r="AG413" s="5"/>
      <c r="AH413" s="6"/>
      <c r="AI413" s="44">
        <v>44512</v>
      </c>
      <c r="AJ413" s="53">
        <v>118.96</v>
      </c>
      <c r="AK413" s="54">
        <f t="shared" si="66"/>
        <v>-1.0892159308223182E-2</v>
      </c>
      <c r="AL413" s="55">
        <f t="shared" si="69"/>
        <v>22.376660080303065</v>
      </c>
      <c r="AM413" s="56">
        <v>25</v>
      </c>
      <c r="AN413" s="57">
        <f t="shared" si="67"/>
        <v>2.6233399196969351</v>
      </c>
      <c r="AO413" s="76">
        <f t="shared" si="70"/>
        <v>-1.2916800009745053</v>
      </c>
      <c r="AP413" s="63" t="str">
        <f t="shared" si="71"/>
        <v/>
      </c>
      <c r="AQ413" s="63" t="str">
        <f t="shared" si="72"/>
        <v>Sell Stocks</v>
      </c>
      <c r="AR413" s="63" t="str">
        <f t="shared" si="73"/>
        <v/>
      </c>
      <c r="AS413" s="63" t="str">
        <f t="shared" si="74"/>
        <v/>
      </c>
      <c r="AT413" s="78" t="str">
        <f t="shared" si="75"/>
        <v/>
      </c>
      <c r="AU413" s="78" t="str">
        <f t="shared" si="76"/>
        <v/>
      </c>
      <c r="AV413" s="64" t="str">
        <f ca="1">IFERROR(__xludf.DUMMYFUNCTION("IF(TRIM(AU413)="""","""",AU413/INDEX(FILTER(AT$3:AT413,TRIM(AT$3:AT413)&lt;&gt;""""),ROWS(FILTER(AT$3:AT413,TRIM(AT$3:AT413)&lt;&gt;"""")))-1)"),"")</f>
        <v/>
      </c>
      <c r="AW413" s="65" t="e">
        <f t="shared" ca="1" si="68"/>
        <v>#VALUE!</v>
      </c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</row>
    <row r="414" spans="1:68" ht="19" x14ac:dyDescent="0.25">
      <c r="A414" s="5"/>
      <c r="B414" s="5"/>
      <c r="C414" s="5"/>
      <c r="D414" s="5"/>
      <c r="E414" s="5"/>
      <c r="F414" s="5"/>
      <c r="G414" s="5"/>
      <c r="H414" s="6"/>
      <c r="I414" s="5"/>
      <c r="J414" s="83"/>
      <c r="K414" s="83"/>
      <c r="L414" s="83"/>
      <c r="M414" s="83"/>
      <c r="N414" s="83"/>
      <c r="O414" s="83"/>
      <c r="P414" s="83"/>
      <c r="Q414" s="84"/>
      <c r="R414" s="83"/>
      <c r="S414" s="83"/>
      <c r="T414" s="85"/>
      <c r="U414" s="6"/>
      <c r="V414" s="44">
        <v>44515</v>
      </c>
      <c r="W414" s="45">
        <v>118.87</v>
      </c>
      <c r="X414" s="46"/>
      <c r="Y414" s="61"/>
      <c r="Z414" s="5"/>
      <c r="AA414" s="5"/>
      <c r="AB414" s="5"/>
      <c r="AC414" s="5"/>
      <c r="AD414" s="5"/>
      <c r="AE414" s="5"/>
      <c r="AF414" s="5"/>
      <c r="AG414" s="5"/>
      <c r="AH414" s="6"/>
      <c r="AI414" s="44">
        <v>44515</v>
      </c>
      <c r="AJ414" s="53">
        <v>118.87</v>
      </c>
      <c r="AK414" s="54">
        <f t="shared" si="66"/>
        <v>-7.5655682582376205E-4</v>
      </c>
      <c r="AL414" s="55">
        <f t="shared" si="69"/>
        <v>19.439964552702996</v>
      </c>
      <c r="AM414" s="56">
        <v>25</v>
      </c>
      <c r="AN414" s="57">
        <f t="shared" si="67"/>
        <v>5.5600354472970039</v>
      </c>
      <c r="AO414" s="76">
        <f t="shared" si="70"/>
        <v>-1.8123516727819138</v>
      </c>
      <c r="AP414" s="63" t="str">
        <f t="shared" si="71"/>
        <v/>
      </c>
      <c r="AQ414" s="63" t="str">
        <f t="shared" si="72"/>
        <v>Sell Stocks</v>
      </c>
      <c r="AR414" s="63" t="str">
        <f t="shared" si="73"/>
        <v/>
      </c>
      <c r="AS414" s="63" t="str">
        <f t="shared" si="74"/>
        <v/>
      </c>
      <c r="AT414" s="78" t="str">
        <f t="shared" si="75"/>
        <v/>
      </c>
      <c r="AU414" s="78" t="str">
        <f t="shared" si="76"/>
        <v/>
      </c>
      <c r="AV414" s="64" t="str">
        <f ca="1">IFERROR(__xludf.DUMMYFUNCTION("IF(TRIM(AU414)="""","""",AU414/INDEX(FILTER(AT$3:AT414,TRIM(AT$3:AT414)&lt;&gt;""""),ROWS(FILTER(AT$3:AT414,TRIM(AT$3:AT414)&lt;&gt;"""")))-1)"),"")</f>
        <v/>
      </c>
      <c r="AW414" s="65" t="e">
        <f t="shared" ca="1" si="68"/>
        <v>#VALUE!</v>
      </c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</row>
    <row r="415" spans="1:68" ht="19" x14ac:dyDescent="0.25">
      <c r="A415" s="5"/>
      <c r="B415" s="5"/>
      <c r="C415" s="5"/>
      <c r="D415" s="5"/>
      <c r="E415" s="5"/>
      <c r="F415" s="5"/>
      <c r="G415" s="5"/>
      <c r="H415" s="6"/>
      <c r="I415" s="5"/>
      <c r="J415" s="83"/>
      <c r="K415" s="83"/>
      <c r="L415" s="83"/>
      <c r="M415" s="83"/>
      <c r="N415" s="83"/>
      <c r="O415" s="83"/>
      <c r="P415" s="83"/>
      <c r="Q415" s="84"/>
      <c r="R415" s="83"/>
      <c r="S415" s="83"/>
      <c r="T415" s="85"/>
      <c r="U415" s="6"/>
      <c r="V415" s="44">
        <v>44516</v>
      </c>
      <c r="W415" s="45">
        <v>118.46</v>
      </c>
      <c r="X415" s="46"/>
      <c r="Y415" s="61"/>
      <c r="Z415" s="5"/>
      <c r="AA415" s="5"/>
      <c r="AB415" s="5"/>
      <c r="AC415" s="5"/>
      <c r="AD415" s="5"/>
      <c r="AE415" s="5"/>
      <c r="AF415" s="5"/>
      <c r="AG415" s="5"/>
      <c r="AH415" s="6"/>
      <c r="AI415" s="44">
        <v>44516</v>
      </c>
      <c r="AJ415" s="53">
        <v>118.46</v>
      </c>
      <c r="AK415" s="54">
        <f t="shared" si="66"/>
        <v>-3.4491461260200973E-3</v>
      </c>
      <c r="AL415" s="55">
        <f t="shared" si="69"/>
        <v>7.0679353633657529</v>
      </c>
      <c r="AM415" s="56">
        <v>25</v>
      </c>
      <c r="AN415" s="57">
        <f t="shared" si="67"/>
        <v>17.932064636634248</v>
      </c>
      <c r="AO415" s="76">
        <f t="shared" si="70"/>
        <v>2.9903773469047139</v>
      </c>
      <c r="AP415" s="63" t="str">
        <f t="shared" si="71"/>
        <v>Buy Stocks</v>
      </c>
      <c r="AQ415" s="63" t="str">
        <f t="shared" si="72"/>
        <v/>
      </c>
      <c r="AR415" s="63" t="str">
        <f t="shared" si="73"/>
        <v>Buy Stocks</v>
      </c>
      <c r="AS415" s="63" t="str">
        <f t="shared" si="74"/>
        <v/>
      </c>
      <c r="AT415" s="77">
        <f t="shared" si="75"/>
        <v>118.46</v>
      </c>
      <c r="AU415" s="78" t="str">
        <f t="shared" si="76"/>
        <v/>
      </c>
      <c r="AV415" s="64" t="str">
        <f ca="1">IFERROR(__xludf.DUMMYFUNCTION("IF(TRIM(AU415)="""","""",AU415/INDEX(FILTER(AT$3:AT415,TRIM(AT$3:AT415)&lt;&gt;""""),ROWS(FILTER(AT$3:AT415,TRIM(AT$3:AT415)&lt;&gt;"""")))-1)"),"")</f>
        <v/>
      </c>
      <c r="AW415" s="65" t="e">
        <f t="shared" ca="1" si="68"/>
        <v>#VALUE!</v>
      </c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</row>
    <row r="416" spans="1:68" ht="19" x14ac:dyDescent="0.25">
      <c r="A416" s="5"/>
      <c r="B416" s="5"/>
      <c r="C416" s="5"/>
      <c r="D416" s="5"/>
      <c r="E416" s="5"/>
      <c r="F416" s="5"/>
      <c r="G416" s="5"/>
      <c r="H416" s="6"/>
      <c r="I416" s="5"/>
      <c r="J416" s="83"/>
      <c r="K416" s="83"/>
      <c r="L416" s="83"/>
      <c r="M416" s="83"/>
      <c r="N416" s="83"/>
      <c r="O416" s="83"/>
      <c r="P416" s="83"/>
      <c r="Q416" s="84"/>
      <c r="R416" s="83"/>
      <c r="S416" s="83"/>
      <c r="T416" s="85"/>
      <c r="U416" s="6"/>
      <c r="V416" s="44">
        <v>44517</v>
      </c>
      <c r="W416" s="45">
        <v>118.06</v>
      </c>
      <c r="X416" s="46"/>
      <c r="Y416" s="61"/>
      <c r="Z416" s="5"/>
      <c r="AA416" s="5"/>
      <c r="AB416" s="5"/>
      <c r="AC416" s="5"/>
      <c r="AD416" s="5"/>
      <c r="AE416" s="5"/>
      <c r="AF416" s="5"/>
      <c r="AG416" s="5"/>
      <c r="AH416" s="6"/>
      <c r="AI416" s="44">
        <v>44517</v>
      </c>
      <c r="AJ416" s="53">
        <v>118.06</v>
      </c>
      <c r="AK416" s="54">
        <f t="shared" si="66"/>
        <v>-3.3766672294445188E-3</v>
      </c>
      <c r="AL416" s="55">
        <f t="shared" si="69"/>
        <v>6.985693924033737</v>
      </c>
      <c r="AM416" s="56">
        <v>25</v>
      </c>
      <c r="AN416" s="57">
        <f t="shared" si="67"/>
        <v>18.014306075966264</v>
      </c>
      <c r="AO416" s="76">
        <f t="shared" si="70"/>
        <v>7.7186661879390979</v>
      </c>
      <c r="AP416" s="63" t="str">
        <f t="shared" si="71"/>
        <v>Buy Stocks</v>
      </c>
      <c r="AQ416" s="63" t="str">
        <f t="shared" si="72"/>
        <v/>
      </c>
      <c r="AR416" s="63" t="str">
        <f t="shared" si="73"/>
        <v/>
      </c>
      <c r="AS416" s="63" t="str">
        <f t="shared" si="74"/>
        <v/>
      </c>
      <c r="AT416" s="78" t="str">
        <f t="shared" si="75"/>
        <v/>
      </c>
      <c r="AU416" s="78" t="str">
        <f t="shared" si="76"/>
        <v/>
      </c>
      <c r="AV416" s="64" t="str">
        <f ca="1">IFERROR(__xludf.DUMMYFUNCTION("IF(TRIM(AU416)="""","""",AU416/INDEX(FILTER(AT$3:AT416,TRIM(AT$3:AT416)&lt;&gt;""""),ROWS(FILTER(AT$3:AT416,TRIM(AT$3:AT416)&lt;&gt;"""")))-1)"),"")</f>
        <v/>
      </c>
      <c r="AW416" s="65" t="e">
        <f t="shared" ca="1" si="68"/>
        <v>#VALUE!</v>
      </c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</row>
    <row r="417" spans="1:68" ht="19" x14ac:dyDescent="0.25">
      <c r="A417" s="5"/>
      <c r="B417" s="5"/>
      <c r="C417" s="5"/>
      <c r="D417" s="5"/>
      <c r="E417" s="5"/>
      <c r="F417" s="5"/>
      <c r="G417" s="5"/>
      <c r="H417" s="6"/>
      <c r="I417" s="5"/>
      <c r="J417" s="83"/>
      <c r="K417" s="83"/>
      <c r="L417" s="83"/>
      <c r="M417" s="83"/>
      <c r="N417" s="83"/>
      <c r="O417" s="83"/>
      <c r="P417" s="83"/>
      <c r="Q417" s="84"/>
      <c r="R417" s="83"/>
      <c r="S417" s="83"/>
      <c r="T417" s="85"/>
      <c r="U417" s="6"/>
      <c r="V417" s="44">
        <v>44518</v>
      </c>
      <c r="W417" s="45">
        <v>116.66</v>
      </c>
      <c r="X417" s="46"/>
      <c r="Y417" s="61"/>
      <c r="Z417" s="5"/>
      <c r="AA417" s="5"/>
      <c r="AB417" s="5"/>
      <c r="AC417" s="5"/>
      <c r="AD417" s="5"/>
      <c r="AE417" s="5"/>
      <c r="AF417" s="5"/>
      <c r="AG417" s="5"/>
      <c r="AH417" s="6"/>
      <c r="AI417" s="44">
        <v>44518</v>
      </c>
      <c r="AJ417" s="53">
        <v>116.66</v>
      </c>
      <c r="AK417" s="54">
        <f t="shared" si="66"/>
        <v>-1.1858377096391703E-2</v>
      </c>
      <c r="AL417" s="55">
        <f t="shared" si="69"/>
        <v>7.9020163053192043</v>
      </c>
      <c r="AM417" s="56">
        <v>25</v>
      </c>
      <c r="AN417" s="57">
        <f t="shared" si="67"/>
        <v>17.097983694680796</v>
      </c>
      <c r="AO417" s="76">
        <f t="shared" si="70"/>
        <v>12.24554595485505</v>
      </c>
      <c r="AP417" s="63" t="str">
        <f t="shared" si="71"/>
        <v>Buy Stocks</v>
      </c>
      <c r="AQ417" s="63" t="str">
        <f t="shared" si="72"/>
        <v/>
      </c>
      <c r="AR417" s="63" t="str">
        <f t="shared" si="73"/>
        <v/>
      </c>
      <c r="AS417" s="63" t="str">
        <f t="shared" si="74"/>
        <v/>
      </c>
      <c r="AT417" s="78" t="str">
        <f t="shared" si="75"/>
        <v/>
      </c>
      <c r="AU417" s="78" t="str">
        <f t="shared" si="76"/>
        <v/>
      </c>
      <c r="AV417" s="64" t="str">
        <f ca="1">IFERROR(__xludf.DUMMYFUNCTION("IF(TRIM(AU417)="""","""",AU417/INDEX(FILTER(AT$3:AT417,TRIM(AT$3:AT417)&lt;&gt;""""),ROWS(FILTER(AT$3:AT417,TRIM(AT$3:AT417)&lt;&gt;"""")))-1)"),"")</f>
        <v/>
      </c>
      <c r="AW417" s="65" t="e">
        <f t="shared" ca="1" si="68"/>
        <v>#VALUE!</v>
      </c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</row>
    <row r="418" spans="1:68" ht="19" x14ac:dyDescent="0.25">
      <c r="A418" s="5"/>
      <c r="B418" s="5"/>
      <c r="C418" s="5"/>
      <c r="D418" s="5"/>
      <c r="E418" s="5"/>
      <c r="F418" s="5"/>
      <c r="G418" s="5"/>
      <c r="H418" s="6"/>
      <c r="I418" s="5"/>
      <c r="J418" s="83"/>
      <c r="K418" s="83"/>
      <c r="L418" s="83"/>
      <c r="M418" s="83"/>
      <c r="N418" s="83"/>
      <c r="O418" s="83"/>
      <c r="P418" s="83"/>
      <c r="Q418" s="84"/>
      <c r="R418" s="83"/>
      <c r="S418" s="83"/>
      <c r="T418" s="85"/>
      <c r="U418" s="6"/>
      <c r="V418" s="44">
        <v>44519</v>
      </c>
      <c r="W418" s="45">
        <v>116.05</v>
      </c>
      <c r="X418" s="46"/>
      <c r="Y418" s="61"/>
      <c r="Z418" s="5"/>
      <c r="AA418" s="5"/>
      <c r="AB418" s="5"/>
      <c r="AC418" s="5"/>
      <c r="AD418" s="5"/>
      <c r="AE418" s="5"/>
      <c r="AF418" s="5"/>
      <c r="AG418" s="5"/>
      <c r="AH418" s="6"/>
      <c r="AI418" s="44">
        <v>44519</v>
      </c>
      <c r="AJ418" s="53">
        <v>116.05</v>
      </c>
      <c r="AK418" s="54">
        <f t="shared" si="66"/>
        <v>-5.2288702211554794E-3</v>
      </c>
      <c r="AL418" s="55">
        <f t="shared" si="69"/>
        <v>6.6462383574040746</v>
      </c>
      <c r="AM418" s="56">
        <v>25</v>
      </c>
      <c r="AN418" s="57">
        <f t="shared" si="67"/>
        <v>18.353761642595927</v>
      </c>
      <c r="AO418" s="76">
        <f t="shared" si="70"/>
        <v>15.391630299434848</v>
      </c>
      <c r="AP418" s="63" t="str">
        <f t="shared" si="71"/>
        <v>Buy Stocks</v>
      </c>
      <c r="AQ418" s="63" t="str">
        <f t="shared" si="72"/>
        <v/>
      </c>
      <c r="AR418" s="63" t="str">
        <f t="shared" si="73"/>
        <v/>
      </c>
      <c r="AS418" s="63" t="str">
        <f t="shared" si="74"/>
        <v/>
      </c>
      <c r="AT418" s="78" t="str">
        <f t="shared" si="75"/>
        <v/>
      </c>
      <c r="AU418" s="78" t="str">
        <f t="shared" si="76"/>
        <v/>
      </c>
      <c r="AV418" s="64" t="str">
        <f ca="1">IFERROR(__xludf.DUMMYFUNCTION("IF(TRIM(AU418)="""","""",AU418/INDEX(FILTER(AT$3:AT418,TRIM(AT$3:AT418)&lt;&gt;""""),ROWS(FILTER(AT$3:AT418,TRIM(AT$3:AT418)&lt;&gt;"""")))-1)"),"")</f>
        <v/>
      </c>
      <c r="AW418" s="65" t="e">
        <f t="shared" ca="1" si="68"/>
        <v>#VALUE!</v>
      </c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</row>
    <row r="419" spans="1:68" ht="19" x14ac:dyDescent="0.25">
      <c r="A419" s="5"/>
      <c r="B419" s="5"/>
      <c r="C419" s="5"/>
      <c r="D419" s="5"/>
      <c r="E419" s="5"/>
      <c r="F419" s="5"/>
      <c r="G419" s="5"/>
      <c r="H419" s="6"/>
      <c r="I419" s="5"/>
      <c r="J419" s="83"/>
      <c r="K419" s="83"/>
      <c r="L419" s="83"/>
      <c r="M419" s="83"/>
      <c r="N419" s="83"/>
      <c r="O419" s="83"/>
      <c r="P419" s="83"/>
      <c r="Q419" s="84"/>
      <c r="R419" s="83"/>
      <c r="S419" s="83"/>
      <c r="T419" s="85"/>
      <c r="U419" s="6"/>
      <c r="V419" s="44">
        <v>44522</v>
      </c>
      <c r="W419" s="45">
        <v>116.47</v>
      </c>
      <c r="X419" s="46"/>
      <c r="Y419" s="61"/>
      <c r="Z419" s="5"/>
      <c r="AA419" s="5"/>
      <c r="AB419" s="5"/>
      <c r="AC419" s="5"/>
      <c r="AD419" s="5"/>
      <c r="AE419" s="5"/>
      <c r="AF419" s="5"/>
      <c r="AG419" s="5"/>
      <c r="AH419" s="6"/>
      <c r="AI419" s="44">
        <v>44522</v>
      </c>
      <c r="AJ419" s="53">
        <v>116.47</v>
      </c>
      <c r="AK419" s="54">
        <f t="shared" si="66"/>
        <v>3.6191296854803934E-3</v>
      </c>
      <c r="AL419" s="55">
        <f t="shared" si="69"/>
        <v>8.7666261632298337</v>
      </c>
      <c r="AM419" s="56">
        <v>25</v>
      </c>
      <c r="AN419" s="57">
        <f t="shared" si="67"/>
        <v>16.233373836770166</v>
      </c>
      <c r="AO419" s="76">
        <f t="shared" si="70"/>
        <v>17.526297977329481</v>
      </c>
      <c r="AP419" s="63" t="str">
        <f t="shared" si="71"/>
        <v>Buy Stocks</v>
      </c>
      <c r="AQ419" s="63" t="str">
        <f t="shared" si="72"/>
        <v/>
      </c>
      <c r="AR419" s="63" t="str">
        <f t="shared" si="73"/>
        <v/>
      </c>
      <c r="AS419" s="63" t="str">
        <f t="shared" si="74"/>
        <v/>
      </c>
      <c r="AT419" s="78" t="str">
        <f t="shared" si="75"/>
        <v/>
      </c>
      <c r="AU419" s="78" t="str">
        <f t="shared" si="76"/>
        <v/>
      </c>
      <c r="AV419" s="64" t="str">
        <f ca="1">IFERROR(__xludf.DUMMYFUNCTION("IF(TRIM(AU419)="""","""",AU419/INDEX(FILTER(AT$3:AT419,TRIM(AT$3:AT419)&lt;&gt;""""),ROWS(FILTER(AT$3:AT419,TRIM(AT$3:AT419)&lt;&gt;"""")))-1)"),"")</f>
        <v/>
      </c>
      <c r="AW419" s="65" t="e">
        <f t="shared" ca="1" si="68"/>
        <v>#VALUE!</v>
      </c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</row>
    <row r="420" spans="1:68" ht="19" x14ac:dyDescent="0.25">
      <c r="A420" s="5"/>
      <c r="B420" s="5"/>
      <c r="C420" s="5"/>
      <c r="D420" s="5"/>
      <c r="E420" s="5"/>
      <c r="F420" s="5"/>
      <c r="G420" s="5"/>
      <c r="H420" s="6"/>
      <c r="I420" s="5"/>
      <c r="J420" s="83"/>
      <c r="K420" s="83"/>
      <c r="L420" s="83"/>
      <c r="M420" s="83"/>
      <c r="N420" s="83"/>
      <c r="O420" s="83"/>
      <c r="P420" s="83"/>
      <c r="Q420" s="84"/>
      <c r="R420" s="83"/>
      <c r="S420" s="83"/>
      <c r="T420" s="85"/>
      <c r="U420" s="6"/>
      <c r="V420" s="44">
        <v>44523</v>
      </c>
      <c r="W420" s="45">
        <v>116.79</v>
      </c>
      <c r="X420" s="46"/>
      <c r="Y420" s="61"/>
      <c r="Z420" s="5"/>
      <c r="AA420" s="5"/>
      <c r="AB420" s="5"/>
      <c r="AC420" s="5"/>
      <c r="AD420" s="5"/>
      <c r="AE420" s="5"/>
      <c r="AF420" s="5"/>
      <c r="AG420" s="5"/>
      <c r="AH420" s="6"/>
      <c r="AI420" s="44">
        <v>44523</v>
      </c>
      <c r="AJ420" s="53">
        <v>116.79</v>
      </c>
      <c r="AK420" s="54">
        <f t="shared" si="66"/>
        <v>2.7474886236800167E-3</v>
      </c>
      <c r="AL420" s="55">
        <f t="shared" si="69"/>
        <v>10.048203409493167</v>
      </c>
      <c r="AM420" s="56">
        <v>25</v>
      </c>
      <c r="AN420" s="57">
        <f t="shared" si="67"/>
        <v>14.951796590506833</v>
      </c>
      <c r="AO420" s="76">
        <f t="shared" si="70"/>
        <v>16.930244368103995</v>
      </c>
      <c r="AP420" s="63" t="str">
        <f t="shared" si="71"/>
        <v>Buy Stocks</v>
      </c>
      <c r="AQ420" s="63" t="str">
        <f t="shared" si="72"/>
        <v/>
      </c>
      <c r="AR420" s="63" t="str">
        <f t="shared" si="73"/>
        <v/>
      </c>
      <c r="AS420" s="63" t="str">
        <f t="shared" si="74"/>
        <v/>
      </c>
      <c r="AT420" s="78" t="str">
        <f t="shared" si="75"/>
        <v/>
      </c>
      <c r="AU420" s="78" t="str">
        <f t="shared" si="76"/>
        <v/>
      </c>
      <c r="AV420" s="64" t="str">
        <f ca="1">IFERROR(__xludf.DUMMYFUNCTION("IF(TRIM(AU420)="""","""",AU420/INDEX(FILTER(AT$3:AT420,TRIM(AT$3:AT420)&lt;&gt;""""),ROWS(FILTER(AT$3:AT420,TRIM(AT$3:AT420)&lt;&gt;"""")))-1)"),"")</f>
        <v/>
      </c>
      <c r="AW420" s="65" t="e">
        <f t="shared" ca="1" si="68"/>
        <v>#VALUE!</v>
      </c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</row>
    <row r="421" spans="1:68" ht="19" x14ac:dyDescent="0.25">
      <c r="A421" s="5"/>
      <c r="B421" s="5"/>
      <c r="C421" s="5"/>
      <c r="D421" s="5"/>
      <c r="E421" s="5"/>
      <c r="F421" s="5"/>
      <c r="G421" s="5"/>
      <c r="H421" s="6"/>
      <c r="I421" s="5"/>
      <c r="J421" s="83"/>
      <c r="K421" s="83"/>
      <c r="L421" s="83"/>
      <c r="M421" s="83"/>
      <c r="N421" s="83"/>
      <c r="O421" s="83"/>
      <c r="P421" s="83"/>
      <c r="Q421" s="84"/>
      <c r="R421" s="83"/>
      <c r="S421" s="83"/>
      <c r="T421" s="85"/>
      <c r="U421" s="6"/>
      <c r="V421" s="44">
        <v>44524</v>
      </c>
      <c r="W421" s="45">
        <v>116.73</v>
      </c>
      <c r="X421" s="46"/>
      <c r="Y421" s="61"/>
      <c r="Z421" s="5"/>
      <c r="AA421" s="5"/>
      <c r="AB421" s="5"/>
      <c r="AC421" s="5"/>
      <c r="AD421" s="5"/>
      <c r="AE421" s="5"/>
      <c r="AF421" s="5"/>
      <c r="AG421" s="5"/>
      <c r="AH421" s="6"/>
      <c r="AI421" s="44">
        <v>44524</v>
      </c>
      <c r="AJ421" s="53">
        <v>116.73</v>
      </c>
      <c r="AK421" s="54">
        <f t="shared" si="66"/>
        <v>-5.1374261494996354E-4</v>
      </c>
      <c r="AL421" s="55">
        <f t="shared" si="69"/>
        <v>10.153193476893136</v>
      </c>
      <c r="AM421" s="56">
        <v>25</v>
      </c>
      <c r="AN421" s="57">
        <f t="shared" si="67"/>
        <v>14.846806523106864</v>
      </c>
      <c r="AO421" s="76">
        <f t="shared" si="70"/>
        <v>16.296744457532117</v>
      </c>
      <c r="AP421" s="63" t="str">
        <f t="shared" si="71"/>
        <v>Buy Stocks</v>
      </c>
      <c r="AQ421" s="63" t="str">
        <f t="shared" si="72"/>
        <v/>
      </c>
      <c r="AR421" s="63" t="str">
        <f t="shared" si="73"/>
        <v/>
      </c>
      <c r="AS421" s="63" t="str">
        <f t="shared" si="74"/>
        <v/>
      </c>
      <c r="AT421" s="78" t="str">
        <f t="shared" si="75"/>
        <v/>
      </c>
      <c r="AU421" s="78" t="str">
        <f t="shared" si="76"/>
        <v/>
      </c>
      <c r="AV421" s="64" t="str">
        <f ca="1">IFERROR(__xludf.DUMMYFUNCTION("IF(TRIM(AU421)="""","""",AU421/INDEX(FILTER(AT$3:AT421,TRIM(AT$3:AT421)&lt;&gt;""""),ROWS(FILTER(AT$3:AT421,TRIM(AT$3:AT421)&lt;&gt;"""")))-1)"),"")</f>
        <v/>
      </c>
      <c r="AW421" s="65" t="e">
        <f t="shared" ca="1" si="68"/>
        <v>#VALUE!</v>
      </c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</row>
    <row r="422" spans="1:68" ht="19" x14ac:dyDescent="0.25">
      <c r="A422" s="5"/>
      <c r="B422" s="5"/>
      <c r="C422" s="5"/>
      <c r="D422" s="5"/>
      <c r="E422" s="5"/>
      <c r="F422" s="5"/>
      <c r="G422" s="5"/>
      <c r="H422" s="6"/>
      <c r="I422" s="5"/>
      <c r="J422" s="83"/>
      <c r="K422" s="83"/>
      <c r="L422" s="83"/>
      <c r="M422" s="83"/>
      <c r="N422" s="83"/>
      <c r="O422" s="83"/>
      <c r="P422" s="83"/>
      <c r="Q422" s="84"/>
      <c r="R422" s="83"/>
      <c r="S422" s="83"/>
      <c r="T422" s="85"/>
      <c r="U422" s="6"/>
      <c r="V422" s="44">
        <v>44526</v>
      </c>
      <c r="W422" s="45">
        <v>115.81</v>
      </c>
      <c r="X422" s="46"/>
      <c r="Y422" s="61"/>
      <c r="Z422" s="5"/>
      <c r="AA422" s="5"/>
      <c r="AB422" s="5"/>
      <c r="AC422" s="5"/>
      <c r="AD422" s="5"/>
      <c r="AE422" s="5"/>
      <c r="AF422" s="5"/>
      <c r="AG422" s="5"/>
      <c r="AH422" s="6"/>
      <c r="AI422" s="44">
        <v>44526</v>
      </c>
      <c r="AJ422" s="53">
        <v>115.81</v>
      </c>
      <c r="AK422" s="54">
        <f t="shared" si="66"/>
        <v>-7.8814357919986255E-3</v>
      </c>
      <c r="AL422" s="55">
        <f t="shared" si="69"/>
        <v>7.9306942514935628</v>
      </c>
      <c r="AM422" s="56">
        <v>25</v>
      </c>
      <c r="AN422" s="57">
        <f t="shared" si="67"/>
        <v>17.069305748506437</v>
      </c>
      <c r="AO422" s="76">
        <f t="shared" si="70"/>
        <v>16.291008868297247</v>
      </c>
      <c r="AP422" s="63" t="str">
        <f t="shared" si="71"/>
        <v>Buy Stocks</v>
      </c>
      <c r="AQ422" s="63" t="str">
        <f t="shared" si="72"/>
        <v/>
      </c>
      <c r="AR422" s="63" t="str">
        <f t="shared" si="73"/>
        <v/>
      </c>
      <c r="AS422" s="63" t="str">
        <f t="shared" si="74"/>
        <v/>
      </c>
      <c r="AT422" s="78" t="str">
        <f t="shared" si="75"/>
        <v/>
      </c>
      <c r="AU422" s="78" t="str">
        <f t="shared" si="76"/>
        <v/>
      </c>
      <c r="AV422" s="64" t="str">
        <f ca="1">IFERROR(__xludf.DUMMYFUNCTION("IF(TRIM(AU422)="""","""",AU422/INDEX(FILTER(AT$3:AT422,TRIM(AT$3:AT422)&lt;&gt;""""),ROWS(FILTER(AT$3:AT422,TRIM(AT$3:AT422)&lt;&gt;"""")))-1)"),"")</f>
        <v/>
      </c>
      <c r="AW422" s="65" t="e">
        <f t="shared" ca="1" si="68"/>
        <v>#VALUE!</v>
      </c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</row>
    <row r="423" spans="1:68" ht="19" x14ac:dyDescent="0.25">
      <c r="A423" s="5"/>
      <c r="B423" s="5"/>
      <c r="C423" s="5"/>
      <c r="D423" s="5"/>
      <c r="E423" s="5"/>
      <c r="F423" s="5"/>
      <c r="G423" s="5"/>
      <c r="H423" s="6"/>
      <c r="I423" s="5"/>
      <c r="J423" s="83"/>
      <c r="K423" s="83"/>
      <c r="L423" s="83"/>
      <c r="M423" s="83"/>
      <c r="N423" s="83"/>
      <c r="O423" s="83"/>
      <c r="P423" s="83"/>
      <c r="Q423" s="84"/>
      <c r="R423" s="83"/>
      <c r="S423" s="83"/>
      <c r="T423" s="85"/>
      <c r="U423" s="6"/>
      <c r="V423" s="44">
        <v>44529</v>
      </c>
      <c r="W423" s="45">
        <v>118.5</v>
      </c>
      <c r="X423" s="46"/>
      <c r="Y423" s="61"/>
      <c r="Z423" s="5"/>
      <c r="AA423" s="5"/>
      <c r="AB423" s="5"/>
      <c r="AC423" s="5"/>
      <c r="AD423" s="5"/>
      <c r="AE423" s="5"/>
      <c r="AF423" s="5"/>
      <c r="AG423" s="5"/>
      <c r="AH423" s="6"/>
      <c r="AI423" s="44">
        <v>44529</v>
      </c>
      <c r="AJ423" s="53">
        <v>118.5</v>
      </c>
      <c r="AK423" s="54">
        <f t="shared" si="66"/>
        <v>2.3227700543994478E-2</v>
      </c>
      <c r="AL423" s="55">
        <f t="shared" si="69"/>
        <v>18.318953664800919</v>
      </c>
      <c r="AM423" s="56">
        <v>25</v>
      </c>
      <c r="AN423" s="57">
        <f t="shared" si="67"/>
        <v>6.6810463351990812</v>
      </c>
      <c r="AO423" s="76">
        <f t="shared" si="70"/>
        <v>13.956465806817878</v>
      </c>
      <c r="AP423" s="63" t="str">
        <f t="shared" si="71"/>
        <v>Buy Stocks</v>
      </c>
      <c r="AQ423" s="63" t="str">
        <f t="shared" si="72"/>
        <v/>
      </c>
      <c r="AR423" s="63" t="str">
        <f t="shared" si="73"/>
        <v/>
      </c>
      <c r="AS423" s="63" t="str">
        <f t="shared" si="74"/>
        <v/>
      </c>
      <c r="AT423" s="78" t="str">
        <f t="shared" si="75"/>
        <v/>
      </c>
      <c r="AU423" s="78" t="str">
        <f t="shared" si="76"/>
        <v/>
      </c>
      <c r="AV423" s="64" t="str">
        <f ca="1">IFERROR(__xludf.DUMMYFUNCTION("IF(TRIM(AU423)="""","""",AU423/INDEX(FILTER(AT$3:AT423,TRIM(AT$3:AT423)&lt;&gt;""""),ROWS(FILTER(AT$3:AT423,TRIM(AT$3:AT423)&lt;&gt;"""")))-1)"),"")</f>
        <v/>
      </c>
      <c r="AW423" s="65" t="e">
        <f t="shared" ca="1" si="68"/>
        <v>#VALUE!</v>
      </c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</row>
    <row r="424" spans="1:68" ht="19" x14ac:dyDescent="0.25">
      <c r="A424" s="5"/>
      <c r="B424" s="5"/>
      <c r="C424" s="5"/>
      <c r="D424" s="5"/>
      <c r="E424" s="5"/>
      <c r="F424" s="5"/>
      <c r="G424" s="5"/>
      <c r="H424" s="6"/>
      <c r="I424" s="5"/>
      <c r="J424" s="83"/>
      <c r="K424" s="83"/>
      <c r="L424" s="83"/>
      <c r="M424" s="83"/>
      <c r="N424" s="83"/>
      <c r="O424" s="83"/>
      <c r="P424" s="83"/>
      <c r="Q424" s="84"/>
      <c r="R424" s="83"/>
      <c r="S424" s="83"/>
      <c r="T424" s="85"/>
      <c r="U424" s="6"/>
      <c r="V424" s="44">
        <v>44530</v>
      </c>
      <c r="W424" s="45">
        <v>117.1</v>
      </c>
      <c r="X424" s="46"/>
      <c r="Y424" s="61"/>
      <c r="Z424" s="5"/>
      <c r="AA424" s="5"/>
      <c r="AB424" s="5"/>
      <c r="AC424" s="5"/>
      <c r="AD424" s="5"/>
      <c r="AE424" s="5"/>
      <c r="AF424" s="5"/>
      <c r="AG424" s="5"/>
      <c r="AH424" s="6"/>
      <c r="AI424" s="44">
        <v>44530</v>
      </c>
      <c r="AJ424" s="53">
        <v>117.1</v>
      </c>
      <c r="AK424" s="54">
        <f t="shared" si="66"/>
        <v>-1.1814345991561281E-2</v>
      </c>
      <c r="AL424" s="55">
        <f t="shared" si="69"/>
        <v>21.626445160488963</v>
      </c>
      <c r="AM424" s="56">
        <v>25</v>
      </c>
      <c r="AN424" s="57">
        <f t="shared" si="67"/>
        <v>3.3735548395110371</v>
      </c>
      <c r="AO424" s="76">
        <f t="shared" si="70"/>
        <v>11.38450200736605</v>
      </c>
      <c r="AP424" s="63" t="str">
        <f t="shared" si="71"/>
        <v>Buy Stocks</v>
      </c>
      <c r="AQ424" s="63" t="str">
        <f t="shared" si="72"/>
        <v/>
      </c>
      <c r="AR424" s="63" t="str">
        <f t="shared" si="73"/>
        <v/>
      </c>
      <c r="AS424" s="63" t="str">
        <f t="shared" si="74"/>
        <v/>
      </c>
      <c r="AT424" s="78" t="str">
        <f t="shared" si="75"/>
        <v/>
      </c>
      <c r="AU424" s="78" t="str">
        <f t="shared" si="76"/>
        <v/>
      </c>
      <c r="AV424" s="64" t="str">
        <f ca="1">IFERROR(__xludf.DUMMYFUNCTION("IF(TRIM(AU424)="""","""",AU424/INDEX(FILTER(AT$3:AT424,TRIM(AT$3:AT424)&lt;&gt;""""),ROWS(FILTER(AT$3:AT424,TRIM(AT$3:AT424)&lt;&gt;"""")))-1)"),"")</f>
        <v/>
      </c>
      <c r="AW424" s="65" t="e">
        <f t="shared" ca="1" si="68"/>
        <v>#VALUE!</v>
      </c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</row>
    <row r="425" spans="1:68" ht="19" x14ac:dyDescent="0.25">
      <c r="A425" s="5"/>
      <c r="B425" s="5"/>
      <c r="C425" s="5"/>
      <c r="D425" s="5"/>
      <c r="E425" s="5"/>
      <c r="F425" s="5"/>
      <c r="G425" s="5"/>
      <c r="H425" s="6"/>
      <c r="I425" s="5"/>
      <c r="J425" s="83"/>
      <c r="K425" s="83"/>
      <c r="L425" s="83"/>
      <c r="M425" s="83"/>
      <c r="N425" s="83"/>
      <c r="O425" s="83"/>
      <c r="P425" s="83"/>
      <c r="Q425" s="84"/>
      <c r="R425" s="83"/>
      <c r="S425" s="83"/>
      <c r="T425" s="85"/>
      <c r="U425" s="6"/>
      <c r="V425" s="44">
        <v>44531</v>
      </c>
      <c r="W425" s="45">
        <v>116.92</v>
      </c>
      <c r="X425" s="46"/>
      <c r="Y425" s="61"/>
      <c r="Z425" s="5"/>
      <c r="AA425" s="5"/>
      <c r="AB425" s="5"/>
      <c r="AC425" s="5"/>
      <c r="AD425" s="5"/>
      <c r="AE425" s="5"/>
      <c r="AF425" s="5"/>
      <c r="AG425" s="5"/>
      <c r="AH425" s="6"/>
      <c r="AI425" s="44">
        <v>44531</v>
      </c>
      <c r="AJ425" s="53">
        <v>116.92</v>
      </c>
      <c r="AK425" s="54">
        <f t="shared" si="66"/>
        <v>-1.5371477369768849E-3</v>
      </c>
      <c r="AL425" s="55">
        <f t="shared" si="69"/>
        <v>21.641355361895286</v>
      </c>
      <c r="AM425" s="56">
        <v>25</v>
      </c>
      <c r="AN425" s="57">
        <f t="shared" si="67"/>
        <v>3.3586446381047139</v>
      </c>
      <c r="AO425" s="76">
        <f t="shared" si="70"/>
        <v>9.0658716168856266</v>
      </c>
      <c r="AP425" s="63" t="str">
        <f t="shared" si="71"/>
        <v>Buy Stocks</v>
      </c>
      <c r="AQ425" s="63" t="str">
        <f t="shared" si="72"/>
        <v/>
      </c>
      <c r="AR425" s="63" t="str">
        <f t="shared" si="73"/>
        <v/>
      </c>
      <c r="AS425" s="63" t="str">
        <f t="shared" si="74"/>
        <v/>
      </c>
      <c r="AT425" s="78" t="str">
        <f t="shared" si="75"/>
        <v/>
      </c>
      <c r="AU425" s="78" t="str">
        <f t="shared" si="76"/>
        <v/>
      </c>
      <c r="AV425" s="64" t="str">
        <f ca="1">IFERROR(__xludf.DUMMYFUNCTION("IF(TRIM(AU425)="""","""",AU425/INDEX(FILTER(AT$3:AT425,TRIM(AT$3:AT425)&lt;&gt;""""),ROWS(FILTER(AT$3:AT425,TRIM(AT$3:AT425)&lt;&gt;"""")))-1)"),"")</f>
        <v/>
      </c>
      <c r="AW425" s="65" t="e">
        <f t="shared" ca="1" si="68"/>
        <v>#VALUE!</v>
      </c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</row>
    <row r="426" spans="1:68" ht="19" x14ac:dyDescent="0.25">
      <c r="A426" s="5"/>
      <c r="B426" s="5"/>
      <c r="C426" s="5"/>
      <c r="D426" s="5"/>
      <c r="E426" s="5"/>
      <c r="F426" s="5"/>
      <c r="G426" s="5"/>
      <c r="H426" s="6"/>
      <c r="I426" s="5"/>
      <c r="J426" s="83"/>
      <c r="K426" s="83"/>
      <c r="L426" s="83"/>
      <c r="M426" s="83"/>
      <c r="N426" s="83"/>
      <c r="O426" s="83"/>
      <c r="P426" s="83"/>
      <c r="Q426" s="84"/>
      <c r="R426" s="83"/>
      <c r="S426" s="83"/>
      <c r="T426" s="85"/>
      <c r="U426" s="6"/>
      <c r="V426" s="44">
        <v>44532</v>
      </c>
      <c r="W426" s="45">
        <v>116.9</v>
      </c>
      <c r="X426" s="46"/>
      <c r="Y426" s="61"/>
      <c r="Z426" s="5"/>
      <c r="AA426" s="5"/>
      <c r="AB426" s="5"/>
      <c r="AC426" s="5"/>
      <c r="AD426" s="5"/>
      <c r="AE426" s="5"/>
      <c r="AF426" s="5"/>
      <c r="AG426" s="5"/>
      <c r="AH426" s="6"/>
      <c r="AI426" s="44">
        <v>44532</v>
      </c>
      <c r="AJ426" s="53">
        <v>116.9</v>
      </c>
      <c r="AK426" s="54">
        <f t="shared" si="66"/>
        <v>-1.7105713308240844E-4</v>
      </c>
      <c r="AL426" s="55">
        <f t="shared" si="69"/>
        <v>21.634641800242562</v>
      </c>
      <c r="AM426" s="56">
        <v>25</v>
      </c>
      <c r="AN426" s="57">
        <f t="shared" si="67"/>
        <v>3.3653581997574378</v>
      </c>
      <c r="AO426" s="76">
        <f t="shared" si="70"/>
        <v>6.7695819522157423</v>
      </c>
      <c r="AP426" s="63" t="str">
        <f t="shared" si="71"/>
        <v>Buy Stocks</v>
      </c>
      <c r="AQ426" s="63" t="str">
        <f t="shared" si="72"/>
        <v/>
      </c>
      <c r="AR426" s="63" t="str">
        <f t="shared" si="73"/>
        <v/>
      </c>
      <c r="AS426" s="63" t="str">
        <f t="shared" si="74"/>
        <v/>
      </c>
      <c r="AT426" s="78" t="str">
        <f t="shared" si="75"/>
        <v/>
      </c>
      <c r="AU426" s="78" t="str">
        <f t="shared" si="76"/>
        <v/>
      </c>
      <c r="AV426" s="64" t="str">
        <f ca="1">IFERROR(__xludf.DUMMYFUNCTION("IF(TRIM(AU426)="""","""",AU426/INDEX(FILTER(AT$3:AT426,TRIM(AT$3:AT426)&lt;&gt;""""),ROWS(FILTER(AT$3:AT426,TRIM(AT$3:AT426)&lt;&gt;"""")))-1)"),"")</f>
        <v/>
      </c>
      <c r="AW426" s="65" t="e">
        <f t="shared" ca="1" si="68"/>
        <v>#VALUE!</v>
      </c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</row>
    <row r="427" spans="1:68" ht="19" x14ac:dyDescent="0.25">
      <c r="A427" s="5"/>
      <c r="B427" s="5"/>
      <c r="C427" s="5"/>
      <c r="D427" s="5"/>
      <c r="E427" s="5"/>
      <c r="F427" s="5"/>
      <c r="G427" s="5"/>
      <c r="H427" s="6"/>
      <c r="I427" s="5"/>
      <c r="J427" s="83"/>
      <c r="K427" s="83"/>
      <c r="L427" s="83"/>
      <c r="M427" s="83"/>
      <c r="N427" s="83"/>
      <c r="O427" s="83"/>
      <c r="P427" s="83"/>
      <c r="Q427" s="84"/>
      <c r="R427" s="83"/>
      <c r="S427" s="83"/>
      <c r="T427" s="85"/>
      <c r="U427" s="6"/>
      <c r="V427" s="44">
        <v>44533</v>
      </c>
      <c r="W427" s="45">
        <v>118.84</v>
      </c>
      <c r="X427" s="46"/>
      <c r="Y427" s="61"/>
      <c r="Z427" s="5"/>
      <c r="AA427" s="5"/>
      <c r="AB427" s="5"/>
      <c r="AC427" s="5"/>
      <c r="AD427" s="5"/>
      <c r="AE427" s="5"/>
      <c r="AF427" s="5"/>
      <c r="AG427" s="5"/>
      <c r="AH427" s="6"/>
      <c r="AI427" s="44">
        <v>44533</v>
      </c>
      <c r="AJ427" s="53">
        <v>118.84</v>
      </c>
      <c r="AK427" s="54">
        <f t="shared" si="66"/>
        <v>1.6595380667236981E-2</v>
      </c>
      <c r="AL427" s="55">
        <f t="shared" si="69"/>
        <v>22.708870619419976</v>
      </c>
      <c r="AM427" s="56">
        <v>25</v>
      </c>
      <c r="AN427" s="57">
        <f t="shared" si="67"/>
        <v>2.2911293805800241</v>
      </c>
      <c r="AO427" s="76">
        <f t="shared" si="70"/>
        <v>3.813946678630459</v>
      </c>
      <c r="AP427" s="63" t="str">
        <f t="shared" si="71"/>
        <v>Buy Stocks</v>
      </c>
      <c r="AQ427" s="63" t="str">
        <f t="shared" si="72"/>
        <v/>
      </c>
      <c r="AR427" s="63" t="str">
        <f t="shared" si="73"/>
        <v/>
      </c>
      <c r="AS427" s="63" t="str">
        <f t="shared" si="74"/>
        <v/>
      </c>
      <c r="AT427" s="78" t="str">
        <f t="shared" si="75"/>
        <v/>
      </c>
      <c r="AU427" s="78" t="str">
        <f t="shared" si="76"/>
        <v/>
      </c>
      <c r="AV427" s="64" t="str">
        <f ca="1">IFERROR(__xludf.DUMMYFUNCTION("IF(TRIM(AU427)="""","""",AU427/INDEX(FILTER(AT$3:AT427,TRIM(AT$3:AT427)&lt;&gt;""""),ROWS(FILTER(AT$3:AT427,TRIM(AT$3:AT427)&lt;&gt;"""")))-1)"),"")</f>
        <v/>
      </c>
      <c r="AW427" s="65" t="e">
        <f t="shared" ca="1" si="68"/>
        <v>#VALUE!</v>
      </c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</row>
    <row r="428" spans="1:68" ht="19" x14ac:dyDescent="0.25">
      <c r="A428" s="5"/>
      <c r="B428" s="5"/>
      <c r="C428" s="5"/>
      <c r="D428" s="5"/>
      <c r="E428" s="5"/>
      <c r="F428" s="5"/>
      <c r="G428" s="5"/>
      <c r="H428" s="6"/>
      <c r="I428" s="5"/>
      <c r="J428" s="83"/>
      <c r="K428" s="83"/>
      <c r="L428" s="83"/>
      <c r="M428" s="83"/>
      <c r="N428" s="83"/>
      <c r="O428" s="83"/>
      <c r="P428" s="83"/>
      <c r="Q428" s="84"/>
      <c r="R428" s="83"/>
      <c r="S428" s="83"/>
      <c r="T428" s="85"/>
      <c r="U428" s="6"/>
      <c r="V428" s="44">
        <v>44536</v>
      </c>
      <c r="W428" s="45">
        <v>119.91</v>
      </c>
      <c r="X428" s="46"/>
      <c r="Y428" s="61"/>
      <c r="Z428" s="5"/>
      <c r="AA428" s="5"/>
      <c r="AB428" s="5"/>
      <c r="AC428" s="5"/>
      <c r="AD428" s="5"/>
      <c r="AE428" s="5"/>
      <c r="AF428" s="5"/>
      <c r="AG428" s="5"/>
      <c r="AH428" s="6"/>
      <c r="AI428" s="44">
        <v>44536</v>
      </c>
      <c r="AJ428" s="53">
        <v>119.91</v>
      </c>
      <c r="AK428" s="54">
        <f t="shared" si="66"/>
        <v>9.0037024570850388E-3</v>
      </c>
      <c r="AL428" s="55">
        <f t="shared" si="69"/>
        <v>17.194291407552857</v>
      </c>
      <c r="AM428" s="56">
        <v>25</v>
      </c>
      <c r="AN428" s="57">
        <f t="shared" si="67"/>
        <v>7.805708592447143</v>
      </c>
      <c r="AO428" s="76">
        <f t="shared" si="70"/>
        <v>4.0388791300800708</v>
      </c>
      <c r="AP428" s="63" t="str">
        <f t="shared" si="71"/>
        <v>Buy Stocks</v>
      </c>
      <c r="AQ428" s="63" t="str">
        <f t="shared" si="72"/>
        <v/>
      </c>
      <c r="AR428" s="63" t="str">
        <f t="shared" si="73"/>
        <v/>
      </c>
      <c r="AS428" s="63" t="str">
        <f t="shared" si="74"/>
        <v/>
      </c>
      <c r="AT428" s="78" t="str">
        <f t="shared" si="75"/>
        <v/>
      </c>
      <c r="AU428" s="78" t="str">
        <f t="shared" si="76"/>
        <v/>
      </c>
      <c r="AV428" s="64" t="str">
        <f ca="1">IFERROR(__xludf.DUMMYFUNCTION("IF(TRIM(AU428)="""","""",AU428/INDEX(FILTER(AT$3:AT428,TRIM(AT$3:AT428)&lt;&gt;""""),ROWS(FILTER(AT$3:AT428,TRIM(AT$3:AT428)&lt;&gt;"""")))-1)"),"")</f>
        <v/>
      </c>
      <c r="AW428" s="65" t="e">
        <f t="shared" ca="1" si="68"/>
        <v>#VALUE!</v>
      </c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</row>
    <row r="429" spans="1:68" ht="19" x14ac:dyDescent="0.25">
      <c r="A429" s="5"/>
      <c r="B429" s="5"/>
      <c r="C429" s="5"/>
      <c r="D429" s="5"/>
      <c r="E429" s="5"/>
      <c r="F429" s="5"/>
      <c r="G429" s="5"/>
      <c r="H429" s="6"/>
      <c r="I429" s="5"/>
      <c r="J429" s="83"/>
      <c r="K429" s="83"/>
      <c r="L429" s="83"/>
      <c r="M429" s="83"/>
      <c r="N429" s="83"/>
      <c r="O429" s="83"/>
      <c r="P429" s="83"/>
      <c r="Q429" s="84"/>
      <c r="R429" s="83"/>
      <c r="S429" s="83"/>
      <c r="T429" s="85"/>
      <c r="U429" s="6"/>
      <c r="V429" s="44">
        <v>44537</v>
      </c>
      <c r="W429" s="45">
        <v>121.58</v>
      </c>
      <c r="X429" s="46"/>
      <c r="Y429" s="61"/>
      <c r="Z429" s="5"/>
      <c r="AA429" s="5"/>
      <c r="AB429" s="5"/>
      <c r="AC429" s="5"/>
      <c r="AD429" s="5"/>
      <c r="AE429" s="5"/>
      <c r="AF429" s="5"/>
      <c r="AG429" s="5"/>
      <c r="AH429" s="6"/>
      <c r="AI429" s="44">
        <v>44537</v>
      </c>
      <c r="AJ429" s="53">
        <v>121.58</v>
      </c>
      <c r="AK429" s="54">
        <f t="shared" si="66"/>
        <v>1.3927112000667208E-2</v>
      </c>
      <c r="AL429" s="55">
        <f t="shared" si="69"/>
        <v>12.964472863571702</v>
      </c>
      <c r="AM429" s="56">
        <v>25</v>
      </c>
      <c r="AN429" s="57">
        <f t="shared" si="67"/>
        <v>12.035527136428298</v>
      </c>
      <c r="AO429" s="76">
        <f t="shared" si="70"/>
        <v>5.7712735894635232</v>
      </c>
      <c r="AP429" s="63" t="str">
        <f t="shared" si="71"/>
        <v>Buy Stocks</v>
      </c>
      <c r="AQ429" s="63" t="str">
        <f t="shared" si="72"/>
        <v/>
      </c>
      <c r="AR429" s="63" t="str">
        <f t="shared" si="73"/>
        <v/>
      </c>
      <c r="AS429" s="63" t="str">
        <f t="shared" si="74"/>
        <v/>
      </c>
      <c r="AT429" s="78" t="str">
        <f t="shared" si="75"/>
        <v/>
      </c>
      <c r="AU429" s="78" t="str">
        <f t="shared" si="76"/>
        <v/>
      </c>
      <c r="AV429" s="64" t="str">
        <f ca="1">IFERROR(__xludf.DUMMYFUNCTION("IF(TRIM(AU429)="""","""",AU429/INDEX(FILTER(AT$3:AT429,TRIM(AT$3:AT429)&lt;&gt;""""),ROWS(FILTER(AT$3:AT429,TRIM(AT$3:AT429)&lt;&gt;"""")))-1)"),"")</f>
        <v/>
      </c>
      <c r="AW429" s="65" t="e">
        <f t="shared" ca="1" si="68"/>
        <v>#VALUE!</v>
      </c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</row>
    <row r="430" spans="1:68" ht="19" x14ac:dyDescent="0.25">
      <c r="A430" s="5"/>
      <c r="B430" s="5"/>
      <c r="C430" s="5"/>
      <c r="D430" s="5"/>
      <c r="E430" s="5"/>
      <c r="F430" s="5"/>
      <c r="G430" s="5"/>
      <c r="H430" s="6"/>
      <c r="I430" s="5"/>
      <c r="J430" s="83"/>
      <c r="K430" s="83"/>
      <c r="L430" s="83"/>
      <c r="M430" s="83"/>
      <c r="N430" s="83"/>
      <c r="O430" s="83"/>
      <c r="P430" s="83"/>
      <c r="Q430" s="84"/>
      <c r="R430" s="83"/>
      <c r="S430" s="83"/>
      <c r="T430" s="85"/>
      <c r="U430" s="6"/>
      <c r="V430" s="44">
        <v>44538</v>
      </c>
      <c r="W430" s="45">
        <v>123.02</v>
      </c>
      <c r="X430" s="46"/>
      <c r="Y430" s="61"/>
      <c r="Z430" s="5"/>
      <c r="AA430" s="5"/>
      <c r="AB430" s="5"/>
      <c r="AC430" s="5"/>
      <c r="AD430" s="5"/>
      <c r="AE430" s="5"/>
      <c r="AF430" s="5"/>
      <c r="AG430" s="5"/>
      <c r="AH430" s="6"/>
      <c r="AI430" s="44">
        <v>44538</v>
      </c>
      <c r="AJ430" s="53">
        <v>123.02</v>
      </c>
      <c r="AK430" s="54">
        <f t="shared" si="66"/>
        <v>1.1844053298239787E-2</v>
      </c>
      <c r="AL430" s="55">
        <f t="shared" si="69"/>
        <v>10.241124356182842</v>
      </c>
      <c r="AM430" s="56">
        <v>25</v>
      </c>
      <c r="AN430" s="57">
        <f t="shared" si="67"/>
        <v>14.758875643817158</v>
      </c>
      <c r="AO430" s="76">
        <f t="shared" si="70"/>
        <v>8.0513197906060121</v>
      </c>
      <c r="AP430" s="63" t="str">
        <f t="shared" si="71"/>
        <v>Buy Stocks</v>
      </c>
      <c r="AQ430" s="63" t="str">
        <f t="shared" si="72"/>
        <v/>
      </c>
      <c r="AR430" s="63" t="str">
        <f t="shared" si="73"/>
        <v/>
      </c>
      <c r="AS430" s="63" t="str">
        <f t="shared" si="74"/>
        <v/>
      </c>
      <c r="AT430" s="78" t="str">
        <f t="shared" si="75"/>
        <v/>
      </c>
      <c r="AU430" s="78" t="str">
        <f t="shared" si="76"/>
        <v/>
      </c>
      <c r="AV430" s="64" t="str">
        <f ca="1">IFERROR(__xludf.DUMMYFUNCTION("IF(TRIM(AU430)="""","""",AU430/INDEX(FILTER(AT$3:AT430,TRIM(AT$3:AT430)&lt;&gt;""""),ROWS(FILTER(AT$3:AT430,TRIM(AT$3:AT430)&lt;&gt;"""")))-1)"),"")</f>
        <v/>
      </c>
      <c r="AW430" s="65" t="e">
        <f t="shared" ca="1" si="68"/>
        <v>#VALUE!</v>
      </c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</row>
    <row r="431" spans="1:68" ht="19" x14ac:dyDescent="0.25">
      <c r="A431" s="5"/>
      <c r="B431" s="5"/>
      <c r="C431" s="5"/>
      <c r="D431" s="5"/>
      <c r="E431" s="5"/>
      <c r="F431" s="5"/>
      <c r="G431" s="5"/>
      <c r="H431" s="6"/>
      <c r="I431" s="5"/>
      <c r="J431" s="83"/>
      <c r="K431" s="83"/>
      <c r="L431" s="83"/>
      <c r="M431" s="83"/>
      <c r="N431" s="83"/>
      <c r="O431" s="83"/>
      <c r="P431" s="83"/>
      <c r="Q431" s="84"/>
      <c r="R431" s="83"/>
      <c r="S431" s="83"/>
      <c r="T431" s="85"/>
      <c r="U431" s="6"/>
      <c r="V431" s="44">
        <v>44539</v>
      </c>
      <c r="W431" s="45">
        <v>123.57</v>
      </c>
      <c r="X431" s="46"/>
      <c r="Y431" s="61"/>
      <c r="Z431" s="5"/>
      <c r="AA431" s="5"/>
      <c r="AB431" s="5"/>
      <c r="AC431" s="5"/>
      <c r="AD431" s="5"/>
      <c r="AE431" s="5"/>
      <c r="AF431" s="5"/>
      <c r="AG431" s="5"/>
      <c r="AH431" s="6"/>
      <c r="AI431" s="44">
        <v>44539</v>
      </c>
      <c r="AJ431" s="53">
        <v>123.57</v>
      </c>
      <c r="AK431" s="54">
        <f t="shared" si="66"/>
        <v>4.4708177532108984E-3</v>
      </c>
      <c r="AL431" s="55">
        <f t="shared" si="69"/>
        <v>7.4060424151673683</v>
      </c>
      <c r="AM431" s="56">
        <v>25</v>
      </c>
      <c r="AN431" s="57">
        <f t="shared" si="67"/>
        <v>17.59395758483263</v>
      </c>
      <c r="AO431" s="76">
        <f t="shared" si="70"/>
        <v>10.897039667621049</v>
      </c>
      <c r="AP431" s="63" t="str">
        <f t="shared" si="71"/>
        <v>Buy Stocks</v>
      </c>
      <c r="AQ431" s="63" t="str">
        <f t="shared" si="72"/>
        <v/>
      </c>
      <c r="AR431" s="63" t="str">
        <f t="shared" si="73"/>
        <v/>
      </c>
      <c r="AS431" s="63" t="str">
        <f t="shared" si="74"/>
        <v/>
      </c>
      <c r="AT431" s="78" t="str">
        <f t="shared" si="75"/>
        <v/>
      </c>
      <c r="AU431" s="78" t="str">
        <f t="shared" si="76"/>
        <v/>
      </c>
      <c r="AV431" s="64" t="str">
        <f ca="1">IFERROR(__xludf.DUMMYFUNCTION("IF(TRIM(AU431)="""","""",AU431/INDEX(FILTER(AT$3:AT431,TRIM(AT$3:AT431)&lt;&gt;""""),ROWS(FILTER(AT$3:AT431,TRIM(AT$3:AT431)&lt;&gt;"""")))-1)"),"")</f>
        <v/>
      </c>
      <c r="AW431" s="65" t="e">
        <f t="shared" ca="1" si="68"/>
        <v>#VALUE!</v>
      </c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</row>
    <row r="432" spans="1:68" ht="19" x14ac:dyDescent="0.25">
      <c r="A432" s="5"/>
      <c r="B432" s="5"/>
      <c r="C432" s="5"/>
      <c r="D432" s="5"/>
      <c r="E432" s="5"/>
      <c r="F432" s="5"/>
      <c r="G432" s="5"/>
      <c r="H432" s="6"/>
      <c r="I432" s="5"/>
      <c r="J432" s="83"/>
      <c r="K432" s="83"/>
      <c r="L432" s="83"/>
      <c r="M432" s="83"/>
      <c r="N432" s="83"/>
      <c r="O432" s="83"/>
      <c r="P432" s="83"/>
      <c r="Q432" s="84"/>
      <c r="R432" s="83"/>
      <c r="S432" s="83"/>
      <c r="T432" s="85"/>
      <c r="U432" s="6"/>
      <c r="V432" s="44">
        <v>44540</v>
      </c>
      <c r="W432" s="45">
        <v>124.09</v>
      </c>
      <c r="X432" s="46"/>
      <c r="Y432" s="61"/>
      <c r="Z432" s="5"/>
      <c r="AA432" s="5"/>
      <c r="AB432" s="5"/>
      <c r="AC432" s="5"/>
      <c r="AD432" s="5"/>
      <c r="AE432" s="5"/>
      <c r="AF432" s="5"/>
      <c r="AG432" s="5"/>
      <c r="AH432" s="6"/>
      <c r="AI432" s="44">
        <v>44540</v>
      </c>
      <c r="AJ432" s="53">
        <v>124.09</v>
      </c>
      <c r="AK432" s="54">
        <f t="shared" si="66"/>
        <v>4.2081411345795683E-3</v>
      </c>
      <c r="AL432" s="55">
        <f t="shared" si="69"/>
        <v>6.8904488789962333</v>
      </c>
      <c r="AM432" s="56">
        <v>25</v>
      </c>
      <c r="AN432" s="57">
        <f t="shared" si="67"/>
        <v>18.109551121003769</v>
      </c>
      <c r="AO432" s="76">
        <f t="shared" si="70"/>
        <v>14.060724015705798</v>
      </c>
      <c r="AP432" s="63" t="str">
        <f t="shared" si="71"/>
        <v>Buy Stocks</v>
      </c>
      <c r="AQ432" s="63" t="str">
        <f t="shared" si="72"/>
        <v/>
      </c>
      <c r="AR432" s="63" t="str">
        <f t="shared" si="73"/>
        <v/>
      </c>
      <c r="AS432" s="63" t="str">
        <f t="shared" si="74"/>
        <v/>
      </c>
      <c r="AT432" s="78" t="str">
        <f t="shared" si="75"/>
        <v/>
      </c>
      <c r="AU432" s="78" t="str">
        <f t="shared" si="76"/>
        <v/>
      </c>
      <c r="AV432" s="64" t="str">
        <f ca="1">IFERROR(__xludf.DUMMYFUNCTION("IF(TRIM(AU432)="""","""",AU432/INDEX(FILTER(AT$3:AT432,TRIM(AT$3:AT432)&lt;&gt;""""),ROWS(FILTER(AT$3:AT432,TRIM(AT$3:AT432)&lt;&gt;"""")))-1)"),"")</f>
        <v/>
      </c>
      <c r="AW432" s="65" t="e">
        <f t="shared" ca="1" si="68"/>
        <v>#VALUE!</v>
      </c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</row>
    <row r="433" spans="1:68" ht="19" x14ac:dyDescent="0.25">
      <c r="A433" s="5"/>
      <c r="B433" s="5"/>
      <c r="C433" s="5"/>
      <c r="D433" s="5"/>
      <c r="E433" s="5"/>
      <c r="F433" s="5"/>
      <c r="G433" s="5"/>
      <c r="H433" s="6"/>
      <c r="I433" s="5"/>
      <c r="J433" s="83"/>
      <c r="K433" s="83"/>
      <c r="L433" s="83"/>
      <c r="M433" s="83"/>
      <c r="N433" s="83"/>
      <c r="O433" s="83"/>
      <c r="P433" s="83"/>
      <c r="Q433" s="84"/>
      <c r="R433" s="83"/>
      <c r="S433" s="83"/>
      <c r="T433" s="85"/>
      <c r="U433" s="6"/>
      <c r="V433" s="44">
        <v>44543</v>
      </c>
      <c r="W433" s="45">
        <v>122.58</v>
      </c>
      <c r="X433" s="46"/>
      <c r="Y433" s="61"/>
      <c r="Z433" s="5"/>
      <c r="AA433" s="5"/>
      <c r="AB433" s="5"/>
      <c r="AC433" s="5"/>
      <c r="AD433" s="5"/>
      <c r="AE433" s="5"/>
      <c r="AF433" s="5"/>
      <c r="AG433" s="5"/>
      <c r="AH433" s="6"/>
      <c r="AI433" s="44">
        <v>44543</v>
      </c>
      <c r="AJ433" s="53">
        <v>122.58</v>
      </c>
      <c r="AK433" s="54">
        <f t="shared" si="66"/>
        <v>-1.2168587315658064E-2</v>
      </c>
      <c r="AL433" s="55">
        <f t="shared" si="69"/>
        <v>16.280541326190665</v>
      </c>
      <c r="AM433" s="56">
        <v>25</v>
      </c>
      <c r="AN433" s="57">
        <f t="shared" si="67"/>
        <v>8.7194586738093349</v>
      </c>
      <c r="AO433" s="76">
        <f t="shared" si="70"/>
        <v>14.243474031978238</v>
      </c>
      <c r="AP433" s="63" t="str">
        <f t="shared" si="71"/>
        <v>Buy Stocks</v>
      </c>
      <c r="AQ433" s="63" t="str">
        <f t="shared" si="72"/>
        <v/>
      </c>
      <c r="AR433" s="63" t="str">
        <f t="shared" si="73"/>
        <v/>
      </c>
      <c r="AS433" s="63" t="str">
        <f t="shared" si="74"/>
        <v/>
      </c>
      <c r="AT433" s="78" t="str">
        <f t="shared" si="75"/>
        <v/>
      </c>
      <c r="AU433" s="78" t="str">
        <f t="shared" si="76"/>
        <v/>
      </c>
      <c r="AV433" s="64" t="str">
        <f ca="1">IFERROR(__xludf.DUMMYFUNCTION("IF(TRIM(AU433)="""","""",AU433/INDEX(FILTER(AT$3:AT433,TRIM(AT$3:AT433)&lt;&gt;""""),ROWS(FILTER(AT$3:AT433,TRIM(AT$3:AT433)&lt;&gt;"""")))-1)"),"")</f>
        <v/>
      </c>
      <c r="AW433" s="65" t="e">
        <f t="shared" ca="1" si="68"/>
        <v>#VALUE!</v>
      </c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</row>
    <row r="434" spans="1:68" ht="19" x14ac:dyDescent="0.25">
      <c r="A434" s="5"/>
      <c r="B434" s="5"/>
      <c r="C434" s="5"/>
      <c r="D434" s="5"/>
      <c r="E434" s="5"/>
      <c r="F434" s="5"/>
      <c r="G434" s="5"/>
      <c r="H434" s="6"/>
      <c r="I434" s="5"/>
      <c r="J434" s="83"/>
      <c r="K434" s="83"/>
      <c r="L434" s="83"/>
      <c r="M434" s="83"/>
      <c r="N434" s="83"/>
      <c r="O434" s="83"/>
      <c r="P434" s="83"/>
      <c r="Q434" s="84"/>
      <c r="R434" s="83"/>
      <c r="S434" s="83"/>
      <c r="T434" s="85"/>
      <c r="U434" s="6"/>
      <c r="V434" s="44">
        <v>44544</v>
      </c>
      <c r="W434" s="45">
        <v>123.76</v>
      </c>
      <c r="X434" s="46"/>
      <c r="Y434" s="61"/>
      <c r="Z434" s="5"/>
      <c r="AA434" s="5"/>
      <c r="AB434" s="5"/>
      <c r="AC434" s="5"/>
      <c r="AD434" s="5"/>
      <c r="AE434" s="5"/>
      <c r="AF434" s="5"/>
      <c r="AG434" s="5"/>
      <c r="AH434" s="6"/>
      <c r="AI434" s="44">
        <v>44544</v>
      </c>
      <c r="AJ434" s="53">
        <v>123.76</v>
      </c>
      <c r="AK434" s="54">
        <f t="shared" si="66"/>
        <v>9.6263664545603866E-3</v>
      </c>
      <c r="AL434" s="55">
        <f t="shared" si="69"/>
        <v>14.93507621077714</v>
      </c>
      <c r="AM434" s="56">
        <v>25</v>
      </c>
      <c r="AN434" s="57">
        <f t="shared" si="67"/>
        <v>10.06492378922286</v>
      </c>
      <c r="AO434" s="76">
        <f t="shared" si="70"/>
        <v>13.849353362537149</v>
      </c>
      <c r="AP434" s="63" t="str">
        <f t="shared" si="71"/>
        <v>Buy Stocks</v>
      </c>
      <c r="AQ434" s="63" t="str">
        <f t="shared" si="72"/>
        <v/>
      </c>
      <c r="AR434" s="63" t="str">
        <f t="shared" si="73"/>
        <v/>
      </c>
      <c r="AS434" s="63" t="str">
        <f t="shared" si="74"/>
        <v/>
      </c>
      <c r="AT434" s="78" t="str">
        <f t="shared" si="75"/>
        <v/>
      </c>
      <c r="AU434" s="78" t="str">
        <f t="shared" si="76"/>
        <v/>
      </c>
      <c r="AV434" s="64" t="str">
        <f ca="1">IFERROR(__xludf.DUMMYFUNCTION("IF(TRIM(AU434)="""","""",AU434/INDEX(FILTER(AT$3:AT434,TRIM(AT$3:AT434)&lt;&gt;""""),ROWS(FILTER(AT$3:AT434,TRIM(AT$3:AT434)&lt;&gt;"""")))-1)"),"")</f>
        <v/>
      </c>
      <c r="AW434" s="65" t="e">
        <f t="shared" ca="1" si="68"/>
        <v>#VALUE!</v>
      </c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</row>
    <row r="435" spans="1:68" ht="19" x14ac:dyDescent="0.25">
      <c r="A435" s="5"/>
      <c r="B435" s="5"/>
      <c r="C435" s="5"/>
      <c r="D435" s="5"/>
      <c r="E435" s="5"/>
      <c r="F435" s="5"/>
      <c r="G435" s="5"/>
      <c r="H435" s="6"/>
      <c r="I435" s="5"/>
      <c r="J435" s="83"/>
      <c r="K435" s="83"/>
      <c r="L435" s="83"/>
      <c r="M435" s="83"/>
      <c r="N435" s="83"/>
      <c r="O435" s="83"/>
      <c r="P435" s="83"/>
      <c r="Q435" s="84"/>
      <c r="R435" s="83"/>
      <c r="S435" s="83"/>
      <c r="T435" s="85"/>
      <c r="U435" s="6"/>
      <c r="V435" s="44">
        <v>44545</v>
      </c>
      <c r="W435" s="45">
        <v>123.11</v>
      </c>
      <c r="X435" s="46"/>
      <c r="Y435" s="61"/>
      <c r="Z435" s="5"/>
      <c r="AA435" s="5"/>
      <c r="AB435" s="5"/>
      <c r="AC435" s="5"/>
      <c r="AD435" s="5"/>
      <c r="AE435" s="5"/>
      <c r="AF435" s="5"/>
      <c r="AG435" s="5"/>
      <c r="AH435" s="6"/>
      <c r="AI435" s="44">
        <v>44545</v>
      </c>
      <c r="AJ435" s="53">
        <v>123.11</v>
      </c>
      <c r="AK435" s="54">
        <f t="shared" si="66"/>
        <v>-5.2521008403362268E-3</v>
      </c>
      <c r="AL435" s="55">
        <f t="shared" si="69"/>
        <v>13.881486940339864</v>
      </c>
      <c r="AM435" s="56">
        <v>25</v>
      </c>
      <c r="AN435" s="57">
        <f t="shared" si="67"/>
        <v>11.118513059660136</v>
      </c>
      <c r="AO435" s="76">
        <f t="shared" si="70"/>
        <v>13.121280845705746</v>
      </c>
      <c r="AP435" s="63" t="str">
        <f t="shared" si="71"/>
        <v>Buy Stocks</v>
      </c>
      <c r="AQ435" s="63" t="str">
        <f t="shared" si="72"/>
        <v/>
      </c>
      <c r="AR435" s="63" t="str">
        <f t="shared" si="73"/>
        <v/>
      </c>
      <c r="AS435" s="63" t="str">
        <f t="shared" si="74"/>
        <v/>
      </c>
      <c r="AT435" s="78" t="str">
        <f t="shared" si="75"/>
        <v/>
      </c>
      <c r="AU435" s="78" t="str">
        <f t="shared" si="76"/>
        <v/>
      </c>
      <c r="AV435" s="64" t="str">
        <f ca="1">IFERROR(__xludf.DUMMYFUNCTION("IF(TRIM(AU435)="""","""",AU435/INDEX(FILTER(AT$3:AT435,TRIM(AT$3:AT435)&lt;&gt;""""),ROWS(FILTER(AT$3:AT435,TRIM(AT$3:AT435)&lt;&gt;"""")))-1)"),"")</f>
        <v/>
      </c>
      <c r="AW435" s="65" t="e">
        <f t="shared" ca="1" si="68"/>
        <v>#VALUE!</v>
      </c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</row>
    <row r="436" spans="1:68" ht="19" x14ac:dyDescent="0.25">
      <c r="A436" s="5"/>
      <c r="B436" s="5"/>
      <c r="C436" s="5"/>
      <c r="D436" s="5"/>
      <c r="E436" s="5"/>
      <c r="F436" s="5"/>
      <c r="G436" s="5"/>
      <c r="H436" s="6"/>
      <c r="I436" s="5"/>
      <c r="J436" s="83"/>
      <c r="K436" s="83"/>
      <c r="L436" s="83"/>
      <c r="M436" s="83"/>
      <c r="N436" s="83"/>
      <c r="O436" s="83"/>
      <c r="P436" s="83"/>
      <c r="Q436" s="84"/>
      <c r="R436" s="83"/>
      <c r="S436" s="83"/>
      <c r="T436" s="85"/>
      <c r="U436" s="6"/>
      <c r="V436" s="44">
        <v>44546</v>
      </c>
      <c r="W436" s="45">
        <v>125.93</v>
      </c>
      <c r="X436" s="46"/>
      <c r="Y436" s="61"/>
      <c r="Z436" s="5"/>
      <c r="AA436" s="5"/>
      <c r="AB436" s="5"/>
      <c r="AC436" s="5"/>
      <c r="AD436" s="5"/>
      <c r="AE436" s="5"/>
      <c r="AF436" s="5"/>
      <c r="AG436" s="5"/>
      <c r="AH436" s="6"/>
      <c r="AI436" s="44">
        <v>44546</v>
      </c>
      <c r="AJ436" s="53">
        <v>125.93</v>
      </c>
      <c r="AK436" s="54">
        <f t="shared" si="66"/>
        <v>2.2906343920071626E-2</v>
      </c>
      <c r="AL436" s="55">
        <f t="shared" si="69"/>
        <v>21.534419589780324</v>
      </c>
      <c r="AM436" s="56">
        <v>25</v>
      </c>
      <c r="AN436" s="57">
        <f t="shared" si="67"/>
        <v>3.4655804102196761</v>
      </c>
      <c r="AO436" s="76">
        <f t="shared" si="70"/>
        <v>10.295605410783157</v>
      </c>
      <c r="AP436" s="63" t="str">
        <f t="shared" si="71"/>
        <v>Buy Stocks</v>
      </c>
      <c r="AQ436" s="63" t="str">
        <f t="shared" si="72"/>
        <v/>
      </c>
      <c r="AR436" s="63" t="str">
        <f t="shared" si="73"/>
        <v/>
      </c>
      <c r="AS436" s="63" t="str">
        <f t="shared" si="74"/>
        <v/>
      </c>
      <c r="AT436" s="78" t="str">
        <f t="shared" si="75"/>
        <v/>
      </c>
      <c r="AU436" s="78" t="str">
        <f t="shared" si="76"/>
        <v/>
      </c>
      <c r="AV436" s="64" t="str">
        <f ca="1">IFERROR(__xludf.DUMMYFUNCTION("IF(TRIM(AU436)="""","""",AU436/INDEX(FILTER(AT$3:AT436,TRIM(AT$3:AT436)&lt;&gt;""""),ROWS(FILTER(AT$3:AT436,TRIM(AT$3:AT436)&lt;&gt;"""")))-1)"),"")</f>
        <v/>
      </c>
      <c r="AW436" s="65" t="e">
        <f t="shared" ca="1" si="68"/>
        <v>#VALUE!</v>
      </c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</row>
    <row r="437" spans="1:68" ht="19" x14ac:dyDescent="0.25">
      <c r="A437" s="5"/>
      <c r="B437" s="5"/>
      <c r="C437" s="5"/>
      <c r="D437" s="5"/>
      <c r="E437" s="5"/>
      <c r="F437" s="5"/>
      <c r="G437" s="5"/>
      <c r="H437" s="6"/>
      <c r="I437" s="5"/>
      <c r="J437" s="83"/>
      <c r="K437" s="83"/>
      <c r="L437" s="83"/>
      <c r="M437" s="83"/>
      <c r="N437" s="83"/>
      <c r="O437" s="83"/>
      <c r="P437" s="83"/>
      <c r="Q437" s="84"/>
      <c r="R437" s="83"/>
      <c r="S437" s="83"/>
      <c r="T437" s="85"/>
      <c r="U437" s="6"/>
      <c r="V437" s="44">
        <v>44547</v>
      </c>
      <c r="W437" s="45">
        <v>127.4</v>
      </c>
      <c r="X437" s="46"/>
      <c r="Y437" s="61"/>
      <c r="Z437" s="5"/>
      <c r="AA437" s="5"/>
      <c r="AB437" s="5"/>
      <c r="AC437" s="5"/>
      <c r="AD437" s="5"/>
      <c r="AE437" s="5"/>
      <c r="AF437" s="5"/>
      <c r="AG437" s="5"/>
      <c r="AH437" s="6"/>
      <c r="AI437" s="44">
        <v>44547</v>
      </c>
      <c r="AJ437" s="53">
        <v>127.4</v>
      </c>
      <c r="AK437" s="54">
        <f t="shared" si="66"/>
        <v>1.1673151750972721E-2</v>
      </c>
      <c r="AL437" s="55">
        <f t="shared" si="69"/>
        <v>22.249808510594292</v>
      </c>
      <c r="AM437" s="56">
        <v>25</v>
      </c>
      <c r="AN437" s="57">
        <f t="shared" si="67"/>
        <v>2.750191489405708</v>
      </c>
      <c r="AO437" s="76">
        <f t="shared" si="70"/>
        <v>7.2237334844635424</v>
      </c>
      <c r="AP437" s="63" t="str">
        <f t="shared" si="71"/>
        <v>Buy Stocks</v>
      </c>
      <c r="AQ437" s="63" t="str">
        <f t="shared" si="72"/>
        <v/>
      </c>
      <c r="AR437" s="63" t="str">
        <f t="shared" si="73"/>
        <v/>
      </c>
      <c r="AS437" s="63" t="str">
        <f t="shared" si="74"/>
        <v/>
      </c>
      <c r="AT437" s="78" t="str">
        <f t="shared" si="75"/>
        <v/>
      </c>
      <c r="AU437" s="78" t="str">
        <f t="shared" si="76"/>
        <v/>
      </c>
      <c r="AV437" s="64" t="str">
        <f ca="1">IFERROR(__xludf.DUMMYFUNCTION("IF(TRIM(AU437)="""","""",AU437/INDEX(FILTER(AT$3:AT437,TRIM(AT$3:AT437)&lt;&gt;""""),ROWS(FILTER(AT$3:AT437,TRIM(AT$3:AT437)&lt;&gt;"""")))-1)"),"")</f>
        <v/>
      </c>
      <c r="AW437" s="65" t="e">
        <f t="shared" ca="1" si="68"/>
        <v>#VALUE!</v>
      </c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</row>
    <row r="438" spans="1:68" ht="19" x14ac:dyDescent="0.25">
      <c r="A438" s="5"/>
      <c r="B438" s="5"/>
      <c r="C438" s="5"/>
      <c r="D438" s="5"/>
      <c r="E438" s="5"/>
      <c r="F438" s="5"/>
      <c r="G438" s="5"/>
      <c r="H438" s="6"/>
      <c r="I438" s="5"/>
      <c r="J438" s="83"/>
      <c r="K438" s="83"/>
      <c r="L438" s="83"/>
      <c r="M438" s="83"/>
      <c r="N438" s="83"/>
      <c r="O438" s="83"/>
      <c r="P438" s="83"/>
      <c r="Q438" s="84"/>
      <c r="R438" s="83"/>
      <c r="S438" s="83"/>
      <c r="T438" s="85"/>
      <c r="U438" s="6"/>
      <c r="V438" s="44">
        <v>44550</v>
      </c>
      <c r="W438" s="45">
        <v>127.06</v>
      </c>
      <c r="X438" s="46"/>
      <c r="Y438" s="61"/>
      <c r="Z438" s="5"/>
      <c r="AA438" s="5"/>
      <c r="AB438" s="5"/>
      <c r="AC438" s="5"/>
      <c r="AD438" s="5"/>
      <c r="AE438" s="5"/>
      <c r="AF438" s="5"/>
      <c r="AG438" s="5"/>
      <c r="AH438" s="6"/>
      <c r="AI438" s="44">
        <v>44550</v>
      </c>
      <c r="AJ438" s="53">
        <v>127.06</v>
      </c>
      <c r="AK438" s="54">
        <f t="shared" si="66"/>
        <v>-2.6687598116169609E-3</v>
      </c>
      <c r="AL438" s="55">
        <f t="shared" si="69"/>
        <v>18.186820486408902</v>
      </c>
      <c r="AM438" s="56">
        <v>25</v>
      </c>
      <c r="AN438" s="57">
        <f t="shared" si="67"/>
        <v>6.8131795135910984</v>
      </c>
      <c r="AO438" s="76">
        <f t="shared" si="70"/>
        <v>6.8424776524198965</v>
      </c>
      <c r="AP438" s="63" t="str">
        <f t="shared" si="71"/>
        <v>Buy Stocks</v>
      </c>
      <c r="AQ438" s="63" t="str">
        <f t="shared" si="72"/>
        <v/>
      </c>
      <c r="AR438" s="63" t="str">
        <f t="shared" si="73"/>
        <v/>
      </c>
      <c r="AS438" s="63" t="str">
        <f t="shared" si="74"/>
        <v/>
      </c>
      <c r="AT438" s="78" t="str">
        <f t="shared" si="75"/>
        <v/>
      </c>
      <c r="AU438" s="78" t="str">
        <f t="shared" si="76"/>
        <v/>
      </c>
      <c r="AV438" s="64" t="str">
        <f ca="1">IFERROR(__xludf.DUMMYFUNCTION("IF(TRIM(AU438)="""","""",AU438/INDEX(FILTER(AT$3:AT438,TRIM(AT$3:AT438)&lt;&gt;""""),ROWS(FILTER(AT$3:AT438,TRIM(AT$3:AT438)&lt;&gt;"""")))-1)"),"")</f>
        <v/>
      </c>
      <c r="AW438" s="65" t="e">
        <f t="shared" ca="1" si="68"/>
        <v>#VALUE!</v>
      </c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</row>
    <row r="439" spans="1:68" ht="19" x14ac:dyDescent="0.25">
      <c r="A439" s="5"/>
      <c r="B439" s="5"/>
      <c r="C439" s="5"/>
      <c r="D439" s="5"/>
      <c r="E439" s="5"/>
      <c r="F439" s="5"/>
      <c r="G439" s="5"/>
      <c r="H439" s="6"/>
      <c r="I439" s="5"/>
      <c r="J439" s="83"/>
      <c r="K439" s="83"/>
      <c r="L439" s="83"/>
      <c r="M439" s="83"/>
      <c r="N439" s="83"/>
      <c r="O439" s="83"/>
      <c r="P439" s="83"/>
      <c r="Q439" s="84"/>
      <c r="R439" s="83"/>
      <c r="S439" s="83"/>
      <c r="T439" s="85"/>
      <c r="U439" s="6"/>
      <c r="V439" s="44">
        <v>44551</v>
      </c>
      <c r="W439" s="45">
        <v>128.97</v>
      </c>
      <c r="X439" s="46"/>
      <c r="Y439" s="61"/>
      <c r="Z439" s="5"/>
      <c r="AA439" s="5"/>
      <c r="AB439" s="5"/>
      <c r="AC439" s="5"/>
      <c r="AD439" s="5"/>
      <c r="AE439" s="5"/>
      <c r="AF439" s="5"/>
      <c r="AG439" s="5"/>
      <c r="AH439" s="6"/>
      <c r="AI439" s="44">
        <v>44551</v>
      </c>
      <c r="AJ439" s="53">
        <v>128.97</v>
      </c>
      <c r="AK439" s="54">
        <f t="shared" si="66"/>
        <v>1.5032268219738576E-2</v>
      </c>
      <c r="AL439" s="55">
        <f t="shared" si="69"/>
        <v>19.016519343378828</v>
      </c>
      <c r="AM439" s="56">
        <v>25</v>
      </c>
      <c r="AN439" s="57">
        <f t="shared" si="67"/>
        <v>5.9834806566211718</v>
      </c>
      <c r="AO439" s="76">
        <f t="shared" si="70"/>
        <v>6.0261890258995576</v>
      </c>
      <c r="AP439" s="63" t="str">
        <f t="shared" si="71"/>
        <v>Buy Stocks</v>
      </c>
      <c r="AQ439" s="63" t="str">
        <f t="shared" si="72"/>
        <v/>
      </c>
      <c r="AR439" s="63" t="str">
        <f t="shared" si="73"/>
        <v/>
      </c>
      <c r="AS439" s="63" t="str">
        <f t="shared" si="74"/>
        <v/>
      </c>
      <c r="AT439" s="78" t="str">
        <f t="shared" si="75"/>
        <v/>
      </c>
      <c r="AU439" s="78" t="str">
        <f t="shared" si="76"/>
        <v/>
      </c>
      <c r="AV439" s="64" t="str">
        <f ca="1">IFERROR(__xludf.DUMMYFUNCTION("IF(TRIM(AU439)="""","""",AU439/INDEX(FILTER(AT$3:AT439,TRIM(AT$3:AT439)&lt;&gt;""""),ROWS(FILTER(AT$3:AT439,TRIM(AT$3:AT439)&lt;&gt;"""")))-1)"),"")</f>
        <v/>
      </c>
      <c r="AW439" s="65" t="e">
        <f t="shared" ca="1" si="68"/>
        <v>#VALUE!</v>
      </c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</row>
    <row r="440" spans="1:68" ht="19" x14ac:dyDescent="0.25">
      <c r="A440" s="5"/>
      <c r="B440" s="5"/>
      <c r="C440" s="5"/>
      <c r="D440" s="5"/>
      <c r="E440" s="5"/>
      <c r="F440" s="5"/>
      <c r="G440" s="5"/>
      <c r="H440" s="6"/>
      <c r="I440" s="5"/>
      <c r="J440" s="83"/>
      <c r="K440" s="83"/>
      <c r="L440" s="83"/>
      <c r="M440" s="83"/>
      <c r="N440" s="83"/>
      <c r="O440" s="83"/>
      <c r="P440" s="83"/>
      <c r="Q440" s="84"/>
      <c r="R440" s="83"/>
      <c r="S440" s="83"/>
      <c r="T440" s="85"/>
      <c r="U440" s="6"/>
      <c r="V440" s="44">
        <v>44552</v>
      </c>
      <c r="W440" s="45">
        <v>129.75</v>
      </c>
      <c r="X440" s="46"/>
      <c r="Y440" s="61"/>
      <c r="Z440" s="5"/>
      <c r="AA440" s="5"/>
      <c r="AB440" s="5"/>
      <c r="AC440" s="5"/>
      <c r="AD440" s="5"/>
      <c r="AE440" s="5"/>
      <c r="AF440" s="5"/>
      <c r="AG440" s="5"/>
      <c r="AH440" s="6"/>
      <c r="AI440" s="44">
        <v>44552</v>
      </c>
      <c r="AJ440" s="53">
        <v>129.75</v>
      </c>
      <c r="AK440" s="54">
        <f t="shared" si="66"/>
        <v>6.047918120493101E-3</v>
      </c>
      <c r="AL440" s="55">
        <f t="shared" si="69"/>
        <v>15.247466392831438</v>
      </c>
      <c r="AM440" s="56">
        <v>25</v>
      </c>
      <c r="AN440" s="57">
        <f t="shared" si="67"/>
        <v>9.7525336071685622</v>
      </c>
      <c r="AO440" s="76">
        <f t="shared" si="70"/>
        <v>5.7529931354012431</v>
      </c>
      <c r="AP440" s="63" t="str">
        <f t="shared" si="71"/>
        <v>Buy Stocks</v>
      </c>
      <c r="AQ440" s="63" t="str">
        <f t="shared" si="72"/>
        <v/>
      </c>
      <c r="AR440" s="63" t="str">
        <f t="shared" si="73"/>
        <v/>
      </c>
      <c r="AS440" s="63" t="str">
        <f t="shared" si="74"/>
        <v/>
      </c>
      <c r="AT440" s="78" t="str">
        <f t="shared" si="75"/>
        <v/>
      </c>
      <c r="AU440" s="78" t="str">
        <f t="shared" si="76"/>
        <v/>
      </c>
      <c r="AV440" s="64" t="str">
        <f ca="1">IFERROR(__xludf.DUMMYFUNCTION("IF(TRIM(AU440)="""","""",AU440/INDEX(FILTER(AT$3:AT440,TRIM(AT$3:AT440)&lt;&gt;""""),ROWS(FILTER(AT$3:AT440,TRIM(AT$3:AT440)&lt;&gt;"""")))-1)"),"")</f>
        <v/>
      </c>
      <c r="AW440" s="65" t="e">
        <f t="shared" ca="1" si="68"/>
        <v>#VALUE!</v>
      </c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</row>
    <row r="441" spans="1:68" ht="19" x14ac:dyDescent="0.25">
      <c r="A441" s="5"/>
      <c r="B441" s="5"/>
      <c r="C441" s="5"/>
      <c r="D441" s="5"/>
      <c r="E441" s="5"/>
      <c r="F441" s="5"/>
      <c r="G441" s="5"/>
      <c r="H441" s="6"/>
      <c r="I441" s="5"/>
      <c r="J441" s="83"/>
      <c r="K441" s="83"/>
      <c r="L441" s="83"/>
      <c r="M441" s="83"/>
      <c r="N441" s="83"/>
      <c r="O441" s="83"/>
      <c r="P441" s="83"/>
      <c r="Q441" s="84"/>
      <c r="R441" s="83"/>
      <c r="S441" s="83"/>
      <c r="T441" s="85"/>
      <c r="U441" s="6"/>
      <c r="V441" s="44">
        <v>44553</v>
      </c>
      <c r="W441" s="45">
        <v>130.63</v>
      </c>
      <c r="X441" s="46"/>
      <c r="Y441" s="61"/>
      <c r="Z441" s="5"/>
      <c r="AA441" s="5"/>
      <c r="AB441" s="5"/>
      <c r="AC441" s="5"/>
      <c r="AD441" s="5"/>
      <c r="AE441" s="5"/>
      <c r="AF441" s="5"/>
      <c r="AG441" s="5"/>
      <c r="AH441" s="6"/>
      <c r="AI441" s="44">
        <v>44553</v>
      </c>
      <c r="AJ441" s="53">
        <v>130.63</v>
      </c>
      <c r="AK441" s="54">
        <f t="shared" si="66"/>
        <v>6.7822736030829223E-3</v>
      </c>
      <c r="AL441" s="55">
        <f t="shared" si="69"/>
        <v>10.651825351368627</v>
      </c>
      <c r="AM441" s="56">
        <v>25</v>
      </c>
      <c r="AN441" s="57">
        <f t="shared" si="67"/>
        <v>14.348174648631373</v>
      </c>
      <c r="AO441" s="76">
        <f t="shared" si="70"/>
        <v>7.9295119830835832</v>
      </c>
      <c r="AP441" s="63" t="str">
        <f t="shared" si="71"/>
        <v>Buy Stocks</v>
      </c>
      <c r="AQ441" s="63" t="str">
        <f t="shared" si="72"/>
        <v/>
      </c>
      <c r="AR441" s="63" t="str">
        <f t="shared" si="73"/>
        <v/>
      </c>
      <c r="AS441" s="63" t="str">
        <f t="shared" si="74"/>
        <v/>
      </c>
      <c r="AT441" s="78" t="str">
        <f t="shared" si="75"/>
        <v/>
      </c>
      <c r="AU441" s="78" t="str">
        <f t="shared" si="76"/>
        <v/>
      </c>
      <c r="AV441" s="64" t="str">
        <f ca="1">IFERROR(__xludf.DUMMYFUNCTION("IF(TRIM(AU441)="""","""",AU441/INDEX(FILTER(AT$3:AT441,TRIM(AT$3:AT441)&lt;&gt;""""),ROWS(FILTER(AT$3:AT441,TRIM(AT$3:AT441)&lt;&gt;"""")))-1)"),"")</f>
        <v/>
      </c>
      <c r="AW441" s="65" t="e">
        <f t="shared" ca="1" si="68"/>
        <v>#VALUE!</v>
      </c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</row>
    <row r="442" spans="1:68" ht="19" x14ac:dyDescent="0.25">
      <c r="A442" s="5"/>
      <c r="B442" s="5"/>
      <c r="C442" s="5"/>
      <c r="D442" s="5"/>
      <c r="E442" s="5"/>
      <c r="F442" s="5"/>
      <c r="G442" s="5"/>
      <c r="H442" s="6"/>
      <c r="I442" s="5"/>
      <c r="J442" s="83"/>
      <c r="K442" s="83"/>
      <c r="L442" s="83"/>
      <c r="M442" s="83"/>
      <c r="N442" s="83"/>
      <c r="O442" s="83"/>
      <c r="P442" s="83"/>
      <c r="Q442" s="84"/>
      <c r="R442" s="83"/>
      <c r="S442" s="83"/>
      <c r="T442" s="85"/>
      <c r="U442" s="6"/>
      <c r="V442" s="44">
        <v>44557</v>
      </c>
      <c r="W442" s="45">
        <v>131.62</v>
      </c>
      <c r="X442" s="46"/>
      <c r="Y442" s="61"/>
      <c r="Z442" s="5"/>
      <c r="AA442" s="5"/>
      <c r="AB442" s="5"/>
      <c r="AC442" s="5"/>
      <c r="AD442" s="5"/>
      <c r="AE442" s="5"/>
      <c r="AF442" s="5"/>
      <c r="AG442" s="5"/>
      <c r="AH442" s="6"/>
      <c r="AI442" s="44">
        <v>44557</v>
      </c>
      <c r="AJ442" s="53">
        <v>131.62</v>
      </c>
      <c r="AK442" s="54">
        <f t="shared" si="66"/>
        <v>7.5786572762766014E-3</v>
      </c>
      <c r="AL442" s="55">
        <f t="shared" si="69"/>
        <v>9.986392852120348</v>
      </c>
      <c r="AM442" s="56">
        <v>25</v>
      </c>
      <c r="AN442" s="57">
        <f t="shared" si="67"/>
        <v>15.013607147879652</v>
      </c>
      <c r="AO442" s="76">
        <f t="shared" si="70"/>
        <v>10.382195114778373</v>
      </c>
      <c r="AP442" s="63" t="str">
        <f t="shared" si="71"/>
        <v>Buy Stocks</v>
      </c>
      <c r="AQ442" s="63" t="str">
        <f t="shared" si="72"/>
        <v/>
      </c>
      <c r="AR442" s="63" t="str">
        <f t="shared" si="73"/>
        <v/>
      </c>
      <c r="AS442" s="63" t="str">
        <f t="shared" si="74"/>
        <v/>
      </c>
      <c r="AT442" s="78" t="str">
        <f t="shared" si="75"/>
        <v/>
      </c>
      <c r="AU442" s="78" t="str">
        <f t="shared" si="76"/>
        <v/>
      </c>
      <c r="AV442" s="64" t="str">
        <f ca="1">IFERROR(__xludf.DUMMYFUNCTION("IF(TRIM(AU442)="""","""",AU442/INDEX(FILTER(AT$3:AT442,TRIM(AT$3:AT442)&lt;&gt;""""),ROWS(FILTER(AT$3:AT442,TRIM(AT$3:AT442)&lt;&gt;"""")))-1)"),"")</f>
        <v/>
      </c>
      <c r="AW442" s="65" t="e">
        <f t="shared" ca="1" si="68"/>
        <v>#VALUE!</v>
      </c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</row>
    <row r="443" spans="1:68" ht="19" x14ac:dyDescent="0.25">
      <c r="A443" s="5"/>
      <c r="B443" s="5"/>
      <c r="C443" s="5"/>
      <c r="D443" s="5"/>
      <c r="E443" s="5"/>
      <c r="F443" s="5"/>
      <c r="G443" s="5"/>
      <c r="H443" s="6"/>
      <c r="I443" s="5"/>
      <c r="J443" s="83"/>
      <c r="K443" s="83"/>
      <c r="L443" s="83"/>
      <c r="M443" s="83"/>
      <c r="N443" s="83"/>
      <c r="O443" s="83"/>
      <c r="P443" s="83"/>
      <c r="Q443" s="84"/>
      <c r="R443" s="83"/>
      <c r="S443" s="83"/>
      <c r="T443" s="85"/>
      <c r="U443" s="6"/>
      <c r="V443" s="44">
        <v>44558</v>
      </c>
      <c r="W443" s="45">
        <v>132.63</v>
      </c>
      <c r="X443" s="46"/>
      <c r="Y443" s="61"/>
      <c r="Z443" s="5"/>
      <c r="AA443" s="5"/>
      <c r="AB443" s="5"/>
      <c r="AC443" s="5"/>
      <c r="AD443" s="5"/>
      <c r="AE443" s="5"/>
      <c r="AF443" s="5"/>
      <c r="AG443" s="5"/>
      <c r="AH443" s="6"/>
      <c r="AI443" s="44">
        <v>44558</v>
      </c>
      <c r="AJ443" s="53">
        <v>132.63</v>
      </c>
      <c r="AK443" s="54">
        <f t="shared" si="66"/>
        <v>7.6736058349793357E-3</v>
      </c>
      <c r="AL443" s="55">
        <f t="shared" si="69"/>
        <v>5.7833144033345736</v>
      </c>
      <c r="AM443" s="56">
        <v>25</v>
      </c>
      <c r="AN443" s="57">
        <f t="shared" si="67"/>
        <v>19.216685596665428</v>
      </c>
      <c r="AO443" s="76">
        <f t="shared" si="70"/>
        <v>12.862896331393239</v>
      </c>
      <c r="AP443" s="63" t="str">
        <f t="shared" si="71"/>
        <v>Buy Stocks</v>
      </c>
      <c r="AQ443" s="63" t="str">
        <f t="shared" si="72"/>
        <v/>
      </c>
      <c r="AR443" s="63" t="str">
        <f t="shared" si="73"/>
        <v/>
      </c>
      <c r="AS443" s="63" t="str">
        <f t="shared" si="74"/>
        <v/>
      </c>
      <c r="AT443" s="78" t="str">
        <f t="shared" si="75"/>
        <v/>
      </c>
      <c r="AU443" s="78" t="str">
        <f t="shared" si="76"/>
        <v/>
      </c>
      <c r="AV443" s="64" t="str">
        <f ca="1">IFERROR(__xludf.DUMMYFUNCTION("IF(TRIM(AU443)="""","""",AU443/INDEX(FILTER(AT$3:AT443,TRIM(AT$3:AT443)&lt;&gt;""""),ROWS(FILTER(AT$3:AT443,TRIM(AT$3:AT443)&lt;&gt;"""")))-1)"),"")</f>
        <v/>
      </c>
      <c r="AW443" s="65" t="e">
        <f t="shared" ca="1" si="68"/>
        <v>#VALUE!</v>
      </c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</row>
    <row r="444" spans="1:68" ht="19" x14ac:dyDescent="0.25">
      <c r="A444" s="5"/>
      <c r="B444" s="5"/>
      <c r="C444" s="5"/>
      <c r="D444" s="5"/>
      <c r="E444" s="5"/>
      <c r="F444" s="5"/>
      <c r="G444" s="5"/>
      <c r="H444" s="6"/>
      <c r="I444" s="5"/>
      <c r="J444" s="83"/>
      <c r="K444" s="83"/>
      <c r="L444" s="83"/>
      <c r="M444" s="83"/>
      <c r="N444" s="83"/>
      <c r="O444" s="83"/>
      <c r="P444" s="83"/>
      <c r="Q444" s="84"/>
      <c r="R444" s="83"/>
      <c r="S444" s="83"/>
      <c r="T444" s="85"/>
      <c r="U444" s="6"/>
      <c r="V444" s="44">
        <v>44559</v>
      </c>
      <c r="W444" s="45">
        <v>133.35</v>
      </c>
      <c r="X444" s="46"/>
      <c r="Y444" s="61"/>
      <c r="Z444" s="5"/>
      <c r="AA444" s="5"/>
      <c r="AB444" s="5"/>
      <c r="AC444" s="5"/>
      <c r="AD444" s="5"/>
      <c r="AE444" s="5"/>
      <c r="AF444" s="5"/>
      <c r="AG444" s="5"/>
      <c r="AH444" s="6"/>
      <c r="AI444" s="44">
        <v>44559</v>
      </c>
      <c r="AJ444" s="53">
        <v>133.35</v>
      </c>
      <c r="AK444" s="54">
        <f t="shared" si="66"/>
        <v>5.4286360551911716E-3</v>
      </c>
      <c r="AL444" s="55">
        <f t="shared" si="69"/>
        <v>1.5407819604953557</v>
      </c>
      <c r="AM444" s="56">
        <v>25</v>
      </c>
      <c r="AN444" s="57">
        <f t="shared" si="67"/>
        <v>23.459218039504645</v>
      </c>
      <c r="AO444" s="76">
        <f t="shared" si="70"/>
        <v>16.358043807969931</v>
      </c>
      <c r="AP444" s="63" t="str">
        <f t="shared" si="71"/>
        <v>Buy Stocks</v>
      </c>
      <c r="AQ444" s="63" t="str">
        <f t="shared" si="72"/>
        <v/>
      </c>
      <c r="AR444" s="63" t="str">
        <f t="shared" si="73"/>
        <v/>
      </c>
      <c r="AS444" s="63" t="str">
        <f t="shared" si="74"/>
        <v/>
      </c>
      <c r="AT444" s="78" t="str">
        <f t="shared" si="75"/>
        <v/>
      </c>
      <c r="AU444" s="78" t="str">
        <f t="shared" si="76"/>
        <v/>
      </c>
      <c r="AV444" s="64" t="str">
        <f ca="1">IFERROR(__xludf.DUMMYFUNCTION("IF(TRIM(AU444)="""","""",AU444/INDEX(FILTER(AT$3:AT444,TRIM(AT$3:AT444)&lt;&gt;""""),ROWS(FILTER(AT$3:AT444,TRIM(AT$3:AT444)&lt;&gt;"""")))-1)"),"")</f>
        <v/>
      </c>
      <c r="AW444" s="65" t="e">
        <f t="shared" ca="1" si="68"/>
        <v>#VALUE!</v>
      </c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</row>
    <row r="445" spans="1:68" ht="19" x14ac:dyDescent="0.25">
      <c r="A445" s="5"/>
      <c r="B445" s="5"/>
      <c r="C445" s="5"/>
      <c r="D445" s="5"/>
      <c r="E445" s="5"/>
      <c r="F445" s="5"/>
      <c r="G445" s="5"/>
      <c r="H445" s="6"/>
      <c r="I445" s="5"/>
      <c r="J445" s="83"/>
      <c r="K445" s="83"/>
      <c r="L445" s="83"/>
      <c r="M445" s="83"/>
      <c r="N445" s="83"/>
      <c r="O445" s="83"/>
      <c r="P445" s="83"/>
      <c r="Q445" s="84"/>
      <c r="R445" s="83"/>
      <c r="S445" s="83"/>
      <c r="T445" s="85"/>
      <c r="U445" s="6"/>
      <c r="V445" s="44">
        <v>44560</v>
      </c>
      <c r="W445" s="45">
        <v>133.91</v>
      </c>
      <c r="X445" s="46"/>
      <c r="Y445" s="61"/>
      <c r="Z445" s="5"/>
      <c r="AA445" s="5"/>
      <c r="AB445" s="5"/>
      <c r="AC445" s="5"/>
      <c r="AD445" s="5"/>
      <c r="AE445" s="5"/>
      <c r="AF445" s="5"/>
      <c r="AG445" s="5"/>
      <c r="AH445" s="6"/>
      <c r="AI445" s="44">
        <v>44560</v>
      </c>
      <c r="AJ445" s="53">
        <v>133.91</v>
      </c>
      <c r="AK445" s="54">
        <f t="shared" si="66"/>
        <v>4.1994750656169089E-3</v>
      </c>
      <c r="AL445" s="55">
        <f t="shared" si="69"/>
        <v>2.370640576008491</v>
      </c>
      <c r="AM445" s="56">
        <v>25</v>
      </c>
      <c r="AN445" s="57">
        <f t="shared" si="67"/>
        <v>22.629359423991509</v>
      </c>
      <c r="AO445" s="76">
        <f t="shared" si="70"/>
        <v>18.933408971334522</v>
      </c>
      <c r="AP445" s="63" t="str">
        <f t="shared" si="71"/>
        <v>Buy Stocks</v>
      </c>
      <c r="AQ445" s="63" t="str">
        <f t="shared" si="72"/>
        <v/>
      </c>
      <c r="AR445" s="63" t="str">
        <f t="shared" si="73"/>
        <v/>
      </c>
      <c r="AS445" s="63" t="str">
        <f t="shared" si="74"/>
        <v/>
      </c>
      <c r="AT445" s="78" t="str">
        <f t="shared" si="75"/>
        <v/>
      </c>
      <c r="AU445" s="78" t="str">
        <f t="shared" si="76"/>
        <v/>
      </c>
      <c r="AV445" s="64" t="str">
        <f ca="1">IFERROR(__xludf.DUMMYFUNCTION("IF(TRIM(AU445)="""","""",AU445/INDEX(FILTER(AT$3:AT445,TRIM(AT$3:AT445)&lt;&gt;""""),ROWS(FILTER(AT$3:AT445,TRIM(AT$3:AT445)&lt;&gt;"""")))-1)"),"")</f>
        <v/>
      </c>
      <c r="AW445" s="65" t="e">
        <f t="shared" ca="1" si="68"/>
        <v>#VALUE!</v>
      </c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</row>
    <row r="446" spans="1:68" ht="19" x14ac:dyDescent="0.25">
      <c r="A446" s="5"/>
      <c r="B446" s="5"/>
      <c r="C446" s="5"/>
      <c r="D446" s="5"/>
      <c r="E446" s="5"/>
      <c r="F446" s="5"/>
      <c r="G446" s="5"/>
      <c r="H446" s="6"/>
      <c r="I446" s="5"/>
      <c r="J446" s="83"/>
      <c r="K446" s="83"/>
      <c r="L446" s="83"/>
      <c r="M446" s="83"/>
      <c r="N446" s="83"/>
      <c r="O446" s="83"/>
      <c r="P446" s="83"/>
      <c r="Q446" s="84"/>
      <c r="R446" s="83"/>
      <c r="S446" s="83"/>
      <c r="T446" s="85"/>
      <c r="U446" s="6"/>
      <c r="V446" s="44">
        <v>44561</v>
      </c>
      <c r="W446" s="45">
        <v>133.66</v>
      </c>
      <c r="X446" s="46"/>
      <c r="Y446" s="61"/>
      <c r="Z446" s="5"/>
      <c r="AA446" s="5"/>
      <c r="AB446" s="5"/>
      <c r="AC446" s="5"/>
      <c r="AD446" s="5"/>
      <c r="AE446" s="5"/>
      <c r="AF446" s="5"/>
      <c r="AG446" s="5"/>
      <c r="AH446" s="6"/>
      <c r="AI446" s="44">
        <v>44561</v>
      </c>
      <c r="AJ446" s="53">
        <v>133.66</v>
      </c>
      <c r="AK446" s="54">
        <f t="shared" si="66"/>
        <v>-1.8669255470091795E-3</v>
      </c>
      <c r="AL446" s="55">
        <f t="shared" si="69"/>
        <v>6.1985633712991284</v>
      </c>
      <c r="AM446" s="56">
        <v>25</v>
      </c>
      <c r="AN446" s="57">
        <f t="shared" si="67"/>
        <v>18.80143662870087</v>
      </c>
      <c r="AO446" s="76">
        <f t="shared" si="70"/>
        <v>19.824061367348421</v>
      </c>
      <c r="AP446" s="63" t="str">
        <f t="shared" si="71"/>
        <v>Buy Stocks</v>
      </c>
      <c r="AQ446" s="63" t="str">
        <f t="shared" si="72"/>
        <v/>
      </c>
      <c r="AR446" s="63" t="str">
        <f t="shared" si="73"/>
        <v/>
      </c>
      <c r="AS446" s="63" t="str">
        <f t="shared" si="74"/>
        <v/>
      </c>
      <c r="AT446" s="78" t="str">
        <f t="shared" si="75"/>
        <v/>
      </c>
      <c r="AU446" s="78" t="str">
        <f t="shared" si="76"/>
        <v/>
      </c>
      <c r="AV446" s="64" t="str">
        <f ca="1">IFERROR(__xludf.DUMMYFUNCTION("IF(TRIM(AU446)="""","""",AU446/INDEX(FILTER(AT$3:AT446,TRIM(AT$3:AT446)&lt;&gt;""""),ROWS(FILTER(AT$3:AT446,TRIM(AT$3:AT446)&lt;&gt;"""")))-1)"),"")</f>
        <v/>
      </c>
      <c r="AW446" s="65" t="e">
        <f t="shared" ca="1" si="68"/>
        <v>#VALUE!</v>
      </c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</row>
    <row r="447" spans="1:68" ht="19" x14ac:dyDescent="0.25">
      <c r="A447" s="5"/>
      <c r="B447" s="5"/>
      <c r="C447" s="5"/>
      <c r="D447" s="5"/>
      <c r="E447" s="5"/>
      <c r="F447" s="5"/>
      <c r="G447" s="5"/>
      <c r="H447" s="6"/>
      <c r="I447" s="5"/>
      <c r="J447" s="83"/>
      <c r="K447" s="83"/>
      <c r="L447" s="83"/>
      <c r="M447" s="83"/>
      <c r="N447" s="83"/>
      <c r="O447" s="83"/>
      <c r="P447" s="83"/>
      <c r="Q447" s="84"/>
      <c r="R447" s="83"/>
      <c r="S447" s="83"/>
      <c r="T447" s="85"/>
      <c r="U447" s="6"/>
      <c r="V447" s="44">
        <v>44564</v>
      </c>
      <c r="W447" s="45">
        <v>136.04</v>
      </c>
      <c r="X447" s="46"/>
      <c r="Y447" s="61"/>
      <c r="Z447" s="5"/>
      <c r="AA447" s="5"/>
      <c r="AB447" s="5"/>
      <c r="AC447" s="5"/>
      <c r="AD447" s="5"/>
      <c r="AE447" s="5"/>
      <c r="AF447" s="5"/>
      <c r="AG447" s="5"/>
      <c r="AH447" s="6"/>
      <c r="AI447" s="44">
        <v>44564</v>
      </c>
      <c r="AJ447" s="53">
        <v>136.04</v>
      </c>
      <c r="AK447" s="54">
        <f t="shared" si="66"/>
        <v>1.7806374382762113E-2</v>
      </c>
      <c r="AL447" s="55">
        <f t="shared" si="69"/>
        <v>11.37957720832428</v>
      </c>
      <c r="AM447" s="56">
        <v>25</v>
      </c>
      <c r="AN447" s="57">
        <f t="shared" si="67"/>
        <v>13.62042279167572</v>
      </c>
      <c r="AO447" s="76">
        <f t="shared" si="70"/>
        <v>19.545424496107636</v>
      </c>
      <c r="AP447" s="63" t="str">
        <f t="shared" si="71"/>
        <v>Buy Stocks</v>
      </c>
      <c r="AQ447" s="63" t="str">
        <f t="shared" si="72"/>
        <v/>
      </c>
      <c r="AR447" s="63" t="str">
        <f t="shared" si="73"/>
        <v/>
      </c>
      <c r="AS447" s="63" t="str">
        <f t="shared" si="74"/>
        <v/>
      </c>
      <c r="AT447" s="78" t="str">
        <f t="shared" si="75"/>
        <v/>
      </c>
      <c r="AU447" s="78" t="str">
        <f t="shared" si="76"/>
        <v/>
      </c>
      <c r="AV447" s="64" t="str">
        <f ca="1">IFERROR(__xludf.DUMMYFUNCTION("IF(TRIM(AU447)="""","""",AU447/INDEX(FILTER(AT$3:AT447,TRIM(AT$3:AT447)&lt;&gt;""""),ROWS(FILTER(AT$3:AT447,TRIM(AT$3:AT447)&lt;&gt;"""")))-1)"),"")</f>
        <v/>
      </c>
      <c r="AW447" s="65" t="e">
        <f t="shared" ca="1" si="68"/>
        <v>#VALUE!</v>
      </c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</row>
    <row r="448" spans="1:68" ht="19" x14ac:dyDescent="0.25">
      <c r="A448" s="5"/>
      <c r="B448" s="5"/>
      <c r="C448" s="5"/>
      <c r="D448" s="5"/>
      <c r="E448" s="5"/>
      <c r="F448" s="5"/>
      <c r="G448" s="5"/>
      <c r="H448" s="6"/>
      <c r="I448" s="5"/>
      <c r="J448" s="83"/>
      <c r="K448" s="83"/>
      <c r="L448" s="83"/>
      <c r="M448" s="83"/>
      <c r="N448" s="83"/>
      <c r="O448" s="83"/>
      <c r="P448" s="83"/>
      <c r="Q448" s="84"/>
      <c r="R448" s="83"/>
      <c r="S448" s="83"/>
      <c r="T448" s="85"/>
      <c r="U448" s="6"/>
      <c r="V448" s="44">
        <v>44565</v>
      </c>
      <c r="W448" s="45">
        <v>138.02000000000001</v>
      </c>
      <c r="X448" s="46"/>
      <c r="Y448" s="61"/>
      <c r="Z448" s="5"/>
      <c r="AA448" s="5"/>
      <c r="AB448" s="5"/>
      <c r="AC448" s="5"/>
      <c r="AD448" s="5"/>
      <c r="AE448" s="5"/>
      <c r="AF448" s="5"/>
      <c r="AG448" s="5"/>
      <c r="AH448" s="6"/>
      <c r="AI448" s="44">
        <v>44565</v>
      </c>
      <c r="AJ448" s="53">
        <v>138.02000000000001</v>
      </c>
      <c r="AK448" s="54">
        <f t="shared" si="66"/>
        <v>1.4554542781535007E-2</v>
      </c>
      <c r="AL448" s="55">
        <f t="shared" si="69"/>
        <v>12.737651840526562</v>
      </c>
      <c r="AM448" s="56">
        <v>25</v>
      </c>
      <c r="AN448" s="57">
        <f t="shared" si="67"/>
        <v>12.262348159473438</v>
      </c>
      <c r="AO448" s="76">
        <f t="shared" si="70"/>
        <v>18.154557008669236</v>
      </c>
      <c r="AP448" s="63" t="str">
        <f t="shared" si="71"/>
        <v>Buy Stocks</v>
      </c>
      <c r="AQ448" s="63" t="str">
        <f t="shared" si="72"/>
        <v/>
      </c>
      <c r="AR448" s="63" t="str">
        <f t="shared" si="73"/>
        <v/>
      </c>
      <c r="AS448" s="63" t="str">
        <f t="shared" si="74"/>
        <v/>
      </c>
      <c r="AT448" s="78" t="str">
        <f t="shared" si="75"/>
        <v/>
      </c>
      <c r="AU448" s="78" t="str">
        <f t="shared" si="76"/>
        <v/>
      </c>
      <c r="AV448" s="64" t="str">
        <f ca="1">IFERROR(__xludf.DUMMYFUNCTION("IF(TRIM(AU448)="""","""",AU448/INDEX(FILTER(AT$3:AT448,TRIM(AT$3:AT448)&lt;&gt;""""),ROWS(FILTER(AT$3:AT448,TRIM(AT$3:AT448)&lt;&gt;"""")))-1)"),"")</f>
        <v/>
      </c>
      <c r="AW448" s="65" t="e">
        <f t="shared" ca="1" si="68"/>
        <v>#VALUE!</v>
      </c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</row>
    <row r="449" spans="1:68" ht="19" x14ac:dyDescent="0.25">
      <c r="A449" s="5"/>
      <c r="B449" s="5"/>
      <c r="C449" s="5"/>
      <c r="D449" s="5"/>
      <c r="E449" s="5"/>
      <c r="F449" s="5"/>
      <c r="G449" s="5"/>
      <c r="H449" s="6"/>
      <c r="I449" s="5"/>
      <c r="J449" s="83"/>
      <c r="K449" s="83"/>
      <c r="L449" s="83"/>
      <c r="M449" s="83"/>
      <c r="N449" s="83"/>
      <c r="O449" s="83"/>
      <c r="P449" s="83"/>
      <c r="Q449" s="84"/>
      <c r="R449" s="83"/>
      <c r="S449" s="83"/>
      <c r="T449" s="85"/>
      <c r="U449" s="6"/>
      <c r="V449" s="44">
        <v>44566</v>
      </c>
      <c r="W449" s="45">
        <v>138.22</v>
      </c>
      <c r="X449" s="46"/>
      <c r="Y449" s="61"/>
      <c r="Z449" s="5"/>
      <c r="AA449" s="5"/>
      <c r="AB449" s="5"/>
      <c r="AC449" s="5"/>
      <c r="AD449" s="5"/>
      <c r="AE449" s="5"/>
      <c r="AF449" s="5"/>
      <c r="AG449" s="5"/>
      <c r="AH449" s="6"/>
      <c r="AI449" s="44">
        <v>44566</v>
      </c>
      <c r="AJ449" s="53">
        <v>138.22</v>
      </c>
      <c r="AK449" s="54">
        <f t="shared" si="66"/>
        <v>1.4490653528473896E-3</v>
      </c>
      <c r="AL449" s="55">
        <f t="shared" si="69"/>
        <v>13.536821997927866</v>
      </c>
      <c r="AM449" s="56">
        <v>25</v>
      </c>
      <c r="AN449" s="57">
        <f t="shared" si="67"/>
        <v>11.463178002072134</v>
      </c>
      <c r="AO449" s="76">
        <f t="shared" si="70"/>
        <v>15.755349001182736</v>
      </c>
      <c r="AP449" s="63" t="str">
        <f t="shared" si="71"/>
        <v>Buy Stocks</v>
      </c>
      <c r="AQ449" s="63" t="str">
        <f t="shared" si="72"/>
        <v/>
      </c>
      <c r="AR449" s="63" t="str">
        <f t="shared" si="73"/>
        <v/>
      </c>
      <c r="AS449" s="63" t="str">
        <f t="shared" si="74"/>
        <v/>
      </c>
      <c r="AT449" s="78" t="str">
        <f t="shared" si="75"/>
        <v/>
      </c>
      <c r="AU449" s="78" t="str">
        <f t="shared" si="76"/>
        <v/>
      </c>
      <c r="AV449" s="64" t="str">
        <f ca="1">IFERROR(__xludf.DUMMYFUNCTION("IF(TRIM(AU449)="""","""",AU449/INDEX(FILTER(AT$3:AT449,TRIM(AT$3:AT449)&lt;&gt;""""),ROWS(FILTER(AT$3:AT449,TRIM(AT$3:AT449)&lt;&gt;"""")))-1)"),"")</f>
        <v/>
      </c>
      <c r="AW449" s="65" t="e">
        <f t="shared" ca="1" si="68"/>
        <v>#VALUE!</v>
      </c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</row>
    <row r="450" spans="1:68" ht="19" x14ac:dyDescent="0.25">
      <c r="A450" s="5"/>
      <c r="B450" s="5"/>
      <c r="C450" s="5"/>
      <c r="D450" s="5"/>
      <c r="E450" s="5"/>
      <c r="F450" s="5"/>
      <c r="G450" s="5"/>
      <c r="H450" s="6"/>
      <c r="I450" s="5"/>
      <c r="J450" s="83"/>
      <c r="K450" s="83"/>
      <c r="L450" s="83"/>
      <c r="M450" s="83"/>
      <c r="N450" s="83"/>
      <c r="O450" s="83"/>
      <c r="P450" s="83"/>
      <c r="Q450" s="84"/>
      <c r="R450" s="83"/>
      <c r="S450" s="83"/>
      <c r="T450" s="85"/>
      <c r="U450" s="6"/>
      <c r="V450" s="44">
        <v>44567</v>
      </c>
      <c r="W450" s="45">
        <v>135.34</v>
      </c>
      <c r="X450" s="46"/>
      <c r="Y450" s="61"/>
      <c r="Z450" s="5"/>
      <c r="AA450" s="5"/>
      <c r="AB450" s="5"/>
      <c r="AC450" s="5"/>
      <c r="AD450" s="5"/>
      <c r="AE450" s="5"/>
      <c r="AF450" s="5"/>
      <c r="AG450" s="5"/>
      <c r="AH450" s="6"/>
      <c r="AI450" s="44">
        <v>44567</v>
      </c>
      <c r="AJ450" s="53">
        <v>135.34</v>
      </c>
      <c r="AK450" s="54">
        <f t="shared" si="66"/>
        <v>-2.0836347851251547E-2</v>
      </c>
      <c r="AL450" s="55">
        <f t="shared" si="69"/>
        <v>24.386474578146618</v>
      </c>
      <c r="AM450" s="56">
        <v>25</v>
      </c>
      <c r="AN450" s="57">
        <f t="shared" si="67"/>
        <v>0.61352542185338166</v>
      </c>
      <c r="AO450" s="76">
        <f t="shared" si="70"/>
        <v>11.352182200755109</v>
      </c>
      <c r="AP450" s="63" t="str">
        <f t="shared" si="71"/>
        <v>Buy Stocks</v>
      </c>
      <c r="AQ450" s="63" t="str">
        <f t="shared" si="72"/>
        <v/>
      </c>
      <c r="AR450" s="63" t="str">
        <f t="shared" si="73"/>
        <v/>
      </c>
      <c r="AS450" s="63" t="str">
        <f t="shared" si="74"/>
        <v/>
      </c>
      <c r="AT450" s="78" t="str">
        <f t="shared" si="75"/>
        <v/>
      </c>
      <c r="AU450" s="78" t="str">
        <f t="shared" si="76"/>
        <v/>
      </c>
      <c r="AV450" s="64" t="str">
        <f ca="1">IFERROR(__xludf.DUMMYFUNCTION("IF(TRIM(AU450)="""","""",AU450/INDEX(FILTER(AT$3:AT450,TRIM(AT$3:AT450)&lt;&gt;""""),ROWS(FILTER(AT$3:AT450,TRIM(AT$3:AT450)&lt;&gt;"""")))-1)"),"")</f>
        <v/>
      </c>
      <c r="AW450" s="65" t="e">
        <f t="shared" ca="1" si="68"/>
        <v>#VALUE!</v>
      </c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</row>
    <row r="451" spans="1:68" ht="19" x14ac:dyDescent="0.25">
      <c r="A451" s="5"/>
      <c r="B451" s="5"/>
      <c r="C451" s="5"/>
      <c r="D451" s="5"/>
      <c r="E451" s="5"/>
      <c r="F451" s="5"/>
      <c r="G451" s="5"/>
      <c r="H451" s="6"/>
      <c r="I451" s="5"/>
      <c r="J451" s="83"/>
      <c r="K451" s="83"/>
      <c r="L451" s="83"/>
      <c r="M451" s="83"/>
      <c r="N451" s="83"/>
      <c r="O451" s="83"/>
      <c r="P451" s="83"/>
      <c r="Q451" s="84"/>
      <c r="R451" s="83"/>
      <c r="S451" s="83"/>
      <c r="T451" s="85"/>
      <c r="U451" s="6"/>
      <c r="V451" s="44">
        <v>44568</v>
      </c>
      <c r="W451" s="45">
        <v>134.83000000000001</v>
      </c>
      <c r="X451" s="46"/>
      <c r="Y451" s="61"/>
      <c r="Z451" s="5"/>
      <c r="AA451" s="5"/>
      <c r="AB451" s="5"/>
      <c r="AC451" s="5"/>
      <c r="AD451" s="5"/>
      <c r="AE451" s="5"/>
      <c r="AF451" s="5"/>
      <c r="AG451" s="5"/>
      <c r="AH451" s="6"/>
      <c r="AI451" s="44">
        <v>44568</v>
      </c>
      <c r="AJ451" s="53">
        <v>134.83000000000001</v>
      </c>
      <c r="AK451" s="54">
        <f t="shared" ref="AK451:AK514" si="77">AJ451/AJ450-1</f>
        <v>-3.7682872764888131E-3</v>
      </c>
      <c r="AL451" s="55">
        <f t="shared" si="69"/>
        <v>24.623495241720139</v>
      </c>
      <c r="AM451" s="56">
        <v>25</v>
      </c>
      <c r="AN451" s="57">
        <f t="shared" ref="AN451:AN514" si="78">AM451-AL451</f>
        <v>0.37650475827986085</v>
      </c>
      <c r="AO451" s="76">
        <f t="shared" si="70"/>
        <v>7.6671958266709082</v>
      </c>
      <c r="AP451" s="63" t="str">
        <f t="shared" si="71"/>
        <v>Buy Stocks</v>
      </c>
      <c r="AQ451" s="63" t="str">
        <f t="shared" si="72"/>
        <v/>
      </c>
      <c r="AR451" s="63" t="str">
        <f t="shared" si="73"/>
        <v/>
      </c>
      <c r="AS451" s="63" t="str">
        <f t="shared" si="74"/>
        <v/>
      </c>
      <c r="AT451" s="78" t="str">
        <f t="shared" si="75"/>
        <v/>
      </c>
      <c r="AU451" s="78" t="str">
        <f t="shared" si="76"/>
        <v/>
      </c>
      <c r="AV451" s="64" t="str">
        <f ca="1">IFERROR(__xludf.DUMMYFUNCTION("IF(TRIM(AU451)="""","""",AU451/INDEX(FILTER(AT$3:AT451,TRIM(AT$3:AT451)&lt;&gt;""""),ROWS(FILTER(AT$3:AT451,TRIM(AT$3:AT451)&lt;&gt;"""")))-1)"),"")</f>
        <v/>
      </c>
      <c r="AW451" s="65" t="e">
        <f t="shared" ref="AW451:AW514" ca="1" si="79">AW450*(1+AV451)</f>
        <v>#VALUE!</v>
      </c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</row>
    <row r="452" spans="1:68" ht="19" x14ac:dyDescent="0.25">
      <c r="A452" s="5"/>
      <c r="B452" s="5"/>
      <c r="C452" s="5"/>
      <c r="D452" s="5"/>
      <c r="E452" s="5"/>
      <c r="F452" s="5"/>
      <c r="G452" s="5"/>
      <c r="H452" s="6"/>
      <c r="I452" s="5"/>
      <c r="J452" s="83"/>
      <c r="K452" s="83"/>
      <c r="L452" s="83"/>
      <c r="M452" s="83"/>
      <c r="N452" s="83"/>
      <c r="O452" s="83"/>
      <c r="P452" s="83"/>
      <c r="Q452" s="84"/>
      <c r="R452" s="83"/>
      <c r="S452" s="83"/>
      <c r="T452" s="85"/>
      <c r="U452" s="6"/>
      <c r="V452" s="44">
        <v>44571</v>
      </c>
      <c r="W452" s="45">
        <v>135.03</v>
      </c>
      <c r="X452" s="46"/>
      <c r="Y452" s="61"/>
      <c r="Z452" s="5"/>
      <c r="AA452" s="5"/>
      <c r="AB452" s="5"/>
      <c r="AC452" s="5"/>
      <c r="AD452" s="5"/>
      <c r="AE452" s="5"/>
      <c r="AF452" s="5"/>
      <c r="AG452" s="5"/>
      <c r="AH452" s="6"/>
      <c r="AI452" s="44">
        <v>44571</v>
      </c>
      <c r="AJ452" s="53">
        <v>135.03</v>
      </c>
      <c r="AK452" s="54">
        <f t="shared" si="77"/>
        <v>1.4833494029518057E-3</v>
      </c>
      <c r="AL452" s="55">
        <f t="shared" si="69"/>
        <v>20.303798796510421</v>
      </c>
      <c r="AM452" s="56">
        <v>25</v>
      </c>
      <c r="AN452" s="57">
        <f t="shared" si="78"/>
        <v>4.6962012034895793</v>
      </c>
      <c r="AO452" s="76">
        <f t="shared" si="70"/>
        <v>5.8823515090336791</v>
      </c>
      <c r="AP452" s="63" t="str">
        <f t="shared" si="71"/>
        <v>Buy Stocks</v>
      </c>
      <c r="AQ452" s="63" t="str">
        <f t="shared" si="72"/>
        <v/>
      </c>
      <c r="AR452" s="63" t="str">
        <f t="shared" si="73"/>
        <v/>
      </c>
      <c r="AS452" s="63" t="str">
        <f t="shared" si="74"/>
        <v/>
      </c>
      <c r="AT452" s="78" t="str">
        <f t="shared" si="75"/>
        <v/>
      </c>
      <c r="AU452" s="78" t="str">
        <f t="shared" si="76"/>
        <v/>
      </c>
      <c r="AV452" s="64" t="str">
        <f ca="1">IFERROR(__xludf.DUMMYFUNCTION("IF(TRIM(AU452)="""","""",AU452/INDEX(FILTER(AT$3:AT452,TRIM(AT$3:AT452)&lt;&gt;""""),ROWS(FILTER(AT$3:AT452,TRIM(AT$3:AT452)&lt;&gt;"""")))-1)"),"")</f>
        <v/>
      </c>
      <c r="AW452" s="65" t="e">
        <f t="shared" ca="1" si="79"/>
        <v>#VALUE!</v>
      </c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</row>
    <row r="453" spans="1:68" ht="19" x14ac:dyDescent="0.25">
      <c r="A453" s="5"/>
      <c r="B453" s="5"/>
      <c r="C453" s="5"/>
      <c r="D453" s="5"/>
      <c r="E453" s="5"/>
      <c r="F453" s="5"/>
      <c r="G453" s="5"/>
      <c r="H453" s="6"/>
      <c r="I453" s="5"/>
      <c r="J453" s="83"/>
      <c r="K453" s="83"/>
      <c r="L453" s="83"/>
      <c r="M453" s="83"/>
      <c r="N453" s="83"/>
      <c r="O453" s="83"/>
      <c r="P453" s="83"/>
      <c r="Q453" s="84"/>
      <c r="R453" s="83"/>
      <c r="S453" s="83"/>
      <c r="T453" s="85"/>
      <c r="U453" s="6"/>
      <c r="V453" s="44">
        <v>44572</v>
      </c>
      <c r="W453" s="45">
        <v>132.87</v>
      </c>
      <c r="X453" s="46"/>
      <c r="Y453" s="61"/>
      <c r="Z453" s="5"/>
      <c r="AA453" s="5"/>
      <c r="AB453" s="5"/>
      <c r="AC453" s="5"/>
      <c r="AD453" s="5"/>
      <c r="AE453" s="5"/>
      <c r="AF453" s="5"/>
      <c r="AG453" s="5"/>
      <c r="AH453" s="6"/>
      <c r="AI453" s="44">
        <v>44572</v>
      </c>
      <c r="AJ453" s="53">
        <v>132.87</v>
      </c>
      <c r="AK453" s="54">
        <f t="shared" si="77"/>
        <v>-1.5996445234392365E-2</v>
      </c>
      <c r="AL453" s="55">
        <f t="shared" si="69"/>
        <v>16.358333421254954</v>
      </c>
      <c r="AM453" s="56">
        <v>25</v>
      </c>
      <c r="AN453" s="57">
        <f t="shared" si="78"/>
        <v>8.6416665787450455</v>
      </c>
      <c r="AO453" s="76">
        <f t="shared" si="70"/>
        <v>5.158215192888</v>
      </c>
      <c r="AP453" s="63" t="str">
        <f t="shared" si="71"/>
        <v>Buy Stocks</v>
      </c>
      <c r="AQ453" s="63" t="str">
        <f t="shared" si="72"/>
        <v/>
      </c>
      <c r="AR453" s="63" t="str">
        <f t="shared" si="73"/>
        <v/>
      </c>
      <c r="AS453" s="63" t="str">
        <f t="shared" si="74"/>
        <v/>
      </c>
      <c r="AT453" s="78" t="str">
        <f t="shared" si="75"/>
        <v/>
      </c>
      <c r="AU453" s="78" t="str">
        <f t="shared" si="76"/>
        <v/>
      </c>
      <c r="AV453" s="64" t="str">
        <f ca="1">IFERROR(__xludf.DUMMYFUNCTION("IF(TRIM(AU453)="""","""",AU453/INDEX(FILTER(AT$3:AT453,TRIM(AT$3:AT453)&lt;&gt;""""),ROWS(FILTER(AT$3:AT453,TRIM(AT$3:AT453)&lt;&gt;"""")))-1)"),"")</f>
        <v/>
      </c>
      <c r="AW453" s="65" t="e">
        <f t="shared" ca="1" si="79"/>
        <v>#VALUE!</v>
      </c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</row>
    <row r="454" spans="1:68" ht="19" x14ac:dyDescent="0.25">
      <c r="A454" s="5"/>
      <c r="B454" s="5"/>
      <c r="C454" s="5"/>
      <c r="D454" s="5"/>
      <c r="E454" s="5"/>
      <c r="F454" s="5"/>
      <c r="G454" s="5"/>
      <c r="H454" s="6"/>
      <c r="I454" s="5"/>
      <c r="J454" s="83"/>
      <c r="K454" s="83"/>
      <c r="L454" s="83"/>
      <c r="M454" s="83"/>
      <c r="N454" s="83"/>
      <c r="O454" s="83"/>
      <c r="P454" s="83"/>
      <c r="Q454" s="84"/>
      <c r="R454" s="83"/>
      <c r="S454" s="83"/>
      <c r="T454" s="85"/>
      <c r="U454" s="6"/>
      <c r="V454" s="44">
        <v>44573</v>
      </c>
      <c r="W454" s="45">
        <v>133.59</v>
      </c>
      <c r="X454" s="46"/>
      <c r="Y454" s="61"/>
      <c r="Z454" s="5"/>
      <c r="AA454" s="5"/>
      <c r="AB454" s="5"/>
      <c r="AC454" s="5"/>
      <c r="AD454" s="5"/>
      <c r="AE454" s="5"/>
      <c r="AF454" s="5"/>
      <c r="AG454" s="5"/>
      <c r="AH454" s="6"/>
      <c r="AI454" s="44">
        <v>44573</v>
      </c>
      <c r="AJ454" s="53">
        <v>133.59</v>
      </c>
      <c r="AK454" s="54">
        <f t="shared" si="77"/>
        <v>5.4188304357642991E-3</v>
      </c>
      <c r="AL454" s="55">
        <f t="shared" si="69"/>
        <v>17.901640190944519</v>
      </c>
      <c r="AM454" s="56">
        <v>25</v>
      </c>
      <c r="AN454" s="57">
        <f t="shared" si="78"/>
        <v>7.0983598090554807</v>
      </c>
      <c r="AO454" s="76">
        <f t="shared" si="70"/>
        <v>4.2852515542846694</v>
      </c>
      <c r="AP454" s="63" t="str">
        <f t="shared" si="71"/>
        <v>Buy Stocks</v>
      </c>
      <c r="AQ454" s="63" t="str">
        <f t="shared" si="72"/>
        <v/>
      </c>
      <c r="AR454" s="63" t="str">
        <f t="shared" si="73"/>
        <v/>
      </c>
      <c r="AS454" s="63" t="str">
        <f t="shared" si="74"/>
        <v/>
      </c>
      <c r="AT454" s="78" t="str">
        <f t="shared" si="75"/>
        <v/>
      </c>
      <c r="AU454" s="78" t="str">
        <f t="shared" si="76"/>
        <v/>
      </c>
      <c r="AV454" s="64" t="str">
        <f ca="1">IFERROR(__xludf.DUMMYFUNCTION("IF(TRIM(AU454)="""","""",AU454/INDEX(FILTER(AT$3:AT454,TRIM(AT$3:AT454)&lt;&gt;""""),ROWS(FILTER(AT$3:AT454,TRIM(AT$3:AT454)&lt;&gt;"""")))-1)"),"")</f>
        <v/>
      </c>
      <c r="AW454" s="65" t="e">
        <f t="shared" ca="1" si="79"/>
        <v>#VALUE!</v>
      </c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</row>
    <row r="455" spans="1:68" ht="19" x14ac:dyDescent="0.25">
      <c r="A455" s="5"/>
      <c r="B455" s="5"/>
      <c r="C455" s="5"/>
      <c r="D455" s="5"/>
      <c r="E455" s="5"/>
      <c r="F455" s="5"/>
      <c r="G455" s="5"/>
      <c r="H455" s="6"/>
      <c r="I455" s="5"/>
      <c r="J455" s="83"/>
      <c r="K455" s="83"/>
      <c r="L455" s="83"/>
      <c r="M455" s="83"/>
      <c r="N455" s="83"/>
      <c r="O455" s="83"/>
      <c r="P455" s="83"/>
      <c r="Q455" s="84"/>
      <c r="R455" s="83"/>
      <c r="S455" s="83"/>
      <c r="T455" s="85"/>
      <c r="U455" s="6"/>
      <c r="V455" s="44">
        <v>44574</v>
      </c>
      <c r="W455" s="45">
        <v>134.76</v>
      </c>
      <c r="X455" s="46"/>
      <c r="Y455" s="61"/>
      <c r="Z455" s="5"/>
      <c r="AA455" s="5"/>
      <c r="AB455" s="5"/>
      <c r="AC455" s="5"/>
      <c r="AD455" s="5"/>
      <c r="AE455" s="5"/>
      <c r="AF455" s="5"/>
      <c r="AG455" s="5"/>
      <c r="AH455" s="6"/>
      <c r="AI455" s="44">
        <v>44574</v>
      </c>
      <c r="AJ455" s="53">
        <v>134.76</v>
      </c>
      <c r="AK455" s="54">
        <f t="shared" si="77"/>
        <v>8.7581405793846212E-3</v>
      </c>
      <c r="AL455" s="55">
        <f t="shared" ref="AL455:AL518" si="80">_xlfn.STDEV.S(AK451:AK455)*SQRT(252)*100</f>
        <v>15.370140964650039</v>
      </c>
      <c r="AM455" s="56">
        <v>25</v>
      </c>
      <c r="AN455" s="57">
        <f t="shared" si="78"/>
        <v>9.6298590353499609</v>
      </c>
      <c r="AO455" s="76">
        <f t="shared" ref="AO455:AO518" si="81">AVERAGE(AN451:AN455)</f>
        <v>6.0885182769839856</v>
      </c>
      <c r="AP455" s="63" t="str">
        <f t="shared" ref="AP455:AP518" si="82">IF(AO455&gt;0,"Buy Stocks","")</f>
        <v>Buy Stocks</v>
      </c>
      <c r="AQ455" s="63" t="str">
        <f t="shared" ref="AQ455:AQ518" si="83">IF(AO455&lt;0,"Sell Stocks","")</f>
        <v/>
      </c>
      <c r="AR455" s="63" t="str">
        <f t="shared" ref="AR455:AR518" si="84">IF(AND(AP455="Buy Stocks",AP454=""),"Buy Stocks","")</f>
        <v/>
      </c>
      <c r="AS455" s="63" t="str">
        <f t="shared" ref="AS455:AS518" si="85">IF(AND(AQ455="Sell Stocks",AQ454=""),"Sell Stocks","")</f>
        <v/>
      </c>
      <c r="AT455" s="78" t="str">
        <f t="shared" ref="AT455:AT518" si="86">IF(AR455="Buy Stocks",AJ455,"")</f>
        <v/>
      </c>
      <c r="AU455" s="78" t="str">
        <f t="shared" ref="AU455:AU518" si="87">IF(AS455="Sell Stocks",AJ455,"")</f>
        <v/>
      </c>
      <c r="AV455" s="64" t="str">
        <f ca="1">IFERROR(__xludf.DUMMYFUNCTION("IF(TRIM(AU455)="""","""",AU455/INDEX(FILTER(AT$3:AT455,TRIM(AT$3:AT455)&lt;&gt;""""),ROWS(FILTER(AT$3:AT455,TRIM(AT$3:AT455)&lt;&gt;"""")))-1)"),"")</f>
        <v/>
      </c>
      <c r="AW455" s="65" t="e">
        <f t="shared" ca="1" si="79"/>
        <v>#VALUE!</v>
      </c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</row>
    <row r="456" spans="1:68" ht="19" x14ac:dyDescent="0.25">
      <c r="A456" s="5"/>
      <c r="B456" s="5"/>
      <c r="C456" s="5"/>
      <c r="D456" s="5"/>
      <c r="E456" s="5"/>
      <c r="F456" s="5"/>
      <c r="G456" s="5"/>
      <c r="H456" s="6"/>
      <c r="I456" s="5"/>
      <c r="J456" s="83"/>
      <c r="K456" s="83"/>
      <c r="L456" s="83"/>
      <c r="M456" s="83"/>
      <c r="N456" s="83"/>
      <c r="O456" s="83"/>
      <c r="P456" s="83"/>
      <c r="Q456" s="84"/>
      <c r="R456" s="83"/>
      <c r="S456" s="83"/>
      <c r="T456" s="85"/>
      <c r="U456" s="6"/>
      <c r="V456" s="44">
        <v>44575</v>
      </c>
      <c r="W456" s="45">
        <v>134.21</v>
      </c>
      <c r="X456" s="46"/>
      <c r="Y456" s="61"/>
      <c r="Z456" s="5"/>
      <c r="AA456" s="5"/>
      <c r="AB456" s="5"/>
      <c r="AC456" s="5"/>
      <c r="AD456" s="5"/>
      <c r="AE456" s="5"/>
      <c r="AF456" s="5"/>
      <c r="AG456" s="5"/>
      <c r="AH456" s="6"/>
      <c r="AI456" s="44">
        <v>44575</v>
      </c>
      <c r="AJ456" s="53">
        <v>134.21</v>
      </c>
      <c r="AK456" s="54">
        <f t="shared" si="77"/>
        <v>-4.0813297714453745E-3</v>
      </c>
      <c r="AL456" s="55">
        <f t="shared" si="80"/>
        <v>15.409515839250879</v>
      </c>
      <c r="AM456" s="56">
        <v>25</v>
      </c>
      <c r="AN456" s="57">
        <f t="shared" si="78"/>
        <v>9.5904841607491207</v>
      </c>
      <c r="AO456" s="76">
        <f t="shared" si="81"/>
        <v>7.9313141574778374</v>
      </c>
      <c r="AP456" s="63" t="str">
        <f t="shared" si="82"/>
        <v>Buy Stocks</v>
      </c>
      <c r="AQ456" s="63" t="str">
        <f t="shared" si="83"/>
        <v/>
      </c>
      <c r="AR456" s="63" t="str">
        <f t="shared" si="84"/>
        <v/>
      </c>
      <c r="AS456" s="63" t="str">
        <f t="shared" si="85"/>
        <v/>
      </c>
      <c r="AT456" s="78" t="str">
        <f t="shared" si="86"/>
        <v/>
      </c>
      <c r="AU456" s="78" t="str">
        <f t="shared" si="87"/>
        <v/>
      </c>
      <c r="AV456" s="64" t="str">
        <f ca="1">IFERROR(__xludf.DUMMYFUNCTION("IF(TRIM(AU456)="""","""",AU456/INDEX(FILTER(AT$3:AT456,TRIM(AT$3:AT456)&lt;&gt;""""),ROWS(FILTER(AT$3:AT456,TRIM(AT$3:AT456)&lt;&gt;"""")))-1)"),"")</f>
        <v/>
      </c>
      <c r="AW456" s="65" t="e">
        <f t="shared" ca="1" si="79"/>
        <v>#VALUE!</v>
      </c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</row>
    <row r="457" spans="1:68" ht="19" x14ac:dyDescent="0.25">
      <c r="A457" s="5"/>
      <c r="B457" s="5"/>
      <c r="C457" s="5"/>
      <c r="D457" s="5"/>
      <c r="E457" s="5"/>
      <c r="F457" s="5"/>
      <c r="G457" s="5"/>
      <c r="H457" s="6"/>
      <c r="I457" s="5"/>
      <c r="J457" s="83"/>
      <c r="K457" s="83"/>
      <c r="L457" s="83"/>
      <c r="M457" s="83"/>
      <c r="N457" s="83"/>
      <c r="O457" s="83"/>
      <c r="P457" s="83"/>
      <c r="Q457" s="84"/>
      <c r="R457" s="83"/>
      <c r="S457" s="83"/>
      <c r="T457" s="85"/>
      <c r="U457" s="6"/>
      <c r="V457" s="44">
        <v>44579</v>
      </c>
      <c r="W457" s="45">
        <v>132.94</v>
      </c>
      <c r="X457" s="46"/>
      <c r="Y457" s="61"/>
      <c r="Z457" s="5"/>
      <c r="AA457" s="5"/>
      <c r="AB457" s="5"/>
      <c r="AC457" s="5"/>
      <c r="AD457" s="5"/>
      <c r="AE457" s="5"/>
      <c r="AF457" s="5"/>
      <c r="AG457" s="5"/>
      <c r="AH457" s="6"/>
      <c r="AI457" s="44">
        <v>44579</v>
      </c>
      <c r="AJ457" s="53">
        <v>132.94</v>
      </c>
      <c r="AK457" s="54">
        <f t="shared" si="77"/>
        <v>-9.462782206989151E-3</v>
      </c>
      <c r="AL457" s="55">
        <f t="shared" si="80"/>
        <v>16.284888353431647</v>
      </c>
      <c r="AM457" s="56">
        <v>25</v>
      </c>
      <c r="AN457" s="57">
        <f t="shared" si="78"/>
        <v>8.7151116465683529</v>
      </c>
      <c r="AO457" s="76">
        <f t="shared" si="81"/>
        <v>8.7350962460935921</v>
      </c>
      <c r="AP457" s="63" t="str">
        <f t="shared" si="82"/>
        <v>Buy Stocks</v>
      </c>
      <c r="AQ457" s="63" t="str">
        <f t="shared" si="83"/>
        <v/>
      </c>
      <c r="AR457" s="63" t="str">
        <f t="shared" si="84"/>
        <v/>
      </c>
      <c r="AS457" s="63" t="str">
        <f t="shared" si="85"/>
        <v/>
      </c>
      <c r="AT457" s="78" t="str">
        <f t="shared" si="86"/>
        <v/>
      </c>
      <c r="AU457" s="78" t="str">
        <f t="shared" si="87"/>
        <v/>
      </c>
      <c r="AV457" s="64" t="str">
        <f ca="1">IFERROR(__xludf.DUMMYFUNCTION("IF(TRIM(AU457)="""","""",AU457/INDEX(FILTER(AT$3:AT457,TRIM(AT$3:AT457)&lt;&gt;""""),ROWS(FILTER(AT$3:AT457,TRIM(AT$3:AT457)&lt;&gt;"""")))-1)"),"")</f>
        <v/>
      </c>
      <c r="AW457" s="65" t="e">
        <f t="shared" ca="1" si="79"/>
        <v>#VALUE!</v>
      </c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</row>
    <row r="458" spans="1:68" ht="19" x14ac:dyDescent="0.25">
      <c r="A458" s="5"/>
      <c r="B458" s="5"/>
      <c r="C458" s="5"/>
      <c r="D458" s="5"/>
      <c r="E458" s="5"/>
      <c r="F458" s="5"/>
      <c r="G458" s="5"/>
      <c r="H458" s="6"/>
      <c r="I458" s="5"/>
      <c r="J458" s="83"/>
      <c r="K458" s="83"/>
      <c r="L458" s="83"/>
      <c r="M458" s="83"/>
      <c r="N458" s="83"/>
      <c r="O458" s="83"/>
      <c r="P458" s="83"/>
      <c r="Q458" s="84"/>
      <c r="R458" s="83"/>
      <c r="S458" s="83"/>
      <c r="T458" s="85"/>
      <c r="U458" s="6"/>
      <c r="V458" s="44">
        <v>44580</v>
      </c>
      <c r="W458" s="45">
        <v>131.58000000000001</v>
      </c>
      <c r="X458" s="46"/>
      <c r="Y458" s="61"/>
      <c r="Z458" s="5"/>
      <c r="AA458" s="5"/>
      <c r="AB458" s="5"/>
      <c r="AC458" s="5"/>
      <c r="AD458" s="5"/>
      <c r="AE458" s="5"/>
      <c r="AF458" s="5"/>
      <c r="AG458" s="5"/>
      <c r="AH458" s="6"/>
      <c r="AI458" s="44">
        <v>44580</v>
      </c>
      <c r="AJ458" s="53">
        <v>131.58000000000001</v>
      </c>
      <c r="AK458" s="54">
        <f t="shared" si="77"/>
        <v>-1.0230179028132835E-2</v>
      </c>
      <c r="AL458" s="55">
        <f t="shared" si="80"/>
        <v>13.713431897734695</v>
      </c>
      <c r="AM458" s="56">
        <v>25</v>
      </c>
      <c r="AN458" s="57">
        <f t="shared" si="78"/>
        <v>11.286568102265305</v>
      </c>
      <c r="AO458" s="76">
        <f t="shared" si="81"/>
        <v>9.2640765507976433</v>
      </c>
      <c r="AP458" s="63" t="str">
        <f t="shared" si="82"/>
        <v>Buy Stocks</v>
      </c>
      <c r="AQ458" s="63" t="str">
        <f t="shared" si="83"/>
        <v/>
      </c>
      <c r="AR458" s="63" t="str">
        <f t="shared" si="84"/>
        <v/>
      </c>
      <c r="AS458" s="63" t="str">
        <f t="shared" si="85"/>
        <v/>
      </c>
      <c r="AT458" s="78" t="str">
        <f t="shared" si="86"/>
        <v/>
      </c>
      <c r="AU458" s="78" t="str">
        <f t="shared" si="87"/>
        <v/>
      </c>
      <c r="AV458" s="64" t="str">
        <f ca="1">IFERROR(__xludf.DUMMYFUNCTION("IF(TRIM(AU458)="""","""",AU458/INDEX(FILTER(AT$3:AT458,TRIM(AT$3:AT458)&lt;&gt;""""),ROWS(FILTER(AT$3:AT458,TRIM(AT$3:AT458)&lt;&gt;"""")))-1)"),"")</f>
        <v/>
      </c>
      <c r="AW458" s="65" t="e">
        <f t="shared" ca="1" si="79"/>
        <v>#VALUE!</v>
      </c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</row>
    <row r="459" spans="1:68" ht="19" x14ac:dyDescent="0.25">
      <c r="A459" s="5"/>
      <c r="B459" s="5"/>
      <c r="C459" s="5"/>
      <c r="D459" s="5"/>
      <c r="E459" s="5"/>
      <c r="F459" s="5"/>
      <c r="G459" s="5"/>
      <c r="H459" s="6"/>
      <c r="I459" s="5"/>
      <c r="J459" s="83"/>
      <c r="K459" s="83"/>
      <c r="L459" s="83"/>
      <c r="M459" s="83"/>
      <c r="N459" s="83"/>
      <c r="O459" s="83"/>
      <c r="P459" s="83"/>
      <c r="Q459" s="84"/>
      <c r="R459" s="83"/>
      <c r="S459" s="83"/>
      <c r="T459" s="85"/>
      <c r="U459" s="6"/>
      <c r="V459" s="44">
        <v>44581</v>
      </c>
      <c r="W459" s="45">
        <v>130.82</v>
      </c>
      <c r="X459" s="46"/>
      <c r="Y459" s="61"/>
      <c r="Z459" s="5"/>
      <c r="AA459" s="5"/>
      <c r="AB459" s="5"/>
      <c r="AC459" s="5"/>
      <c r="AD459" s="5"/>
      <c r="AE459" s="5"/>
      <c r="AF459" s="5"/>
      <c r="AG459" s="5"/>
      <c r="AH459" s="6"/>
      <c r="AI459" s="44">
        <v>44581</v>
      </c>
      <c r="AJ459" s="53">
        <v>130.82</v>
      </c>
      <c r="AK459" s="54">
        <f t="shared" si="77"/>
        <v>-5.7759537923698367E-3</v>
      </c>
      <c r="AL459" s="55">
        <f t="shared" si="80"/>
        <v>12.153654570917457</v>
      </c>
      <c r="AM459" s="56">
        <v>25</v>
      </c>
      <c r="AN459" s="57">
        <f t="shared" si="78"/>
        <v>12.846345429082543</v>
      </c>
      <c r="AO459" s="76">
        <f t="shared" si="81"/>
        <v>10.413673674803055</v>
      </c>
      <c r="AP459" s="63" t="str">
        <f t="shared" si="82"/>
        <v>Buy Stocks</v>
      </c>
      <c r="AQ459" s="63" t="str">
        <f t="shared" si="83"/>
        <v/>
      </c>
      <c r="AR459" s="63" t="str">
        <f t="shared" si="84"/>
        <v/>
      </c>
      <c r="AS459" s="63" t="str">
        <f t="shared" si="85"/>
        <v/>
      </c>
      <c r="AT459" s="78" t="str">
        <f t="shared" si="86"/>
        <v/>
      </c>
      <c r="AU459" s="78" t="str">
        <f t="shared" si="87"/>
        <v/>
      </c>
      <c r="AV459" s="64" t="str">
        <f ca="1">IFERROR(__xludf.DUMMYFUNCTION("IF(TRIM(AU459)="""","""",AU459/INDEX(FILTER(AT$3:AT459,TRIM(AT$3:AT459)&lt;&gt;""""),ROWS(FILTER(AT$3:AT459,TRIM(AT$3:AT459)&lt;&gt;"""")))-1)"),"")</f>
        <v/>
      </c>
      <c r="AW459" s="65" t="e">
        <f t="shared" ca="1" si="79"/>
        <v>#VALUE!</v>
      </c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</row>
    <row r="460" spans="1:68" ht="19" x14ac:dyDescent="0.25">
      <c r="A460" s="5"/>
      <c r="B460" s="5"/>
      <c r="C460" s="5"/>
      <c r="D460" s="5"/>
      <c r="E460" s="5"/>
      <c r="F460" s="5"/>
      <c r="G460" s="5"/>
      <c r="H460" s="6"/>
      <c r="I460" s="5"/>
      <c r="J460" s="83"/>
      <c r="K460" s="83"/>
      <c r="L460" s="83"/>
      <c r="M460" s="83"/>
      <c r="N460" s="83"/>
      <c r="O460" s="83"/>
      <c r="P460" s="83"/>
      <c r="Q460" s="84"/>
      <c r="R460" s="83"/>
      <c r="S460" s="83"/>
      <c r="T460" s="85"/>
      <c r="U460" s="6"/>
      <c r="V460" s="44">
        <v>44582</v>
      </c>
      <c r="W460" s="45">
        <v>129.35</v>
      </c>
      <c r="X460" s="46"/>
      <c r="Y460" s="61"/>
      <c r="Z460" s="5"/>
      <c r="AA460" s="5"/>
      <c r="AB460" s="5"/>
      <c r="AC460" s="5"/>
      <c r="AD460" s="5"/>
      <c r="AE460" s="5"/>
      <c r="AF460" s="5"/>
      <c r="AG460" s="5"/>
      <c r="AH460" s="6"/>
      <c r="AI460" s="44">
        <v>44582</v>
      </c>
      <c r="AJ460" s="53">
        <v>129.35</v>
      </c>
      <c r="AK460" s="54">
        <f t="shared" si="77"/>
        <v>-1.1236813942822166E-2</v>
      </c>
      <c r="AL460" s="55">
        <f t="shared" si="80"/>
        <v>4.8779485485299281</v>
      </c>
      <c r="AM460" s="56">
        <v>25</v>
      </c>
      <c r="AN460" s="57">
        <f t="shared" si="78"/>
        <v>20.122051451470071</v>
      </c>
      <c r="AO460" s="76">
        <f t="shared" si="81"/>
        <v>12.51211215802708</v>
      </c>
      <c r="AP460" s="63" t="str">
        <f t="shared" si="82"/>
        <v>Buy Stocks</v>
      </c>
      <c r="AQ460" s="63" t="str">
        <f t="shared" si="83"/>
        <v/>
      </c>
      <c r="AR460" s="63" t="str">
        <f t="shared" si="84"/>
        <v/>
      </c>
      <c r="AS460" s="63" t="str">
        <f t="shared" si="85"/>
        <v/>
      </c>
      <c r="AT460" s="78" t="str">
        <f t="shared" si="86"/>
        <v/>
      </c>
      <c r="AU460" s="78" t="str">
        <f t="shared" si="87"/>
        <v/>
      </c>
      <c r="AV460" s="64" t="str">
        <f ca="1">IFERROR(__xludf.DUMMYFUNCTION("IF(TRIM(AU460)="""","""",AU460/INDEX(FILTER(AT$3:AT460,TRIM(AT$3:AT460)&lt;&gt;""""),ROWS(FILTER(AT$3:AT460,TRIM(AT$3:AT460)&lt;&gt;"""")))-1)"),"")</f>
        <v/>
      </c>
      <c r="AW460" s="65" t="e">
        <f t="shared" ca="1" si="79"/>
        <v>#VALUE!</v>
      </c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</row>
    <row r="461" spans="1:68" ht="19" x14ac:dyDescent="0.25">
      <c r="A461" s="5"/>
      <c r="B461" s="5"/>
      <c r="C461" s="5"/>
      <c r="D461" s="5"/>
      <c r="E461" s="5"/>
      <c r="F461" s="5"/>
      <c r="G461" s="5"/>
      <c r="H461" s="6"/>
      <c r="I461" s="5"/>
      <c r="J461" s="83"/>
      <c r="K461" s="83"/>
      <c r="L461" s="83"/>
      <c r="M461" s="83"/>
      <c r="N461" s="83"/>
      <c r="O461" s="83"/>
      <c r="P461" s="83"/>
      <c r="Q461" s="84"/>
      <c r="R461" s="83"/>
      <c r="S461" s="83"/>
      <c r="T461" s="85"/>
      <c r="U461" s="6"/>
      <c r="V461" s="44">
        <v>44585</v>
      </c>
      <c r="W461" s="45">
        <v>128.82</v>
      </c>
      <c r="X461" s="46"/>
      <c r="Y461" s="61"/>
      <c r="Z461" s="5"/>
      <c r="AA461" s="5"/>
      <c r="AB461" s="5"/>
      <c r="AC461" s="5"/>
      <c r="AD461" s="5"/>
      <c r="AE461" s="5"/>
      <c r="AF461" s="5"/>
      <c r="AG461" s="5"/>
      <c r="AH461" s="6"/>
      <c r="AI461" s="44">
        <v>44585</v>
      </c>
      <c r="AJ461" s="53">
        <v>128.82</v>
      </c>
      <c r="AK461" s="54">
        <f t="shared" si="77"/>
        <v>-4.0974101275609298E-3</v>
      </c>
      <c r="AL461" s="55">
        <f t="shared" si="80"/>
        <v>4.8694892806807299</v>
      </c>
      <c r="AM461" s="56">
        <v>25</v>
      </c>
      <c r="AN461" s="57">
        <f t="shared" si="78"/>
        <v>20.130510719319268</v>
      </c>
      <c r="AO461" s="76">
        <f t="shared" si="81"/>
        <v>14.620117469741109</v>
      </c>
      <c r="AP461" s="63" t="str">
        <f t="shared" si="82"/>
        <v>Buy Stocks</v>
      </c>
      <c r="AQ461" s="63" t="str">
        <f t="shared" si="83"/>
        <v/>
      </c>
      <c r="AR461" s="63" t="str">
        <f t="shared" si="84"/>
        <v/>
      </c>
      <c r="AS461" s="63" t="str">
        <f t="shared" si="85"/>
        <v/>
      </c>
      <c r="AT461" s="78" t="str">
        <f t="shared" si="86"/>
        <v/>
      </c>
      <c r="AU461" s="78" t="str">
        <f t="shared" si="87"/>
        <v/>
      </c>
      <c r="AV461" s="64" t="str">
        <f ca="1">IFERROR(__xludf.DUMMYFUNCTION("IF(TRIM(AU461)="""","""",AU461/INDEX(FILTER(AT$3:AT461,TRIM(AT$3:AT461)&lt;&gt;""""),ROWS(FILTER(AT$3:AT461,TRIM(AT$3:AT461)&lt;&gt;"""")))-1)"),"")</f>
        <v/>
      </c>
      <c r="AW461" s="65" t="e">
        <f t="shared" ca="1" si="79"/>
        <v>#VALUE!</v>
      </c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</row>
    <row r="462" spans="1:68" ht="19" x14ac:dyDescent="0.25">
      <c r="A462" s="5"/>
      <c r="B462" s="5"/>
      <c r="C462" s="5"/>
      <c r="D462" s="5"/>
      <c r="E462" s="5"/>
      <c r="F462" s="5"/>
      <c r="G462" s="5"/>
      <c r="H462" s="6"/>
      <c r="I462" s="5"/>
      <c r="J462" s="83"/>
      <c r="K462" s="83"/>
      <c r="L462" s="83"/>
      <c r="M462" s="83"/>
      <c r="N462" s="83"/>
      <c r="O462" s="83"/>
      <c r="P462" s="83"/>
      <c r="Q462" s="84"/>
      <c r="R462" s="83"/>
      <c r="S462" s="83"/>
      <c r="T462" s="85"/>
      <c r="U462" s="6"/>
      <c r="V462" s="44">
        <v>44586</v>
      </c>
      <c r="W462" s="45">
        <v>136.1</v>
      </c>
      <c r="X462" s="46"/>
      <c r="Y462" s="61"/>
      <c r="Z462" s="5"/>
      <c r="AA462" s="5"/>
      <c r="AB462" s="5"/>
      <c r="AC462" s="5"/>
      <c r="AD462" s="5"/>
      <c r="AE462" s="5"/>
      <c r="AF462" s="5"/>
      <c r="AG462" s="5"/>
      <c r="AH462" s="6"/>
      <c r="AI462" s="44">
        <v>44586</v>
      </c>
      <c r="AJ462" s="53">
        <v>136.1</v>
      </c>
      <c r="AK462" s="54">
        <f t="shared" si="77"/>
        <v>5.6512963825492868E-2</v>
      </c>
      <c r="AL462" s="55">
        <f t="shared" si="80"/>
        <v>45.926847152440459</v>
      </c>
      <c r="AM462" s="56">
        <v>25</v>
      </c>
      <c r="AN462" s="57">
        <f t="shared" si="78"/>
        <v>-20.926847152440459</v>
      </c>
      <c r="AO462" s="76">
        <f t="shared" si="81"/>
        <v>8.6917257099393446</v>
      </c>
      <c r="AP462" s="63" t="str">
        <f t="shared" si="82"/>
        <v>Buy Stocks</v>
      </c>
      <c r="AQ462" s="63" t="str">
        <f t="shared" si="83"/>
        <v/>
      </c>
      <c r="AR462" s="63" t="str">
        <f t="shared" si="84"/>
        <v/>
      </c>
      <c r="AS462" s="63" t="str">
        <f t="shared" si="85"/>
        <v/>
      </c>
      <c r="AT462" s="78" t="str">
        <f t="shared" si="86"/>
        <v/>
      </c>
      <c r="AU462" s="78" t="str">
        <f t="shared" si="87"/>
        <v/>
      </c>
      <c r="AV462" s="64" t="str">
        <f ca="1">IFERROR(__xludf.DUMMYFUNCTION("IF(TRIM(AU462)="""","""",AU462/INDEX(FILTER(AT$3:AT462,TRIM(AT$3:AT462)&lt;&gt;""""),ROWS(FILTER(AT$3:AT462,TRIM(AT$3:AT462)&lt;&gt;"""")))-1)"),"")</f>
        <v/>
      </c>
      <c r="AW462" s="65" t="e">
        <f t="shared" ca="1" si="79"/>
        <v>#VALUE!</v>
      </c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</row>
    <row r="463" spans="1:68" ht="19" x14ac:dyDescent="0.25">
      <c r="A463" s="5"/>
      <c r="B463" s="5"/>
      <c r="C463" s="5"/>
      <c r="D463" s="5"/>
      <c r="E463" s="5"/>
      <c r="F463" s="5"/>
      <c r="G463" s="5"/>
      <c r="H463" s="6"/>
      <c r="I463" s="5"/>
      <c r="J463" s="83"/>
      <c r="K463" s="83"/>
      <c r="L463" s="83"/>
      <c r="M463" s="83"/>
      <c r="N463" s="83"/>
      <c r="O463" s="83"/>
      <c r="P463" s="83"/>
      <c r="Q463" s="84"/>
      <c r="R463" s="83"/>
      <c r="S463" s="83"/>
      <c r="T463" s="85"/>
      <c r="U463" s="6"/>
      <c r="V463" s="44">
        <v>44587</v>
      </c>
      <c r="W463" s="45">
        <v>134.26</v>
      </c>
      <c r="X463" s="46"/>
      <c r="Y463" s="61"/>
      <c r="Z463" s="5"/>
      <c r="AA463" s="5"/>
      <c r="AB463" s="5"/>
      <c r="AC463" s="5"/>
      <c r="AD463" s="5"/>
      <c r="AE463" s="5"/>
      <c r="AF463" s="5"/>
      <c r="AG463" s="5"/>
      <c r="AH463" s="6"/>
      <c r="AI463" s="44">
        <v>44587</v>
      </c>
      <c r="AJ463" s="53">
        <v>134.26</v>
      </c>
      <c r="AK463" s="54">
        <f t="shared" si="77"/>
        <v>-1.3519470977222614E-2</v>
      </c>
      <c r="AL463" s="55">
        <f t="shared" si="80"/>
        <v>46.668972119389387</v>
      </c>
      <c r="AM463" s="56">
        <v>25</v>
      </c>
      <c r="AN463" s="57">
        <f t="shared" si="78"/>
        <v>-21.668972119389387</v>
      </c>
      <c r="AO463" s="76">
        <f t="shared" si="81"/>
        <v>2.1006176656084081</v>
      </c>
      <c r="AP463" s="63" t="str">
        <f t="shared" si="82"/>
        <v>Buy Stocks</v>
      </c>
      <c r="AQ463" s="63" t="str">
        <f t="shared" si="83"/>
        <v/>
      </c>
      <c r="AR463" s="63" t="str">
        <f t="shared" si="84"/>
        <v/>
      </c>
      <c r="AS463" s="63" t="str">
        <f t="shared" si="85"/>
        <v/>
      </c>
      <c r="AT463" s="78" t="str">
        <f t="shared" si="86"/>
        <v/>
      </c>
      <c r="AU463" s="78" t="str">
        <f t="shared" si="87"/>
        <v/>
      </c>
      <c r="AV463" s="64" t="str">
        <f ca="1">IFERROR(__xludf.DUMMYFUNCTION("IF(TRIM(AU463)="""","""",AU463/INDEX(FILTER(AT$3:AT463,TRIM(AT$3:AT463)&lt;&gt;""""),ROWS(FILTER(AT$3:AT463,TRIM(AT$3:AT463)&lt;&gt;"""")))-1)"),"")</f>
        <v/>
      </c>
      <c r="AW463" s="65" t="e">
        <f t="shared" ca="1" si="79"/>
        <v>#VALUE!</v>
      </c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</row>
    <row r="464" spans="1:68" ht="19" x14ac:dyDescent="0.25">
      <c r="A464" s="5"/>
      <c r="B464" s="5"/>
      <c r="C464" s="5"/>
      <c r="D464" s="5"/>
      <c r="E464" s="5"/>
      <c r="F464" s="5"/>
      <c r="G464" s="5"/>
      <c r="H464" s="6"/>
      <c r="I464" s="5"/>
      <c r="J464" s="83"/>
      <c r="K464" s="83"/>
      <c r="L464" s="83"/>
      <c r="M464" s="83"/>
      <c r="N464" s="83"/>
      <c r="O464" s="83"/>
      <c r="P464" s="83"/>
      <c r="Q464" s="84"/>
      <c r="R464" s="83"/>
      <c r="S464" s="83"/>
      <c r="T464" s="85"/>
      <c r="U464" s="6"/>
      <c r="V464" s="44">
        <v>44588</v>
      </c>
      <c r="W464" s="45">
        <v>132.52000000000001</v>
      </c>
      <c r="X464" s="46"/>
      <c r="Y464" s="61"/>
      <c r="Z464" s="5"/>
      <c r="AA464" s="5"/>
      <c r="AB464" s="5"/>
      <c r="AC464" s="5"/>
      <c r="AD464" s="5"/>
      <c r="AE464" s="5"/>
      <c r="AF464" s="5"/>
      <c r="AG464" s="5"/>
      <c r="AH464" s="6"/>
      <c r="AI464" s="44">
        <v>44588</v>
      </c>
      <c r="AJ464" s="53">
        <v>132.52000000000001</v>
      </c>
      <c r="AK464" s="54">
        <f t="shared" si="77"/>
        <v>-1.2959928496946049E-2</v>
      </c>
      <c r="AL464" s="55">
        <f t="shared" si="80"/>
        <v>47.915589134451963</v>
      </c>
      <c r="AM464" s="56">
        <v>25</v>
      </c>
      <c r="AN464" s="57">
        <f t="shared" si="78"/>
        <v>-22.915589134451963</v>
      </c>
      <c r="AO464" s="76">
        <f t="shared" si="81"/>
        <v>-5.0517692470984938</v>
      </c>
      <c r="AP464" s="63" t="str">
        <f t="shared" si="82"/>
        <v/>
      </c>
      <c r="AQ464" s="63" t="str">
        <f t="shared" si="83"/>
        <v>Sell Stocks</v>
      </c>
      <c r="AR464" s="63" t="str">
        <f t="shared" si="84"/>
        <v/>
      </c>
      <c r="AS464" s="63" t="str">
        <f t="shared" si="85"/>
        <v>Sell Stocks</v>
      </c>
      <c r="AT464" s="78" t="str">
        <f t="shared" si="86"/>
        <v/>
      </c>
      <c r="AU464" s="77">
        <f t="shared" si="87"/>
        <v>132.52000000000001</v>
      </c>
      <c r="AV464" s="64">
        <f ca="1">IFERROR(__xludf.DUMMYFUNCTION("IF(TRIM(AU464)="""","""",AU464/INDEX(FILTER(AT$3:AT464,TRIM(AT$3:AT464)&lt;&gt;""""),ROWS(FILTER(AT$3:AT464,TRIM(AT$3:AT464)&lt;&gt;"""")))-1)"),0.118689853114975)</f>
        <v>0.118689853114975</v>
      </c>
      <c r="AW464" s="65" t="e">
        <f t="shared" ca="1" si="79"/>
        <v>#VALUE!</v>
      </c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</row>
    <row r="465" spans="1:68" ht="19" x14ac:dyDescent="0.25">
      <c r="A465" s="5"/>
      <c r="B465" s="5"/>
      <c r="C465" s="5"/>
      <c r="D465" s="5"/>
      <c r="E465" s="5"/>
      <c r="F465" s="5"/>
      <c r="G465" s="5"/>
      <c r="H465" s="6"/>
      <c r="I465" s="5"/>
      <c r="J465" s="83"/>
      <c r="K465" s="83"/>
      <c r="L465" s="83"/>
      <c r="M465" s="83"/>
      <c r="N465" s="83"/>
      <c r="O465" s="83"/>
      <c r="P465" s="83"/>
      <c r="Q465" s="84"/>
      <c r="R465" s="83"/>
      <c r="S465" s="83"/>
      <c r="T465" s="85"/>
      <c r="U465" s="6"/>
      <c r="V465" s="44">
        <v>44589</v>
      </c>
      <c r="W465" s="45">
        <v>134.5</v>
      </c>
      <c r="X465" s="46"/>
      <c r="Y465" s="61"/>
      <c r="Z465" s="5"/>
      <c r="AA465" s="5"/>
      <c r="AB465" s="5"/>
      <c r="AC465" s="5"/>
      <c r="AD465" s="5"/>
      <c r="AE465" s="5"/>
      <c r="AF465" s="5"/>
      <c r="AG465" s="5"/>
      <c r="AH465" s="6"/>
      <c r="AI465" s="44">
        <v>44589</v>
      </c>
      <c r="AJ465" s="53">
        <v>134.5</v>
      </c>
      <c r="AK465" s="54">
        <f t="shared" si="77"/>
        <v>1.4941140959854993E-2</v>
      </c>
      <c r="AL465" s="55">
        <f t="shared" si="80"/>
        <v>46.622748115769078</v>
      </c>
      <c r="AM465" s="56">
        <v>25</v>
      </c>
      <c r="AN465" s="57">
        <f t="shared" si="78"/>
        <v>-21.622748115769078</v>
      </c>
      <c r="AO465" s="76">
        <f t="shared" si="81"/>
        <v>-13.400729160546325</v>
      </c>
      <c r="AP465" s="63" t="str">
        <f t="shared" si="82"/>
        <v/>
      </c>
      <c r="AQ465" s="63" t="str">
        <f t="shared" si="83"/>
        <v>Sell Stocks</v>
      </c>
      <c r="AR465" s="63" t="str">
        <f t="shared" si="84"/>
        <v/>
      </c>
      <c r="AS465" s="63" t="str">
        <f t="shared" si="85"/>
        <v/>
      </c>
      <c r="AT465" s="78" t="str">
        <f t="shared" si="86"/>
        <v/>
      </c>
      <c r="AU465" s="78" t="str">
        <f t="shared" si="87"/>
        <v/>
      </c>
      <c r="AV465" s="64" t="str">
        <f ca="1">IFERROR(__xludf.DUMMYFUNCTION("IF(TRIM(AU465)="""","""",AU465/INDEX(FILTER(AT$3:AT465,TRIM(AT$3:AT465)&lt;&gt;""""),ROWS(FILTER(AT$3:AT465,TRIM(AT$3:AT465)&lt;&gt;"""")))-1)"),"")</f>
        <v/>
      </c>
      <c r="AW465" s="65" t="e">
        <f t="shared" ca="1" si="79"/>
        <v>#VALUE!</v>
      </c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</row>
    <row r="466" spans="1:68" ht="19" x14ac:dyDescent="0.25">
      <c r="A466" s="5"/>
      <c r="B466" s="5"/>
      <c r="C466" s="5"/>
      <c r="D466" s="5"/>
      <c r="E466" s="5"/>
      <c r="F466" s="5"/>
      <c r="G466" s="5"/>
      <c r="H466" s="6"/>
      <c r="I466" s="5"/>
      <c r="J466" s="83"/>
      <c r="K466" s="83"/>
      <c r="L466" s="83"/>
      <c r="M466" s="83"/>
      <c r="N466" s="83"/>
      <c r="O466" s="83"/>
      <c r="P466" s="83"/>
      <c r="Q466" s="84"/>
      <c r="R466" s="83"/>
      <c r="S466" s="83"/>
      <c r="T466" s="85"/>
      <c r="U466" s="6"/>
      <c r="V466" s="44">
        <v>44592</v>
      </c>
      <c r="W466" s="45">
        <v>133.57</v>
      </c>
      <c r="X466" s="46"/>
      <c r="Y466" s="61"/>
      <c r="Z466" s="5"/>
      <c r="AA466" s="5"/>
      <c r="AB466" s="5"/>
      <c r="AC466" s="5"/>
      <c r="AD466" s="5"/>
      <c r="AE466" s="5"/>
      <c r="AF466" s="5"/>
      <c r="AG466" s="5"/>
      <c r="AH466" s="6"/>
      <c r="AI466" s="44">
        <v>44592</v>
      </c>
      <c r="AJ466" s="53">
        <v>133.57</v>
      </c>
      <c r="AK466" s="54">
        <f t="shared" si="77"/>
        <v>-6.9144981412639916E-3</v>
      </c>
      <c r="AL466" s="55">
        <f t="shared" si="80"/>
        <v>47.130067966651197</v>
      </c>
      <c r="AM466" s="56">
        <v>25</v>
      </c>
      <c r="AN466" s="57">
        <f t="shared" si="78"/>
        <v>-22.130067966651197</v>
      </c>
      <c r="AO466" s="76">
        <f t="shared" si="81"/>
        <v>-21.852844897740418</v>
      </c>
      <c r="AP466" s="63" t="str">
        <f t="shared" si="82"/>
        <v/>
      </c>
      <c r="AQ466" s="63" t="str">
        <f t="shared" si="83"/>
        <v>Sell Stocks</v>
      </c>
      <c r="AR466" s="63" t="str">
        <f t="shared" si="84"/>
        <v/>
      </c>
      <c r="AS466" s="63" t="str">
        <f t="shared" si="85"/>
        <v/>
      </c>
      <c r="AT466" s="78" t="str">
        <f t="shared" si="86"/>
        <v/>
      </c>
      <c r="AU466" s="78" t="str">
        <f t="shared" si="87"/>
        <v/>
      </c>
      <c r="AV466" s="64" t="str">
        <f ca="1">IFERROR(__xludf.DUMMYFUNCTION("IF(TRIM(AU466)="""","""",AU466/INDEX(FILTER(AT$3:AT466,TRIM(AT$3:AT466)&lt;&gt;""""),ROWS(FILTER(AT$3:AT466,TRIM(AT$3:AT466)&lt;&gt;"""")))-1)"),"")</f>
        <v/>
      </c>
      <c r="AW466" s="65" t="e">
        <f t="shared" ca="1" si="79"/>
        <v>#VALUE!</v>
      </c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</row>
    <row r="467" spans="1:68" ht="19" x14ac:dyDescent="0.25">
      <c r="A467" s="5"/>
      <c r="B467" s="5"/>
      <c r="C467" s="5"/>
      <c r="D467" s="5"/>
      <c r="E467" s="5"/>
      <c r="F467" s="5"/>
      <c r="G467" s="5"/>
      <c r="H467" s="6"/>
      <c r="I467" s="5"/>
      <c r="J467" s="83"/>
      <c r="K467" s="83"/>
      <c r="L467" s="83"/>
      <c r="M467" s="83"/>
      <c r="N467" s="83"/>
      <c r="O467" s="83"/>
      <c r="P467" s="83"/>
      <c r="Q467" s="84"/>
      <c r="R467" s="83"/>
      <c r="S467" s="83"/>
      <c r="T467" s="85"/>
      <c r="U467" s="6"/>
      <c r="V467" s="44">
        <v>44593</v>
      </c>
      <c r="W467" s="45">
        <v>135.53</v>
      </c>
      <c r="X467" s="46"/>
      <c r="Y467" s="61"/>
      <c r="Z467" s="5"/>
      <c r="AA467" s="5"/>
      <c r="AB467" s="5"/>
      <c r="AC467" s="5"/>
      <c r="AD467" s="5"/>
      <c r="AE467" s="5"/>
      <c r="AF467" s="5"/>
      <c r="AG467" s="5"/>
      <c r="AH467" s="6"/>
      <c r="AI467" s="44">
        <v>44593</v>
      </c>
      <c r="AJ467" s="53">
        <v>135.53</v>
      </c>
      <c r="AK467" s="54">
        <f t="shared" si="77"/>
        <v>1.4673953732125433E-2</v>
      </c>
      <c r="AL467" s="55">
        <f t="shared" si="80"/>
        <v>22.925516496976758</v>
      </c>
      <c r="AM467" s="56">
        <v>25</v>
      </c>
      <c r="AN467" s="57">
        <f t="shared" si="78"/>
        <v>2.0744835030232416</v>
      </c>
      <c r="AO467" s="76">
        <f t="shared" si="81"/>
        <v>-17.252578766647677</v>
      </c>
      <c r="AP467" s="63" t="str">
        <f t="shared" si="82"/>
        <v/>
      </c>
      <c r="AQ467" s="63" t="str">
        <f t="shared" si="83"/>
        <v>Sell Stocks</v>
      </c>
      <c r="AR467" s="63" t="str">
        <f t="shared" si="84"/>
        <v/>
      </c>
      <c r="AS467" s="63" t="str">
        <f t="shared" si="85"/>
        <v/>
      </c>
      <c r="AT467" s="78" t="str">
        <f t="shared" si="86"/>
        <v/>
      </c>
      <c r="AU467" s="78" t="str">
        <f t="shared" si="87"/>
        <v/>
      </c>
      <c r="AV467" s="64" t="str">
        <f ca="1">IFERROR(__xludf.DUMMYFUNCTION("IF(TRIM(AU467)="""","""",AU467/INDEX(FILTER(AT$3:AT467,TRIM(AT$3:AT467)&lt;&gt;""""),ROWS(FILTER(AT$3:AT467,TRIM(AT$3:AT467)&lt;&gt;"""")))-1)"),"")</f>
        <v/>
      </c>
      <c r="AW467" s="65" t="e">
        <f t="shared" ca="1" si="79"/>
        <v>#VALUE!</v>
      </c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</row>
    <row r="468" spans="1:68" ht="19" x14ac:dyDescent="0.25">
      <c r="A468" s="5"/>
      <c r="B468" s="5"/>
      <c r="C468" s="5"/>
      <c r="D468" s="5"/>
      <c r="E468" s="5"/>
      <c r="F468" s="5"/>
      <c r="G468" s="5"/>
      <c r="H468" s="6"/>
      <c r="I468" s="5"/>
      <c r="J468" s="83"/>
      <c r="K468" s="83"/>
      <c r="L468" s="83"/>
      <c r="M468" s="83"/>
      <c r="N468" s="83"/>
      <c r="O468" s="83"/>
      <c r="P468" s="83"/>
      <c r="Q468" s="84"/>
      <c r="R468" s="83"/>
      <c r="S468" s="83"/>
      <c r="T468" s="85"/>
      <c r="U468" s="6"/>
      <c r="V468" s="44">
        <v>44594</v>
      </c>
      <c r="W468" s="45">
        <v>137.25</v>
      </c>
      <c r="X468" s="46"/>
      <c r="Y468" s="61"/>
      <c r="Z468" s="5"/>
      <c r="AA468" s="5"/>
      <c r="AB468" s="5"/>
      <c r="AC468" s="5"/>
      <c r="AD468" s="5"/>
      <c r="AE468" s="5"/>
      <c r="AF468" s="5"/>
      <c r="AG468" s="5"/>
      <c r="AH468" s="6"/>
      <c r="AI468" s="44">
        <v>44594</v>
      </c>
      <c r="AJ468" s="53">
        <v>137.25</v>
      </c>
      <c r="AK468" s="54">
        <f t="shared" si="77"/>
        <v>1.2690917140116609E-2</v>
      </c>
      <c r="AL468" s="55">
        <f t="shared" si="80"/>
        <v>21.220197808360368</v>
      </c>
      <c r="AM468" s="56">
        <v>25</v>
      </c>
      <c r="AN468" s="57">
        <f t="shared" si="78"/>
        <v>3.7798021916396323</v>
      </c>
      <c r="AO468" s="76">
        <f t="shared" si="81"/>
        <v>-12.16282390444187</v>
      </c>
      <c r="AP468" s="63" t="str">
        <f t="shared" si="82"/>
        <v/>
      </c>
      <c r="AQ468" s="63" t="str">
        <f t="shared" si="83"/>
        <v>Sell Stocks</v>
      </c>
      <c r="AR468" s="63" t="str">
        <f t="shared" si="84"/>
        <v/>
      </c>
      <c r="AS468" s="63" t="str">
        <f t="shared" si="85"/>
        <v/>
      </c>
      <c r="AT468" s="78" t="str">
        <f t="shared" si="86"/>
        <v/>
      </c>
      <c r="AU468" s="78" t="str">
        <f t="shared" si="87"/>
        <v/>
      </c>
      <c r="AV468" s="64" t="str">
        <f ca="1">IFERROR(__xludf.DUMMYFUNCTION("IF(TRIM(AU468)="""","""",AU468/INDEX(FILTER(AT$3:AT468,TRIM(AT$3:AT468)&lt;&gt;""""),ROWS(FILTER(AT$3:AT468,TRIM(AT$3:AT468)&lt;&gt;"""")))-1)"),"")</f>
        <v/>
      </c>
      <c r="AW468" s="65" t="e">
        <f t="shared" ca="1" si="79"/>
        <v>#VALUE!</v>
      </c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</row>
    <row r="469" spans="1:68" ht="19" x14ac:dyDescent="0.25">
      <c r="A469" s="5"/>
      <c r="B469" s="5"/>
      <c r="C469" s="5"/>
      <c r="D469" s="5"/>
      <c r="E469" s="5"/>
      <c r="F469" s="5"/>
      <c r="G469" s="5"/>
      <c r="H469" s="6"/>
      <c r="I469" s="5"/>
      <c r="J469" s="83"/>
      <c r="K469" s="83"/>
      <c r="L469" s="83"/>
      <c r="M469" s="83"/>
      <c r="N469" s="83"/>
      <c r="O469" s="83"/>
      <c r="P469" s="83"/>
      <c r="Q469" s="84"/>
      <c r="R469" s="83"/>
      <c r="S469" s="83"/>
      <c r="T469" s="85"/>
      <c r="U469" s="6"/>
      <c r="V469" s="44">
        <v>44595</v>
      </c>
      <c r="W469" s="45">
        <v>137.78</v>
      </c>
      <c r="X469" s="46"/>
      <c r="Y469" s="61"/>
      <c r="Z469" s="5"/>
      <c r="AA469" s="5"/>
      <c r="AB469" s="5"/>
      <c r="AC469" s="5"/>
      <c r="AD469" s="5"/>
      <c r="AE469" s="5"/>
      <c r="AF469" s="5"/>
      <c r="AG469" s="5"/>
      <c r="AH469" s="6"/>
      <c r="AI469" s="44">
        <v>44595</v>
      </c>
      <c r="AJ469" s="53">
        <v>137.78</v>
      </c>
      <c r="AK469" s="54">
        <f t="shared" si="77"/>
        <v>3.8615664845174091E-3</v>
      </c>
      <c r="AL469" s="55">
        <f t="shared" si="80"/>
        <v>14.937715974417021</v>
      </c>
      <c r="AM469" s="56">
        <v>25</v>
      </c>
      <c r="AN469" s="57">
        <f t="shared" si="78"/>
        <v>10.062284025582979</v>
      </c>
      <c r="AO469" s="76">
        <f t="shared" si="81"/>
        <v>-5.5672492724348848</v>
      </c>
      <c r="AP469" s="63" t="str">
        <f t="shared" si="82"/>
        <v/>
      </c>
      <c r="AQ469" s="63" t="str">
        <f t="shared" si="83"/>
        <v>Sell Stocks</v>
      </c>
      <c r="AR469" s="63" t="str">
        <f t="shared" si="84"/>
        <v/>
      </c>
      <c r="AS469" s="63" t="str">
        <f t="shared" si="85"/>
        <v/>
      </c>
      <c r="AT469" s="78" t="str">
        <f t="shared" si="86"/>
        <v/>
      </c>
      <c r="AU469" s="78" t="str">
        <f t="shared" si="87"/>
        <v/>
      </c>
      <c r="AV469" s="64" t="str">
        <f ca="1">IFERROR(__xludf.DUMMYFUNCTION("IF(TRIM(AU469)="""","""",AU469/INDEX(FILTER(AT$3:AT469,TRIM(AT$3:AT469)&lt;&gt;""""),ROWS(FILTER(AT$3:AT469,TRIM(AT$3:AT469)&lt;&gt;"""")))-1)"),"")</f>
        <v/>
      </c>
      <c r="AW469" s="65" t="e">
        <f t="shared" ca="1" si="79"/>
        <v>#VALUE!</v>
      </c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</row>
    <row r="470" spans="1:68" ht="19" x14ac:dyDescent="0.25">
      <c r="A470" s="5"/>
      <c r="B470" s="5"/>
      <c r="C470" s="5"/>
      <c r="D470" s="5"/>
      <c r="E470" s="5"/>
      <c r="F470" s="5"/>
      <c r="G470" s="5"/>
      <c r="H470" s="6"/>
      <c r="I470" s="5"/>
      <c r="J470" s="83"/>
      <c r="K470" s="83"/>
      <c r="L470" s="83"/>
      <c r="M470" s="83"/>
      <c r="N470" s="83"/>
      <c r="O470" s="83"/>
      <c r="P470" s="83"/>
      <c r="Q470" s="84"/>
      <c r="R470" s="83"/>
      <c r="S470" s="83"/>
      <c r="T470" s="85"/>
      <c r="U470" s="6"/>
      <c r="V470" s="44">
        <v>44596</v>
      </c>
      <c r="W470" s="45">
        <v>137.15</v>
      </c>
      <c r="X470" s="46"/>
      <c r="Y470" s="61"/>
      <c r="Z470" s="5"/>
      <c r="AA470" s="5"/>
      <c r="AB470" s="5"/>
      <c r="AC470" s="5"/>
      <c r="AD470" s="5"/>
      <c r="AE470" s="5"/>
      <c r="AF470" s="5"/>
      <c r="AG470" s="5"/>
      <c r="AH470" s="6"/>
      <c r="AI470" s="44">
        <v>44596</v>
      </c>
      <c r="AJ470" s="53">
        <v>137.15</v>
      </c>
      <c r="AK470" s="54">
        <f t="shared" si="77"/>
        <v>-4.5725068950500658E-3</v>
      </c>
      <c r="AL470" s="55">
        <f t="shared" si="80"/>
        <v>15.514947195194001</v>
      </c>
      <c r="AM470" s="56">
        <v>25</v>
      </c>
      <c r="AN470" s="57">
        <f t="shared" si="78"/>
        <v>9.4850528048059992</v>
      </c>
      <c r="AO470" s="76">
        <f t="shared" si="81"/>
        <v>0.65431091168013111</v>
      </c>
      <c r="AP470" s="63" t="str">
        <f t="shared" si="82"/>
        <v>Buy Stocks</v>
      </c>
      <c r="AQ470" s="63" t="str">
        <f t="shared" si="83"/>
        <v/>
      </c>
      <c r="AR470" s="63" t="str">
        <f t="shared" si="84"/>
        <v>Buy Stocks</v>
      </c>
      <c r="AS470" s="63" t="str">
        <f t="shared" si="85"/>
        <v/>
      </c>
      <c r="AT470" s="77">
        <f t="shared" si="86"/>
        <v>137.15</v>
      </c>
      <c r="AU470" s="78" t="str">
        <f t="shared" si="87"/>
        <v/>
      </c>
      <c r="AV470" s="64" t="str">
        <f ca="1">IFERROR(__xludf.DUMMYFUNCTION("IF(TRIM(AU470)="""","""",AU470/INDEX(FILTER(AT$3:AT470,TRIM(AT$3:AT470)&lt;&gt;""""),ROWS(FILTER(AT$3:AT470,TRIM(AT$3:AT470)&lt;&gt;"""")))-1)"),"")</f>
        <v/>
      </c>
      <c r="AW470" s="65" t="e">
        <f t="shared" ca="1" si="79"/>
        <v>#VALUE!</v>
      </c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</row>
    <row r="471" spans="1:68" ht="19" x14ac:dyDescent="0.25">
      <c r="A471" s="5"/>
      <c r="B471" s="5"/>
      <c r="C471" s="5"/>
      <c r="D471" s="5"/>
      <c r="E471" s="5"/>
      <c r="F471" s="5"/>
      <c r="G471" s="5"/>
      <c r="H471" s="6"/>
      <c r="I471" s="5"/>
      <c r="J471" s="83"/>
      <c r="K471" s="83"/>
      <c r="L471" s="83"/>
      <c r="M471" s="83"/>
      <c r="N471" s="83"/>
      <c r="O471" s="83"/>
      <c r="P471" s="83"/>
      <c r="Q471" s="84"/>
      <c r="R471" s="83"/>
      <c r="S471" s="83"/>
      <c r="T471" s="85"/>
      <c r="U471" s="6"/>
      <c r="V471" s="44">
        <v>44599</v>
      </c>
      <c r="W471" s="45">
        <v>137.24</v>
      </c>
      <c r="X471" s="46"/>
      <c r="Y471" s="61"/>
      <c r="Z471" s="5"/>
      <c r="AA471" s="5"/>
      <c r="AB471" s="5"/>
      <c r="AC471" s="5"/>
      <c r="AD471" s="5"/>
      <c r="AE471" s="5"/>
      <c r="AF471" s="5"/>
      <c r="AG471" s="5"/>
      <c r="AH471" s="6"/>
      <c r="AI471" s="44">
        <v>44599</v>
      </c>
      <c r="AJ471" s="53">
        <v>137.24</v>
      </c>
      <c r="AK471" s="54">
        <f t="shared" si="77"/>
        <v>6.5621582209263174E-4</v>
      </c>
      <c r="AL471" s="55">
        <f t="shared" si="80"/>
        <v>12.883452009840299</v>
      </c>
      <c r="AM471" s="56">
        <v>25</v>
      </c>
      <c r="AN471" s="57">
        <f t="shared" si="78"/>
        <v>12.116547990159701</v>
      </c>
      <c r="AO471" s="76">
        <f t="shared" si="81"/>
        <v>7.5036341030423106</v>
      </c>
      <c r="AP471" s="63" t="str">
        <f t="shared" si="82"/>
        <v>Buy Stocks</v>
      </c>
      <c r="AQ471" s="63" t="str">
        <f t="shared" si="83"/>
        <v/>
      </c>
      <c r="AR471" s="63" t="str">
        <f t="shared" si="84"/>
        <v/>
      </c>
      <c r="AS471" s="63" t="str">
        <f t="shared" si="85"/>
        <v/>
      </c>
      <c r="AT471" s="78" t="str">
        <f t="shared" si="86"/>
        <v/>
      </c>
      <c r="AU471" s="78" t="str">
        <f t="shared" si="87"/>
        <v/>
      </c>
      <c r="AV471" s="64" t="str">
        <f ca="1">IFERROR(__xludf.DUMMYFUNCTION("IF(TRIM(AU471)="""","""",AU471/INDEX(FILTER(AT$3:AT471,TRIM(AT$3:AT471)&lt;&gt;""""),ROWS(FILTER(AT$3:AT471,TRIM(AT$3:AT471)&lt;&gt;"""")))-1)"),"")</f>
        <v/>
      </c>
      <c r="AW471" s="65" t="e">
        <f t="shared" ca="1" si="79"/>
        <v>#VALUE!</v>
      </c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</row>
    <row r="472" spans="1:68" ht="19" x14ac:dyDescent="0.25">
      <c r="A472" s="5"/>
      <c r="B472" s="5"/>
      <c r="C472" s="5"/>
      <c r="D472" s="5"/>
      <c r="E472" s="5"/>
      <c r="F472" s="5"/>
      <c r="G472" s="5"/>
      <c r="H472" s="6"/>
      <c r="I472" s="5"/>
      <c r="J472" s="83"/>
      <c r="K472" s="83"/>
      <c r="L472" s="83"/>
      <c r="M472" s="83"/>
      <c r="N472" s="83"/>
      <c r="O472" s="83"/>
      <c r="P472" s="83"/>
      <c r="Q472" s="84"/>
      <c r="R472" s="83"/>
      <c r="S472" s="83"/>
      <c r="T472" s="85"/>
      <c r="U472" s="6"/>
      <c r="V472" s="44">
        <v>44600</v>
      </c>
      <c r="W472" s="45">
        <v>137.02000000000001</v>
      </c>
      <c r="X472" s="46"/>
      <c r="Y472" s="61"/>
      <c r="Z472" s="5"/>
      <c r="AA472" s="5"/>
      <c r="AB472" s="5"/>
      <c r="AC472" s="5"/>
      <c r="AD472" s="5"/>
      <c r="AE472" s="5"/>
      <c r="AF472" s="5"/>
      <c r="AG472" s="5"/>
      <c r="AH472" s="6"/>
      <c r="AI472" s="44">
        <v>44600</v>
      </c>
      <c r="AJ472" s="53">
        <v>137.02000000000001</v>
      </c>
      <c r="AK472" s="54">
        <f t="shared" si="77"/>
        <v>-1.6030311862430535E-3</v>
      </c>
      <c r="AL472" s="55">
        <f t="shared" si="80"/>
        <v>10.515980572800016</v>
      </c>
      <c r="AM472" s="56">
        <v>25</v>
      </c>
      <c r="AN472" s="57">
        <f t="shared" si="78"/>
        <v>14.484019427199984</v>
      </c>
      <c r="AO472" s="76">
        <f t="shared" si="81"/>
        <v>9.985541287877659</v>
      </c>
      <c r="AP472" s="63" t="str">
        <f t="shared" si="82"/>
        <v>Buy Stocks</v>
      </c>
      <c r="AQ472" s="63" t="str">
        <f t="shared" si="83"/>
        <v/>
      </c>
      <c r="AR472" s="63" t="str">
        <f t="shared" si="84"/>
        <v/>
      </c>
      <c r="AS472" s="63" t="str">
        <f t="shared" si="85"/>
        <v/>
      </c>
      <c r="AT472" s="78" t="str">
        <f t="shared" si="86"/>
        <v/>
      </c>
      <c r="AU472" s="78" t="str">
        <f t="shared" si="87"/>
        <v/>
      </c>
      <c r="AV472" s="64" t="str">
        <f ca="1">IFERROR(__xludf.DUMMYFUNCTION("IF(TRIM(AU472)="""","""",AU472/INDEX(FILTER(AT$3:AT472,TRIM(AT$3:AT472)&lt;&gt;""""),ROWS(FILTER(AT$3:AT472,TRIM(AT$3:AT472)&lt;&gt;"""")))-1)"),"")</f>
        <v/>
      </c>
      <c r="AW472" s="65" t="e">
        <f t="shared" ca="1" si="79"/>
        <v>#VALUE!</v>
      </c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</row>
    <row r="473" spans="1:68" ht="19" x14ac:dyDescent="0.25">
      <c r="A473" s="5"/>
      <c r="B473" s="5"/>
      <c r="C473" s="5"/>
      <c r="D473" s="5"/>
      <c r="E473" s="5"/>
      <c r="F473" s="5"/>
      <c r="G473" s="5"/>
      <c r="H473" s="6"/>
      <c r="I473" s="5"/>
      <c r="J473" s="83"/>
      <c r="K473" s="83"/>
      <c r="L473" s="83"/>
      <c r="M473" s="83"/>
      <c r="N473" s="83"/>
      <c r="O473" s="83"/>
      <c r="P473" s="83"/>
      <c r="Q473" s="84"/>
      <c r="R473" s="83"/>
      <c r="S473" s="83"/>
      <c r="T473" s="85"/>
      <c r="U473" s="6"/>
      <c r="V473" s="44">
        <v>44601</v>
      </c>
      <c r="W473" s="45">
        <v>137.79</v>
      </c>
      <c r="X473" s="46"/>
      <c r="Y473" s="61"/>
      <c r="Z473" s="5"/>
      <c r="AA473" s="5"/>
      <c r="AB473" s="5"/>
      <c r="AC473" s="5"/>
      <c r="AD473" s="5"/>
      <c r="AE473" s="5"/>
      <c r="AF473" s="5"/>
      <c r="AG473" s="5"/>
      <c r="AH473" s="6"/>
      <c r="AI473" s="44">
        <v>44601</v>
      </c>
      <c r="AJ473" s="53">
        <v>137.79</v>
      </c>
      <c r="AK473" s="54">
        <f t="shared" si="77"/>
        <v>5.6196175740765852E-3</v>
      </c>
      <c r="AL473" s="55">
        <f t="shared" si="80"/>
        <v>6.5095487797286413</v>
      </c>
      <c r="AM473" s="56">
        <v>25</v>
      </c>
      <c r="AN473" s="57">
        <f t="shared" si="78"/>
        <v>18.49045122027136</v>
      </c>
      <c r="AO473" s="76">
        <f t="shared" si="81"/>
        <v>12.927671093604005</v>
      </c>
      <c r="AP473" s="63" t="str">
        <f t="shared" si="82"/>
        <v>Buy Stocks</v>
      </c>
      <c r="AQ473" s="63" t="str">
        <f t="shared" si="83"/>
        <v/>
      </c>
      <c r="AR473" s="63" t="str">
        <f t="shared" si="84"/>
        <v/>
      </c>
      <c r="AS473" s="63" t="str">
        <f t="shared" si="85"/>
        <v/>
      </c>
      <c r="AT473" s="78" t="str">
        <f t="shared" si="86"/>
        <v/>
      </c>
      <c r="AU473" s="78" t="str">
        <f t="shared" si="87"/>
        <v/>
      </c>
      <c r="AV473" s="64" t="str">
        <f ca="1">IFERROR(__xludf.DUMMYFUNCTION("IF(TRIM(AU473)="""","""",AU473/INDEX(FILTER(AT$3:AT473,TRIM(AT$3:AT473)&lt;&gt;""""),ROWS(FILTER(AT$3:AT473,TRIM(AT$3:AT473)&lt;&gt;"""")))-1)"),"")</f>
        <v/>
      </c>
      <c r="AW473" s="65" t="e">
        <f t="shared" ca="1" si="79"/>
        <v>#VALUE!</v>
      </c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</row>
    <row r="474" spans="1:68" ht="19" x14ac:dyDescent="0.25">
      <c r="A474" s="5"/>
      <c r="B474" s="5"/>
      <c r="C474" s="5"/>
      <c r="D474" s="5"/>
      <c r="E474" s="5"/>
      <c r="F474" s="5"/>
      <c r="G474" s="5"/>
      <c r="H474" s="6"/>
      <c r="I474" s="5"/>
      <c r="J474" s="83"/>
      <c r="K474" s="83"/>
      <c r="L474" s="83"/>
      <c r="M474" s="83"/>
      <c r="N474" s="83"/>
      <c r="O474" s="83"/>
      <c r="P474" s="83"/>
      <c r="Q474" s="84"/>
      <c r="R474" s="83"/>
      <c r="S474" s="83"/>
      <c r="T474" s="85"/>
      <c r="U474" s="6"/>
      <c r="V474" s="44">
        <v>44602</v>
      </c>
      <c r="W474" s="45">
        <v>133.52000000000001</v>
      </c>
      <c r="X474" s="46"/>
      <c r="Y474" s="61"/>
      <c r="Z474" s="5"/>
      <c r="AA474" s="5"/>
      <c r="AB474" s="5"/>
      <c r="AC474" s="5"/>
      <c r="AD474" s="5"/>
      <c r="AE474" s="5"/>
      <c r="AF474" s="5"/>
      <c r="AG474" s="5"/>
      <c r="AH474" s="6"/>
      <c r="AI474" s="44">
        <v>44602</v>
      </c>
      <c r="AJ474" s="53">
        <v>133.52000000000001</v>
      </c>
      <c r="AK474" s="54">
        <f t="shared" si="77"/>
        <v>-3.0989186443137973E-2</v>
      </c>
      <c r="AL474" s="55">
        <f t="shared" si="80"/>
        <v>22.797932365220376</v>
      </c>
      <c r="AM474" s="56">
        <v>25</v>
      </c>
      <c r="AN474" s="57">
        <f t="shared" si="78"/>
        <v>2.202067634779624</v>
      </c>
      <c r="AO474" s="76">
        <f t="shared" si="81"/>
        <v>11.355627815443333</v>
      </c>
      <c r="AP474" s="63" t="str">
        <f t="shared" si="82"/>
        <v>Buy Stocks</v>
      </c>
      <c r="AQ474" s="63" t="str">
        <f t="shared" si="83"/>
        <v/>
      </c>
      <c r="AR474" s="63" t="str">
        <f t="shared" si="84"/>
        <v/>
      </c>
      <c r="AS474" s="63" t="str">
        <f t="shared" si="85"/>
        <v/>
      </c>
      <c r="AT474" s="78" t="str">
        <f t="shared" si="86"/>
        <v/>
      </c>
      <c r="AU474" s="78" t="str">
        <f t="shared" si="87"/>
        <v/>
      </c>
      <c r="AV474" s="64" t="str">
        <f ca="1">IFERROR(__xludf.DUMMYFUNCTION("IF(TRIM(AU474)="""","""",AU474/INDEX(FILTER(AT$3:AT474,TRIM(AT$3:AT474)&lt;&gt;""""),ROWS(FILTER(AT$3:AT474,TRIM(AT$3:AT474)&lt;&gt;"""")))-1)"),"")</f>
        <v/>
      </c>
      <c r="AW474" s="65" t="e">
        <f t="shared" ca="1" si="79"/>
        <v>#VALUE!</v>
      </c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</row>
    <row r="475" spans="1:68" ht="19" x14ac:dyDescent="0.25">
      <c r="A475" s="5"/>
      <c r="B475" s="5"/>
      <c r="C475" s="5"/>
      <c r="D475" s="5"/>
      <c r="E475" s="5"/>
      <c r="F475" s="5"/>
      <c r="G475" s="5"/>
      <c r="H475" s="6"/>
      <c r="I475" s="5"/>
      <c r="J475" s="83"/>
      <c r="K475" s="83"/>
      <c r="L475" s="83"/>
      <c r="M475" s="83"/>
      <c r="N475" s="83"/>
      <c r="O475" s="83"/>
      <c r="P475" s="83"/>
      <c r="Q475" s="84"/>
      <c r="R475" s="83"/>
      <c r="S475" s="83"/>
      <c r="T475" s="85"/>
      <c r="U475" s="6"/>
      <c r="V475" s="44">
        <v>44603</v>
      </c>
      <c r="W475" s="45">
        <v>132.69</v>
      </c>
      <c r="X475" s="46"/>
      <c r="Y475" s="61"/>
      <c r="Z475" s="5"/>
      <c r="AA475" s="5"/>
      <c r="AB475" s="5"/>
      <c r="AC475" s="5"/>
      <c r="AD475" s="5"/>
      <c r="AE475" s="5"/>
      <c r="AF475" s="5"/>
      <c r="AG475" s="5"/>
      <c r="AH475" s="6"/>
      <c r="AI475" s="44">
        <v>44603</v>
      </c>
      <c r="AJ475" s="53">
        <v>132.69</v>
      </c>
      <c r="AK475" s="54">
        <f t="shared" si="77"/>
        <v>-6.2162971839425651E-3</v>
      </c>
      <c r="AL475" s="55">
        <f t="shared" si="80"/>
        <v>22.754840199341153</v>
      </c>
      <c r="AM475" s="56">
        <v>25</v>
      </c>
      <c r="AN475" s="57">
        <f t="shared" si="78"/>
        <v>2.2451598006588469</v>
      </c>
      <c r="AO475" s="76">
        <f t="shared" si="81"/>
        <v>9.9076492146139028</v>
      </c>
      <c r="AP475" s="63" t="str">
        <f t="shared" si="82"/>
        <v>Buy Stocks</v>
      </c>
      <c r="AQ475" s="63" t="str">
        <f t="shared" si="83"/>
        <v/>
      </c>
      <c r="AR475" s="63" t="str">
        <f t="shared" si="84"/>
        <v/>
      </c>
      <c r="AS475" s="63" t="str">
        <f t="shared" si="85"/>
        <v/>
      </c>
      <c r="AT475" s="78" t="str">
        <f t="shared" si="86"/>
        <v/>
      </c>
      <c r="AU475" s="78" t="str">
        <f t="shared" si="87"/>
        <v/>
      </c>
      <c r="AV475" s="64" t="str">
        <f ca="1">IFERROR(__xludf.DUMMYFUNCTION("IF(TRIM(AU475)="""","""",AU475/INDEX(FILTER(AT$3:AT475,TRIM(AT$3:AT475)&lt;&gt;""""),ROWS(FILTER(AT$3:AT475,TRIM(AT$3:AT475)&lt;&gt;"""")))-1)"),"")</f>
        <v/>
      </c>
      <c r="AW475" s="65" t="e">
        <f t="shared" ca="1" si="79"/>
        <v>#VALUE!</v>
      </c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</row>
    <row r="476" spans="1:68" ht="19" x14ac:dyDescent="0.25">
      <c r="A476" s="5"/>
      <c r="B476" s="5"/>
      <c r="C476" s="5"/>
      <c r="D476" s="5"/>
      <c r="E476" s="5"/>
      <c r="F476" s="5"/>
      <c r="G476" s="5"/>
      <c r="H476" s="6"/>
      <c r="I476" s="5"/>
      <c r="J476" s="83"/>
      <c r="K476" s="83"/>
      <c r="L476" s="83"/>
      <c r="M476" s="83"/>
      <c r="N476" s="83"/>
      <c r="O476" s="83"/>
      <c r="P476" s="83"/>
      <c r="Q476" s="84"/>
      <c r="R476" s="83"/>
      <c r="S476" s="83"/>
      <c r="T476" s="85"/>
      <c r="U476" s="6"/>
      <c r="V476" s="44">
        <v>44606</v>
      </c>
      <c r="W476" s="45">
        <v>130.15</v>
      </c>
      <c r="X476" s="46"/>
      <c r="Y476" s="61"/>
      <c r="Z476" s="5"/>
      <c r="AA476" s="5"/>
      <c r="AB476" s="5"/>
      <c r="AC476" s="5"/>
      <c r="AD476" s="5"/>
      <c r="AE476" s="5"/>
      <c r="AF476" s="5"/>
      <c r="AG476" s="5"/>
      <c r="AH476" s="6"/>
      <c r="AI476" s="44">
        <v>44606</v>
      </c>
      <c r="AJ476" s="53">
        <v>130.15</v>
      </c>
      <c r="AK476" s="54">
        <f t="shared" si="77"/>
        <v>-1.9142361896148818E-2</v>
      </c>
      <c r="AL476" s="55">
        <f t="shared" si="80"/>
        <v>23.165902177755314</v>
      </c>
      <c r="AM476" s="56">
        <v>25</v>
      </c>
      <c r="AN476" s="57">
        <f t="shared" si="78"/>
        <v>1.8340978222446864</v>
      </c>
      <c r="AO476" s="76">
        <f t="shared" si="81"/>
        <v>7.8511591810308996</v>
      </c>
      <c r="AP476" s="63" t="str">
        <f t="shared" si="82"/>
        <v>Buy Stocks</v>
      </c>
      <c r="AQ476" s="63" t="str">
        <f t="shared" si="83"/>
        <v/>
      </c>
      <c r="AR476" s="63" t="str">
        <f t="shared" si="84"/>
        <v/>
      </c>
      <c r="AS476" s="63" t="str">
        <f t="shared" si="85"/>
        <v/>
      </c>
      <c r="AT476" s="78" t="str">
        <f t="shared" si="86"/>
        <v/>
      </c>
      <c r="AU476" s="78" t="str">
        <f t="shared" si="87"/>
        <v/>
      </c>
      <c r="AV476" s="64" t="str">
        <f ca="1">IFERROR(__xludf.DUMMYFUNCTION("IF(TRIM(AU476)="""","""",AU476/INDEX(FILTER(AT$3:AT476,TRIM(AT$3:AT476)&lt;&gt;""""),ROWS(FILTER(AT$3:AT476,TRIM(AT$3:AT476)&lt;&gt;"""")))-1)"),"")</f>
        <v/>
      </c>
      <c r="AW476" s="65" t="e">
        <f t="shared" ca="1" si="79"/>
        <v>#VALUE!</v>
      </c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</row>
    <row r="477" spans="1:68" ht="19" x14ac:dyDescent="0.25">
      <c r="A477" s="5"/>
      <c r="B477" s="5"/>
      <c r="C477" s="5"/>
      <c r="D477" s="5"/>
      <c r="E477" s="5"/>
      <c r="F477" s="5"/>
      <c r="G477" s="5"/>
      <c r="H477" s="6"/>
      <c r="I477" s="5"/>
      <c r="J477" s="83"/>
      <c r="K477" s="83"/>
      <c r="L477" s="83"/>
      <c r="M477" s="83"/>
      <c r="N477" s="83"/>
      <c r="O477" s="83"/>
      <c r="P477" s="83"/>
      <c r="Q477" s="84"/>
      <c r="R477" s="83"/>
      <c r="S477" s="83"/>
      <c r="T477" s="85"/>
      <c r="U477" s="6"/>
      <c r="V477" s="44">
        <v>44607</v>
      </c>
      <c r="W477" s="45">
        <v>129.94</v>
      </c>
      <c r="X477" s="46"/>
      <c r="Y477" s="61"/>
      <c r="Z477" s="5"/>
      <c r="AA477" s="5"/>
      <c r="AB477" s="5"/>
      <c r="AC477" s="5"/>
      <c r="AD477" s="5"/>
      <c r="AE477" s="5"/>
      <c r="AF477" s="5"/>
      <c r="AG477" s="5"/>
      <c r="AH477" s="6"/>
      <c r="AI477" s="44">
        <v>44607</v>
      </c>
      <c r="AJ477" s="53">
        <v>129.94</v>
      </c>
      <c r="AK477" s="54">
        <f t="shared" si="77"/>
        <v>-1.6135228582405681E-3</v>
      </c>
      <c r="AL477" s="55">
        <f t="shared" si="80"/>
        <v>23.163374360883289</v>
      </c>
      <c r="AM477" s="56">
        <v>25</v>
      </c>
      <c r="AN477" s="57">
        <f t="shared" si="78"/>
        <v>1.8366256391167113</v>
      </c>
      <c r="AO477" s="76">
        <f t="shared" si="81"/>
        <v>5.3216804234142456</v>
      </c>
      <c r="AP477" s="63" t="str">
        <f t="shared" si="82"/>
        <v>Buy Stocks</v>
      </c>
      <c r="AQ477" s="63" t="str">
        <f t="shared" si="83"/>
        <v/>
      </c>
      <c r="AR477" s="63" t="str">
        <f t="shared" si="84"/>
        <v/>
      </c>
      <c r="AS477" s="63" t="str">
        <f t="shared" si="85"/>
        <v/>
      </c>
      <c r="AT477" s="78" t="str">
        <f t="shared" si="86"/>
        <v/>
      </c>
      <c r="AU477" s="78" t="str">
        <f t="shared" si="87"/>
        <v/>
      </c>
      <c r="AV477" s="64" t="str">
        <f ca="1">IFERROR(__xludf.DUMMYFUNCTION("IF(TRIM(AU477)="""","""",AU477/INDEX(FILTER(AT$3:AT477,TRIM(AT$3:AT477)&lt;&gt;""""),ROWS(FILTER(AT$3:AT477,TRIM(AT$3:AT477)&lt;&gt;"""")))-1)"),"")</f>
        <v/>
      </c>
      <c r="AW477" s="65" t="e">
        <f t="shared" ca="1" si="79"/>
        <v>#VALUE!</v>
      </c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</row>
    <row r="478" spans="1:68" ht="19" x14ac:dyDescent="0.25">
      <c r="A478" s="5"/>
      <c r="B478" s="5"/>
      <c r="C478" s="5"/>
      <c r="D478" s="5"/>
      <c r="E478" s="5"/>
      <c r="F478" s="5"/>
      <c r="G478" s="5"/>
      <c r="H478" s="6"/>
      <c r="I478" s="5"/>
      <c r="J478" s="83"/>
      <c r="K478" s="83"/>
      <c r="L478" s="83"/>
      <c r="M478" s="83"/>
      <c r="N478" s="83"/>
      <c r="O478" s="83"/>
      <c r="P478" s="83"/>
      <c r="Q478" s="84"/>
      <c r="R478" s="83"/>
      <c r="S478" s="83"/>
      <c r="T478" s="85"/>
      <c r="U478" s="6"/>
      <c r="V478" s="44">
        <v>44608</v>
      </c>
      <c r="W478" s="45">
        <v>129.18</v>
      </c>
      <c r="X478" s="46"/>
      <c r="Y478" s="61"/>
      <c r="Z478" s="5"/>
      <c r="AA478" s="5"/>
      <c r="AB478" s="5"/>
      <c r="AC478" s="5"/>
      <c r="AD478" s="5"/>
      <c r="AE478" s="5"/>
      <c r="AF478" s="5"/>
      <c r="AG478" s="5"/>
      <c r="AH478" s="6"/>
      <c r="AI478" s="44">
        <v>44608</v>
      </c>
      <c r="AJ478" s="53">
        <v>129.18</v>
      </c>
      <c r="AK478" s="54">
        <f t="shared" si="77"/>
        <v>-5.8488533169154255E-3</v>
      </c>
      <c r="AL478" s="55">
        <f t="shared" si="80"/>
        <v>19.244619933497102</v>
      </c>
      <c r="AM478" s="56">
        <v>25</v>
      </c>
      <c r="AN478" s="57">
        <f t="shared" si="78"/>
        <v>5.755380066502898</v>
      </c>
      <c r="AO478" s="76">
        <f t="shared" si="81"/>
        <v>2.7746661926605531</v>
      </c>
      <c r="AP478" s="63" t="str">
        <f t="shared" si="82"/>
        <v>Buy Stocks</v>
      </c>
      <c r="AQ478" s="63" t="str">
        <f t="shared" si="83"/>
        <v/>
      </c>
      <c r="AR478" s="63" t="str">
        <f t="shared" si="84"/>
        <v/>
      </c>
      <c r="AS478" s="63" t="str">
        <f t="shared" si="85"/>
        <v/>
      </c>
      <c r="AT478" s="78" t="str">
        <f t="shared" si="86"/>
        <v/>
      </c>
      <c r="AU478" s="78" t="str">
        <f t="shared" si="87"/>
        <v/>
      </c>
      <c r="AV478" s="64" t="str">
        <f ca="1">IFERROR(__xludf.DUMMYFUNCTION("IF(TRIM(AU478)="""","""",AU478/INDEX(FILTER(AT$3:AT478,TRIM(AT$3:AT478)&lt;&gt;""""),ROWS(FILTER(AT$3:AT478,TRIM(AT$3:AT478)&lt;&gt;"""")))-1)"),"")</f>
        <v/>
      </c>
      <c r="AW478" s="65" t="e">
        <f t="shared" ca="1" si="79"/>
        <v>#VALUE!</v>
      </c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</row>
    <row r="479" spans="1:68" ht="19" x14ac:dyDescent="0.25">
      <c r="A479" s="5"/>
      <c r="B479" s="5"/>
      <c r="C479" s="5"/>
      <c r="D479" s="5"/>
      <c r="E479" s="5"/>
      <c r="F479" s="5"/>
      <c r="G479" s="5"/>
      <c r="H479" s="6"/>
      <c r="I479" s="5"/>
      <c r="J479" s="83"/>
      <c r="K479" s="83"/>
      <c r="L479" s="83"/>
      <c r="M479" s="83"/>
      <c r="N479" s="83"/>
      <c r="O479" s="83"/>
      <c r="P479" s="83"/>
      <c r="Q479" s="84"/>
      <c r="R479" s="83"/>
      <c r="S479" s="83"/>
      <c r="T479" s="85"/>
      <c r="U479" s="6"/>
      <c r="V479" s="44">
        <v>44609</v>
      </c>
      <c r="W479" s="45">
        <v>124.97</v>
      </c>
      <c r="X479" s="46"/>
      <c r="Y479" s="61"/>
      <c r="Z479" s="5"/>
      <c r="AA479" s="5"/>
      <c r="AB479" s="5"/>
      <c r="AC479" s="5"/>
      <c r="AD479" s="5"/>
      <c r="AE479" s="5"/>
      <c r="AF479" s="5"/>
      <c r="AG479" s="5"/>
      <c r="AH479" s="6"/>
      <c r="AI479" s="44">
        <v>44609</v>
      </c>
      <c r="AJ479" s="53">
        <v>124.97</v>
      </c>
      <c r="AK479" s="54">
        <f t="shared" si="77"/>
        <v>-3.259018423904636E-2</v>
      </c>
      <c r="AL479" s="55">
        <f t="shared" si="80"/>
        <v>20.209306771678158</v>
      </c>
      <c r="AM479" s="56">
        <v>25</v>
      </c>
      <c r="AN479" s="57">
        <f t="shared" si="78"/>
        <v>4.7906932283218424</v>
      </c>
      <c r="AO479" s="76">
        <f t="shared" si="81"/>
        <v>3.2923913113689971</v>
      </c>
      <c r="AP479" s="63" t="str">
        <f t="shared" si="82"/>
        <v>Buy Stocks</v>
      </c>
      <c r="AQ479" s="63" t="str">
        <f t="shared" si="83"/>
        <v/>
      </c>
      <c r="AR479" s="63" t="str">
        <f t="shared" si="84"/>
        <v/>
      </c>
      <c r="AS479" s="63" t="str">
        <f t="shared" si="85"/>
        <v/>
      </c>
      <c r="AT479" s="78" t="str">
        <f t="shared" si="86"/>
        <v/>
      </c>
      <c r="AU479" s="78" t="str">
        <f t="shared" si="87"/>
        <v/>
      </c>
      <c r="AV479" s="64" t="str">
        <f ca="1">IFERROR(__xludf.DUMMYFUNCTION("IF(TRIM(AU479)="""","""",AU479/INDEX(FILTER(AT$3:AT479,TRIM(AT$3:AT479)&lt;&gt;""""),ROWS(FILTER(AT$3:AT479,TRIM(AT$3:AT479)&lt;&gt;"""")))-1)"),"")</f>
        <v/>
      </c>
      <c r="AW479" s="65" t="e">
        <f t="shared" ca="1" si="79"/>
        <v>#VALUE!</v>
      </c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</row>
    <row r="480" spans="1:68" ht="19" x14ac:dyDescent="0.25">
      <c r="A480" s="5"/>
      <c r="B480" s="5"/>
      <c r="C480" s="5"/>
      <c r="D480" s="5"/>
      <c r="E480" s="5"/>
      <c r="F480" s="5"/>
      <c r="G480" s="5"/>
      <c r="H480" s="6"/>
      <c r="I480" s="5"/>
      <c r="J480" s="83"/>
      <c r="K480" s="83"/>
      <c r="L480" s="83"/>
      <c r="M480" s="83"/>
      <c r="N480" s="83"/>
      <c r="O480" s="83"/>
      <c r="P480" s="83"/>
      <c r="Q480" s="84"/>
      <c r="R480" s="83"/>
      <c r="S480" s="83"/>
      <c r="T480" s="85"/>
      <c r="U480" s="6"/>
      <c r="V480" s="44">
        <v>44610</v>
      </c>
      <c r="W480" s="45">
        <v>124.35</v>
      </c>
      <c r="X480" s="46"/>
      <c r="Y480" s="61"/>
      <c r="Z480" s="5"/>
      <c r="AA480" s="5"/>
      <c r="AB480" s="5"/>
      <c r="AC480" s="5"/>
      <c r="AD480" s="5"/>
      <c r="AE480" s="5"/>
      <c r="AF480" s="5"/>
      <c r="AG480" s="5"/>
      <c r="AH480" s="6"/>
      <c r="AI480" s="44">
        <v>44610</v>
      </c>
      <c r="AJ480" s="53">
        <v>124.35</v>
      </c>
      <c r="AK480" s="54">
        <f t="shared" si="77"/>
        <v>-4.961190685764616E-3</v>
      </c>
      <c r="AL480" s="55">
        <f t="shared" si="80"/>
        <v>20.495562212047076</v>
      </c>
      <c r="AM480" s="56">
        <v>25</v>
      </c>
      <c r="AN480" s="57">
        <f t="shared" si="78"/>
        <v>4.5044377879529236</v>
      </c>
      <c r="AO480" s="76">
        <f t="shared" si="81"/>
        <v>3.7442469088278125</v>
      </c>
      <c r="AP480" s="63" t="str">
        <f t="shared" si="82"/>
        <v>Buy Stocks</v>
      </c>
      <c r="AQ480" s="63" t="str">
        <f t="shared" si="83"/>
        <v/>
      </c>
      <c r="AR480" s="63" t="str">
        <f t="shared" si="84"/>
        <v/>
      </c>
      <c r="AS480" s="63" t="str">
        <f t="shared" si="85"/>
        <v/>
      </c>
      <c r="AT480" s="78" t="str">
        <f t="shared" si="86"/>
        <v/>
      </c>
      <c r="AU480" s="78" t="str">
        <f t="shared" si="87"/>
        <v/>
      </c>
      <c r="AV480" s="64" t="str">
        <f ca="1">IFERROR(__xludf.DUMMYFUNCTION("IF(TRIM(AU480)="""","""",AU480/INDEX(FILTER(AT$3:AT480,TRIM(AT$3:AT480)&lt;&gt;""""),ROWS(FILTER(AT$3:AT480,TRIM(AT$3:AT480)&lt;&gt;"""")))-1)"),"")</f>
        <v/>
      </c>
      <c r="AW480" s="65" t="e">
        <f t="shared" ca="1" si="79"/>
        <v>#VALUE!</v>
      </c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</row>
    <row r="481" spans="1:68" ht="19" x14ac:dyDescent="0.25">
      <c r="A481" s="5"/>
      <c r="B481" s="5"/>
      <c r="C481" s="5"/>
      <c r="D481" s="5"/>
      <c r="E481" s="5"/>
      <c r="F481" s="5"/>
      <c r="G481" s="5"/>
      <c r="H481" s="6"/>
      <c r="I481" s="5"/>
      <c r="J481" s="83"/>
      <c r="K481" s="83"/>
      <c r="L481" s="83"/>
      <c r="M481" s="83"/>
      <c r="N481" s="83"/>
      <c r="O481" s="83"/>
      <c r="P481" s="83"/>
      <c r="Q481" s="84"/>
      <c r="R481" s="83"/>
      <c r="S481" s="83"/>
      <c r="T481" s="85"/>
      <c r="U481" s="6"/>
      <c r="V481" s="44">
        <v>44614</v>
      </c>
      <c r="W481" s="45">
        <v>123.92</v>
      </c>
      <c r="X481" s="46"/>
      <c r="Y481" s="61"/>
      <c r="Z481" s="5"/>
      <c r="AA481" s="5"/>
      <c r="AB481" s="5"/>
      <c r="AC481" s="5"/>
      <c r="AD481" s="5"/>
      <c r="AE481" s="5"/>
      <c r="AF481" s="5"/>
      <c r="AG481" s="5"/>
      <c r="AH481" s="6"/>
      <c r="AI481" s="44">
        <v>44614</v>
      </c>
      <c r="AJ481" s="53">
        <v>123.92</v>
      </c>
      <c r="AK481" s="54">
        <f t="shared" si="77"/>
        <v>-3.4579815038198181E-3</v>
      </c>
      <c r="AL481" s="55">
        <f t="shared" si="80"/>
        <v>20.477529484530773</v>
      </c>
      <c r="AM481" s="56">
        <v>25</v>
      </c>
      <c r="AN481" s="57">
        <f t="shared" si="78"/>
        <v>4.5224705154692266</v>
      </c>
      <c r="AO481" s="76">
        <f t="shared" si="81"/>
        <v>4.2819214474727207</v>
      </c>
      <c r="AP481" s="63" t="str">
        <f t="shared" si="82"/>
        <v>Buy Stocks</v>
      </c>
      <c r="AQ481" s="63" t="str">
        <f t="shared" si="83"/>
        <v/>
      </c>
      <c r="AR481" s="63" t="str">
        <f t="shared" si="84"/>
        <v/>
      </c>
      <c r="AS481" s="63" t="str">
        <f t="shared" si="85"/>
        <v/>
      </c>
      <c r="AT481" s="78" t="str">
        <f t="shared" si="86"/>
        <v/>
      </c>
      <c r="AU481" s="78" t="str">
        <f t="shared" si="87"/>
        <v/>
      </c>
      <c r="AV481" s="64" t="str">
        <f ca="1">IFERROR(__xludf.DUMMYFUNCTION("IF(TRIM(AU481)="""","""",AU481/INDEX(FILTER(AT$3:AT481,TRIM(AT$3:AT481)&lt;&gt;""""),ROWS(FILTER(AT$3:AT481,TRIM(AT$3:AT481)&lt;&gt;"""")))-1)"),"")</f>
        <v/>
      </c>
      <c r="AW481" s="65" t="e">
        <f t="shared" ca="1" si="79"/>
        <v>#VALUE!</v>
      </c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</row>
    <row r="482" spans="1:68" ht="19" x14ac:dyDescent="0.25">
      <c r="A482" s="5"/>
      <c r="B482" s="5"/>
      <c r="C482" s="5"/>
      <c r="D482" s="5"/>
      <c r="E482" s="5"/>
      <c r="F482" s="5"/>
      <c r="G482" s="5"/>
      <c r="H482" s="6"/>
      <c r="I482" s="5"/>
      <c r="J482" s="83"/>
      <c r="K482" s="83"/>
      <c r="L482" s="83"/>
      <c r="M482" s="83"/>
      <c r="N482" s="83"/>
      <c r="O482" s="83"/>
      <c r="P482" s="83"/>
      <c r="Q482" s="84"/>
      <c r="R482" s="83"/>
      <c r="S482" s="83"/>
      <c r="T482" s="85"/>
      <c r="U482" s="6"/>
      <c r="V482" s="44">
        <v>44615</v>
      </c>
      <c r="W482" s="45">
        <v>122.07</v>
      </c>
      <c r="X482" s="46"/>
      <c r="Y482" s="61"/>
      <c r="Z482" s="5"/>
      <c r="AA482" s="5"/>
      <c r="AB482" s="5"/>
      <c r="AC482" s="5"/>
      <c r="AD482" s="5"/>
      <c r="AE482" s="5"/>
      <c r="AF482" s="5"/>
      <c r="AG482" s="5"/>
      <c r="AH482" s="6"/>
      <c r="AI482" s="44">
        <v>44615</v>
      </c>
      <c r="AJ482" s="53">
        <v>122.07</v>
      </c>
      <c r="AK482" s="54">
        <f t="shared" si="77"/>
        <v>-1.4928986442866443E-2</v>
      </c>
      <c r="AL482" s="55">
        <f t="shared" si="80"/>
        <v>19.316141298440488</v>
      </c>
      <c r="AM482" s="56">
        <v>25</v>
      </c>
      <c r="AN482" s="57">
        <f t="shared" si="78"/>
        <v>5.6838587015595117</v>
      </c>
      <c r="AO482" s="76">
        <f t="shared" si="81"/>
        <v>5.0513680599612805</v>
      </c>
      <c r="AP482" s="63" t="str">
        <f t="shared" si="82"/>
        <v>Buy Stocks</v>
      </c>
      <c r="AQ482" s="63" t="str">
        <f t="shared" si="83"/>
        <v/>
      </c>
      <c r="AR482" s="63" t="str">
        <f t="shared" si="84"/>
        <v/>
      </c>
      <c r="AS482" s="63" t="str">
        <f t="shared" si="85"/>
        <v/>
      </c>
      <c r="AT482" s="78" t="str">
        <f t="shared" si="86"/>
        <v/>
      </c>
      <c r="AU482" s="78" t="str">
        <f t="shared" si="87"/>
        <v/>
      </c>
      <c r="AV482" s="64" t="str">
        <f ca="1">IFERROR(__xludf.DUMMYFUNCTION("IF(TRIM(AU482)="""","""",AU482/INDEX(FILTER(AT$3:AT482,TRIM(AT$3:AT482)&lt;&gt;""""),ROWS(FILTER(AT$3:AT482,TRIM(AT$3:AT482)&lt;&gt;"""")))-1)"),"")</f>
        <v/>
      </c>
      <c r="AW482" s="65" t="e">
        <f t="shared" ca="1" si="79"/>
        <v>#VALUE!</v>
      </c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</row>
    <row r="483" spans="1:68" ht="19" x14ac:dyDescent="0.25">
      <c r="A483" s="5"/>
      <c r="B483" s="5"/>
      <c r="C483" s="5"/>
      <c r="D483" s="5"/>
      <c r="E483" s="5"/>
      <c r="F483" s="5"/>
      <c r="G483" s="5"/>
      <c r="H483" s="6"/>
      <c r="I483" s="5"/>
      <c r="J483" s="83"/>
      <c r="K483" s="83"/>
      <c r="L483" s="83"/>
      <c r="M483" s="83"/>
      <c r="N483" s="83"/>
      <c r="O483" s="83"/>
      <c r="P483" s="83"/>
      <c r="Q483" s="84"/>
      <c r="R483" s="83"/>
      <c r="S483" s="83"/>
      <c r="T483" s="85"/>
      <c r="U483" s="6"/>
      <c r="V483" s="44">
        <v>44616</v>
      </c>
      <c r="W483" s="45">
        <v>121.97</v>
      </c>
      <c r="X483" s="46"/>
      <c r="Y483" s="61"/>
      <c r="Z483" s="5"/>
      <c r="AA483" s="5"/>
      <c r="AB483" s="5"/>
      <c r="AC483" s="5"/>
      <c r="AD483" s="5"/>
      <c r="AE483" s="5"/>
      <c r="AF483" s="5"/>
      <c r="AG483" s="5"/>
      <c r="AH483" s="6"/>
      <c r="AI483" s="44">
        <v>44616</v>
      </c>
      <c r="AJ483" s="53">
        <v>121.97</v>
      </c>
      <c r="AK483" s="54">
        <f t="shared" si="77"/>
        <v>-8.1920209715735659E-4</v>
      </c>
      <c r="AL483" s="55">
        <f t="shared" si="80"/>
        <v>20.666650804819724</v>
      </c>
      <c r="AM483" s="56">
        <v>25</v>
      </c>
      <c r="AN483" s="57">
        <f t="shared" si="78"/>
        <v>4.3333491951802756</v>
      </c>
      <c r="AO483" s="76">
        <f t="shared" si="81"/>
        <v>4.7669618856967562</v>
      </c>
      <c r="AP483" s="63" t="str">
        <f t="shared" si="82"/>
        <v>Buy Stocks</v>
      </c>
      <c r="AQ483" s="63" t="str">
        <f t="shared" si="83"/>
        <v/>
      </c>
      <c r="AR483" s="63" t="str">
        <f t="shared" si="84"/>
        <v/>
      </c>
      <c r="AS483" s="63" t="str">
        <f t="shared" si="85"/>
        <v/>
      </c>
      <c r="AT483" s="78" t="str">
        <f t="shared" si="86"/>
        <v/>
      </c>
      <c r="AU483" s="78" t="str">
        <f t="shared" si="87"/>
        <v/>
      </c>
      <c r="AV483" s="64" t="str">
        <f ca="1">IFERROR(__xludf.DUMMYFUNCTION("IF(TRIM(AU483)="""","""",AU483/INDEX(FILTER(AT$3:AT483,TRIM(AT$3:AT483)&lt;&gt;""""),ROWS(FILTER(AT$3:AT483,TRIM(AT$3:AT483)&lt;&gt;"""")))-1)"),"")</f>
        <v/>
      </c>
      <c r="AW483" s="65" t="e">
        <f t="shared" ca="1" si="79"/>
        <v>#VALUE!</v>
      </c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</row>
    <row r="484" spans="1:68" ht="19" x14ac:dyDescent="0.25">
      <c r="A484" s="5"/>
      <c r="B484" s="5"/>
      <c r="C484" s="5"/>
      <c r="D484" s="5"/>
      <c r="E484" s="5"/>
      <c r="F484" s="5"/>
      <c r="G484" s="5"/>
      <c r="H484" s="6"/>
      <c r="I484" s="5"/>
      <c r="J484" s="83"/>
      <c r="K484" s="83"/>
      <c r="L484" s="83"/>
      <c r="M484" s="83"/>
      <c r="N484" s="83"/>
      <c r="O484" s="83"/>
      <c r="P484" s="83"/>
      <c r="Q484" s="84"/>
      <c r="R484" s="83"/>
      <c r="S484" s="83"/>
      <c r="T484" s="85"/>
      <c r="U484" s="6"/>
      <c r="V484" s="44">
        <v>44617</v>
      </c>
      <c r="W484" s="45">
        <v>124.18</v>
      </c>
      <c r="X484" s="46"/>
      <c r="Y484" s="61"/>
      <c r="Z484" s="5"/>
      <c r="AA484" s="5"/>
      <c r="AB484" s="5"/>
      <c r="AC484" s="5"/>
      <c r="AD484" s="5"/>
      <c r="AE484" s="5"/>
      <c r="AF484" s="5"/>
      <c r="AG484" s="5"/>
      <c r="AH484" s="6"/>
      <c r="AI484" s="44">
        <v>44617</v>
      </c>
      <c r="AJ484" s="53">
        <v>124.18</v>
      </c>
      <c r="AK484" s="54">
        <f t="shared" si="77"/>
        <v>1.8119209641715317E-2</v>
      </c>
      <c r="AL484" s="55">
        <f t="shared" si="80"/>
        <v>19.133664069930006</v>
      </c>
      <c r="AM484" s="56">
        <v>25</v>
      </c>
      <c r="AN484" s="57">
        <f t="shared" si="78"/>
        <v>5.8663359300699938</v>
      </c>
      <c r="AO484" s="76">
        <f t="shared" si="81"/>
        <v>4.9820904260463861</v>
      </c>
      <c r="AP484" s="63" t="str">
        <f t="shared" si="82"/>
        <v>Buy Stocks</v>
      </c>
      <c r="AQ484" s="63" t="str">
        <f t="shared" si="83"/>
        <v/>
      </c>
      <c r="AR484" s="63" t="str">
        <f t="shared" si="84"/>
        <v/>
      </c>
      <c r="AS484" s="63" t="str">
        <f t="shared" si="85"/>
        <v/>
      </c>
      <c r="AT484" s="78" t="str">
        <f t="shared" si="86"/>
        <v/>
      </c>
      <c r="AU484" s="78" t="str">
        <f t="shared" si="87"/>
        <v/>
      </c>
      <c r="AV484" s="64" t="str">
        <f ca="1">IFERROR(__xludf.DUMMYFUNCTION("IF(TRIM(AU484)="""","""",AU484/INDEX(FILTER(AT$3:AT484,TRIM(AT$3:AT484)&lt;&gt;""""),ROWS(FILTER(AT$3:AT484,TRIM(AT$3:AT484)&lt;&gt;"""")))-1)"),"")</f>
        <v/>
      </c>
      <c r="AW484" s="65" t="e">
        <f t="shared" ca="1" si="79"/>
        <v>#VALUE!</v>
      </c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</row>
    <row r="485" spans="1:68" ht="19" x14ac:dyDescent="0.25">
      <c r="A485" s="5"/>
      <c r="B485" s="5"/>
      <c r="C485" s="5"/>
      <c r="D485" s="5"/>
      <c r="E485" s="5"/>
      <c r="F485" s="5"/>
      <c r="G485" s="5"/>
      <c r="H485" s="6"/>
      <c r="I485" s="5"/>
      <c r="J485" s="83"/>
      <c r="K485" s="83"/>
      <c r="L485" s="83"/>
      <c r="M485" s="83"/>
      <c r="N485" s="83"/>
      <c r="O485" s="83"/>
      <c r="P485" s="83"/>
      <c r="Q485" s="84"/>
      <c r="R485" s="83"/>
      <c r="S485" s="83"/>
      <c r="T485" s="85"/>
      <c r="U485" s="6"/>
      <c r="V485" s="44">
        <v>44620</v>
      </c>
      <c r="W485" s="45">
        <v>122.51</v>
      </c>
      <c r="X485" s="46"/>
      <c r="Y485" s="61"/>
      <c r="Z485" s="5"/>
      <c r="AA485" s="5"/>
      <c r="AB485" s="5"/>
      <c r="AC485" s="5"/>
      <c r="AD485" s="5"/>
      <c r="AE485" s="5"/>
      <c r="AF485" s="5"/>
      <c r="AG485" s="5"/>
      <c r="AH485" s="6"/>
      <c r="AI485" s="44">
        <v>44620</v>
      </c>
      <c r="AJ485" s="53">
        <v>122.51</v>
      </c>
      <c r="AK485" s="54">
        <f t="shared" si="77"/>
        <v>-1.3448220325334215E-2</v>
      </c>
      <c r="AL485" s="55">
        <f t="shared" si="80"/>
        <v>21.036110801187931</v>
      </c>
      <c r="AM485" s="56">
        <v>25</v>
      </c>
      <c r="AN485" s="57">
        <f t="shared" si="78"/>
        <v>3.963889198812069</v>
      </c>
      <c r="AO485" s="76">
        <f t="shared" si="81"/>
        <v>4.8739807082182152</v>
      </c>
      <c r="AP485" s="63" t="str">
        <f t="shared" si="82"/>
        <v>Buy Stocks</v>
      </c>
      <c r="AQ485" s="63" t="str">
        <f t="shared" si="83"/>
        <v/>
      </c>
      <c r="AR485" s="63" t="str">
        <f t="shared" si="84"/>
        <v/>
      </c>
      <c r="AS485" s="63" t="str">
        <f t="shared" si="85"/>
        <v/>
      </c>
      <c r="AT485" s="78" t="str">
        <f t="shared" si="86"/>
        <v/>
      </c>
      <c r="AU485" s="78" t="str">
        <f t="shared" si="87"/>
        <v/>
      </c>
      <c r="AV485" s="64" t="str">
        <f ca="1">IFERROR(__xludf.DUMMYFUNCTION("IF(TRIM(AU485)="""","""",AU485/INDEX(FILTER(AT$3:AT485,TRIM(AT$3:AT485)&lt;&gt;""""),ROWS(FILTER(AT$3:AT485,TRIM(AT$3:AT485)&lt;&gt;"""")))-1)"),"")</f>
        <v/>
      </c>
      <c r="AW485" s="65" t="e">
        <f t="shared" ca="1" si="79"/>
        <v>#VALUE!</v>
      </c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</row>
    <row r="486" spans="1:68" ht="19" x14ac:dyDescent="0.25">
      <c r="A486" s="5"/>
      <c r="B486" s="5"/>
      <c r="C486" s="5"/>
      <c r="D486" s="5"/>
      <c r="E486" s="5"/>
      <c r="F486" s="5"/>
      <c r="G486" s="5"/>
      <c r="H486" s="6"/>
      <c r="I486" s="5"/>
      <c r="J486" s="83"/>
      <c r="K486" s="83"/>
      <c r="L486" s="83"/>
      <c r="M486" s="83"/>
      <c r="N486" s="83"/>
      <c r="O486" s="83"/>
      <c r="P486" s="83"/>
      <c r="Q486" s="84"/>
      <c r="R486" s="83"/>
      <c r="S486" s="83"/>
      <c r="T486" s="85"/>
      <c r="U486" s="6"/>
      <c r="V486" s="44">
        <v>44621</v>
      </c>
      <c r="W486" s="45">
        <v>121.35</v>
      </c>
      <c r="X486" s="46"/>
      <c r="Y486" s="61"/>
      <c r="Z486" s="5"/>
      <c r="AA486" s="5"/>
      <c r="AB486" s="5"/>
      <c r="AC486" s="5"/>
      <c r="AD486" s="5"/>
      <c r="AE486" s="5"/>
      <c r="AF486" s="5"/>
      <c r="AG486" s="5"/>
      <c r="AH486" s="6"/>
      <c r="AI486" s="44">
        <v>44621</v>
      </c>
      <c r="AJ486" s="53">
        <v>121.35</v>
      </c>
      <c r="AK486" s="54">
        <f t="shared" si="77"/>
        <v>-9.4686148069546006E-3</v>
      </c>
      <c r="AL486" s="55">
        <f t="shared" si="80"/>
        <v>21.561513242278536</v>
      </c>
      <c r="AM486" s="56">
        <v>25</v>
      </c>
      <c r="AN486" s="57">
        <f t="shared" si="78"/>
        <v>3.4384867577214635</v>
      </c>
      <c r="AO486" s="76">
        <f t="shared" si="81"/>
        <v>4.6571839566686624</v>
      </c>
      <c r="AP486" s="63" t="str">
        <f t="shared" si="82"/>
        <v>Buy Stocks</v>
      </c>
      <c r="AQ486" s="63" t="str">
        <f t="shared" si="83"/>
        <v/>
      </c>
      <c r="AR486" s="63" t="str">
        <f t="shared" si="84"/>
        <v/>
      </c>
      <c r="AS486" s="63" t="str">
        <f t="shared" si="85"/>
        <v/>
      </c>
      <c r="AT486" s="78" t="str">
        <f t="shared" si="86"/>
        <v/>
      </c>
      <c r="AU486" s="78" t="str">
        <f t="shared" si="87"/>
        <v/>
      </c>
      <c r="AV486" s="64" t="str">
        <f ca="1">IFERROR(__xludf.DUMMYFUNCTION("IF(TRIM(AU486)="""","""",AU486/INDEX(FILTER(AT$3:AT486,TRIM(AT$3:AT486)&lt;&gt;""""),ROWS(FILTER(AT$3:AT486,TRIM(AT$3:AT486)&lt;&gt;"""")))-1)"),"")</f>
        <v/>
      </c>
      <c r="AW486" s="65" t="e">
        <f t="shared" ca="1" si="79"/>
        <v>#VALUE!</v>
      </c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</row>
    <row r="487" spans="1:68" ht="19" x14ac:dyDescent="0.25">
      <c r="A487" s="5"/>
      <c r="B487" s="5"/>
      <c r="C487" s="5"/>
      <c r="D487" s="5"/>
      <c r="E487" s="5"/>
      <c r="F487" s="5"/>
      <c r="G487" s="5"/>
      <c r="H487" s="6"/>
      <c r="I487" s="5"/>
      <c r="J487" s="83"/>
      <c r="K487" s="83"/>
      <c r="L487" s="83"/>
      <c r="M487" s="83"/>
      <c r="N487" s="83"/>
      <c r="O487" s="83"/>
      <c r="P487" s="83"/>
      <c r="Q487" s="84"/>
      <c r="R487" s="83"/>
      <c r="S487" s="83"/>
      <c r="T487" s="85"/>
      <c r="U487" s="6"/>
      <c r="V487" s="44">
        <v>44622</v>
      </c>
      <c r="W487" s="45">
        <v>123.86</v>
      </c>
      <c r="X487" s="46"/>
      <c r="Y487" s="61"/>
      <c r="Z487" s="5"/>
      <c r="AA487" s="5"/>
      <c r="AB487" s="5"/>
      <c r="AC487" s="5"/>
      <c r="AD487" s="5"/>
      <c r="AE487" s="5"/>
      <c r="AF487" s="5"/>
      <c r="AG487" s="5"/>
      <c r="AH487" s="6"/>
      <c r="AI487" s="44">
        <v>44622</v>
      </c>
      <c r="AJ487" s="53">
        <v>123.86</v>
      </c>
      <c r="AK487" s="54">
        <f t="shared" si="77"/>
        <v>2.0683971981870775E-2</v>
      </c>
      <c r="AL487" s="55">
        <f t="shared" si="80"/>
        <v>24.871725260676492</v>
      </c>
      <c r="AM487" s="56">
        <v>25</v>
      </c>
      <c r="AN487" s="57">
        <f t="shared" si="78"/>
        <v>0.12827473932350841</v>
      </c>
      <c r="AO487" s="76">
        <f t="shared" si="81"/>
        <v>3.5460671642214621</v>
      </c>
      <c r="AP487" s="63" t="str">
        <f t="shared" si="82"/>
        <v>Buy Stocks</v>
      </c>
      <c r="AQ487" s="63" t="str">
        <f t="shared" si="83"/>
        <v/>
      </c>
      <c r="AR487" s="63" t="str">
        <f t="shared" si="84"/>
        <v/>
      </c>
      <c r="AS487" s="63" t="str">
        <f t="shared" si="85"/>
        <v/>
      </c>
      <c r="AT487" s="78" t="str">
        <f t="shared" si="86"/>
        <v/>
      </c>
      <c r="AU487" s="78" t="str">
        <f t="shared" si="87"/>
        <v/>
      </c>
      <c r="AV487" s="64" t="str">
        <f ca="1">IFERROR(__xludf.DUMMYFUNCTION("IF(TRIM(AU487)="""","""",AU487/INDEX(FILTER(AT$3:AT487,TRIM(AT$3:AT487)&lt;&gt;""""),ROWS(FILTER(AT$3:AT487,TRIM(AT$3:AT487)&lt;&gt;"""")))-1)"),"")</f>
        <v/>
      </c>
      <c r="AW487" s="65" t="e">
        <f t="shared" ca="1" si="79"/>
        <v>#VALUE!</v>
      </c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</row>
    <row r="488" spans="1:68" ht="19" x14ac:dyDescent="0.25">
      <c r="A488" s="5"/>
      <c r="B488" s="5"/>
      <c r="C488" s="5"/>
      <c r="D488" s="5"/>
      <c r="E488" s="5"/>
      <c r="F488" s="5"/>
      <c r="G488" s="5"/>
      <c r="H488" s="6"/>
      <c r="I488" s="5"/>
      <c r="J488" s="83"/>
      <c r="K488" s="83"/>
      <c r="L488" s="83"/>
      <c r="M488" s="83"/>
      <c r="N488" s="83"/>
      <c r="O488" s="83"/>
      <c r="P488" s="83"/>
      <c r="Q488" s="84"/>
      <c r="R488" s="83"/>
      <c r="S488" s="83"/>
      <c r="T488" s="85"/>
      <c r="U488" s="6"/>
      <c r="V488" s="44">
        <v>44623</v>
      </c>
      <c r="W488" s="45">
        <v>125.93</v>
      </c>
      <c r="X488" s="46"/>
      <c r="Y488" s="61"/>
      <c r="Z488" s="5"/>
      <c r="AA488" s="5"/>
      <c r="AB488" s="5"/>
      <c r="AC488" s="5"/>
      <c r="AD488" s="5"/>
      <c r="AE488" s="5"/>
      <c r="AF488" s="5"/>
      <c r="AG488" s="5"/>
      <c r="AH488" s="6"/>
      <c r="AI488" s="44">
        <v>44623</v>
      </c>
      <c r="AJ488" s="53">
        <v>125.93</v>
      </c>
      <c r="AK488" s="54">
        <f t="shared" si="77"/>
        <v>1.6712417245277056E-2</v>
      </c>
      <c r="AL488" s="55">
        <f t="shared" si="80"/>
        <v>26.245928828513538</v>
      </c>
      <c r="AM488" s="56">
        <v>25</v>
      </c>
      <c r="AN488" s="57">
        <f t="shared" si="78"/>
        <v>-1.2459288285135379</v>
      </c>
      <c r="AO488" s="76">
        <f t="shared" si="81"/>
        <v>2.4302115594826992</v>
      </c>
      <c r="AP488" s="63" t="str">
        <f t="shared" si="82"/>
        <v>Buy Stocks</v>
      </c>
      <c r="AQ488" s="63" t="str">
        <f t="shared" si="83"/>
        <v/>
      </c>
      <c r="AR488" s="63" t="str">
        <f t="shared" si="84"/>
        <v/>
      </c>
      <c r="AS488" s="63" t="str">
        <f t="shared" si="85"/>
        <v/>
      </c>
      <c r="AT488" s="78" t="str">
        <f t="shared" si="86"/>
        <v/>
      </c>
      <c r="AU488" s="78" t="str">
        <f t="shared" si="87"/>
        <v/>
      </c>
      <c r="AV488" s="64" t="str">
        <f ca="1">IFERROR(__xludf.DUMMYFUNCTION("IF(TRIM(AU488)="""","""",AU488/INDEX(FILTER(AT$3:AT488,TRIM(AT$3:AT488)&lt;&gt;""""),ROWS(FILTER(AT$3:AT488,TRIM(AT$3:AT488)&lt;&gt;"""")))-1)"),"")</f>
        <v/>
      </c>
      <c r="AW488" s="65" t="e">
        <f t="shared" ca="1" si="79"/>
        <v>#VALUE!</v>
      </c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</row>
    <row r="489" spans="1:68" ht="19" x14ac:dyDescent="0.25">
      <c r="A489" s="5"/>
      <c r="B489" s="5"/>
      <c r="C489" s="5"/>
      <c r="D489" s="5"/>
      <c r="E489" s="5"/>
      <c r="F489" s="5"/>
      <c r="G489" s="5"/>
      <c r="H489" s="6"/>
      <c r="I489" s="5"/>
      <c r="J489" s="83"/>
      <c r="K489" s="83"/>
      <c r="L489" s="83"/>
      <c r="M489" s="83"/>
      <c r="N489" s="83"/>
      <c r="O489" s="83"/>
      <c r="P489" s="83"/>
      <c r="Q489" s="84"/>
      <c r="R489" s="83"/>
      <c r="S489" s="83"/>
      <c r="T489" s="85"/>
      <c r="U489" s="6"/>
      <c r="V489" s="44">
        <v>44624</v>
      </c>
      <c r="W489" s="45">
        <v>126.62</v>
      </c>
      <c r="X489" s="46"/>
      <c r="Y489" s="61"/>
      <c r="Z489" s="5"/>
      <c r="AA489" s="5"/>
      <c r="AB489" s="5"/>
      <c r="AC489" s="5"/>
      <c r="AD489" s="5"/>
      <c r="AE489" s="5"/>
      <c r="AF489" s="5"/>
      <c r="AG489" s="5"/>
      <c r="AH489" s="6"/>
      <c r="AI489" s="44">
        <v>44624</v>
      </c>
      <c r="AJ489" s="53">
        <v>126.62</v>
      </c>
      <c r="AK489" s="54">
        <f t="shared" si="77"/>
        <v>5.4792344953544792E-3</v>
      </c>
      <c r="AL489" s="55">
        <f t="shared" si="80"/>
        <v>24.179228994517448</v>
      </c>
      <c r="AM489" s="56">
        <v>25</v>
      </c>
      <c r="AN489" s="57">
        <f t="shared" si="78"/>
        <v>0.82077100548255189</v>
      </c>
      <c r="AO489" s="76">
        <f t="shared" si="81"/>
        <v>1.4210985745652109</v>
      </c>
      <c r="AP489" s="63" t="str">
        <f t="shared" si="82"/>
        <v>Buy Stocks</v>
      </c>
      <c r="AQ489" s="63" t="str">
        <f t="shared" si="83"/>
        <v/>
      </c>
      <c r="AR489" s="63" t="str">
        <f t="shared" si="84"/>
        <v/>
      </c>
      <c r="AS489" s="63" t="str">
        <f t="shared" si="85"/>
        <v/>
      </c>
      <c r="AT489" s="78" t="str">
        <f t="shared" si="86"/>
        <v/>
      </c>
      <c r="AU489" s="78" t="str">
        <f t="shared" si="87"/>
        <v/>
      </c>
      <c r="AV489" s="64" t="str">
        <f ca="1">IFERROR(__xludf.DUMMYFUNCTION("IF(TRIM(AU489)="""","""",AU489/INDEX(FILTER(AT$3:AT489,TRIM(AT$3:AT489)&lt;&gt;""""),ROWS(FILTER(AT$3:AT489,TRIM(AT$3:AT489)&lt;&gt;"""")))-1)"),"")</f>
        <v/>
      </c>
      <c r="AW489" s="65" t="e">
        <f t="shared" ca="1" si="79"/>
        <v>#VALUE!</v>
      </c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</row>
    <row r="490" spans="1:68" ht="19" x14ac:dyDescent="0.25">
      <c r="A490" s="5"/>
      <c r="B490" s="5"/>
      <c r="C490" s="5"/>
      <c r="D490" s="5"/>
      <c r="E490" s="5"/>
      <c r="F490" s="5"/>
      <c r="G490" s="5"/>
      <c r="H490" s="6"/>
      <c r="I490" s="5"/>
      <c r="J490" s="83"/>
      <c r="K490" s="83"/>
      <c r="L490" s="83"/>
      <c r="M490" s="83"/>
      <c r="N490" s="83"/>
      <c r="O490" s="83"/>
      <c r="P490" s="83"/>
      <c r="Q490" s="84"/>
      <c r="R490" s="83"/>
      <c r="S490" s="83"/>
      <c r="T490" s="85"/>
      <c r="U490" s="6"/>
      <c r="V490" s="44">
        <v>44627</v>
      </c>
      <c r="W490" s="45">
        <v>126.07</v>
      </c>
      <c r="X490" s="46"/>
      <c r="Y490" s="61"/>
      <c r="Z490" s="5"/>
      <c r="AA490" s="5"/>
      <c r="AB490" s="5"/>
      <c r="AC490" s="5"/>
      <c r="AD490" s="5"/>
      <c r="AE490" s="5"/>
      <c r="AF490" s="5"/>
      <c r="AG490" s="5"/>
      <c r="AH490" s="6"/>
      <c r="AI490" s="44">
        <v>44627</v>
      </c>
      <c r="AJ490" s="53">
        <v>126.07</v>
      </c>
      <c r="AK490" s="54">
        <f t="shared" si="77"/>
        <v>-4.3437055757384879E-3</v>
      </c>
      <c r="AL490" s="55">
        <f t="shared" si="80"/>
        <v>20.648166526436309</v>
      </c>
      <c r="AM490" s="56">
        <v>25</v>
      </c>
      <c r="AN490" s="57">
        <f t="shared" si="78"/>
        <v>4.3518334735636905</v>
      </c>
      <c r="AO490" s="76">
        <f t="shared" si="81"/>
        <v>1.4986874295155352</v>
      </c>
      <c r="AP490" s="63" t="str">
        <f t="shared" si="82"/>
        <v>Buy Stocks</v>
      </c>
      <c r="AQ490" s="63" t="str">
        <f t="shared" si="83"/>
        <v/>
      </c>
      <c r="AR490" s="63" t="str">
        <f t="shared" si="84"/>
        <v/>
      </c>
      <c r="AS490" s="63" t="str">
        <f t="shared" si="85"/>
        <v/>
      </c>
      <c r="AT490" s="78" t="str">
        <f t="shared" si="86"/>
        <v/>
      </c>
      <c r="AU490" s="78" t="str">
        <f t="shared" si="87"/>
        <v/>
      </c>
      <c r="AV490" s="64" t="str">
        <f ca="1">IFERROR(__xludf.DUMMYFUNCTION("IF(TRIM(AU490)="""","""",AU490/INDEX(FILTER(AT$3:AT490,TRIM(AT$3:AT490)&lt;&gt;""""),ROWS(FILTER(AT$3:AT490,TRIM(AT$3:AT490)&lt;&gt;"""")))-1)"),"")</f>
        <v/>
      </c>
      <c r="AW490" s="65" t="e">
        <f t="shared" ca="1" si="79"/>
        <v>#VALUE!</v>
      </c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</row>
    <row r="491" spans="1:68" ht="19" x14ac:dyDescent="0.25">
      <c r="A491" s="5"/>
      <c r="B491" s="5"/>
      <c r="C491" s="5"/>
      <c r="D491" s="5"/>
      <c r="E491" s="5"/>
      <c r="F491" s="5"/>
      <c r="G491" s="5"/>
      <c r="H491" s="6"/>
      <c r="I491" s="5"/>
      <c r="J491" s="83"/>
      <c r="K491" s="83"/>
      <c r="L491" s="83"/>
      <c r="M491" s="83"/>
      <c r="N491" s="83"/>
      <c r="O491" s="83"/>
      <c r="P491" s="83"/>
      <c r="Q491" s="84"/>
      <c r="R491" s="83"/>
      <c r="S491" s="83"/>
      <c r="T491" s="85"/>
      <c r="U491" s="6"/>
      <c r="V491" s="44">
        <v>44628</v>
      </c>
      <c r="W491" s="45">
        <v>125.68</v>
      </c>
      <c r="X491" s="46"/>
      <c r="Y491" s="61"/>
      <c r="Z491" s="5"/>
      <c r="AA491" s="5"/>
      <c r="AB491" s="5"/>
      <c r="AC491" s="5"/>
      <c r="AD491" s="5"/>
      <c r="AE491" s="5"/>
      <c r="AF491" s="5"/>
      <c r="AG491" s="5"/>
      <c r="AH491" s="6"/>
      <c r="AI491" s="44">
        <v>44628</v>
      </c>
      <c r="AJ491" s="53">
        <v>125.68</v>
      </c>
      <c r="AK491" s="54">
        <f t="shared" si="77"/>
        <v>-3.0935194733083815E-3</v>
      </c>
      <c r="AL491" s="55">
        <f t="shared" si="80"/>
        <v>18.002266181704325</v>
      </c>
      <c r="AM491" s="56">
        <v>25</v>
      </c>
      <c r="AN491" s="57">
        <f t="shared" si="78"/>
        <v>6.997733818295675</v>
      </c>
      <c r="AO491" s="76">
        <f t="shared" si="81"/>
        <v>2.2105368416303777</v>
      </c>
      <c r="AP491" s="63" t="str">
        <f t="shared" si="82"/>
        <v>Buy Stocks</v>
      </c>
      <c r="AQ491" s="63" t="str">
        <f t="shared" si="83"/>
        <v/>
      </c>
      <c r="AR491" s="63" t="str">
        <f t="shared" si="84"/>
        <v/>
      </c>
      <c r="AS491" s="63" t="str">
        <f t="shared" si="85"/>
        <v/>
      </c>
      <c r="AT491" s="78" t="str">
        <f t="shared" si="86"/>
        <v/>
      </c>
      <c r="AU491" s="78" t="str">
        <f t="shared" si="87"/>
        <v/>
      </c>
      <c r="AV491" s="64" t="str">
        <f ca="1">IFERROR(__xludf.DUMMYFUNCTION("IF(TRIM(AU491)="""","""",AU491/INDEX(FILTER(AT$3:AT491,TRIM(AT$3:AT491)&lt;&gt;""""),ROWS(FILTER(AT$3:AT491,TRIM(AT$3:AT491)&lt;&gt;"""")))-1)"),"")</f>
        <v/>
      </c>
      <c r="AW491" s="65" t="e">
        <f t="shared" ca="1" si="79"/>
        <v>#VALUE!</v>
      </c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</row>
    <row r="492" spans="1:68" ht="19" x14ac:dyDescent="0.25">
      <c r="A492" s="5"/>
      <c r="B492" s="5"/>
      <c r="C492" s="5"/>
      <c r="D492" s="5"/>
      <c r="E492" s="5"/>
      <c r="F492" s="5"/>
      <c r="G492" s="5"/>
      <c r="H492" s="6"/>
      <c r="I492" s="5"/>
      <c r="J492" s="83"/>
      <c r="K492" s="83"/>
      <c r="L492" s="83"/>
      <c r="M492" s="83"/>
      <c r="N492" s="83"/>
      <c r="O492" s="83"/>
      <c r="P492" s="83"/>
      <c r="Q492" s="84"/>
      <c r="R492" s="83"/>
      <c r="S492" s="83"/>
      <c r="T492" s="85"/>
      <c r="U492" s="6"/>
      <c r="V492" s="44">
        <v>44629</v>
      </c>
      <c r="W492" s="45">
        <v>126.22</v>
      </c>
      <c r="X492" s="46"/>
      <c r="Y492" s="61"/>
      <c r="Z492" s="5"/>
      <c r="AA492" s="5"/>
      <c r="AB492" s="5"/>
      <c r="AC492" s="5"/>
      <c r="AD492" s="5"/>
      <c r="AE492" s="5"/>
      <c r="AF492" s="5"/>
      <c r="AG492" s="5"/>
      <c r="AH492" s="6"/>
      <c r="AI492" s="44">
        <v>44629</v>
      </c>
      <c r="AJ492" s="53">
        <v>126.22</v>
      </c>
      <c r="AK492" s="54">
        <f t="shared" si="77"/>
        <v>4.2966263526416082E-3</v>
      </c>
      <c r="AL492" s="55">
        <f t="shared" si="80"/>
        <v>13.367547255702785</v>
      </c>
      <c r="AM492" s="56">
        <v>25</v>
      </c>
      <c r="AN492" s="57">
        <f t="shared" si="78"/>
        <v>11.632452744297215</v>
      </c>
      <c r="AO492" s="76">
        <f t="shared" si="81"/>
        <v>4.5113724426251185</v>
      </c>
      <c r="AP492" s="63" t="str">
        <f t="shared" si="82"/>
        <v>Buy Stocks</v>
      </c>
      <c r="AQ492" s="63" t="str">
        <f t="shared" si="83"/>
        <v/>
      </c>
      <c r="AR492" s="63" t="str">
        <f t="shared" si="84"/>
        <v/>
      </c>
      <c r="AS492" s="63" t="str">
        <f t="shared" si="85"/>
        <v/>
      </c>
      <c r="AT492" s="78" t="str">
        <f t="shared" si="86"/>
        <v/>
      </c>
      <c r="AU492" s="78" t="str">
        <f t="shared" si="87"/>
        <v/>
      </c>
      <c r="AV492" s="64" t="str">
        <f ca="1">IFERROR(__xludf.DUMMYFUNCTION("IF(TRIM(AU492)="""","""",AU492/INDEX(FILTER(AT$3:AT492,TRIM(AT$3:AT492)&lt;&gt;""""),ROWS(FILTER(AT$3:AT492,TRIM(AT$3:AT492)&lt;&gt;"""")))-1)"),"")</f>
        <v/>
      </c>
      <c r="AW492" s="65" t="e">
        <f t="shared" ca="1" si="79"/>
        <v>#VALUE!</v>
      </c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</row>
    <row r="493" spans="1:68" ht="19" x14ac:dyDescent="0.25">
      <c r="A493" s="5"/>
      <c r="B493" s="5"/>
      <c r="C493" s="5"/>
      <c r="D493" s="5"/>
      <c r="E493" s="5"/>
      <c r="F493" s="5"/>
      <c r="G493" s="5"/>
      <c r="H493" s="6"/>
      <c r="I493" s="5"/>
      <c r="J493" s="83"/>
      <c r="K493" s="83"/>
      <c r="L493" s="83"/>
      <c r="M493" s="83"/>
      <c r="N493" s="83"/>
      <c r="O493" s="83"/>
      <c r="P493" s="83"/>
      <c r="Q493" s="84"/>
      <c r="R493" s="83"/>
      <c r="S493" s="83"/>
      <c r="T493" s="85"/>
      <c r="U493" s="6"/>
      <c r="V493" s="44">
        <v>44630</v>
      </c>
      <c r="W493" s="45">
        <v>124.35</v>
      </c>
      <c r="X493" s="46"/>
      <c r="Y493" s="61"/>
      <c r="Z493" s="5"/>
      <c r="AA493" s="5"/>
      <c r="AB493" s="5"/>
      <c r="AC493" s="5"/>
      <c r="AD493" s="5"/>
      <c r="AE493" s="5"/>
      <c r="AF493" s="5"/>
      <c r="AG493" s="5"/>
      <c r="AH493" s="6"/>
      <c r="AI493" s="44">
        <v>44630</v>
      </c>
      <c r="AJ493" s="53">
        <v>124.35</v>
      </c>
      <c r="AK493" s="54">
        <f t="shared" si="77"/>
        <v>-1.4815401679607043E-2</v>
      </c>
      <c r="AL493" s="55">
        <f t="shared" si="80"/>
        <v>12.927806798777002</v>
      </c>
      <c r="AM493" s="56">
        <v>25</v>
      </c>
      <c r="AN493" s="57">
        <f t="shared" si="78"/>
        <v>12.072193201222998</v>
      </c>
      <c r="AO493" s="76">
        <f t="shared" si="81"/>
        <v>7.1749968485724249</v>
      </c>
      <c r="AP493" s="63" t="str">
        <f t="shared" si="82"/>
        <v>Buy Stocks</v>
      </c>
      <c r="AQ493" s="63" t="str">
        <f t="shared" si="83"/>
        <v/>
      </c>
      <c r="AR493" s="63" t="str">
        <f t="shared" si="84"/>
        <v/>
      </c>
      <c r="AS493" s="63" t="str">
        <f t="shared" si="85"/>
        <v/>
      </c>
      <c r="AT493" s="78" t="str">
        <f t="shared" si="86"/>
        <v/>
      </c>
      <c r="AU493" s="78" t="str">
        <f t="shared" si="87"/>
        <v/>
      </c>
      <c r="AV493" s="64" t="str">
        <f ca="1">IFERROR(__xludf.DUMMYFUNCTION("IF(TRIM(AU493)="""","""",AU493/INDEX(FILTER(AT$3:AT493,TRIM(AT$3:AT493)&lt;&gt;""""),ROWS(FILTER(AT$3:AT493,TRIM(AT$3:AT493)&lt;&gt;"""")))-1)"),"")</f>
        <v/>
      </c>
      <c r="AW493" s="65" t="e">
        <f t="shared" ca="1" si="79"/>
        <v>#VALUE!</v>
      </c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</row>
    <row r="494" spans="1:68" ht="19" x14ac:dyDescent="0.25">
      <c r="A494" s="5"/>
      <c r="B494" s="5"/>
      <c r="C494" s="5"/>
      <c r="D494" s="5"/>
      <c r="E494" s="5"/>
      <c r="F494" s="5"/>
      <c r="G494" s="5"/>
      <c r="H494" s="6"/>
      <c r="I494" s="5"/>
      <c r="J494" s="83"/>
      <c r="K494" s="83"/>
      <c r="L494" s="83"/>
      <c r="M494" s="83"/>
      <c r="N494" s="83"/>
      <c r="O494" s="83"/>
      <c r="P494" s="83"/>
      <c r="Q494" s="84"/>
      <c r="R494" s="83"/>
      <c r="S494" s="83"/>
      <c r="T494" s="85"/>
      <c r="U494" s="6"/>
      <c r="V494" s="44">
        <v>44631</v>
      </c>
      <c r="W494" s="45">
        <v>123.96</v>
      </c>
      <c r="X494" s="46"/>
      <c r="Y494" s="61"/>
      <c r="Z494" s="5"/>
      <c r="AA494" s="5"/>
      <c r="AB494" s="5"/>
      <c r="AC494" s="5"/>
      <c r="AD494" s="5"/>
      <c r="AE494" s="5"/>
      <c r="AF494" s="5"/>
      <c r="AG494" s="5"/>
      <c r="AH494" s="6"/>
      <c r="AI494" s="44">
        <v>44631</v>
      </c>
      <c r="AJ494" s="53">
        <v>123.96</v>
      </c>
      <c r="AK494" s="54">
        <f t="shared" si="77"/>
        <v>-3.1363088057900779E-3</v>
      </c>
      <c r="AL494" s="55">
        <f t="shared" si="80"/>
        <v>10.861403287073331</v>
      </c>
      <c r="AM494" s="56">
        <v>25</v>
      </c>
      <c r="AN494" s="57">
        <f t="shared" si="78"/>
        <v>14.138596712926669</v>
      </c>
      <c r="AO494" s="76">
        <f t="shared" si="81"/>
        <v>9.8385619900612493</v>
      </c>
      <c r="AP494" s="63" t="str">
        <f t="shared" si="82"/>
        <v>Buy Stocks</v>
      </c>
      <c r="AQ494" s="63" t="str">
        <f t="shared" si="83"/>
        <v/>
      </c>
      <c r="AR494" s="63" t="str">
        <f t="shared" si="84"/>
        <v/>
      </c>
      <c r="AS494" s="63" t="str">
        <f t="shared" si="85"/>
        <v/>
      </c>
      <c r="AT494" s="78" t="str">
        <f t="shared" si="86"/>
        <v/>
      </c>
      <c r="AU494" s="78" t="str">
        <f t="shared" si="87"/>
        <v/>
      </c>
      <c r="AV494" s="64" t="str">
        <f ca="1">IFERROR(__xludf.DUMMYFUNCTION("IF(TRIM(AU494)="""","""",AU494/INDEX(FILTER(AT$3:AT494,TRIM(AT$3:AT494)&lt;&gt;""""),ROWS(FILTER(AT$3:AT494,TRIM(AT$3:AT494)&lt;&gt;"""")))-1)"),"")</f>
        <v/>
      </c>
      <c r="AW494" s="65" t="e">
        <f t="shared" ca="1" si="79"/>
        <v>#VALUE!</v>
      </c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</row>
    <row r="495" spans="1:68" ht="19" x14ac:dyDescent="0.25">
      <c r="A495" s="5"/>
      <c r="B495" s="5"/>
      <c r="C495" s="5"/>
      <c r="D495" s="5"/>
      <c r="E495" s="5"/>
      <c r="F495" s="5"/>
      <c r="G495" s="5"/>
      <c r="H495" s="6"/>
      <c r="I495" s="5"/>
      <c r="J495" s="83"/>
      <c r="K495" s="83"/>
      <c r="L495" s="83"/>
      <c r="M495" s="83"/>
      <c r="N495" s="83"/>
      <c r="O495" s="83"/>
      <c r="P495" s="83"/>
      <c r="Q495" s="84"/>
      <c r="R495" s="83"/>
      <c r="S495" s="83"/>
      <c r="T495" s="85"/>
      <c r="U495" s="6"/>
      <c r="V495" s="44">
        <v>44634</v>
      </c>
      <c r="W495" s="45">
        <v>123.94</v>
      </c>
      <c r="X495" s="46"/>
      <c r="Y495" s="61"/>
      <c r="Z495" s="5"/>
      <c r="AA495" s="5"/>
      <c r="AB495" s="5"/>
      <c r="AC495" s="5"/>
      <c r="AD495" s="5"/>
      <c r="AE495" s="5"/>
      <c r="AF495" s="5"/>
      <c r="AG495" s="5"/>
      <c r="AH495" s="6"/>
      <c r="AI495" s="44">
        <v>44634</v>
      </c>
      <c r="AJ495" s="53">
        <v>123.94</v>
      </c>
      <c r="AK495" s="54">
        <f t="shared" si="77"/>
        <v>-1.6134236850595673E-4</v>
      </c>
      <c r="AL495" s="55">
        <f t="shared" si="80"/>
        <v>11.230588780361375</v>
      </c>
      <c r="AM495" s="56">
        <v>25</v>
      </c>
      <c r="AN495" s="57">
        <f t="shared" si="78"/>
        <v>13.769411219638625</v>
      </c>
      <c r="AO495" s="76">
        <f t="shared" si="81"/>
        <v>11.722077539276237</v>
      </c>
      <c r="AP495" s="63" t="str">
        <f t="shared" si="82"/>
        <v>Buy Stocks</v>
      </c>
      <c r="AQ495" s="63" t="str">
        <f t="shared" si="83"/>
        <v/>
      </c>
      <c r="AR495" s="63" t="str">
        <f t="shared" si="84"/>
        <v/>
      </c>
      <c r="AS495" s="63" t="str">
        <f t="shared" si="85"/>
        <v/>
      </c>
      <c r="AT495" s="78" t="str">
        <f t="shared" si="86"/>
        <v/>
      </c>
      <c r="AU495" s="78" t="str">
        <f t="shared" si="87"/>
        <v/>
      </c>
      <c r="AV495" s="64" t="str">
        <f ca="1">IFERROR(__xludf.DUMMYFUNCTION("IF(TRIM(AU495)="""","""",AU495/INDEX(FILTER(AT$3:AT495,TRIM(AT$3:AT495)&lt;&gt;""""),ROWS(FILTER(AT$3:AT495,TRIM(AT$3:AT495)&lt;&gt;"""")))-1)"),"")</f>
        <v/>
      </c>
      <c r="AW495" s="65" t="e">
        <f t="shared" ca="1" si="79"/>
        <v>#VALUE!</v>
      </c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</row>
    <row r="496" spans="1:68" ht="19" x14ac:dyDescent="0.25">
      <c r="A496" s="5"/>
      <c r="B496" s="5"/>
      <c r="C496" s="5"/>
      <c r="D496" s="5"/>
      <c r="E496" s="5"/>
      <c r="F496" s="5"/>
      <c r="G496" s="5"/>
      <c r="H496" s="6"/>
      <c r="I496" s="5"/>
      <c r="J496" s="83"/>
      <c r="K496" s="83"/>
      <c r="L496" s="83"/>
      <c r="M496" s="83"/>
      <c r="N496" s="83"/>
      <c r="O496" s="83"/>
      <c r="P496" s="83"/>
      <c r="Q496" s="84"/>
      <c r="R496" s="83"/>
      <c r="S496" s="83"/>
      <c r="T496" s="85"/>
      <c r="U496" s="6"/>
      <c r="V496" s="44">
        <v>44635</v>
      </c>
      <c r="W496" s="45">
        <v>125.64</v>
      </c>
      <c r="X496" s="46"/>
      <c r="Y496" s="61"/>
      <c r="Z496" s="5"/>
      <c r="AA496" s="5"/>
      <c r="AB496" s="5"/>
      <c r="AC496" s="5"/>
      <c r="AD496" s="5"/>
      <c r="AE496" s="5"/>
      <c r="AF496" s="5"/>
      <c r="AG496" s="5"/>
      <c r="AH496" s="6"/>
      <c r="AI496" s="44">
        <v>44635</v>
      </c>
      <c r="AJ496" s="53">
        <v>125.64</v>
      </c>
      <c r="AK496" s="54">
        <f t="shared" si="77"/>
        <v>1.3716314345651126E-2</v>
      </c>
      <c r="AL496" s="55">
        <f t="shared" si="80"/>
        <v>16.572614890218428</v>
      </c>
      <c r="AM496" s="56">
        <v>25</v>
      </c>
      <c r="AN496" s="57">
        <f t="shared" si="78"/>
        <v>8.4273851097815715</v>
      </c>
      <c r="AO496" s="76">
        <f t="shared" si="81"/>
        <v>12.008007797573416</v>
      </c>
      <c r="AP496" s="63" t="str">
        <f t="shared" si="82"/>
        <v>Buy Stocks</v>
      </c>
      <c r="AQ496" s="63" t="str">
        <f t="shared" si="83"/>
        <v/>
      </c>
      <c r="AR496" s="63" t="str">
        <f t="shared" si="84"/>
        <v/>
      </c>
      <c r="AS496" s="63" t="str">
        <f t="shared" si="85"/>
        <v/>
      </c>
      <c r="AT496" s="78" t="str">
        <f t="shared" si="86"/>
        <v/>
      </c>
      <c r="AU496" s="78" t="str">
        <f t="shared" si="87"/>
        <v/>
      </c>
      <c r="AV496" s="64" t="str">
        <f ca="1">IFERROR(__xludf.DUMMYFUNCTION("IF(TRIM(AU496)="""","""",AU496/INDEX(FILTER(AT$3:AT496,TRIM(AT$3:AT496)&lt;&gt;""""),ROWS(FILTER(AT$3:AT496,TRIM(AT$3:AT496)&lt;&gt;"""")))-1)"),"")</f>
        <v/>
      </c>
      <c r="AW496" s="65" t="e">
        <f t="shared" ca="1" si="79"/>
        <v>#VALUE!</v>
      </c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</row>
    <row r="497" spans="1:68" ht="19" x14ac:dyDescent="0.25">
      <c r="A497" s="5"/>
      <c r="B497" s="5"/>
      <c r="C497" s="5"/>
      <c r="D497" s="5"/>
      <c r="E497" s="5"/>
      <c r="F497" s="5"/>
      <c r="G497" s="5"/>
      <c r="H497" s="6"/>
      <c r="I497" s="5"/>
      <c r="J497" s="83"/>
      <c r="K497" s="83"/>
      <c r="L497" s="83"/>
      <c r="M497" s="83"/>
      <c r="N497" s="83"/>
      <c r="O497" s="83"/>
      <c r="P497" s="83"/>
      <c r="Q497" s="84"/>
      <c r="R497" s="83"/>
      <c r="S497" s="83"/>
      <c r="T497" s="85"/>
      <c r="U497" s="6"/>
      <c r="V497" s="44">
        <v>44636</v>
      </c>
      <c r="W497" s="45">
        <v>127.04</v>
      </c>
      <c r="X497" s="46"/>
      <c r="Y497" s="61"/>
      <c r="Z497" s="5"/>
      <c r="AA497" s="5"/>
      <c r="AB497" s="5"/>
      <c r="AC497" s="5"/>
      <c r="AD497" s="5"/>
      <c r="AE497" s="5"/>
      <c r="AF497" s="5"/>
      <c r="AG497" s="5"/>
      <c r="AH497" s="6"/>
      <c r="AI497" s="44">
        <v>44636</v>
      </c>
      <c r="AJ497" s="53">
        <v>127.04</v>
      </c>
      <c r="AK497" s="54">
        <f t="shared" si="77"/>
        <v>1.1142948105698824E-2</v>
      </c>
      <c r="AL497" s="55">
        <f t="shared" si="80"/>
        <v>18.316989471779742</v>
      </c>
      <c r="AM497" s="56">
        <v>25</v>
      </c>
      <c r="AN497" s="57">
        <f t="shared" si="78"/>
        <v>6.6830105282202581</v>
      </c>
      <c r="AO497" s="76">
        <f t="shared" si="81"/>
        <v>11.018119354358024</v>
      </c>
      <c r="AP497" s="63" t="str">
        <f t="shared" si="82"/>
        <v>Buy Stocks</v>
      </c>
      <c r="AQ497" s="63" t="str">
        <f t="shared" si="83"/>
        <v/>
      </c>
      <c r="AR497" s="63" t="str">
        <f t="shared" si="84"/>
        <v/>
      </c>
      <c r="AS497" s="63" t="str">
        <f t="shared" si="85"/>
        <v/>
      </c>
      <c r="AT497" s="78" t="str">
        <f t="shared" si="86"/>
        <v/>
      </c>
      <c r="AU497" s="78" t="str">
        <f t="shared" si="87"/>
        <v/>
      </c>
      <c r="AV497" s="64" t="str">
        <f ca="1">IFERROR(__xludf.DUMMYFUNCTION("IF(TRIM(AU497)="""","""",AU497/INDEX(FILTER(AT$3:AT497,TRIM(AT$3:AT497)&lt;&gt;""""),ROWS(FILTER(AT$3:AT497,TRIM(AT$3:AT497)&lt;&gt;"""")))-1)"),"")</f>
        <v/>
      </c>
      <c r="AW497" s="65" t="e">
        <f t="shared" ca="1" si="79"/>
        <v>#VALUE!</v>
      </c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</row>
    <row r="498" spans="1:68" ht="19" x14ac:dyDescent="0.25">
      <c r="A498" s="5"/>
      <c r="B498" s="5"/>
      <c r="C498" s="5"/>
      <c r="D498" s="5"/>
      <c r="E498" s="5"/>
      <c r="F498" s="5"/>
      <c r="G498" s="5"/>
      <c r="H498" s="6"/>
      <c r="I498" s="5"/>
      <c r="J498" s="83"/>
      <c r="K498" s="83"/>
      <c r="L498" s="83"/>
      <c r="M498" s="83"/>
      <c r="N498" s="83"/>
      <c r="O498" s="83"/>
      <c r="P498" s="83"/>
      <c r="Q498" s="84"/>
      <c r="R498" s="83"/>
      <c r="S498" s="83"/>
      <c r="T498" s="85"/>
      <c r="U498" s="6"/>
      <c r="V498" s="44">
        <v>44637</v>
      </c>
      <c r="W498" s="45">
        <v>127.96</v>
      </c>
      <c r="X498" s="46"/>
      <c r="Y498" s="61"/>
      <c r="Z498" s="5"/>
      <c r="AA498" s="5"/>
      <c r="AB498" s="5"/>
      <c r="AC498" s="5"/>
      <c r="AD498" s="5"/>
      <c r="AE498" s="5"/>
      <c r="AF498" s="5"/>
      <c r="AG498" s="5"/>
      <c r="AH498" s="6"/>
      <c r="AI498" s="44">
        <v>44637</v>
      </c>
      <c r="AJ498" s="53">
        <v>127.96</v>
      </c>
      <c r="AK498" s="54">
        <f t="shared" si="77"/>
        <v>7.2418136020149237E-3</v>
      </c>
      <c r="AL498" s="55">
        <f t="shared" si="80"/>
        <v>11.466006683889795</v>
      </c>
      <c r="AM498" s="56">
        <v>25</v>
      </c>
      <c r="AN498" s="57">
        <f t="shared" si="78"/>
        <v>13.533993316110205</v>
      </c>
      <c r="AO498" s="76">
        <f t="shared" si="81"/>
        <v>11.310479377335465</v>
      </c>
      <c r="AP498" s="63" t="str">
        <f t="shared" si="82"/>
        <v>Buy Stocks</v>
      </c>
      <c r="AQ498" s="63" t="str">
        <f t="shared" si="83"/>
        <v/>
      </c>
      <c r="AR498" s="63" t="str">
        <f t="shared" si="84"/>
        <v/>
      </c>
      <c r="AS498" s="63" t="str">
        <f t="shared" si="85"/>
        <v/>
      </c>
      <c r="AT498" s="78" t="str">
        <f t="shared" si="86"/>
        <v/>
      </c>
      <c r="AU498" s="78" t="str">
        <f t="shared" si="87"/>
        <v/>
      </c>
      <c r="AV498" s="64" t="str">
        <f ca="1">IFERROR(__xludf.DUMMYFUNCTION("IF(TRIM(AU498)="""","""",AU498/INDEX(FILTER(AT$3:AT498,TRIM(AT$3:AT498)&lt;&gt;""""),ROWS(FILTER(AT$3:AT498,TRIM(AT$3:AT498)&lt;&gt;"""")))-1)"),"")</f>
        <v/>
      </c>
      <c r="AW498" s="65" t="e">
        <f t="shared" ca="1" si="79"/>
        <v>#VALUE!</v>
      </c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</row>
    <row r="499" spans="1:68" ht="19" x14ac:dyDescent="0.25">
      <c r="A499" s="5"/>
      <c r="B499" s="5"/>
      <c r="C499" s="5"/>
      <c r="D499" s="5"/>
      <c r="E499" s="5"/>
      <c r="F499" s="5"/>
      <c r="G499" s="5"/>
      <c r="H499" s="6"/>
      <c r="I499" s="5"/>
      <c r="J499" s="83"/>
      <c r="K499" s="83"/>
      <c r="L499" s="83"/>
      <c r="M499" s="83"/>
      <c r="N499" s="83"/>
      <c r="O499" s="83"/>
      <c r="P499" s="83"/>
      <c r="Q499" s="84"/>
      <c r="R499" s="83"/>
      <c r="S499" s="83"/>
      <c r="T499" s="85"/>
      <c r="U499" s="6"/>
      <c r="V499" s="44">
        <v>44638</v>
      </c>
      <c r="W499" s="45">
        <v>128.76</v>
      </c>
      <c r="X499" s="46"/>
      <c r="Y499" s="61"/>
      <c r="Z499" s="5"/>
      <c r="AA499" s="5"/>
      <c r="AB499" s="5"/>
      <c r="AC499" s="5"/>
      <c r="AD499" s="5"/>
      <c r="AE499" s="5"/>
      <c r="AF499" s="5"/>
      <c r="AG499" s="5"/>
      <c r="AH499" s="6"/>
      <c r="AI499" s="44">
        <v>44638</v>
      </c>
      <c r="AJ499" s="53">
        <v>128.76</v>
      </c>
      <c r="AK499" s="54">
        <f t="shared" si="77"/>
        <v>6.251953735542326E-3</v>
      </c>
      <c r="AL499" s="55">
        <f t="shared" si="80"/>
        <v>8.4051882188504017</v>
      </c>
      <c r="AM499" s="56">
        <v>25</v>
      </c>
      <c r="AN499" s="57">
        <f t="shared" si="78"/>
        <v>16.594811781149598</v>
      </c>
      <c r="AO499" s="76">
        <f t="shared" si="81"/>
        <v>11.801722390980052</v>
      </c>
      <c r="AP499" s="63" t="str">
        <f t="shared" si="82"/>
        <v>Buy Stocks</v>
      </c>
      <c r="AQ499" s="63" t="str">
        <f t="shared" si="83"/>
        <v/>
      </c>
      <c r="AR499" s="63" t="str">
        <f t="shared" si="84"/>
        <v/>
      </c>
      <c r="AS499" s="63" t="str">
        <f t="shared" si="85"/>
        <v/>
      </c>
      <c r="AT499" s="78" t="str">
        <f t="shared" si="86"/>
        <v/>
      </c>
      <c r="AU499" s="78" t="str">
        <f t="shared" si="87"/>
        <v/>
      </c>
      <c r="AV499" s="64" t="str">
        <f ca="1">IFERROR(__xludf.DUMMYFUNCTION("IF(TRIM(AU499)="""","""",AU499/INDEX(FILTER(AT$3:AT499,TRIM(AT$3:AT499)&lt;&gt;""""),ROWS(FILTER(AT$3:AT499,TRIM(AT$3:AT499)&lt;&gt;"""")))-1)"),"")</f>
        <v/>
      </c>
      <c r="AW499" s="65" t="e">
        <f t="shared" ca="1" si="79"/>
        <v>#VALUE!</v>
      </c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</row>
    <row r="500" spans="1:68" ht="19" x14ac:dyDescent="0.25">
      <c r="A500" s="5"/>
      <c r="B500" s="5"/>
      <c r="C500" s="5"/>
      <c r="D500" s="5"/>
      <c r="E500" s="5"/>
      <c r="F500" s="5"/>
      <c r="G500" s="5"/>
      <c r="H500" s="6"/>
      <c r="I500" s="5"/>
      <c r="J500" s="83"/>
      <c r="K500" s="83"/>
      <c r="L500" s="83"/>
      <c r="M500" s="83"/>
      <c r="N500" s="83"/>
      <c r="O500" s="83"/>
      <c r="P500" s="83"/>
      <c r="Q500" s="84"/>
      <c r="R500" s="83"/>
      <c r="S500" s="83"/>
      <c r="T500" s="85"/>
      <c r="U500" s="6"/>
      <c r="V500" s="44">
        <v>44641</v>
      </c>
      <c r="W500" s="45">
        <v>128.1</v>
      </c>
      <c r="X500" s="46"/>
      <c r="Y500" s="61"/>
      <c r="Z500" s="5"/>
      <c r="AA500" s="5"/>
      <c r="AB500" s="5"/>
      <c r="AC500" s="5"/>
      <c r="AD500" s="5"/>
      <c r="AE500" s="5"/>
      <c r="AF500" s="5"/>
      <c r="AG500" s="5"/>
      <c r="AH500" s="6"/>
      <c r="AI500" s="44">
        <v>44641</v>
      </c>
      <c r="AJ500" s="53">
        <v>128.1</v>
      </c>
      <c r="AK500" s="54">
        <f t="shared" si="77"/>
        <v>-5.1258154706430581E-3</v>
      </c>
      <c r="AL500" s="55">
        <f t="shared" si="80"/>
        <v>11.482926831086704</v>
      </c>
      <c r="AM500" s="56">
        <v>25</v>
      </c>
      <c r="AN500" s="57">
        <f t="shared" si="78"/>
        <v>13.517073168913296</v>
      </c>
      <c r="AO500" s="76">
        <f t="shared" si="81"/>
        <v>11.751254780834987</v>
      </c>
      <c r="AP500" s="63" t="str">
        <f t="shared" si="82"/>
        <v>Buy Stocks</v>
      </c>
      <c r="AQ500" s="63" t="str">
        <f t="shared" si="83"/>
        <v/>
      </c>
      <c r="AR500" s="63" t="str">
        <f t="shared" si="84"/>
        <v/>
      </c>
      <c r="AS500" s="63" t="str">
        <f t="shared" si="85"/>
        <v/>
      </c>
      <c r="AT500" s="78" t="str">
        <f t="shared" si="86"/>
        <v/>
      </c>
      <c r="AU500" s="78" t="str">
        <f t="shared" si="87"/>
        <v/>
      </c>
      <c r="AV500" s="64" t="str">
        <f ca="1">IFERROR(__xludf.DUMMYFUNCTION("IF(TRIM(AU500)="""","""",AU500/INDEX(FILTER(AT$3:AT500,TRIM(AT$3:AT500)&lt;&gt;""""),ROWS(FILTER(AT$3:AT500,TRIM(AT$3:AT500)&lt;&gt;"""")))-1)"),"")</f>
        <v/>
      </c>
      <c r="AW500" s="65" t="e">
        <f t="shared" ca="1" si="79"/>
        <v>#VALUE!</v>
      </c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</row>
    <row r="501" spans="1:68" ht="19" x14ac:dyDescent="0.25">
      <c r="A501" s="5"/>
      <c r="B501" s="5"/>
      <c r="C501" s="5"/>
      <c r="D501" s="5"/>
      <c r="E501" s="5"/>
      <c r="F501" s="5"/>
      <c r="G501" s="5"/>
      <c r="H501" s="6"/>
      <c r="I501" s="5"/>
      <c r="J501" s="83"/>
      <c r="K501" s="83"/>
      <c r="L501" s="83"/>
      <c r="M501" s="83"/>
      <c r="N501" s="83"/>
      <c r="O501" s="83"/>
      <c r="P501" s="83"/>
      <c r="Q501" s="84"/>
      <c r="R501" s="83"/>
      <c r="S501" s="83"/>
      <c r="T501" s="85"/>
      <c r="U501" s="6"/>
      <c r="V501" s="44">
        <v>44642</v>
      </c>
      <c r="W501" s="45">
        <v>129.06</v>
      </c>
      <c r="X501" s="46"/>
      <c r="Y501" s="61"/>
      <c r="Z501" s="5"/>
      <c r="AA501" s="5"/>
      <c r="AB501" s="5"/>
      <c r="AC501" s="5"/>
      <c r="AD501" s="5"/>
      <c r="AE501" s="5"/>
      <c r="AF501" s="5"/>
      <c r="AG501" s="5"/>
      <c r="AH501" s="6"/>
      <c r="AI501" s="44">
        <v>44642</v>
      </c>
      <c r="AJ501" s="53">
        <v>129.06</v>
      </c>
      <c r="AK501" s="54">
        <f t="shared" si="77"/>
        <v>7.494145199063329E-3</v>
      </c>
      <c r="AL501" s="55">
        <f t="shared" si="80"/>
        <v>9.7946416501983879</v>
      </c>
      <c r="AM501" s="56">
        <v>25</v>
      </c>
      <c r="AN501" s="57">
        <f t="shared" si="78"/>
        <v>15.205358349801612</v>
      </c>
      <c r="AO501" s="76">
        <f t="shared" si="81"/>
        <v>13.106849428838995</v>
      </c>
      <c r="AP501" s="63" t="str">
        <f t="shared" si="82"/>
        <v>Buy Stocks</v>
      </c>
      <c r="AQ501" s="63" t="str">
        <f t="shared" si="83"/>
        <v/>
      </c>
      <c r="AR501" s="63" t="str">
        <f t="shared" si="84"/>
        <v/>
      </c>
      <c r="AS501" s="63" t="str">
        <f t="shared" si="85"/>
        <v/>
      </c>
      <c r="AT501" s="78" t="str">
        <f t="shared" si="86"/>
        <v/>
      </c>
      <c r="AU501" s="78" t="str">
        <f t="shared" si="87"/>
        <v/>
      </c>
      <c r="AV501" s="64" t="str">
        <f ca="1">IFERROR(__xludf.DUMMYFUNCTION("IF(TRIM(AU501)="""","""",AU501/INDEX(FILTER(AT$3:AT501,TRIM(AT$3:AT501)&lt;&gt;""""),ROWS(FILTER(AT$3:AT501,TRIM(AT$3:AT501)&lt;&gt;"""")))-1)"),"")</f>
        <v/>
      </c>
      <c r="AW501" s="65" t="e">
        <f t="shared" ca="1" si="79"/>
        <v>#VALUE!</v>
      </c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</row>
    <row r="502" spans="1:68" ht="19" x14ac:dyDescent="0.25">
      <c r="A502" s="5"/>
      <c r="B502" s="5"/>
      <c r="C502" s="5"/>
      <c r="D502" s="5"/>
      <c r="E502" s="5"/>
      <c r="F502" s="5"/>
      <c r="G502" s="5"/>
      <c r="H502" s="6"/>
      <c r="I502" s="5"/>
      <c r="J502" s="83"/>
      <c r="K502" s="83"/>
      <c r="L502" s="83"/>
      <c r="M502" s="83"/>
      <c r="N502" s="83"/>
      <c r="O502" s="83"/>
      <c r="P502" s="83"/>
      <c r="Q502" s="84"/>
      <c r="R502" s="83"/>
      <c r="S502" s="83"/>
      <c r="T502" s="85"/>
      <c r="U502" s="6"/>
      <c r="V502" s="44">
        <v>44643</v>
      </c>
      <c r="W502" s="45">
        <v>128.30000000000001</v>
      </c>
      <c r="X502" s="46"/>
      <c r="Y502" s="61"/>
      <c r="Z502" s="5"/>
      <c r="AA502" s="5"/>
      <c r="AB502" s="5"/>
      <c r="AC502" s="5"/>
      <c r="AD502" s="5"/>
      <c r="AE502" s="5"/>
      <c r="AF502" s="5"/>
      <c r="AG502" s="5"/>
      <c r="AH502" s="6"/>
      <c r="AI502" s="44">
        <v>44643</v>
      </c>
      <c r="AJ502" s="53">
        <v>128.30000000000001</v>
      </c>
      <c r="AK502" s="54">
        <f t="shared" si="77"/>
        <v>-5.8887339222066792E-3</v>
      </c>
      <c r="AL502" s="55">
        <f t="shared" si="80"/>
        <v>10.904717546215025</v>
      </c>
      <c r="AM502" s="56">
        <v>25</v>
      </c>
      <c r="AN502" s="57">
        <f t="shared" si="78"/>
        <v>14.095282453784975</v>
      </c>
      <c r="AO502" s="76">
        <f t="shared" si="81"/>
        <v>14.589303813951938</v>
      </c>
      <c r="AP502" s="63" t="str">
        <f t="shared" si="82"/>
        <v>Buy Stocks</v>
      </c>
      <c r="AQ502" s="63" t="str">
        <f t="shared" si="83"/>
        <v/>
      </c>
      <c r="AR502" s="63" t="str">
        <f t="shared" si="84"/>
        <v/>
      </c>
      <c r="AS502" s="63" t="str">
        <f t="shared" si="85"/>
        <v/>
      </c>
      <c r="AT502" s="78" t="str">
        <f t="shared" si="86"/>
        <v/>
      </c>
      <c r="AU502" s="78" t="str">
        <f t="shared" si="87"/>
        <v/>
      </c>
      <c r="AV502" s="64" t="str">
        <f ca="1">IFERROR(__xludf.DUMMYFUNCTION("IF(TRIM(AU502)="""","""",AU502/INDEX(FILTER(AT$3:AT502,TRIM(AT$3:AT502)&lt;&gt;""""),ROWS(FILTER(AT$3:AT502,TRIM(AT$3:AT502)&lt;&gt;"""")))-1)"),"")</f>
        <v/>
      </c>
      <c r="AW502" s="65" t="e">
        <f t="shared" ca="1" si="79"/>
        <v>#VALUE!</v>
      </c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</row>
    <row r="503" spans="1:68" ht="19" x14ac:dyDescent="0.25">
      <c r="A503" s="5"/>
      <c r="B503" s="5"/>
      <c r="C503" s="5"/>
      <c r="D503" s="5"/>
      <c r="E503" s="5"/>
      <c r="F503" s="5"/>
      <c r="G503" s="5"/>
      <c r="H503" s="6"/>
      <c r="I503" s="5"/>
      <c r="J503" s="83"/>
      <c r="K503" s="83"/>
      <c r="L503" s="83"/>
      <c r="M503" s="83"/>
      <c r="N503" s="83"/>
      <c r="O503" s="83"/>
      <c r="P503" s="83"/>
      <c r="Q503" s="84"/>
      <c r="R503" s="83"/>
      <c r="S503" s="83"/>
      <c r="T503" s="85"/>
      <c r="U503" s="6"/>
      <c r="V503" s="44">
        <v>44644</v>
      </c>
      <c r="W503" s="45">
        <v>129.25</v>
      </c>
      <c r="X503" s="46"/>
      <c r="Y503" s="61"/>
      <c r="Z503" s="5"/>
      <c r="AA503" s="5"/>
      <c r="AB503" s="5"/>
      <c r="AC503" s="5"/>
      <c r="AD503" s="5"/>
      <c r="AE503" s="5"/>
      <c r="AF503" s="5"/>
      <c r="AG503" s="5"/>
      <c r="AH503" s="6"/>
      <c r="AI503" s="44">
        <v>44644</v>
      </c>
      <c r="AJ503" s="53">
        <v>129.25</v>
      </c>
      <c r="AK503" s="54">
        <f t="shared" si="77"/>
        <v>7.4045206547155296E-3</v>
      </c>
      <c r="AL503" s="55">
        <f t="shared" si="80"/>
        <v>10.954539172031726</v>
      </c>
      <c r="AM503" s="56">
        <v>25</v>
      </c>
      <c r="AN503" s="57">
        <f t="shared" si="78"/>
        <v>14.045460827968274</v>
      </c>
      <c r="AO503" s="76">
        <f t="shared" si="81"/>
        <v>14.691597316323552</v>
      </c>
      <c r="AP503" s="63" t="str">
        <f t="shared" si="82"/>
        <v>Buy Stocks</v>
      </c>
      <c r="AQ503" s="63" t="str">
        <f t="shared" si="83"/>
        <v/>
      </c>
      <c r="AR503" s="63" t="str">
        <f t="shared" si="84"/>
        <v/>
      </c>
      <c r="AS503" s="63" t="str">
        <f t="shared" si="85"/>
        <v/>
      </c>
      <c r="AT503" s="78" t="str">
        <f t="shared" si="86"/>
        <v/>
      </c>
      <c r="AU503" s="78" t="str">
        <f t="shared" si="87"/>
        <v/>
      </c>
      <c r="AV503" s="64" t="str">
        <f ca="1">IFERROR(__xludf.DUMMYFUNCTION("IF(TRIM(AU503)="""","""",AU503/INDEX(FILTER(AT$3:AT503,TRIM(AT$3:AT503)&lt;&gt;""""),ROWS(FILTER(AT$3:AT503,TRIM(AT$3:AT503)&lt;&gt;"""")))-1)"),"")</f>
        <v/>
      </c>
      <c r="AW503" s="65" t="e">
        <f t="shared" ca="1" si="79"/>
        <v>#VALUE!</v>
      </c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</row>
    <row r="504" spans="1:68" ht="19" x14ac:dyDescent="0.25">
      <c r="A504" s="5"/>
      <c r="B504" s="5"/>
      <c r="C504" s="5"/>
      <c r="D504" s="5"/>
      <c r="E504" s="5"/>
      <c r="F504" s="5"/>
      <c r="G504" s="5"/>
      <c r="H504" s="6"/>
      <c r="I504" s="5"/>
      <c r="J504" s="83"/>
      <c r="K504" s="83"/>
      <c r="L504" s="83"/>
      <c r="M504" s="83"/>
      <c r="N504" s="83"/>
      <c r="O504" s="83"/>
      <c r="P504" s="83"/>
      <c r="Q504" s="84"/>
      <c r="R504" s="83"/>
      <c r="S504" s="83"/>
      <c r="T504" s="85"/>
      <c r="U504" s="6"/>
      <c r="V504" s="44">
        <v>44645</v>
      </c>
      <c r="W504" s="45">
        <v>131.35</v>
      </c>
      <c r="X504" s="46"/>
      <c r="Y504" s="61"/>
      <c r="Z504" s="5"/>
      <c r="AA504" s="5"/>
      <c r="AB504" s="5"/>
      <c r="AC504" s="5"/>
      <c r="AD504" s="5"/>
      <c r="AE504" s="5"/>
      <c r="AF504" s="5"/>
      <c r="AG504" s="5"/>
      <c r="AH504" s="6"/>
      <c r="AI504" s="44">
        <v>44645</v>
      </c>
      <c r="AJ504" s="53">
        <v>131.35</v>
      </c>
      <c r="AK504" s="54">
        <f t="shared" si="77"/>
        <v>1.6247582205028976E-2</v>
      </c>
      <c r="AL504" s="55">
        <f t="shared" si="80"/>
        <v>14.952134390761993</v>
      </c>
      <c r="AM504" s="56">
        <v>25</v>
      </c>
      <c r="AN504" s="57">
        <f t="shared" si="78"/>
        <v>10.047865609238007</v>
      </c>
      <c r="AO504" s="76">
        <f t="shared" si="81"/>
        <v>13.382208081941233</v>
      </c>
      <c r="AP504" s="63" t="str">
        <f t="shared" si="82"/>
        <v>Buy Stocks</v>
      </c>
      <c r="AQ504" s="63" t="str">
        <f t="shared" si="83"/>
        <v/>
      </c>
      <c r="AR504" s="63" t="str">
        <f t="shared" si="84"/>
        <v/>
      </c>
      <c r="AS504" s="63" t="str">
        <f t="shared" si="85"/>
        <v/>
      </c>
      <c r="AT504" s="78" t="str">
        <f t="shared" si="86"/>
        <v/>
      </c>
      <c r="AU504" s="78" t="str">
        <f t="shared" si="87"/>
        <v/>
      </c>
      <c r="AV504" s="64" t="str">
        <f ca="1">IFERROR(__xludf.DUMMYFUNCTION("IF(TRIM(AU504)="""","""",AU504/INDEX(FILTER(AT$3:AT504,TRIM(AT$3:AT504)&lt;&gt;""""),ROWS(FILTER(AT$3:AT504,TRIM(AT$3:AT504)&lt;&gt;"""")))-1)"),"")</f>
        <v/>
      </c>
      <c r="AW504" s="65" t="e">
        <f t="shared" ca="1" si="79"/>
        <v>#VALUE!</v>
      </c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</row>
    <row r="505" spans="1:68" ht="19" x14ac:dyDescent="0.25">
      <c r="A505" s="5"/>
      <c r="B505" s="5"/>
      <c r="C505" s="5"/>
      <c r="D505" s="5"/>
      <c r="E505" s="5"/>
      <c r="F505" s="5"/>
      <c r="G505" s="5"/>
      <c r="H505" s="6"/>
      <c r="I505" s="5"/>
      <c r="J505" s="83"/>
      <c r="K505" s="83"/>
      <c r="L505" s="83"/>
      <c r="M505" s="83"/>
      <c r="N505" s="83"/>
      <c r="O505" s="83"/>
      <c r="P505" s="83"/>
      <c r="Q505" s="84"/>
      <c r="R505" s="83"/>
      <c r="S505" s="83"/>
      <c r="T505" s="85"/>
      <c r="U505" s="6"/>
      <c r="V505" s="44">
        <v>44648</v>
      </c>
      <c r="W505" s="45">
        <v>131.47</v>
      </c>
      <c r="X505" s="46"/>
      <c r="Y505" s="61"/>
      <c r="Z505" s="5"/>
      <c r="AA505" s="5"/>
      <c r="AB505" s="5"/>
      <c r="AC505" s="5"/>
      <c r="AD505" s="5"/>
      <c r="AE505" s="5"/>
      <c r="AF505" s="5"/>
      <c r="AG505" s="5"/>
      <c r="AH505" s="6"/>
      <c r="AI505" s="44">
        <v>44648</v>
      </c>
      <c r="AJ505" s="53">
        <v>131.47</v>
      </c>
      <c r="AK505" s="54">
        <f t="shared" si="77"/>
        <v>9.1358964598398096E-4</v>
      </c>
      <c r="AL505" s="55">
        <f t="shared" si="80"/>
        <v>13.126489463676569</v>
      </c>
      <c r="AM505" s="56">
        <v>25</v>
      </c>
      <c r="AN505" s="57">
        <f t="shared" si="78"/>
        <v>11.873510536323431</v>
      </c>
      <c r="AO505" s="76">
        <f t="shared" si="81"/>
        <v>13.053495555423259</v>
      </c>
      <c r="AP505" s="63" t="str">
        <f t="shared" si="82"/>
        <v>Buy Stocks</v>
      </c>
      <c r="AQ505" s="63" t="str">
        <f t="shared" si="83"/>
        <v/>
      </c>
      <c r="AR505" s="63" t="str">
        <f t="shared" si="84"/>
        <v/>
      </c>
      <c r="AS505" s="63" t="str">
        <f t="shared" si="85"/>
        <v/>
      </c>
      <c r="AT505" s="78" t="str">
        <f t="shared" si="86"/>
        <v/>
      </c>
      <c r="AU505" s="78" t="str">
        <f t="shared" si="87"/>
        <v/>
      </c>
      <c r="AV505" s="64" t="str">
        <f ca="1">IFERROR(__xludf.DUMMYFUNCTION("IF(TRIM(AU505)="""","""",AU505/INDEX(FILTER(AT$3:AT505,TRIM(AT$3:AT505)&lt;&gt;""""),ROWS(FILTER(AT$3:AT505,TRIM(AT$3:AT505)&lt;&gt;"""")))-1)"),"")</f>
        <v/>
      </c>
      <c r="AW505" s="65" t="e">
        <f t="shared" ca="1" si="79"/>
        <v>#VALUE!</v>
      </c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</row>
    <row r="506" spans="1:68" ht="19" x14ac:dyDescent="0.25">
      <c r="A506" s="5"/>
      <c r="B506" s="5"/>
      <c r="C506" s="5"/>
      <c r="D506" s="5"/>
      <c r="E506" s="5"/>
      <c r="F506" s="5"/>
      <c r="G506" s="5"/>
      <c r="H506" s="6"/>
      <c r="I506" s="5"/>
      <c r="J506" s="83"/>
      <c r="K506" s="83"/>
      <c r="L506" s="83"/>
      <c r="M506" s="83"/>
      <c r="N506" s="83"/>
      <c r="O506" s="83"/>
      <c r="P506" s="83"/>
      <c r="Q506" s="84"/>
      <c r="R506" s="83"/>
      <c r="S506" s="83"/>
      <c r="T506" s="85"/>
      <c r="U506" s="6"/>
      <c r="V506" s="44">
        <v>44649</v>
      </c>
      <c r="W506" s="45">
        <v>131.94</v>
      </c>
      <c r="X506" s="46"/>
      <c r="Y506" s="61"/>
      <c r="Z506" s="5"/>
      <c r="AA506" s="5"/>
      <c r="AB506" s="5"/>
      <c r="AC506" s="5"/>
      <c r="AD506" s="5"/>
      <c r="AE506" s="5"/>
      <c r="AF506" s="5"/>
      <c r="AG506" s="5"/>
      <c r="AH506" s="6"/>
      <c r="AI506" s="44">
        <v>44649</v>
      </c>
      <c r="AJ506" s="53">
        <v>131.94</v>
      </c>
      <c r="AK506" s="54">
        <f t="shared" si="77"/>
        <v>3.5749600669354731E-3</v>
      </c>
      <c r="AL506" s="55">
        <f t="shared" si="80"/>
        <v>12.995625158948998</v>
      </c>
      <c r="AM506" s="56">
        <v>25</v>
      </c>
      <c r="AN506" s="57">
        <f t="shared" si="78"/>
        <v>12.004374841051002</v>
      </c>
      <c r="AO506" s="76">
        <f t="shared" si="81"/>
        <v>12.413298853673137</v>
      </c>
      <c r="AP506" s="63" t="str">
        <f t="shared" si="82"/>
        <v>Buy Stocks</v>
      </c>
      <c r="AQ506" s="63" t="str">
        <f t="shared" si="83"/>
        <v/>
      </c>
      <c r="AR506" s="63" t="str">
        <f t="shared" si="84"/>
        <v/>
      </c>
      <c r="AS506" s="63" t="str">
        <f t="shared" si="85"/>
        <v/>
      </c>
      <c r="AT506" s="78" t="str">
        <f t="shared" si="86"/>
        <v/>
      </c>
      <c r="AU506" s="78" t="str">
        <f t="shared" si="87"/>
        <v/>
      </c>
      <c r="AV506" s="64" t="str">
        <f ca="1">IFERROR(__xludf.DUMMYFUNCTION("IF(TRIM(AU506)="""","""",AU506/INDEX(FILTER(AT$3:AT506,TRIM(AT$3:AT506)&lt;&gt;""""),ROWS(FILTER(AT$3:AT506,TRIM(AT$3:AT506)&lt;&gt;"""")))-1)"),"")</f>
        <v/>
      </c>
      <c r="AW506" s="65" t="e">
        <f t="shared" ca="1" si="79"/>
        <v>#VALUE!</v>
      </c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</row>
    <row r="507" spans="1:68" ht="19" x14ac:dyDescent="0.25">
      <c r="A507" s="5"/>
      <c r="B507" s="5"/>
      <c r="C507" s="5"/>
      <c r="D507" s="5"/>
      <c r="E507" s="5"/>
      <c r="F507" s="5"/>
      <c r="G507" s="5"/>
      <c r="H507" s="6"/>
      <c r="I507" s="5"/>
      <c r="J507" s="83"/>
      <c r="K507" s="83"/>
      <c r="L507" s="83"/>
      <c r="M507" s="83"/>
      <c r="N507" s="83"/>
      <c r="O507" s="83"/>
      <c r="P507" s="83"/>
      <c r="Q507" s="84"/>
      <c r="R507" s="83"/>
      <c r="S507" s="83"/>
      <c r="T507" s="85"/>
      <c r="U507" s="6"/>
      <c r="V507" s="44">
        <v>44650</v>
      </c>
      <c r="W507" s="45">
        <v>132.13</v>
      </c>
      <c r="X507" s="46"/>
      <c r="Y507" s="61"/>
      <c r="Z507" s="5"/>
      <c r="AA507" s="5"/>
      <c r="AB507" s="5"/>
      <c r="AC507" s="5"/>
      <c r="AD507" s="5"/>
      <c r="AE507" s="5"/>
      <c r="AF507" s="5"/>
      <c r="AG507" s="5"/>
      <c r="AH507" s="6"/>
      <c r="AI507" s="44">
        <v>44650</v>
      </c>
      <c r="AJ507" s="53">
        <v>132.13</v>
      </c>
      <c r="AK507" s="54">
        <f t="shared" si="77"/>
        <v>1.4400485068970514E-3</v>
      </c>
      <c r="AL507" s="55">
        <f t="shared" si="80"/>
        <v>10.024095084344326</v>
      </c>
      <c r="AM507" s="56">
        <v>25</v>
      </c>
      <c r="AN507" s="57">
        <f t="shared" si="78"/>
        <v>14.975904915655674</v>
      </c>
      <c r="AO507" s="76">
        <f t="shared" si="81"/>
        <v>12.589423346047278</v>
      </c>
      <c r="AP507" s="63" t="str">
        <f t="shared" si="82"/>
        <v>Buy Stocks</v>
      </c>
      <c r="AQ507" s="63" t="str">
        <f t="shared" si="83"/>
        <v/>
      </c>
      <c r="AR507" s="63" t="str">
        <f t="shared" si="84"/>
        <v/>
      </c>
      <c r="AS507" s="63" t="str">
        <f t="shared" si="85"/>
        <v/>
      </c>
      <c r="AT507" s="78" t="str">
        <f t="shared" si="86"/>
        <v/>
      </c>
      <c r="AU507" s="78" t="str">
        <f t="shared" si="87"/>
        <v/>
      </c>
      <c r="AV507" s="64" t="str">
        <f ca="1">IFERROR(__xludf.DUMMYFUNCTION("IF(TRIM(AU507)="""","""",AU507/INDEX(FILTER(AT$3:AT507,TRIM(AT$3:AT507)&lt;&gt;""""),ROWS(FILTER(AT$3:AT507,TRIM(AT$3:AT507)&lt;&gt;"""")))-1)"),"")</f>
        <v/>
      </c>
      <c r="AW507" s="65" t="e">
        <f t="shared" ca="1" si="79"/>
        <v>#VALUE!</v>
      </c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</row>
    <row r="508" spans="1:68" ht="19" x14ac:dyDescent="0.25">
      <c r="A508" s="5"/>
      <c r="B508" s="5"/>
      <c r="C508" s="5"/>
      <c r="D508" s="5"/>
      <c r="E508" s="5"/>
      <c r="F508" s="5"/>
      <c r="G508" s="5"/>
      <c r="H508" s="6"/>
      <c r="I508" s="5"/>
      <c r="J508" s="83"/>
      <c r="K508" s="83"/>
      <c r="L508" s="83"/>
      <c r="M508" s="83"/>
      <c r="N508" s="83"/>
      <c r="O508" s="83"/>
      <c r="P508" s="83"/>
      <c r="Q508" s="84"/>
      <c r="R508" s="83"/>
      <c r="S508" s="83"/>
      <c r="T508" s="85"/>
      <c r="U508" s="6"/>
      <c r="V508" s="44">
        <v>44651</v>
      </c>
      <c r="W508" s="45">
        <v>130.02000000000001</v>
      </c>
      <c r="X508" s="46"/>
      <c r="Y508" s="61"/>
      <c r="Z508" s="5"/>
      <c r="AA508" s="5"/>
      <c r="AB508" s="5"/>
      <c r="AC508" s="5"/>
      <c r="AD508" s="5"/>
      <c r="AE508" s="5"/>
      <c r="AF508" s="5"/>
      <c r="AG508" s="5"/>
      <c r="AH508" s="6"/>
      <c r="AI508" s="44">
        <v>44651</v>
      </c>
      <c r="AJ508" s="53">
        <v>130.02000000000001</v>
      </c>
      <c r="AK508" s="54">
        <f t="shared" si="77"/>
        <v>-1.5969121319912127E-2</v>
      </c>
      <c r="AL508" s="55">
        <f t="shared" si="80"/>
        <v>18.220795325873535</v>
      </c>
      <c r="AM508" s="56">
        <v>25</v>
      </c>
      <c r="AN508" s="57">
        <f t="shared" si="78"/>
        <v>6.7792046741264649</v>
      </c>
      <c r="AO508" s="76">
        <f t="shared" si="81"/>
        <v>11.136172115278915</v>
      </c>
      <c r="AP508" s="63" t="str">
        <f t="shared" si="82"/>
        <v>Buy Stocks</v>
      </c>
      <c r="AQ508" s="63" t="str">
        <f t="shared" si="83"/>
        <v/>
      </c>
      <c r="AR508" s="63" t="str">
        <f t="shared" si="84"/>
        <v/>
      </c>
      <c r="AS508" s="63" t="str">
        <f t="shared" si="85"/>
        <v/>
      </c>
      <c r="AT508" s="78" t="str">
        <f t="shared" si="86"/>
        <v/>
      </c>
      <c r="AU508" s="78" t="str">
        <f t="shared" si="87"/>
        <v/>
      </c>
      <c r="AV508" s="64" t="str">
        <f ca="1">IFERROR(__xludf.DUMMYFUNCTION("IF(TRIM(AU508)="""","""",AU508/INDEX(FILTER(AT$3:AT508,TRIM(AT$3:AT508)&lt;&gt;""""),ROWS(FILTER(AT$3:AT508,TRIM(AT$3:AT508)&lt;&gt;"""")))-1)"),"")</f>
        <v/>
      </c>
      <c r="AW508" s="65" t="e">
        <f t="shared" ca="1" si="79"/>
        <v>#VALUE!</v>
      </c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</row>
    <row r="509" spans="1:68" ht="19" x14ac:dyDescent="0.25">
      <c r="A509" s="5"/>
      <c r="B509" s="5"/>
      <c r="C509" s="5"/>
      <c r="D509" s="5"/>
      <c r="E509" s="5"/>
      <c r="F509" s="5"/>
      <c r="G509" s="5"/>
      <c r="H509" s="6"/>
      <c r="I509" s="5"/>
      <c r="J509" s="83"/>
      <c r="K509" s="83"/>
      <c r="L509" s="83"/>
      <c r="M509" s="83"/>
      <c r="N509" s="83"/>
      <c r="O509" s="83"/>
      <c r="P509" s="83"/>
      <c r="Q509" s="84"/>
      <c r="R509" s="83"/>
      <c r="S509" s="83"/>
      <c r="T509" s="85"/>
      <c r="U509" s="6"/>
      <c r="V509" s="44">
        <v>44652</v>
      </c>
      <c r="W509" s="45">
        <v>130.15</v>
      </c>
      <c r="X509" s="46"/>
      <c r="Y509" s="61"/>
      <c r="Z509" s="5"/>
      <c r="AA509" s="5"/>
      <c r="AB509" s="5"/>
      <c r="AC509" s="5"/>
      <c r="AD509" s="5"/>
      <c r="AE509" s="5"/>
      <c r="AF509" s="5"/>
      <c r="AG509" s="5"/>
      <c r="AH509" s="6"/>
      <c r="AI509" s="44">
        <v>44652</v>
      </c>
      <c r="AJ509" s="53">
        <v>130.15</v>
      </c>
      <c r="AK509" s="54">
        <f t="shared" si="77"/>
        <v>9.9984617751114335E-4</v>
      </c>
      <c r="AL509" s="55">
        <f t="shared" si="80"/>
        <v>12.683584897728142</v>
      </c>
      <c r="AM509" s="56">
        <v>25</v>
      </c>
      <c r="AN509" s="57">
        <f t="shared" si="78"/>
        <v>12.316415102271858</v>
      </c>
      <c r="AO509" s="76">
        <f t="shared" si="81"/>
        <v>11.589882013885688</v>
      </c>
      <c r="AP509" s="63" t="str">
        <f t="shared" si="82"/>
        <v>Buy Stocks</v>
      </c>
      <c r="AQ509" s="63" t="str">
        <f t="shared" si="83"/>
        <v/>
      </c>
      <c r="AR509" s="63" t="str">
        <f t="shared" si="84"/>
        <v/>
      </c>
      <c r="AS509" s="63" t="str">
        <f t="shared" si="85"/>
        <v/>
      </c>
      <c r="AT509" s="78" t="str">
        <f t="shared" si="86"/>
        <v/>
      </c>
      <c r="AU509" s="78" t="str">
        <f t="shared" si="87"/>
        <v/>
      </c>
      <c r="AV509" s="64" t="str">
        <f ca="1">IFERROR(__xludf.DUMMYFUNCTION("IF(TRIM(AU509)="""","""",AU509/INDEX(FILTER(AT$3:AT509,TRIM(AT$3:AT509)&lt;&gt;""""),ROWS(FILTER(AT$3:AT509,TRIM(AT$3:AT509)&lt;&gt;"""")))-1)"),"")</f>
        <v/>
      </c>
      <c r="AW509" s="65" t="e">
        <f t="shared" ca="1" si="79"/>
        <v>#VALUE!</v>
      </c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</row>
    <row r="510" spans="1:68" ht="19" x14ac:dyDescent="0.25">
      <c r="A510" s="5"/>
      <c r="B510" s="5"/>
      <c r="C510" s="5"/>
      <c r="D510" s="5"/>
      <c r="E510" s="5"/>
      <c r="F510" s="5"/>
      <c r="G510" s="5"/>
      <c r="H510" s="6"/>
      <c r="I510" s="5"/>
      <c r="J510" s="83"/>
      <c r="K510" s="83"/>
      <c r="L510" s="83"/>
      <c r="M510" s="83"/>
      <c r="N510" s="83"/>
      <c r="O510" s="83"/>
      <c r="P510" s="83"/>
      <c r="Q510" s="84"/>
      <c r="R510" s="83"/>
      <c r="S510" s="83"/>
      <c r="T510" s="85"/>
      <c r="U510" s="6"/>
      <c r="V510" s="44">
        <v>44655</v>
      </c>
      <c r="W510" s="45">
        <v>130.27000000000001</v>
      </c>
      <c r="X510" s="46"/>
      <c r="Y510" s="61"/>
      <c r="Z510" s="5"/>
      <c r="AA510" s="5"/>
      <c r="AB510" s="5"/>
      <c r="AC510" s="5"/>
      <c r="AD510" s="5"/>
      <c r="AE510" s="5"/>
      <c r="AF510" s="5"/>
      <c r="AG510" s="5"/>
      <c r="AH510" s="6"/>
      <c r="AI510" s="44">
        <v>44655</v>
      </c>
      <c r="AJ510" s="53">
        <v>130.27000000000001</v>
      </c>
      <c r="AK510" s="54">
        <f t="shared" si="77"/>
        <v>9.2201306185168974E-4</v>
      </c>
      <c r="AL510" s="55">
        <f t="shared" si="80"/>
        <v>12.684725013106924</v>
      </c>
      <c r="AM510" s="56">
        <v>25</v>
      </c>
      <c r="AN510" s="57">
        <f t="shared" si="78"/>
        <v>12.315274986893076</v>
      </c>
      <c r="AO510" s="76">
        <f t="shared" si="81"/>
        <v>11.678234903999615</v>
      </c>
      <c r="AP510" s="63" t="str">
        <f t="shared" si="82"/>
        <v>Buy Stocks</v>
      </c>
      <c r="AQ510" s="63" t="str">
        <f t="shared" si="83"/>
        <v/>
      </c>
      <c r="AR510" s="63" t="str">
        <f t="shared" si="84"/>
        <v/>
      </c>
      <c r="AS510" s="63" t="str">
        <f t="shared" si="85"/>
        <v/>
      </c>
      <c r="AT510" s="78" t="str">
        <f t="shared" si="86"/>
        <v/>
      </c>
      <c r="AU510" s="78" t="str">
        <f t="shared" si="87"/>
        <v/>
      </c>
      <c r="AV510" s="64" t="str">
        <f ca="1">IFERROR(__xludf.DUMMYFUNCTION("IF(TRIM(AU510)="""","""",AU510/INDEX(FILTER(AT$3:AT510,TRIM(AT$3:AT510)&lt;&gt;""""),ROWS(FILTER(AT$3:AT510,TRIM(AT$3:AT510)&lt;&gt;"""")))-1)"),"")</f>
        <v/>
      </c>
      <c r="AW510" s="65" t="e">
        <f t="shared" ca="1" si="79"/>
        <v>#VALUE!</v>
      </c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</row>
    <row r="511" spans="1:68" ht="19" x14ac:dyDescent="0.25">
      <c r="A511" s="5"/>
      <c r="B511" s="5"/>
      <c r="C511" s="5"/>
      <c r="D511" s="5"/>
      <c r="E511" s="5"/>
      <c r="F511" s="5"/>
      <c r="G511" s="5"/>
      <c r="H511" s="6"/>
      <c r="I511" s="5"/>
      <c r="J511" s="83"/>
      <c r="K511" s="83"/>
      <c r="L511" s="83"/>
      <c r="M511" s="83"/>
      <c r="N511" s="83"/>
      <c r="O511" s="83"/>
      <c r="P511" s="83"/>
      <c r="Q511" s="84"/>
      <c r="R511" s="83"/>
      <c r="S511" s="83"/>
      <c r="T511" s="85"/>
      <c r="U511" s="6"/>
      <c r="V511" s="44">
        <v>44656</v>
      </c>
      <c r="W511" s="45">
        <v>128.88999999999999</v>
      </c>
      <c r="X511" s="46"/>
      <c r="Y511" s="61"/>
      <c r="Z511" s="5"/>
      <c r="AA511" s="5"/>
      <c r="AB511" s="5"/>
      <c r="AC511" s="5"/>
      <c r="AD511" s="5"/>
      <c r="AE511" s="5"/>
      <c r="AF511" s="5"/>
      <c r="AG511" s="5"/>
      <c r="AH511" s="6"/>
      <c r="AI511" s="44">
        <v>44656</v>
      </c>
      <c r="AJ511" s="53">
        <v>128.88999999999999</v>
      </c>
      <c r="AK511" s="54">
        <f t="shared" si="77"/>
        <v>-1.0593382973823728E-2</v>
      </c>
      <c r="AL511" s="55">
        <f t="shared" si="80"/>
        <v>12.884356394410753</v>
      </c>
      <c r="AM511" s="56">
        <v>25</v>
      </c>
      <c r="AN511" s="57">
        <f t="shared" si="78"/>
        <v>12.115643605589247</v>
      </c>
      <c r="AO511" s="76">
        <f t="shared" si="81"/>
        <v>11.700488656907265</v>
      </c>
      <c r="AP511" s="63" t="str">
        <f t="shared" si="82"/>
        <v>Buy Stocks</v>
      </c>
      <c r="AQ511" s="63" t="str">
        <f t="shared" si="83"/>
        <v/>
      </c>
      <c r="AR511" s="63" t="str">
        <f t="shared" si="84"/>
        <v/>
      </c>
      <c r="AS511" s="63" t="str">
        <f t="shared" si="85"/>
        <v/>
      </c>
      <c r="AT511" s="78" t="str">
        <f t="shared" si="86"/>
        <v/>
      </c>
      <c r="AU511" s="78" t="str">
        <f t="shared" si="87"/>
        <v/>
      </c>
      <c r="AV511" s="64" t="str">
        <f ca="1">IFERROR(__xludf.DUMMYFUNCTION("IF(TRIM(AU511)="""","""",AU511/INDEX(FILTER(AT$3:AT511,TRIM(AT$3:AT511)&lt;&gt;""""),ROWS(FILTER(AT$3:AT511,TRIM(AT$3:AT511)&lt;&gt;"""")))-1)"),"")</f>
        <v/>
      </c>
      <c r="AW511" s="65" t="e">
        <f t="shared" ca="1" si="79"/>
        <v>#VALUE!</v>
      </c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</row>
    <row r="512" spans="1:68" ht="19" x14ac:dyDescent="0.25">
      <c r="A512" s="5"/>
      <c r="B512" s="5"/>
      <c r="C512" s="5"/>
      <c r="D512" s="5"/>
      <c r="E512" s="5"/>
      <c r="F512" s="5"/>
      <c r="G512" s="5"/>
      <c r="H512" s="6"/>
      <c r="I512" s="5"/>
      <c r="J512" s="83"/>
      <c r="K512" s="83"/>
      <c r="L512" s="83"/>
      <c r="M512" s="83"/>
      <c r="N512" s="83"/>
      <c r="O512" s="83"/>
      <c r="P512" s="83"/>
      <c r="Q512" s="84"/>
      <c r="R512" s="83"/>
      <c r="S512" s="83"/>
      <c r="T512" s="85"/>
      <c r="U512" s="6"/>
      <c r="V512" s="44">
        <v>44657</v>
      </c>
      <c r="W512" s="45">
        <v>129.38999999999999</v>
      </c>
      <c r="X512" s="46"/>
      <c r="Y512" s="61"/>
      <c r="Z512" s="5"/>
      <c r="AA512" s="5"/>
      <c r="AB512" s="5"/>
      <c r="AC512" s="5"/>
      <c r="AD512" s="5"/>
      <c r="AE512" s="5"/>
      <c r="AF512" s="5"/>
      <c r="AG512" s="5"/>
      <c r="AH512" s="6"/>
      <c r="AI512" s="44">
        <v>44657</v>
      </c>
      <c r="AJ512" s="53">
        <v>129.38999999999999</v>
      </c>
      <c r="AK512" s="54">
        <f t="shared" si="77"/>
        <v>3.8792769027853335E-3</v>
      </c>
      <c r="AL512" s="55">
        <f t="shared" si="80"/>
        <v>13.700084426356614</v>
      </c>
      <c r="AM512" s="56">
        <v>25</v>
      </c>
      <c r="AN512" s="57">
        <f t="shared" si="78"/>
        <v>11.299915573643386</v>
      </c>
      <c r="AO512" s="76">
        <f t="shared" si="81"/>
        <v>10.965290788504806</v>
      </c>
      <c r="AP512" s="63" t="str">
        <f t="shared" si="82"/>
        <v>Buy Stocks</v>
      </c>
      <c r="AQ512" s="63" t="str">
        <f t="shared" si="83"/>
        <v/>
      </c>
      <c r="AR512" s="63" t="str">
        <f t="shared" si="84"/>
        <v/>
      </c>
      <c r="AS512" s="63" t="str">
        <f t="shared" si="85"/>
        <v/>
      </c>
      <c r="AT512" s="78" t="str">
        <f t="shared" si="86"/>
        <v/>
      </c>
      <c r="AU512" s="78" t="str">
        <f t="shared" si="87"/>
        <v/>
      </c>
      <c r="AV512" s="64" t="str">
        <f ca="1">IFERROR(__xludf.DUMMYFUNCTION("IF(TRIM(AU512)="""","""",AU512/INDEX(FILTER(AT$3:AT512,TRIM(AT$3:AT512)&lt;&gt;""""),ROWS(FILTER(AT$3:AT512,TRIM(AT$3:AT512)&lt;&gt;"""")))-1)"),"")</f>
        <v/>
      </c>
      <c r="AW512" s="65" t="e">
        <f t="shared" ca="1" si="79"/>
        <v>#VALUE!</v>
      </c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</row>
    <row r="513" spans="1:68" ht="19" x14ac:dyDescent="0.25">
      <c r="A513" s="5"/>
      <c r="B513" s="5"/>
      <c r="C513" s="5"/>
      <c r="D513" s="5"/>
      <c r="E513" s="5"/>
      <c r="F513" s="5"/>
      <c r="G513" s="5"/>
      <c r="H513" s="6"/>
      <c r="I513" s="5"/>
      <c r="J513" s="83"/>
      <c r="K513" s="83"/>
      <c r="L513" s="83"/>
      <c r="M513" s="83"/>
      <c r="N513" s="83"/>
      <c r="O513" s="83"/>
      <c r="P513" s="83"/>
      <c r="Q513" s="84"/>
      <c r="R513" s="83"/>
      <c r="S513" s="83"/>
      <c r="T513" s="85"/>
      <c r="U513" s="6"/>
      <c r="V513" s="44">
        <v>44658</v>
      </c>
      <c r="W513" s="45">
        <v>128.55000000000001</v>
      </c>
      <c r="X513" s="46"/>
      <c r="Y513" s="61"/>
      <c r="Z513" s="5"/>
      <c r="AA513" s="5"/>
      <c r="AB513" s="5"/>
      <c r="AC513" s="5"/>
      <c r="AD513" s="5"/>
      <c r="AE513" s="5"/>
      <c r="AF513" s="5"/>
      <c r="AG513" s="5"/>
      <c r="AH513" s="6"/>
      <c r="AI513" s="44">
        <v>44658</v>
      </c>
      <c r="AJ513" s="53">
        <v>128.55000000000001</v>
      </c>
      <c r="AK513" s="54">
        <f t="shared" si="77"/>
        <v>-6.4920009274285206E-3</v>
      </c>
      <c r="AL513" s="55">
        <f t="shared" si="80"/>
        <v>9.5839696812070745</v>
      </c>
      <c r="AM513" s="56">
        <v>25</v>
      </c>
      <c r="AN513" s="57">
        <f t="shared" si="78"/>
        <v>15.416030318792926</v>
      </c>
      <c r="AO513" s="76">
        <f t="shared" si="81"/>
        <v>12.692655917438099</v>
      </c>
      <c r="AP513" s="63" t="str">
        <f t="shared" si="82"/>
        <v>Buy Stocks</v>
      </c>
      <c r="AQ513" s="63" t="str">
        <f t="shared" si="83"/>
        <v/>
      </c>
      <c r="AR513" s="63" t="str">
        <f t="shared" si="84"/>
        <v/>
      </c>
      <c r="AS513" s="63" t="str">
        <f t="shared" si="85"/>
        <v/>
      </c>
      <c r="AT513" s="78" t="str">
        <f t="shared" si="86"/>
        <v/>
      </c>
      <c r="AU513" s="78" t="str">
        <f t="shared" si="87"/>
        <v/>
      </c>
      <c r="AV513" s="64" t="str">
        <f ca="1">IFERROR(__xludf.DUMMYFUNCTION("IF(TRIM(AU513)="""","""",AU513/INDEX(FILTER(AT$3:AT513,TRIM(AT$3:AT513)&lt;&gt;""""),ROWS(FILTER(AT$3:AT513,TRIM(AT$3:AT513)&lt;&gt;"""")))-1)"),"")</f>
        <v/>
      </c>
      <c r="AW513" s="65" t="e">
        <f t="shared" ca="1" si="79"/>
        <v>#VALUE!</v>
      </c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</row>
    <row r="514" spans="1:68" ht="19" x14ac:dyDescent="0.25">
      <c r="A514" s="5"/>
      <c r="B514" s="5"/>
      <c r="C514" s="5"/>
      <c r="D514" s="5"/>
      <c r="E514" s="5"/>
      <c r="F514" s="5"/>
      <c r="G514" s="5"/>
      <c r="H514" s="6"/>
      <c r="I514" s="5"/>
      <c r="J514" s="83"/>
      <c r="K514" s="83"/>
      <c r="L514" s="83"/>
      <c r="M514" s="83"/>
      <c r="N514" s="83"/>
      <c r="O514" s="83"/>
      <c r="P514" s="83"/>
      <c r="Q514" s="84"/>
      <c r="R514" s="83"/>
      <c r="S514" s="83"/>
      <c r="T514" s="85"/>
      <c r="U514" s="6"/>
      <c r="V514" s="44">
        <v>44659</v>
      </c>
      <c r="W514" s="45">
        <v>127.73</v>
      </c>
      <c r="X514" s="46"/>
      <c r="Y514" s="61"/>
      <c r="Z514" s="5"/>
      <c r="AA514" s="5"/>
      <c r="AB514" s="5"/>
      <c r="AC514" s="5"/>
      <c r="AD514" s="5"/>
      <c r="AE514" s="5"/>
      <c r="AF514" s="5"/>
      <c r="AG514" s="5"/>
      <c r="AH514" s="6"/>
      <c r="AI514" s="44">
        <v>44659</v>
      </c>
      <c r="AJ514" s="53">
        <v>127.73</v>
      </c>
      <c r="AK514" s="54">
        <f t="shared" si="77"/>
        <v>-6.3788409179308392E-3</v>
      </c>
      <c r="AL514" s="55">
        <f t="shared" si="80"/>
        <v>9.4347650602575044</v>
      </c>
      <c r="AM514" s="56">
        <v>25</v>
      </c>
      <c r="AN514" s="57">
        <f t="shared" si="78"/>
        <v>15.565234939742496</v>
      </c>
      <c r="AO514" s="76">
        <f t="shared" si="81"/>
        <v>13.342419884932223</v>
      </c>
      <c r="AP514" s="63" t="str">
        <f t="shared" si="82"/>
        <v>Buy Stocks</v>
      </c>
      <c r="AQ514" s="63" t="str">
        <f t="shared" si="83"/>
        <v/>
      </c>
      <c r="AR514" s="63" t="str">
        <f t="shared" si="84"/>
        <v/>
      </c>
      <c r="AS514" s="63" t="str">
        <f t="shared" si="85"/>
        <v/>
      </c>
      <c r="AT514" s="78" t="str">
        <f t="shared" si="86"/>
        <v/>
      </c>
      <c r="AU514" s="78" t="str">
        <f t="shared" si="87"/>
        <v/>
      </c>
      <c r="AV514" s="64" t="str">
        <f ca="1">IFERROR(__xludf.DUMMYFUNCTION("IF(TRIM(AU514)="""","""",AU514/INDEX(FILTER(AT$3:AT514,TRIM(AT$3:AT514)&lt;&gt;""""),ROWS(FILTER(AT$3:AT514,TRIM(AT$3:AT514)&lt;&gt;"""")))-1)"),"")</f>
        <v/>
      </c>
      <c r="AW514" s="65" t="e">
        <f t="shared" ca="1" si="79"/>
        <v>#VALUE!</v>
      </c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</row>
    <row r="515" spans="1:68" ht="19" x14ac:dyDescent="0.25">
      <c r="A515" s="5"/>
      <c r="B515" s="5"/>
      <c r="C515" s="5"/>
      <c r="D515" s="5"/>
      <c r="E515" s="5"/>
      <c r="F515" s="5"/>
      <c r="G515" s="5"/>
      <c r="H515" s="6"/>
      <c r="I515" s="5"/>
      <c r="J515" s="83"/>
      <c r="K515" s="83"/>
      <c r="L515" s="83"/>
      <c r="M515" s="83"/>
      <c r="N515" s="83"/>
      <c r="O515" s="83"/>
      <c r="P515" s="83"/>
      <c r="Q515" s="84"/>
      <c r="R515" s="83"/>
      <c r="S515" s="83"/>
      <c r="T515" s="85"/>
      <c r="U515" s="6"/>
      <c r="V515" s="44">
        <v>44662</v>
      </c>
      <c r="W515" s="45">
        <v>126.37</v>
      </c>
      <c r="X515" s="46"/>
      <c r="Y515" s="61"/>
      <c r="Z515" s="5"/>
      <c r="AA515" s="5"/>
      <c r="AB515" s="5"/>
      <c r="AC515" s="5"/>
      <c r="AD515" s="5"/>
      <c r="AE515" s="5"/>
      <c r="AF515" s="5"/>
      <c r="AG515" s="5"/>
      <c r="AH515" s="6"/>
      <c r="AI515" s="44">
        <v>44662</v>
      </c>
      <c r="AJ515" s="53">
        <v>126.37</v>
      </c>
      <c r="AK515" s="54">
        <f t="shared" ref="AK515:AK578" si="88">AJ515/AJ514-1</f>
        <v>-1.0647459484850907E-2</v>
      </c>
      <c r="AL515" s="55">
        <f t="shared" si="80"/>
        <v>9.4140295960422566</v>
      </c>
      <c r="AM515" s="56">
        <v>25</v>
      </c>
      <c r="AN515" s="57">
        <f t="shared" ref="AN515:AN578" si="89">AM515-AL515</f>
        <v>15.585970403957743</v>
      </c>
      <c r="AO515" s="76">
        <f t="shared" si="81"/>
        <v>13.996558968345159</v>
      </c>
      <c r="AP515" s="63" t="str">
        <f t="shared" si="82"/>
        <v>Buy Stocks</v>
      </c>
      <c r="AQ515" s="63" t="str">
        <f t="shared" si="83"/>
        <v/>
      </c>
      <c r="AR515" s="63" t="str">
        <f t="shared" si="84"/>
        <v/>
      </c>
      <c r="AS515" s="63" t="str">
        <f t="shared" si="85"/>
        <v/>
      </c>
      <c r="AT515" s="78" t="str">
        <f t="shared" si="86"/>
        <v/>
      </c>
      <c r="AU515" s="78" t="str">
        <f t="shared" si="87"/>
        <v/>
      </c>
      <c r="AV515" s="64" t="str">
        <f ca="1">IFERROR(__xludf.DUMMYFUNCTION("IF(TRIM(AU515)="""","""",AU515/INDEX(FILTER(AT$3:AT515,TRIM(AT$3:AT515)&lt;&gt;""""),ROWS(FILTER(AT$3:AT515,TRIM(AT$3:AT515)&lt;&gt;"""")))-1)"),"")</f>
        <v/>
      </c>
      <c r="AW515" s="65" t="e">
        <f t="shared" ref="AW515:AW578" ca="1" si="90">AW514*(1+AV515)</f>
        <v>#VALUE!</v>
      </c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</row>
    <row r="516" spans="1:68" ht="19" x14ac:dyDescent="0.25">
      <c r="A516" s="5"/>
      <c r="B516" s="5"/>
      <c r="C516" s="5"/>
      <c r="D516" s="5"/>
      <c r="E516" s="5"/>
      <c r="F516" s="5"/>
      <c r="G516" s="5"/>
      <c r="H516" s="6"/>
      <c r="I516" s="5"/>
      <c r="J516" s="83"/>
      <c r="K516" s="83"/>
      <c r="L516" s="83"/>
      <c r="M516" s="83"/>
      <c r="N516" s="83"/>
      <c r="O516" s="83"/>
      <c r="P516" s="83"/>
      <c r="Q516" s="84"/>
      <c r="R516" s="83"/>
      <c r="S516" s="83"/>
      <c r="T516" s="85"/>
      <c r="U516" s="6"/>
      <c r="V516" s="44">
        <v>44663</v>
      </c>
      <c r="W516" s="45">
        <v>125.98</v>
      </c>
      <c r="X516" s="46"/>
      <c r="Y516" s="61"/>
      <c r="Z516" s="5"/>
      <c r="AA516" s="5"/>
      <c r="AB516" s="5"/>
      <c r="AC516" s="5"/>
      <c r="AD516" s="5"/>
      <c r="AE516" s="5"/>
      <c r="AF516" s="5"/>
      <c r="AG516" s="5"/>
      <c r="AH516" s="6"/>
      <c r="AI516" s="44">
        <v>44663</v>
      </c>
      <c r="AJ516" s="53">
        <v>125.98</v>
      </c>
      <c r="AK516" s="54">
        <f t="shared" si="88"/>
        <v>-3.0861755163409388E-3</v>
      </c>
      <c r="AL516" s="55">
        <f t="shared" si="80"/>
        <v>8.6034270186933615</v>
      </c>
      <c r="AM516" s="56">
        <v>25</v>
      </c>
      <c r="AN516" s="57">
        <f t="shared" si="89"/>
        <v>16.39657298130664</v>
      </c>
      <c r="AO516" s="76">
        <f t="shared" si="81"/>
        <v>14.852744843488637</v>
      </c>
      <c r="AP516" s="63" t="str">
        <f t="shared" si="82"/>
        <v>Buy Stocks</v>
      </c>
      <c r="AQ516" s="63" t="str">
        <f t="shared" si="83"/>
        <v/>
      </c>
      <c r="AR516" s="63" t="str">
        <f t="shared" si="84"/>
        <v/>
      </c>
      <c r="AS516" s="63" t="str">
        <f t="shared" si="85"/>
        <v/>
      </c>
      <c r="AT516" s="78" t="str">
        <f t="shared" si="86"/>
        <v/>
      </c>
      <c r="AU516" s="78" t="str">
        <f t="shared" si="87"/>
        <v/>
      </c>
      <c r="AV516" s="64" t="str">
        <f ca="1">IFERROR(__xludf.DUMMYFUNCTION("IF(TRIM(AU516)="""","""",AU516/INDEX(FILTER(AT$3:AT516,TRIM(AT$3:AT516)&lt;&gt;""""),ROWS(FILTER(AT$3:AT516,TRIM(AT$3:AT516)&lt;&gt;"""")))-1)"),"")</f>
        <v/>
      </c>
      <c r="AW516" s="65" t="e">
        <f t="shared" ca="1" si="90"/>
        <v>#VALUE!</v>
      </c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</row>
    <row r="517" spans="1:68" ht="19" x14ac:dyDescent="0.25">
      <c r="A517" s="5"/>
      <c r="B517" s="5"/>
      <c r="C517" s="5"/>
      <c r="D517" s="5"/>
      <c r="E517" s="5"/>
      <c r="F517" s="5"/>
      <c r="G517" s="5"/>
      <c r="H517" s="6"/>
      <c r="I517" s="5"/>
      <c r="J517" s="83"/>
      <c r="K517" s="83"/>
      <c r="L517" s="83"/>
      <c r="M517" s="83"/>
      <c r="N517" s="83"/>
      <c r="O517" s="83"/>
      <c r="P517" s="83"/>
      <c r="Q517" s="84"/>
      <c r="R517" s="83"/>
      <c r="S517" s="83"/>
      <c r="T517" s="85"/>
      <c r="U517" s="6"/>
      <c r="V517" s="44">
        <v>44664</v>
      </c>
      <c r="W517" s="45">
        <v>126.14</v>
      </c>
      <c r="X517" s="46"/>
      <c r="Y517" s="61"/>
      <c r="Z517" s="5"/>
      <c r="AA517" s="5"/>
      <c r="AB517" s="5"/>
      <c r="AC517" s="5"/>
      <c r="AD517" s="5"/>
      <c r="AE517" s="5"/>
      <c r="AF517" s="5"/>
      <c r="AG517" s="5"/>
      <c r="AH517" s="6"/>
      <c r="AI517" s="44">
        <v>44664</v>
      </c>
      <c r="AJ517" s="53">
        <v>126.14</v>
      </c>
      <c r="AK517" s="54">
        <f t="shared" si="88"/>
        <v>1.2700428639467187E-3</v>
      </c>
      <c r="AL517" s="55">
        <f t="shared" si="80"/>
        <v>7.0536630116342618</v>
      </c>
      <c r="AM517" s="56">
        <v>25</v>
      </c>
      <c r="AN517" s="57">
        <f t="shared" si="89"/>
        <v>17.946336988365736</v>
      </c>
      <c r="AO517" s="76">
        <f t="shared" si="81"/>
        <v>16.182029126433111</v>
      </c>
      <c r="AP517" s="63" t="str">
        <f t="shared" si="82"/>
        <v>Buy Stocks</v>
      </c>
      <c r="AQ517" s="63" t="str">
        <f t="shared" si="83"/>
        <v/>
      </c>
      <c r="AR517" s="63" t="str">
        <f t="shared" si="84"/>
        <v/>
      </c>
      <c r="AS517" s="63" t="str">
        <f t="shared" si="85"/>
        <v/>
      </c>
      <c r="AT517" s="78" t="str">
        <f t="shared" si="86"/>
        <v/>
      </c>
      <c r="AU517" s="78" t="str">
        <f t="shared" si="87"/>
        <v/>
      </c>
      <c r="AV517" s="64" t="str">
        <f ca="1">IFERROR(__xludf.DUMMYFUNCTION("IF(TRIM(AU517)="""","""",AU517/INDEX(FILTER(AT$3:AT517,TRIM(AT$3:AT517)&lt;&gt;""""),ROWS(FILTER(AT$3:AT517,TRIM(AT$3:AT517)&lt;&gt;"""")))-1)"),"")</f>
        <v/>
      </c>
      <c r="AW517" s="65" t="e">
        <f t="shared" ca="1" si="90"/>
        <v>#VALUE!</v>
      </c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</row>
    <row r="518" spans="1:68" ht="19" x14ac:dyDescent="0.25">
      <c r="A518" s="5"/>
      <c r="B518" s="5"/>
      <c r="C518" s="5"/>
      <c r="D518" s="5"/>
      <c r="E518" s="5"/>
      <c r="F518" s="5"/>
      <c r="G518" s="5"/>
      <c r="H518" s="6"/>
      <c r="I518" s="5"/>
      <c r="J518" s="83"/>
      <c r="K518" s="83"/>
      <c r="L518" s="83"/>
      <c r="M518" s="83"/>
      <c r="N518" s="83"/>
      <c r="O518" s="83"/>
      <c r="P518" s="83"/>
      <c r="Q518" s="84"/>
      <c r="R518" s="83"/>
      <c r="S518" s="83"/>
      <c r="T518" s="85"/>
      <c r="U518" s="6"/>
      <c r="V518" s="44">
        <v>44665</v>
      </c>
      <c r="W518" s="45">
        <v>126.56</v>
      </c>
      <c r="X518" s="46"/>
      <c r="Y518" s="61"/>
      <c r="Z518" s="5"/>
      <c r="AA518" s="5"/>
      <c r="AB518" s="5"/>
      <c r="AC518" s="5"/>
      <c r="AD518" s="5"/>
      <c r="AE518" s="5"/>
      <c r="AF518" s="5"/>
      <c r="AG518" s="5"/>
      <c r="AH518" s="6"/>
      <c r="AI518" s="44">
        <v>44665</v>
      </c>
      <c r="AJ518" s="53">
        <v>126.56</v>
      </c>
      <c r="AK518" s="54">
        <f t="shared" si="88"/>
        <v>3.3296337402886067E-3</v>
      </c>
      <c r="AL518" s="55">
        <f t="shared" si="80"/>
        <v>8.9853278314943861</v>
      </c>
      <c r="AM518" s="56">
        <v>25</v>
      </c>
      <c r="AN518" s="57">
        <f t="shared" si="89"/>
        <v>16.014672168505612</v>
      </c>
      <c r="AO518" s="76">
        <f t="shared" si="81"/>
        <v>16.301757496375647</v>
      </c>
      <c r="AP518" s="63" t="str">
        <f t="shared" si="82"/>
        <v>Buy Stocks</v>
      </c>
      <c r="AQ518" s="63" t="str">
        <f t="shared" si="83"/>
        <v/>
      </c>
      <c r="AR518" s="63" t="str">
        <f t="shared" si="84"/>
        <v/>
      </c>
      <c r="AS518" s="63" t="str">
        <f t="shared" si="85"/>
        <v/>
      </c>
      <c r="AT518" s="78" t="str">
        <f t="shared" si="86"/>
        <v/>
      </c>
      <c r="AU518" s="78" t="str">
        <f t="shared" si="87"/>
        <v/>
      </c>
      <c r="AV518" s="64" t="str">
        <f ca="1">IFERROR(__xludf.DUMMYFUNCTION("IF(TRIM(AU518)="""","""",AU518/INDEX(FILTER(AT$3:AT518,TRIM(AT$3:AT518)&lt;&gt;""""),ROWS(FILTER(AT$3:AT518,TRIM(AT$3:AT518)&lt;&gt;"""")))-1)"),"")</f>
        <v/>
      </c>
      <c r="AW518" s="65" t="e">
        <f t="shared" ca="1" si="90"/>
        <v>#VALUE!</v>
      </c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</row>
    <row r="519" spans="1:68" ht="19" x14ac:dyDescent="0.25">
      <c r="A519" s="5"/>
      <c r="B519" s="5"/>
      <c r="C519" s="5"/>
      <c r="D519" s="5"/>
      <c r="E519" s="5"/>
      <c r="F519" s="5"/>
      <c r="G519" s="5"/>
      <c r="H519" s="6"/>
      <c r="I519" s="5"/>
      <c r="J519" s="83"/>
      <c r="K519" s="83"/>
      <c r="L519" s="83"/>
      <c r="M519" s="83"/>
      <c r="N519" s="83"/>
      <c r="O519" s="83"/>
      <c r="P519" s="83"/>
      <c r="Q519" s="84"/>
      <c r="R519" s="83"/>
      <c r="S519" s="83"/>
      <c r="T519" s="85"/>
      <c r="U519" s="6"/>
      <c r="V519" s="44">
        <v>44669</v>
      </c>
      <c r="W519" s="45">
        <v>126.17</v>
      </c>
      <c r="X519" s="46"/>
      <c r="Y519" s="61"/>
      <c r="Z519" s="5"/>
      <c r="AA519" s="5"/>
      <c r="AB519" s="5"/>
      <c r="AC519" s="5"/>
      <c r="AD519" s="5"/>
      <c r="AE519" s="5"/>
      <c r="AF519" s="5"/>
      <c r="AG519" s="5"/>
      <c r="AH519" s="6"/>
      <c r="AI519" s="44">
        <v>44669</v>
      </c>
      <c r="AJ519" s="53">
        <v>126.17</v>
      </c>
      <c r="AK519" s="54">
        <f t="shared" si="88"/>
        <v>-3.0815423514538587E-3</v>
      </c>
      <c r="AL519" s="55">
        <f t="shared" ref="AL519:AL582" si="91">_xlfn.STDEV.S(AK515:AK519)*SQRT(252)*100</f>
        <v>8.5208021376170109</v>
      </c>
      <c r="AM519" s="56">
        <v>25</v>
      </c>
      <c r="AN519" s="57">
        <f t="shared" si="89"/>
        <v>16.479197862382989</v>
      </c>
      <c r="AO519" s="76">
        <f t="shared" ref="AO519:AO582" si="92">AVERAGE(AN515:AN519)</f>
        <v>16.484550080903745</v>
      </c>
      <c r="AP519" s="63" t="str">
        <f t="shared" ref="AP519:AP582" si="93">IF(AO519&gt;0,"Buy Stocks","")</f>
        <v>Buy Stocks</v>
      </c>
      <c r="AQ519" s="63" t="str">
        <f t="shared" ref="AQ519:AQ582" si="94">IF(AO519&lt;0,"Sell Stocks","")</f>
        <v/>
      </c>
      <c r="AR519" s="63" t="str">
        <f t="shared" ref="AR519:AR582" si="95">IF(AND(AP519="Buy Stocks",AP518=""),"Buy Stocks","")</f>
        <v/>
      </c>
      <c r="AS519" s="63" t="str">
        <f t="shared" ref="AS519:AS582" si="96">IF(AND(AQ519="Sell Stocks",AQ518=""),"Sell Stocks","")</f>
        <v/>
      </c>
      <c r="AT519" s="78" t="str">
        <f t="shared" ref="AT519:AT582" si="97">IF(AR519="Buy Stocks",AJ519,"")</f>
        <v/>
      </c>
      <c r="AU519" s="78" t="str">
        <f t="shared" ref="AU519:AU582" si="98">IF(AS519="Sell Stocks",AJ519,"")</f>
        <v/>
      </c>
      <c r="AV519" s="64" t="str">
        <f ca="1">IFERROR(__xludf.DUMMYFUNCTION("IF(TRIM(AU519)="""","""",AU519/INDEX(FILTER(AT$3:AT519,TRIM(AT$3:AT519)&lt;&gt;""""),ROWS(FILTER(AT$3:AT519,TRIM(AT$3:AT519)&lt;&gt;"""")))-1)"),"")</f>
        <v/>
      </c>
      <c r="AW519" s="65" t="e">
        <f t="shared" ca="1" si="90"/>
        <v>#VALUE!</v>
      </c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</row>
    <row r="520" spans="1:68" ht="19" x14ac:dyDescent="0.25">
      <c r="A520" s="5"/>
      <c r="B520" s="5"/>
      <c r="C520" s="5"/>
      <c r="D520" s="5"/>
      <c r="E520" s="5"/>
      <c r="F520" s="5"/>
      <c r="G520" s="5"/>
      <c r="H520" s="6"/>
      <c r="I520" s="5"/>
      <c r="J520" s="83"/>
      <c r="K520" s="83"/>
      <c r="L520" s="83"/>
      <c r="M520" s="83"/>
      <c r="N520" s="83"/>
      <c r="O520" s="83"/>
      <c r="P520" s="83"/>
      <c r="Q520" s="84"/>
      <c r="R520" s="83"/>
      <c r="S520" s="83"/>
      <c r="T520" s="85"/>
      <c r="U520" s="6"/>
      <c r="V520" s="44">
        <v>44670</v>
      </c>
      <c r="W520" s="45">
        <v>129.15</v>
      </c>
      <c r="X520" s="46"/>
      <c r="Y520" s="61"/>
      <c r="Z520" s="5"/>
      <c r="AA520" s="5"/>
      <c r="AB520" s="5"/>
      <c r="AC520" s="5"/>
      <c r="AD520" s="5"/>
      <c r="AE520" s="5"/>
      <c r="AF520" s="5"/>
      <c r="AG520" s="5"/>
      <c r="AH520" s="6"/>
      <c r="AI520" s="44">
        <v>44670</v>
      </c>
      <c r="AJ520" s="53">
        <v>129.15</v>
      </c>
      <c r="AK520" s="54">
        <f t="shared" si="88"/>
        <v>2.3618926844733323E-2</v>
      </c>
      <c r="AL520" s="55">
        <f t="shared" si="91"/>
        <v>17.611499236812339</v>
      </c>
      <c r="AM520" s="56">
        <v>25</v>
      </c>
      <c r="AN520" s="57">
        <f t="shared" si="89"/>
        <v>7.3885007631876611</v>
      </c>
      <c r="AO520" s="76">
        <f t="shared" si="92"/>
        <v>14.845056152749729</v>
      </c>
      <c r="AP520" s="63" t="str">
        <f t="shared" si="93"/>
        <v>Buy Stocks</v>
      </c>
      <c r="AQ520" s="63" t="str">
        <f t="shared" si="94"/>
        <v/>
      </c>
      <c r="AR520" s="63" t="str">
        <f t="shared" si="95"/>
        <v/>
      </c>
      <c r="AS520" s="63" t="str">
        <f t="shared" si="96"/>
        <v/>
      </c>
      <c r="AT520" s="78" t="str">
        <f t="shared" si="97"/>
        <v/>
      </c>
      <c r="AU520" s="78" t="str">
        <f t="shared" si="98"/>
        <v/>
      </c>
      <c r="AV520" s="64" t="str">
        <f ca="1">IFERROR(__xludf.DUMMYFUNCTION("IF(TRIM(AU520)="""","""",AU520/INDEX(FILTER(AT$3:AT520,TRIM(AT$3:AT520)&lt;&gt;""""),ROWS(FILTER(AT$3:AT520,TRIM(AT$3:AT520)&lt;&gt;"""")))-1)"),"")</f>
        <v/>
      </c>
      <c r="AW520" s="65" t="e">
        <f t="shared" ca="1" si="90"/>
        <v>#VALUE!</v>
      </c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</row>
    <row r="521" spans="1:68" ht="19" x14ac:dyDescent="0.25">
      <c r="A521" s="5"/>
      <c r="B521" s="5"/>
      <c r="C521" s="5"/>
      <c r="D521" s="5"/>
      <c r="E521" s="5"/>
      <c r="F521" s="5"/>
      <c r="G521" s="5"/>
      <c r="H521" s="6"/>
      <c r="I521" s="5"/>
      <c r="J521" s="83"/>
      <c r="K521" s="83"/>
      <c r="L521" s="83"/>
      <c r="M521" s="83"/>
      <c r="N521" s="83"/>
      <c r="O521" s="83"/>
      <c r="P521" s="83"/>
      <c r="Q521" s="84"/>
      <c r="R521" s="83"/>
      <c r="S521" s="83"/>
      <c r="T521" s="85"/>
      <c r="U521" s="6"/>
      <c r="V521" s="44">
        <v>44671</v>
      </c>
      <c r="W521" s="45">
        <v>138.32</v>
      </c>
      <c r="X521" s="46"/>
      <c r="Y521" s="61"/>
      <c r="Z521" s="5"/>
      <c r="AA521" s="5"/>
      <c r="AB521" s="5"/>
      <c r="AC521" s="5"/>
      <c r="AD521" s="5"/>
      <c r="AE521" s="5"/>
      <c r="AF521" s="5"/>
      <c r="AG521" s="5"/>
      <c r="AH521" s="6"/>
      <c r="AI521" s="44">
        <v>44671</v>
      </c>
      <c r="AJ521" s="53">
        <v>138.32</v>
      </c>
      <c r="AK521" s="54">
        <f t="shared" si="88"/>
        <v>7.1002710027100235E-2</v>
      </c>
      <c r="AL521" s="55">
        <f t="shared" si="91"/>
        <v>48.753497909278067</v>
      </c>
      <c r="AM521" s="56">
        <v>25</v>
      </c>
      <c r="AN521" s="57">
        <f t="shared" si="89"/>
        <v>-23.753497909278067</v>
      </c>
      <c r="AO521" s="76">
        <f t="shared" si="92"/>
        <v>6.8150419746327859</v>
      </c>
      <c r="AP521" s="63" t="str">
        <f t="shared" si="93"/>
        <v>Buy Stocks</v>
      </c>
      <c r="AQ521" s="63" t="str">
        <f t="shared" si="94"/>
        <v/>
      </c>
      <c r="AR521" s="63" t="str">
        <f t="shared" si="95"/>
        <v/>
      </c>
      <c r="AS521" s="63" t="str">
        <f t="shared" si="96"/>
        <v/>
      </c>
      <c r="AT521" s="78" t="str">
        <f t="shared" si="97"/>
        <v/>
      </c>
      <c r="AU521" s="78" t="str">
        <f t="shared" si="98"/>
        <v/>
      </c>
      <c r="AV521" s="64" t="str">
        <f ca="1">IFERROR(__xludf.DUMMYFUNCTION("IF(TRIM(AU521)="""","""",AU521/INDEX(FILTER(AT$3:AT521,TRIM(AT$3:AT521)&lt;&gt;""""),ROWS(FILTER(AT$3:AT521,TRIM(AT$3:AT521)&lt;&gt;"""")))-1)"),"")</f>
        <v/>
      </c>
      <c r="AW521" s="65" t="e">
        <f t="shared" ca="1" si="90"/>
        <v>#VALUE!</v>
      </c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</row>
    <row r="522" spans="1:68" ht="19" x14ac:dyDescent="0.25">
      <c r="A522" s="5"/>
      <c r="B522" s="5"/>
      <c r="C522" s="5"/>
      <c r="D522" s="5"/>
      <c r="E522" s="5"/>
      <c r="F522" s="5"/>
      <c r="G522" s="5"/>
      <c r="H522" s="6"/>
      <c r="I522" s="5"/>
      <c r="J522" s="83"/>
      <c r="K522" s="83"/>
      <c r="L522" s="83"/>
      <c r="M522" s="83"/>
      <c r="N522" s="83"/>
      <c r="O522" s="83"/>
      <c r="P522" s="83"/>
      <c r="Q522" s="84"/>
      <c r="R522" s="83"/>
      <c r="S522" s="83"/>
      <c r="T522" s="85"/>
      <c r="U522" s="6"/>
      <c r="V522" s="44">
        <v>44672</v>
      </c>
      <c r="W522" s="45">
        <v>139.85</v>
      </c>
      <c r="X522" s="46"/>
      <c r="Y522" s="61"/>
      <c r="Z522" s="5"/>
      <c r="AA522" s="5"/>
      <c r="AB522" s="5"/>
      <c r="AC522" s="5"/>
      <c r="AD522" s="5"/>
      <c r="AE522" s="5"/>
      <c r="AF522" s="5"/>
      <c r="AG522" s="5"/>
      <c r="AH522" s="6"/>
      <c r="AI522" s="44">
        <v>44672</v>
      </c>
      <c r="AJ522" s="53">
        <v>139.85</v>
      </c>
      <c r="AK522" s="54">
        <f t="shared" si="88"/>
        <v>1.1061307113938712E-2</v>
      </c>
      <c r="AL522" s="55">
        <f t="shared" si="91"/>
        <v>46.943315132959249</v>
      </c>
      <c r="AM522" s="56">
        <v>25</v>
      </c>
      <c r="AN522" s="57">
        <f t="shared" si="89"/>
        <v>-21.943315132959249</v>
      </c>
      <c r="AO522" s="76">
        <f t="shared" si="92"/>
        <v>-1.1628884496322101</v>
      </c>
      <c r="AP522" s="63" t="str">
        <f t="shared" si="93"/>
        <v/>
      </c>
      <c r="AQ522" s="63" t="str">
        <f t="shared" si="94"/>
        <v>Sell Stocks</v>
      </c>
      <c r="AR522" s="63" t="str">
        <f t="shared" si="95"/>
        <v/>
      </c>
      <c r="AS522" s="63" t="str">
        <f t="shared" si="96"/>
        <v>Sell Stocks</v>
      </c>
      <c r="AT522" s="78" t="str">
        <f t="shared" si="97"/>
        <v/>
      </c>
      <c r="AU522" s="77">
        <f t="shared" si="98"/>
        <v>139.85</v>
      </c>
      <c r="AV522" s="64">
        <f ca="1">IFERROR(__xludf.DUMMYFUNCTION("IF(TRIM(AU522)="""","""",AU522/INDEX(FILTER(AT$3:AT522,TRIM(AT$3:AT522)&lt;&gt;""""),ROWS(FILTER(AT$3:AT522,TRIM(AT$3:AT522)&lt;&gt;"""")))-1)"),0.0196864746627778)</f>
        <v>1.96864746627778E-2</v>
      </c>
      <c r="AW522" s="65" t="e">
        <f t="shared" ca="1" si="90"/>
        <v>#VALUE!</v>
      </c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</row>
    <row r="523" spans="1:68" ht="19" x14ac:dyDescent="0.25">
      <c r="A523" s="5"/>
      <c r="B523" s="5"/>
      <c r="C523" s="5"/>
      <c r="D523" s="5"/>
      <c r="E523" s="5"/>
      <c r="F523" s="5"/>
      <c r="G523" s="5"/>
      <c r="H523" s="6"/>
      <c r="I523" s="5"/>
      <c r="J523" s="83"/>
      <c r="K523" s="83"/>
      <c r="L523" s="83"/>
      <c r="M523" s="83"/>
      <c r="N523" s="83"/>
      <c r="O523" s="83"/>
      <c r="P523" s="83"/>
      <c r="Q523" s="84"/>
      <c r="R523" s="83"/>
      <c r="S523" s="83"/>
      <c r="T523" s="85"/>
      <c r="U523" s="6"/>
      <c r="V523" s="44">
        <v>44673</v>
      </c>
      <c r="W523" s="45">
        <v>138.25</v>
      </c>
      <c r="X523" s="46"/>
      <c r="Y523" s="61"/>
      <c r="Z523" s="5"/>
      <c r="AA523" s="5"/>
      <c r="AB523" s="5"/>
      <c r="AC523" s="5"/>
      <c r="AD523" s="5"/>
      <c r="AE523" s="5"/>
      <c r="AF523" s="5"/>
      <c r="AG523" s="5"/>
      <c r="AH523" s="6"/>
      <c r="AI523" s="44">
        <v>44673</v>
      </c>
      <c r="AJ523" s="53">
        <v>138.25</v>
      </c>
      <c r="AK523" s="54">
        <f t="shared" si="88"/>
        <v>-1.1440829460135804E-2</v>
      </c>
      <c r="AL523" s="55">
        <f t="shared" si="91"/>
        <v>51.438853178621969</v>
      </c>
      <c r="AM523" s="56">
        <v>25</v>
      </c>
      <c r="AN523" s="57">
        <f t="shared" si="89"/>
        <v>-26.438853178621969</v>
      </c>
      <c r="AO523" s="76">
        <f t="shared" si="92"/>
        <v>-9.6535935190577273</v>
      </c>
      <c r="AP523" s="63" t="str">
        <f t="shared" si="93"/>
        <v/>
      </c>
      <c r="AQ523" s="63" t="str">
        <f t="shared" si="94"/>
        <v>Sell Stocks</v>
      </c>
      <c r="AR523" s="63" t="str">
        <f t="shared" si="95"/>
        <v/>
      </c>
      <c r="AS523" s="63" t="str">
        <f t="shared" si="96"/>
        <v/>
      </c>
      <c r="AT523" s="78" t="str">
        <f t="shared" si="97"/>
        <v/>
      </c>
      <c r="AU523" s="78" t="str">
        <f t="shared" si="98"/>
        <v/>
      </c>
      <c r="AV523" s="64" t="str">
        <f ca="1">IFERROR(__xludf.DUMMYFUNCTION("IF(TRIM(AU523)="""","""",AU523/INDEX(FILTER(AT$3:AT523,TRIM(AT$3:AT523)&lt;&gt;""""),ROWS(FILTER(AT$3:AT523,TRIM(AT$3:AT523)&lt;&gt;"""")))-1)"),"")</f>
        <v/>
      </c>
      <c r="AW523" s="65" t="e">
        <f t="shared" ca="1" si="90"/>
        <v>#VALUE!</v>
      </c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</row>
    <row r="524" spans="1:68" ht="19" x14ac:dyDescent="0.25">
      <c r="A524" s="5"/>
      <c r="B524" s="5"/>
      <c r="C524" s="5"/>
      <c r="D524" s="5"/>
      <c r="E524" s="5"/>
      <c r="F524" s="5"/>
      <c r="G524" s="5"/>
      <c r="H524" s="6"/>
      <c r="I524" s="5"/>
      <c r="J524" s="83"/>
      <c r="K524" s="83"/>
      <c r="L524" s="83"/>
      <c r="M524" s="83"/>
      <c r="N524" s="83"/>
      <c r="O524" s="83"/>
      <c r="P524" s="83"/>
      <c r="Q524" s="84"/>
      <c r="R524" s="83"/>
      <c r="S524" s="83"/>
      <c r="T524" s="85"/>
      <c r="U524" s="6"/>
      <c r="V524" s="44">
        <v>44676</v>
      </c>
      <c r="W524" s="45">
        <v>139.1</v>
      </c>
      <c r="X524" s="46"/>
      <c r="Y524" s="61"/>
      <c r="Z524" s="5"/>
      <c r="AA524" s="5"/>
      <c r="AB524" s="5"/>
      <c r="AC524" s="5"/>
      <c r="AD524" s="5"/>
      <c r="AE524" s="5"/>
      <c r="AF524" s="5"/>
      <c r="AG524" s="5"/>
      <c r="AH524" s="6"/>
      <c r="AI524" s="44">
        <v>44676</v>
      </c>
      <c r="AJ524" s="53">
        <v>139.1</v>
      </c>
      <c r="AK524" s="54">
        <f t="shared" si="88"/>
        <v>6.1482820976490604E-3</v>
      </c>
      <c r="AL524" s="55">
        <f t="shared" si="91"/>
        <v>49.406703527076964</v>
      </c>
      <c r="AM524" s="56">
        <v>25</v>
      </c>
      <c r="AN524" s="57">
        <f t="shared" si="89"/>
        <v>-24.406703527076964</v>
      </c>
      <c r="AO524" s="76">
        <f t="shared" si="92"/>
        <v>-17.830773796949718</v>
      </c>
      <c r="AP524" s="63" t="str">
        <f t="shared" si="93"/>
        <v/>
      </c>
      <c r="AQ524" s="63" t="str">
        <f t="shared" si="94"/>
        <v>Sell Stocks</v>
      </c>
      <c r="AR524" s="63" t="str">
        <f t="shared" si="95"/>
        <v/>
      </c>
      <c r="AS524" s="63" t="str">
        <f t="shared" si="96"/>
        <v/>
      </c>
      <c r="AT524" s="78" t="str">
        <f t="shared" si="97"/>
        <v/>
      </c>
      <c r="AU524" s="78" t="str">
        <f t="shared" si="98"/>
        <v/>
      </c>
      <c r="AV524" s="64" t="str">
        <f ca="1">IFERROR(__xludf.DUMMYFUNCTION("IF(TRIM(AU524)="""","""",AU524/INDEX(FILTER(AT$3:AT524,TRIM(AT$3:AT524)&lt;&gt;""""),ROWS(FILTER(AT$3:AT524,TRIM(AT$3:AT524)&lt;&gt;"""")))-1)"),"")</f>
        <v/>
      </c>
      <c r="AW524" s="65" t="e">
        <f t="shared" ca="1" si="90"/>
        <v>#VALUE!</v>
      </c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</row>
    <row r="525" spans="1:68" ht="19" x14ac:dyDescent="0.25">
      <c r="A525" s="5"/>
      <c r="B525" s="5"/>
      <c r="C525" s="5"/>
      <c r="D525" s="5"/>
      <c r="E525" s="5"/>
      <c r="F525" s="5"/>
      <c r="G525" s="5"/>
      <c r="H525" s="6"/>
      <c r="I525" s="5"/>
      <c r="J525" s="83"/>
      <c r="K525" s="83"/>
      <c r="L525" s="83"/>
      <c r="M525" s="83"/>
      <c r="N525" s="83"/>
      <c r="O525" s="83"/>
      <c r="P525" s="83"/>
      <c r="Q525" s="84"/>
      <c r="R525" s="83"/>
      <c r="S525" s="83"/>
      <c r="T525" s="85"/>
      <c r="U525" s="6"/>
      <c r="V525" s="44">
        <v>44677</v>
      </c>
      <c r="W525" s="45">
        <v>136.19</v>
      </c>
      <c r="X525" s="46"/>
      <c r="Y525" s="61"/>
      <c r="Z525" s="5"/>
      <c r="AA525" s="5"/>
      <c r="AB525" s="5"/>
      <c r="AC525" s="5"/>
      <c r="AD525" s="5"/>
      <c r="AE525" s="5"/>
      <c r="AF525" s="5"/>
      <c r="AG525" s="5"/>
      <c r="AH525" s="6"/>
      <c r="AI525" s="44">
        <v>44677</v>
      </c>
      <c r="AJ525" s="53">
        <v>136.19</v>
      </c>
      <c r="AK525" s="54">
        <f t="shared" si="88"/>
        <v>-2.0920201294033047E-2</v>
      </c>
      <c r="AL525" s="55">
        <f t="shared" si="91"/>
        <v>56.939567678810576</v>
      </c>
      <c r="AM525" s="56">
        <v>25</v>
      </c>
      <c r="AN525" s="57">
        <f t="shared" si="89"/>
        <v>-31.939567678810576</v>
      </c>
      <c r="AO525" s="76">
        <f t="shared" si="92"/>
        <v>-25.696387485349362</v>
      </c>
      <c r="AP525" s="63" t="str">
        <f t="shared" si="93"/>
        <v/>
      </c>
      <c r="AQ525" s="63" t="str">
        <f t="shared" si="94"/>
        <v>Sell Stocks</v>
      </c>
      <c r="AR525" s="63" t="str">
        <f t="shared" si="95"/>
        <v/>
      </c>
      <c r="AS525" s="63" t="str">
        <f t="shared" si="96"/>
        <v/>
      </c>
      <c r="AT525" s="78" t="str">
        <f t="shared" si="97"/>
        <v/>
      </c>
      <c r="AU525" s="78" t="str">
        <f t="shared" si="98"/>
        <v/>
      </c>
      <c r="AV525" s="64" t="str">
        <f ca="1">IFERROR(__xludf.DUMMYFUNCTION("IF(TRIM(AU525)="""","""",AU525/INDEX(FILTER(AT$3:AT525,TRIM(AT$3:AT525)&lt;&gt;""""),ROWS(FILTER(AT$3:AT525,TRIM(AT$3:AT525)&lt;&gt;"""")))-1)"),"")</f>
        <v/>
      </c>
      <c r="AW525" s="65" t="e">
        <f t="shared" ca="1" si="90"/>
        <v>#VALUE!</v>
      </c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</row>
    <row r="526" spans="1:68" ht="19" x14ac:dyDescent="0.25">
      <c r="A526" s="5"/>
      <c r="B526" s="5"/>
      <c r="C526" s="5"/>
      <c r="D526" s="5"/>
      <c r="E526" s="5"/>
      <c r="F526" s="5"/>
      <c r="G526" s="5"/>
      <c r="H526" s="6"/>
      <c r="I526" s="5"/>
      <c r="J526" s="83"/>
      <c r="K526" s="83"/>
      <c r="L526" s="83"/>
      <c r="M526" s="83"/>
      <c r="N526" s="83"/>
      <c r="O526" s="83"/>
      <c r="P526" s="83"/>
      <c r="Q526" s="84"/>
      <c r="R526" s="83"/>
      <c r="S526" s="83"/>
      <c r="T526" s="85"/>
      <c r="U526" s="6"/>
      <c r="V526" s="44">
        <v>44678</v>
      </c>
      <c r="W526" s="45">
        <v>135.06</v>
      </c>
      <c r="X526" s="46"/>
      <c r="Y526" s="61"/>
      <c r="Z526" s="5"/>
      <c r="AA526" s="5"/>
      <c r="AB526" s="5"/>
      <c r="AC526" s="5"/>
      <c r="AD526" s="5"/>
      <c r="AE526" s="5"/>
      <c r="AF526" s="5"/>
      <c r="AG526" s="5"/>
      <c r="AH526" s="6"/>
      <c r="AI526" s="44">
        <v>44678</v>
      </c>
      <c r="AJ526" s="53">
        <v>135.06</v>
      </c>
      <c r="AK526" s="54">
        <f t="shared" si="88"/>
        <v>-8.2972318085028363E-3</v>
      </c>
      <c r="AL526" s="55">
        <f t="shared" si="91"/>
        <v>20.812825167776527</v>
      </c>
      <c r="AM526" s="56">
        <v>25</v>
      </c>
      <c r="AN526" s="57">
        <f t="shared" si="89"/>
        <v>4.187174832223473</v>
      </c>
      <c r="AO526" s="76">
        <f t="shared" si="92"/>
        <v>-20.108252937049055</v>
      </c>
      <c r="AP526" s="63" t="str">
        <f t="shared" si="93"/>
        <v/>
      </c>
      <c r="AQ526" s="63" t="str">
        <f t="shared" si="94"/>
        <v>Sell Stocks</v>
      </c>
      <c r="AR526" s="63" t="str">
        <f t="shared" si="95"/>
        <v/>
      </c>
      <c r="AS526" s="63" t="str">
        <f t="shared" si="96"/>
        <v/>
      </c>
      <c r="AT526" s="78" t="str">
        <f t="shared" si="97"/>
        <v/>
      </c>
      <c r="AU526" s="78" t="str">
        <f t="shared" si="98"/>
        <v/>
      </c>
      <c r="AV526" s="64" t="str">
        <f ca="1">IFERROR(__xludf.DUMMYFUNCTION("IF(TRIM(AU526)="""","""",AU526/INDEX(FILTER(AT$3:AT526,TRIM(AT$3:AT526)&lt;&gt;""""),ROWS(FILTER(AT$3:AT526,TRIM(AT$3:AT526)&lt;&gt;"""")))-1)"),"")</f>
        <v/>
      </c>
      <c r="AW526" s="65" t="e">
        <f t="shared" ca="1" si="90"/>
        <v>#VALUE!</v>
      </c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</row>
    <row r="527" spans="1:68" ht="19" x14ac:dyDescent="0.25">
      <c r="A527" s="5"/>
      <c r="B527" s="5"/>
      <c r="C527" s="5"/>
      <c r="D527" s="5"/>
      <c r="E527" s="5"/>
      <c r="F527" s="5"/>
      <c r="G527" s="5"/>
      <c r="H527" s="6"/>
      <c r="I527" s="5"/>
      <c r="J527" s="83"/>
      <c r="K527" s="83"/>
      <c r="L527" s="83"/>
      <c r="M527" s="83"/>
      <c r="N527" s="83"/>
      <c r="O527" s="83"/>
      <c r="P527" s="83"/>
      <c r="Q527" s="84"/>
      <c r="R527" s="83"/>
      <c r="S527" s="83"/>
      <c r="T527" s="85"/>
      <c r="U527" s="6"/>
      <c r="V527" s="44">
        <v>44679</v>
      </c>
      <c r="W527" s="45">
        <v>135.74</v>
      </c>
      <c r="X527" s="46"/>
      <c r="Y527" s="61"/>
      <c r="Z527" s="5"/>
      <c r="AA527" s="5"/>
      <c r="AB527" s="5"/>
      <c r="AC527" s="5"/>
      <c r="AD527" s="5"/>
      <c r="AE527" s="5"/>
      <c r="AF527" s="5"/>
      <c r="AG527" s="5"/>
      <c r="AH527" s="6"/>
      <c r="AI527" s="44">
        <v>44679</v>
      </c>
      <c r="AJ527" s="53">
        <v>135.74</v>
      </c>
      <c r="AK527" s="54">
        <f t="shared" si="88"/>
        <v>5.0347993484378684E-3</v>
      </c>
      <c r="AL527" s="55">
        <f t="shared" si="91"/>
        <v>18.21742043434519</v>
      </c>
      <c r="AM527" s="56">
        <v>25</v>
      </c>
      <c r="AN527" s="57">
        <f t="shared" si="89"/>
        <v>6.7825795656548102</v>
      </c>
      <c r="AO527" s="76">
        <f t="shared" si="92"/>
        <v>-14.363073997326245</v>
      </c>
      <c r="AP527" s="63" t="str">
        <f t="shared" si="93"/>
        <v/>
      </c>
      <c r="AQ527" s="63" t="str">
        <f t="shared" si="94"/>
        <v>Sell Stocks</v>
      </c>
      <c r="AR527" s="63" t="str">
        <f t="shared" si="95"/>
        <v/>
      </c>
      <c r="AS527" s="63" t="str">
        <f t="shared" si="96"/>
        <v/>
      </c>
      <c r="AT527" s="78" t="str">
        <f t="shared" si="97"/>
        <v/>
      </c>
      <c r="AU527" s="78" t="str">
        <f t="shared" si="98"/>
        <v/>
      </c>
      <c r="AV527" s="64" t="str">
        <f ca="1">IFERROR(__xludf.DUMMYFUNCTION("IF(TRIM(AU527)="""","""",AU527/INDEX(FILTER(AT$3:AT527,TRIM(AT$3:AT527)&lt;&gt;""""),ROWS(FILTER(AT$3:AT527,TRIM(AT$3:AT527)&lt;&gt;"""")))-1)"),"")</f>
        <v/>
      </c>
      <c r="AW527" s="65" t="e">
        <f t="shared" ca="1" si="90"/>
        <v>#VALUE!</v>
      </c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</row>
    <row r="528" spans="1:68" ht="19" x14ac:dyDescent="0.25">
      <c r="A528" s="5"/>
      <c r="B528" s="5"/>
      <c r="C528" s="5"/>
      <c r="D528" s="5"/>
      <c r="E528" s="5"/>
      <c r="F528" s="5"/>
      <c r="G528" s="5"/>
      <c r="H528" s="6"/>
      <c r="I528" s="5"/>
      <c r="J528" s="83"/>
      <c r="K528" s="83"/>
      <c r="L528" s="83"/>
      <c r="M528" s="83"/>
      <c r="N528" s="83"/>
      <c r="O528" s="83"/>
      <c r="P528" s="83"/>
      <c r="Q528" s="84"/>
      <c r="R528" s="83"/>
      <c r="S528" s="83"/>
      <c r="T528" s="85"/>
      <c r="U528" s="6"/>
      <c r="V528" s="44">
        <v>44680</v>
      </c>
      <c r="W528" s="45">
        <v>132.21</v>
      </c>
      <c r="X528" s="46"/>
      <c r="Y528" s="61"/>
      <c r="Z528" s="5"/>
      <c r="AA528" s="5"/>
      <c r="AB528" s="5"/>
      <c r="AC528" s="5"/>
      <c r="AD528" s="5"/>
      <c r="AE528" s="5"/>
      <c r="AF528" s="5"/>
      <c r="AG528" s="5"/>
      <c r="AH528" s="6"/>
      <c r="AI528" s="44">
        <v>44680</v>
      </c>
      <c r="AJ528" s="53">
        <v>132.21</v>
      </c>
      <c r="AK528" s="54">
        <f t="shared" si="88"/>
        <v>-2.6005598939148333E-2</v>
      </c>
      <c r="AL528" s="55">
        <f t="shared" si="91"/>
        <v>23.250019879591161</v>
      </c>
      <c r="AM528" s="56">
        <v>25</v>
      </c>
      <c r="AN528" s="57">
        <f t="shared" si="89"/>
        <v>1.7499801204088392</v>
      </c>
      <c r="AO528" s="76">
        <f t="shared" si="92"/>
        <v>-8.7253073375200838</v>
      </c>
      <c r="AP528" s="63" t="str">
        <f t="shared" si="93"/>
        <v/>
      </c>
      <c r="AQ528" s="63" t="str">
        <f t="shared" si="94"/>
        <v>Sell Stocks</v>
      </c>
      <c r="AR528" s="63" t="str">
        <f t="shared" si="95"/>
        <v/>
      </c>
      <c r="AS528" s="63" t="str">
        <f t="shared" si="96"/>
        <v/>
      </c>
      <c r="AT528" s="78" t="str">
        <f t="shared" si="97"/>
        <v/>
      </c>
      <c r="AU528" s="78" t="str">
        <f t="shared" si="98"/>
        <v/>
      </c>
      <c r="AV528" s="64" t="str">
        <f ca="1">IFERROR(__xludf.DUMMYFUNCTION("IF(TRIM(AU528)="""","""",AU528/INDEX(FILTER(AT$3:AT528,TRIM(AT$3:AT528)&lt;&gt;""""),ROWS(FILTER(AT$3:AT528,TRIM(AT$3:AT528)&lt;&gt;"""")))-1)"),"")</f>
        <v/>
      </c>
      <c r="AW528" s="65" t="e">
        <f t="shared" ca="1" si="90"/>
        <v>#VALUE!</v>
      </c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</row>
    <row r="529" spans="1:68" ht="19" x14ac:dyDescent="0.25">
      <c r="A529" s="5"/>
      <c r="B529" s="5"/>
      <c r="C529" s="5"/>
      <c r="D529" s="5"/>
      <c r="E529" s="5"/>
      <c r="F529" s="5"/>
      <c r="G529" s="5"/>
      <c r="H529" s="6"/>
      <c r="I529" s="5"/>
      <c r="J529" s="83"/>
      <c r="K529" s="83"/>
      <c r="L529" s="83"/>
      <c r="M529" s="83"/>
      <c r="N529" s="83"/>
      <c r="O529" s="83"/>
      <c r="P529" s="83"/>
      <c r="Q529" s="84"/>
      <c r="R529" s="83"/>
      <c r="S529" s="83"/>
      <c r="T529" s="85"/>
      <c r="U529" s="6"/>
      <c r="V529" s="44">
        <v>44683</v>
      </c>
      <c r="W529" s="45">
        <v>133.04</v>
      </c>
      <c r="X529" s="46"/>
      <c r="Y529" s="61"/>
      <c r="Z529" s="5"/>
      <c r="AA529" s="5"/>
      <c r="AB529" s="5"/>
      <c r="AC529" s="5"/>
      <c r="AD529" s="5"/>
      <c r="AE529" s="5"/>
      <c r="AF529" s="5"/>
      <c r="AG529" s="5"/>
      <c r="AH529" s="6"/>
      <c r="AI529" s="44">
        <v>44683</v>
      </c>
      <c r="AJ529" s="53">
        <v>133.04</v>
      </c>
      <c r="AK529" s="54">
        <f t="shared" si="88"/>
        <v>6.2778912336434178E-3</v>
      </c>
      <c r="AL529" s="55">
        <f t="shared" si="91"/>
        <v>23.302668569380636</v>
      </c>
      <c r="AM529" s="56">
        <v>25</v>
      </c>
      <c r="AN529" s="57">
        <f t="shared" si="89"/>
        <v>1.6973314306193643</v>
      </c>
      <c r="AO529" s="76">
        <f t="shared" si="92"/>
        <v>-3.5045003459808179</v>
      </c>
      <c r="AP529" s="63" t="str">
        <f t="shared" si="93"/>
        <v/>
      </c>
      <c r="AQ529" s="63" t="str">
        <f t="shared" si="94"/>
        <v>Sell Stocks</v>
      </c>
      <c r="AR529" s="63" t="str">
        <f t="shared" si="95"/>
        <v/>
      </c>
      <c r="AS529" s="63" t="str">
        <f t="shared" si="96"/>
        <v/>
      </c>
      <c r="AT529" s="78" t="str">
        <f t="shared" si="97"/>
        <v/>
      </c>
      <c r="AU529" s="78" t="str">
        <f t="shared" si="98"/>
        <v/>
      </c>
      <c r="AV529" s="64" t="str">
        <f ca="1">IFERROR(__xludf.DUMMYFUNCTION("IF(TRIM(AU529)="""","""",AU529/INDEX(FILTER(AT$3:AT529,TRIM(AT$3:AT529)&lt;&gt;""""),ROWS(FILTER(AT$3:AT529,TRIM(AT$3:AT529)&lt;&gt;"""")))-1)"),"")</f>
        <v/>
      </c>
      <c r="AW529" s="65" t="e">
        <f t="shared" ca="1" si="90"/>
        <v>#VALUE!</v>
      </c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</row>
    <row r="530" spans="1:68" ht="19" x14ac:dyDescent="0.25">
      <c r="A530" s="5"/>
      <c r="B530" s="5"/>
      <c r="C530" s="5"/>
      <c r="D530" s="5"/>
      <c r="E530" s="5"/>
      <c r="F530" s="5"/>
      <c r="G530" s="5"/>
      <c r="H530" s="6"/>
      <c r="I530" s="5"/>
      <c r="J530" s="83"/>
      <c r="K530" s="83"/>
      <c r="L530" s="83"/>
      <c r="M530" s="83"/>
      <c r="N530" s="83"/>
      <c r="O530" s="83"/>
      <c r="P530" s="83"/>
      <c r="Q530" s="84"/>
      <c r="R530" s="83"/>
      <c r="S530" s="83"/>
      <c r="T530" s="85"/>
      <c r="U530" s="6"/>
      <c r="V530" s="44">
        <v>44684</v>
      </c>
      <c r="W530" s="45">
        <v>132.52000000000001</v>
      </c>
      <c r="X530" s="46"/>
      <c r="Y530" s="61"/>
      <c r="Z530" s="5"/>
      <c r="AA530" s="5"/>
      <c r="AB530" s="5"/>
      <c r="AC530" s="5"/>
      <c r="AD530" s="5"/>
      <c r="AE530" s="5"/>
      <c r="AF530" s="5"/>
      <c r="AG530" s="5"/>
      <c r="AH530" s="6"/>
      <c r="AI530" s="44">
        <v>44684</v>
      </c>
      <c r="AJ530" s="53">
        <v>132.52000000000001</v>
      </c>
      <c r="AK530" s="54">
        <f t="shared" si="88"/>
        <v>-3.9085989176186331E-3</v>
      </c>
      <c r="AL530" s="55">
        <f t="shared" si="91"/>
        <v>20.704902617990367</v>
      </c>
      <c r="AM530" s="56">
        <v>25</v>
      </c>
      <c r="AN530" s="57">
        <f t="shared" si="89"/>
        <v>4.295097382009633</v>
      </c>
      <c r="AO530" s="76">
        <f t="shared" si="92"/>
        <v>3.7424326661832241</v>
      </c>
      <c r="AP530" s="63" t="str">
        <f t="shared" si="93"/>
        <v>Buy Stocks</v>
      </c>
      <c r="AQ530" s="63" t="str">
        <f t="shared" si="94"/>
        <v/>
      </c>
      <c r="AR530" s="63" t="str">
        <f t="shared" si="95"/>
        <v>Buy Stocks</v>
      </c>
      <c r="AS530" s="63" t="str">
        <f t="shared" si="96"/>
        <v/>
      </c>
      <c r="AT530" s="77">
        <f t="shared" si="97"/>
        <v>132.52000000000001</v>
      </c>
      <c r="AU530" s="78" t="str">
        <f t="shared" si="98"/>
        <v/>
      </c>
      <c r="AV530" s="64" t="str">
        <f ca="1">IFERROR(__xludf.DUMMYFUNCTION("IF(TRIM(AU530)="""","""",AU530/INDEX(FILTER(AT$3:AT530,TRIM(AT$3:AT530)&lt;&gt;""""),ROWS(FILTER(AT$3:AT530,TRIM(AT$3:AT530)&lt;&gt;"""")))-1)"),"")</f>
        <v/>
      </c>
      <c r="AW530" s="65" t="e">
        <f t="shared" ca="1" si="90"/>
        <v>#VALUE!</v>
      </c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</row>
    <row r="531" spans="1:68" ht="19" x14ac:dyDescent="0.25">
      <c r="A531" s="5"/>
      <c r="B531" s="5"/>
      <c r="C531" s="5"/>
      <c r="D531" s="5"/>
      <c r="E531" s="5"/>
      <c r="F531" s="5"/>
      <c r="G531" s="5"/>
      <c r="H531" s="6"/>
      <c r="I531" s="5"/>
      <c r="J531" s="83"/>
      <c r="K531" s="83"/>
      <c r="L531" s="83"/>
      <c r="M531" s="83"/>
      <c r="N531" s="83"/>
      <c r="O531" s="83"/>
      <c r="P531" s="83"/>
      <c r="Q531" s="84"/>
      <c r="R531" s="83"/>
      <c r="S531" s="83"/>
      <c r="T531" s="85"/>
      <c r="U531" s="6"/>
      <c r="V531" s="44">
        <v>44685</v>
      </c>
      <c r="W531" s="45">
        <v>137.4</v>
      </c>
      <c r="X531" s="46"/>
      <c r="Y531" s="61"/>
      <c r="Z531" s="5"/>
      <c r="AA531" s="5"/>
      <c r="AB531" s="5"/>
      <c r="AC531" s="5"/>
      <c r="AD531" s="5"/>
      <c r="AE531" s="5"/>
      <c r="AF531" s="5"/>
      <c r="AG531" s="5"/>
      <c r="AH531" s="6"/>
      <c r="AI531" s="44">
        <v>44685</v>
      </c>
      <c r="AJ531" s="53">
        <v>137.4</v>
      </c>
      <c r="AK531" s="54">
        <f t="shared" si="88"/>
        <v>3.6824630244491452E-2</v>
      </c>
      <c r="AL531" s="55">
        <f t="shared" si="91"/>
        <v>35.902072765301874</v>
      </c>
      <c r="AM531" s="56">
        <v>25</v>
      </c>
      <c r="AN531" s="57">
        <f t="shared" si="89"/>
        <v>-10.902072765301874</v>
      </c>
      <c r="AO531" s="76">
        <f t="shared" si="92"/>
        <v>0.7245831466781546</v>
      </c>
      <c r="AP531" s="63" t="str">
        <f t="shared" si="93"/>
        <v>Buy Stocks</v>
      </c>
      <c r="AQ531" s="63" t="str">
        <f t="shared" si="94"/>
        <v/>
      </c>
      <c r="AR531" s="63" t="str">
        <f t="shared" si="95"/>
        <v/>
      </c>
      <c r="AS531" s="63" t="str">
        <f t="shared" si="96"/>
        <v/>
      </c>
      <c r="AT531" s="78" t="str">
        <f t="shared" si="97"/>
        <v/>
      </c>
      <c r="AU531" s="78" t="str">
        <f t="shared" si="98"/>
        <v/>
      </c>
      <c r="AV531" s="64" t="str">
        <f ca="1">IFERROR(__xludf.DUMMYFUNCTION("IF(TRIM(AU531)="""","""",AU531/INDEX(FILTER(AT$3:AT531,TRIM(AT$3:AT531)&lt;&gt;""""),ROWS(FILTER(AT$3:AT531,TRIM(AT$3:AT531)&lt;&gt;"""")))-1)"),"")</f>
        <v/>
      </c>
      <c r="AW531" s="65" t="e">
        <f t="shared" ca="1" si="90"/>
        <v>#VALUE!</v>
      </c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</row>
    <row r="532" spans="1:68" ht="19" x14ac:dyDescent="0.25">
      <c r="A532" s="5"/>
      <c r="B532" s="5"/>
      <c r="C532" s="5"/>
      <c r="D532" s="5"/>
      <c r="E532" s="5"/>
      <c r="F532" s="5"/>
      <c r="G532" s="5"/>
      <c r="H532" s="6"/>
      <c r="I532" s="5"/>
      <c r="J532" s="83"/>
      <c r="K532" s="83"/>
      <c r="L532" s="83"/>
      <c r="M532" s="83"/>
      <c r="N532" s="83"/>
      <c r="O532" s="83"/>
      <c r="P532" s="83"/>
      <c r="Q532" s="84"/>
      <c r="R532" s="83"/>
      <c r="S532" s="83"/>
      <c r="T532" s="85"/>
      <c r="U532" s="6"/>
      <c r="V532" s="44">
        <v>44686</v>
      </c>
      <c r="W532" s="45">
        <v>135.91999999999999</v>
      </c>
      <c r="X532" s="46"/>
      <c r="Y532" s="61"/>
      <c r="Z532" s="5"/>
      <c r="AA532" s="5"/>
      <c r="AB532" s="5"/>
      <c r="AC532" s="5"/>
      <c r="AD532" s="5"/>
      <c r="AE532" s="5"/>
      <c r="AF532" s="5"/>
      <c r="AG532" s="5"/>
      <c r="AH532" s="6"/>
      <c r="AI532" s="44">
        <v>44686</v>
      </c>
      <c r="AJ532" s="53">
        <v>135.91999999999999</v>
      </c>
      <c r="AK532" s="54">
        <f t="shared" si="88"/>
        <v>-1.0771470160116592E-2</v>
      </c>
      <c r="AL532" s="55">
        <f t="shared" si="91"/>
        <v>37.245008773616583</v>
      </c>
      <c r="AM532" s="56">
        <v>25</v>
      </c>
      <c r="AN532" s="57">
        <f t="shared" si="89"/>
        <v>-12.245008773616583</v>
      </c>
      <c r="AO532" s="76">
        <f t="shared" si="92"/>
        <v>-3.0809345211761241</v>
      </c>
      <c r="AP532" s="63" t="str">
        <f t="shared" si="93"/>
        <v/>
      </c>
      <c r="AQ532" s="63" t="str">
        <f t="shared" si="94"/>
        <v>Sell Stocks</v>
      </c>
      <c r="AR532" s="63" t="str">
        <f t="shared" si="95"/>
        <v/>
      </c>
      <c r="AS532" s="63" t="str">
        <f t="shared" si="96"/>
        <v>Sell Stocks</v>
      </c>
      <c r="AT532" s="78" t="str">
        <f t="shared" si="97"/>
        <v/>
      </c>
      <c r="AU532" s="77">
        <f t="shared" si="98"/>
        <v>135.91999999999999</v>
      </c>
      <c r="AV532" s="64">
        <f ca="1">IFERROR(__xludf.DUMMYFUNCTION("IF(TRIM(AU532)="""","""",AU532/INDEX(FILTER(AT$3:AT532,TRIM(AT$3:AT532)&lt;&gt;""""),ROWS(FILTER(AT$3:AT532,TRIM(AT$3:AT532)&lt;&gt;"""")))-1)"),0.0256565046785388)</f>
        <v>2.5656504678538802E-2</v>
      </c>
      <c r="AW532" s="65" t="e">
        <f t="shared" ca="1" si="90"/>
        <v>#VALUE!</v>
      </c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</row>
    <row r="533" spans="1:68" ht="19" x14ac:dyDescent="0.25">
      <c r="A533" s="5"/>
      <c r="B533" s="5"/>
      <c r="C533" s="5"/>
      <c r="D533" s="5"/>
      <c r="E533" s="5"/>
      <c r="F533" s="5"/>
      <c r="G533" s="5"/>
      <c r="H533" s="6"/>
      <c r="I533" s="5"/>
      <c r="J533" s="83"/>
      <c r="K533" s="83"/>
      <c r="L533" s="83"/>
      <c r="M533" s="83"/>
      <c r="N533" s="83"/>
      <c r="O533" s="83"/>
      <c r="P533" s="83"/>
      <c r="Q533" s="84"/>
      <c r="R533" s="83"/>
      <c r="S533" s="83"/>
      <c r="T533" s="85"/>
      <c r="U533" s="6"/>
      <c r="V533" s="44">
        <v>44687</v>
      </c>
      <c r="W533" s="45">
        <v>137.66999999999999</v>
      </c>
      <c r="X533" s="46"/>
      <c r="Y533" s="61"/>
      <c r="Z533" s="5"/>
      <c r="AA533" s="5"/>
      <c r="AB533" s="5"/>
      <c r="AC533" s="5"/>
      <c r="AD533" s="5"/>
      <c r="AE533" s="5"/>
      <c r="AF533" s="5"/>
      <c r="AG533" s="5"/>
      <c r="AH533" s="6"/>
      <c r="AI533" s="44">
        <v>44687</v>
      </c>
      <c r="AJ533" s="53">
        <v>137.66999999999999</v>
      </c>
      <c r="AK533" s="54">
        <f t="shared" si="88"/>
        <v>1.2875220718069347E-2</v>
      </c>
      <c r="AL533" s="55">
        <f t="shared" si="91"/>
        <v>29.178869533668394</v>
      </c>
      <c r="AM533" s="56">
        <v>25</v>
      </c>
      <c r="AN533" s="57">
        <f t="shared" si="89"/>
        <v>-4.1788695336683936</v>
      </c>
      <c r="AO533" s="76">
        <f t="shared" si="92"/>
        <v>-4.2667044519915702</v>
      </c>
      <c r="AP533" s="63" t="str">
        <f t="shared" si="93"/>
        <v/>
      </c>
      <c r="AQ533" s="63" t="str">
        <f t="shared" si="94"/>
        <v>Sell Stocks</v>
      </c>
      <c r="AR533" s="63" t="str">
        <f t="shared" si="95"/>
        <v/>
      </c>
      <c r="AS533" s="63" t="str">
        <f t="shared" si="96"/>
        <v/>
      </c>
      <c r="AT533" s="78" t="str">
        <f t="shared" si="97"/>
        <v/>
      </c>
      <c r="AU533" s="78" t="str">
        <f t="shared" si="98"/>
        <v/>
      </c>
      <c r="AV533" s="64" t="str">
        <f ca="1">IFERROR(__xludf.DUMMYFUNCTION("IF(TRIM(AU533)="""","""",AU533/INDEX(FILTER(AT$3:AT533,TRIM(AT$3:AT533)&lt;&gt;""""),ROWS(FILTER(AT$3:AT533,TRIM(AT$3:AT533)&lt;&gt;"""")))-1)"),"")</f>
        <v/>
      </c>
      <c r="AW533" s="65" t="e">
        <f t="shared" ca="1" si="90"/>
        <v>#VALUE!</v>
      </c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</row>
    <row r="534" spans="1:68" ht="19" x14ac:dyDescent="0.25">
      <c r="A534" s="5"/>
      <c r="B534" s="5"/>
      <c r="C534" s="5"/>
      <c r="D534" s="5"/>
      <c r="E534" s="5"/>
      <c r="F534" s="5"/>
      <c r="G534" s="5"/>
      <c r="H534" s="6"/>
      <c r="I534" s="5"/>
      <c r="J534" s="83"/>
      <c r="K534" s="83"/>
      <c r="L534" s="83"/>
      <c r="M534" s="83"/>
      <c r="N534" s="83"/>
      <c r="O534" s="83"/>
      <c r="P534" s="83"/>
      <c r="Q534" s="84"/>
      <c r="R534" s="83"/>
      <c r="S534" s="83"/>
      <c r="T534" s="85"/>
      <c r="U534" s="6"/>
      <c r="V534" s="44">
        <v>44690</v>
      </c>
      <c r="W534" s="45">
        <v>134.44</v>
      </c>
      <c r="X534" s="46"/>
      <c r="Y534" s="61"/>
      <c r="Z534" s="5"/>
      <c r="AA534" s="5"/>
      <c r="AB534" s="5"/>
      <c r="AC534" s="5"/>
      <c r="AD534" s="5"/>
      <c r="AE534" s="5"/>
      <c r="AF534" s="5"/>
      <c r="AG534" s="5"/>
      <c r="AH534" s="6"/>
      <c r="AI534" s="44">
        <v>44690</v>
      </c>
      <c r="AJ534" s="53">
        <v>134.44</v>
      </c>
      <c r="AK534" s="54">
        <f t="shared" si="88"/>
        <v>-2.3461901648870409E-2</v>
      </c>
      <c r="AL534" s="55">
        <f t="shared" si="91"/>
        <v>37.032800398522092</v>
      </c>
      <c r="AM534" s="56">
        <v>25</v>
      </c>
      <c r="AN534" s="57">
        <f t="shared" si="89"/>
        <v>-12.032800398522092</v>
      </c>
      <c r="AO534" s="76">
        <f t="shared" si="92"/>
        <v>-7.012730817819862</v>
      </c>
      <c r="AP534" s="63" t="str">
        <f t="shared" si="93"/>
        <v/>
      </c>
      <c r="AQ534" s="63" t="str">
        <f t="shared" si="94"/>
        <v>Sell Stocks</v>
      </c>
      <c r="AR534" s="63" t="str">
        <f t="shared" si="95"/>
        <v/>
      </c>
      <c r="AS534" s="63" t="str">
        <f t="shared" si="96"/>
        <v/>
      </c>
      <c r="AT534" s="78" t="str">
        <f t="shared" si="97"/>
        <v/>
      </c>
      <c r="AU534" s="78" t="str">
        <f t="shared" si="98"/>
        <v/>
      </c>
      <c r="AV534" s="64" t="str">
        <f ca="1">IFERROR(__xludf.DUMMYFUNCTION("IF(TRIM(AU534)="""","""",AU534/INDEX(FILTER(AT$3:AT534,TRIM(AT$3:AT534)&lt;&gt;""""),ROWS(FILTER(AT$3:AT534,TRIM(AT$3:AT534)&lt;&gt;"""")))-1)"),"")</f>
        <v/>
      </c>
      <c r="AW534" s="65" t="e">
        <f t="shared" ca="1" si="90"/>
        <v>#VALUE!</v>
      </c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</row>
    <row r="535" spans="1:68" ht="19" x14ac:dyDescent="0.25">
      <c r="A535" s="5"/>
      <c r="B535" s="5"/>
      <c r="C535" s="5"/>
      <c r="D535" s="5"/>
      <c r="E535" s="5"/>
      <c r="F535" s="5"/>
      <c r="G535" s="5"/>
      <c r="H535" s="6"/>
      <c r="I535" s="5"/>
      <c r="J535" s="83"/>
      <c r="K535" s="83"/>
      <c r="L535" s="83"/>
      <c r="M535" s="83"/>
      <c r="N535" s="83"/>
      <c r="O535" s="83"/>
      <c r="P535" s="83"/>
      <c r="Q535" s="84"/>
      <c r="R535" s="83"/>
      <c r="S535" s="83"/>
      <c r="T535" s="85"/>
      <c r="U535" s="6"/>
      <c r="V535" s="44">
        <v>44691</v>
      </c>
      <c r="W535" s="45">
        <v>129.13</v>
      </c>
      <c r="X535" s="46"/>
      <c r="Y535" s="61"/>
      <c r="Z535" s="5"/>
      <c r="AA535" s="5"/>
      <c r="AB535" s="5"/>
      <c r="AC535" s="5"/>
      <c r="AD535" s="5"/>
      <c r="AE535" s="5"/>
      <c r="AF535" s="5"/>
      <c r="AG535" s="5"/>
      <c r="AH535" s="6"/>
      <c r="AI535" s="44">
        <v>44691</v>
      </c>
      <c r="AJ535" s="53">
        <v>129.13</v>
      </c>
      <c r="AK535" s="54">
        <f t="shared" si="88"/>
        <v>-3.94971734602797E-2</v>
      </c>
      <c r="AL535" s="55">
        <f t="shared" si="91"/>
        <v>47.840259541586974</v>
      </c>
      <c r="AM535" s="56">
        <v>25</v>
      </c>
      <c r="AN535" s="57">
        <f t="shared" si="89"/>
        <v>-22.840259541586974</v>
      </c>
      <c r="AO535" s="76">
        <f t="shared" si="92"/>
        <v>-12.439802202539184</v>
      </c>
      <c r="AP535" s="63" t="str">
        <f t="shared" si="93"/>
        <v/>
      </c>
      <c r="AQ535" s="63" t="str">
        <f t="shared" si="94"/>
        <v>Sell Stocks</v>
      </c>
      <c r="AR535" s="63" t="str">
        <f t="shared" si="95"/>
        <v/>
      </c>
      <c r="AS535" s="63" t="str">
        <f t="shared" si="96"/>
        <v/>
      </c>
      <c r="AT535" s="78" t="str">
        <f t="shared" si="97"/>
        <v/>
      </c>
      <c r="AU535" s="78" t="str">
        <f t="shared" si="98"/>
        <v/>
      </c>
      <c r="AV535" s="64" t="str">
        <f ca="1">IFERROR(__xludf.DUMMYFUNCTION("IF(TRIM(AU535)="""","""",AU535/INDEX(FILTER(AT$3:AT535,TRIM(AT$3:AT535)&lt;&gt;""""),ROWS(FILTER(AT$3:AT535,TRIM(AT$3:AT535)&lt;&gt;"""")))-1)"),"")</f>
        <v/>
      </c>
      <c r="AW535" s="65" t="e">
        <f t="shared" ca="1" si="90"/>
        <v>#VALUE!</v>
      </c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</row>
    <row r="536" spans="1:68" ht="19" x14ac:dyDescent="0.25">
      <c r="A536" s="5"/>
      <c r="B536" s="5"/>
      <c r="C536" s="5"/>
      <c r="D536" s="5"/>
      <c r="E536" s="5"/>
      <c r="F536" s="5"/>
      <c r="G536" s="5"/>
      <c r="H536" s="6"/>
      <c r="I536" s="5"/>
      <c r="J536" s="83"/>
      <c r="K536" s="83"/>
      <c r="L536" s="83"/>
      <c r="M536" s="83"/>
      <c r="N536" s="83"/>
      <c r="O536" s="83"/>
      <c r="P536" s="83"/>
      <c r="Q536" s="84"/>
      <c r="R536" s="83"/>
      <c r="S536" s="83"/>
      <c r="T536" s="85"/>
      <c r="U536" s="6"/>
      <c r="V536" s="44">
        <v>44692</v>
      </c>
      <c r="W536" s="45">
        <v>130.75</v>
      </c>
      <c r="X536" s="46"/>
      <c r="Y536" s="61"/>
      <c r="Z536" s="5"/>
      <c r="AA536" s="5"/>
      <c r="AB536" s="5"/>
      <c r="AC536" s="5"/>
      <c r="AD536" s="5"/>
      <c r="AE536" s="5"/>
      <c r="AF536" s="5"/>
      <c r="AG536" s="5"/>
      <c r="AH536" s="6"/>
      <c r="AI536" s="44">
        <v>44692</v>
      </c>
      <c r="AJ536" s="53">
        <v>130.75</v>
      </c>
      <c r="AK536" s="54">
        <f t="shared" si="88"/>
        <v>1.254549678618444E-2</v>
      </c>
      <c r="AL536" s="55">
        <f t="shared" si="91"/>
        <v>36.22471753069955</v>
      </c>
      <c r="AM536" s="56">
        <v>25</v>
      </c>
      <c r="AN536" s="57">
        <f t="shared" si="89"/>
        <v>-11.22471753069955</v>
      </c>
      <c r="AO536" s="76">
        <f t="shared" si="92"/>
        <v>-12.504331155618718</v>
      </c>
      <c r="AP536" s="63" t="str">
        <f t="shared" si="93"/>
        <v/>
      </c>
      <c r="AQ536" s="63" t="str">
        <f t="shared" si="94"/>
        <v>Sell Stocks</v>
      </c>
      <c r="AR536" s="63" t="str">
        <f t="shared" si="95"/>
        <v/>
      </c>
      <c r="AS536" s="63" t="str">
        <f t="shared" si="96"/>
        <v/>
      </c>
      <c r="AT536" s="78" t="str">
        <f t="shared" si="97"/>
        <v/>
      </c>
      <c r="AU536" s="78" t="str">
        <f t="shared" si="98"/>
        <v/>
      </c>
      <c r="AV536" s="64" t="str">
        <f ca="1">IFERROR(__xludf.DUMMYFUNCTION("IF(TRIM(AU536)="""","""",AU536/INDEX(FILTER(AT$3:AT536,TRIM(AT$3:AT536)&lt;&gt;""""),ROWS(FILTER(AT$3:AT536,TRIM(AT$3:AT536)&lt;&gt;"""")))-1)"),"")</f>
        <v/>
      </c>
      <c r="AW536" s="65" t="e">
        <f t="shared" ca="1" si="90"/>
        <v>#VALUE!</v>
      </c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</row>
    <row r="537" spans="1:68" ht="19" x14ac:dyDescent="0.25">
      <c r="A537" s="5"/>
      <c r="B537" s="5"/>
      <c r="C537" s="5"/>
      <c r="D537" s="5"/>
      <c r="E537" s="5"/>
      <c r="F537" s="5"/>
      <c r="G537" s="5"/>
      <c r="H537" s="6"/>
      <c r="I537" s="5"/>
      <c r="J537" s="83"/>
      <c r="K537" s="83"/>
      <c r="L537" s="83"/>
      <c r="M537" s="83"/>
      <c r="N537" s="83"/>
      <c r="O537" s="83"/>
      <c r="P537" s="83"/>
      <c r="Q537" s="84"/>
      <c r="R537" s="83"/>
      <c r="S537" s="83"/>
      <c r="T537" s="85"/>
      <c r="U537" s="6"/>
      <c r="V537" s="44">
        <v>44693</v>
      </c>
      <c r="W537" s="45">
        <v>132.9</v>
      </c>
      <c r="X537" s="46"/>
      <c r="Y537" s="61"/>
      <c r="Z537" s="5"/>
      <c r="AA537" s="5"/>
      <c r="AB537" s="5"/>
      <c r="AC537" s="5"/>
      <c r="AD537" s="5"/>
      <c r="AE537" s="5"/>
      <c r="AF537" s="5"/>
      <c r="AG537" s="5"/>
      <c r="AH537" s="6"/>
      <c r="AI537" s="44">
        <v>44693</v>
      </c>
      <c r="AJ537" s="53">
        <v>132.9</v>
      </c>
      <c r="AK537" s="54">
        <f t="shared" si="88"/>
        <v>1.6443594646271542E-2</v>
      </c>
      <c r="AL537" s="55">
        <f t="shared" si="91"/>
        <v>40.589120134178067</v>
      </c>
      <c r="AM537" s="56">
        <v>25</v>
      </c>
      <c r="AN537" s="57">
        <f t="shared" si="89"/>
        <v>-15.589120134178067</v>
      </c>
      <c r="AO537" s="76">
        <f t="shared" si="92"/>
        <v>-13.173153427731018</v>
      </c>
      <c r="AP537" s="63" t="str">
        <f t="shared" si="93"/>
        <v/>
      </c>
      <c r="AQ537" s="63" t="str">
        <f t="shared" si="94"/>
        <v>Sell Stocks</v>
      </c>
      <c r="AR537" s="63" t="str">
        <f t="shared" si="95"/>
        <v/>
      </c>
      <c r="AS537" s="63" t="str">
        <f t="shared" si="96"/>
        <v/>
      </c>
      <c r="AT537" s="78" t="str">
        <f t="shared" si="97"/>
        <v/>
      </c>
      <c r="AU537" s="78" t="str">
        <f t="shared" si="98"/>
        <v/>
      </c>
      <c r="AV537" s="64" t="str">
        <f ca="1">IFERROR(__xludf.DUMMYFUNCTION("IF(TRIM(AU537)="""","""",AU537/INDEX(FILTER(AT$3:AT537,TRIM(AT$3:AT537)&lt;&gt;""""),ROWS(FILTER(AT$3:AT537,TRIM(AT$3:AT537)&lt;&gt;"""")))-1)"),"")</f>
        <v/>
      </c>
      <c r="AW537" s="65" t="e">
        <f t="shared" ca="1" si="90"/>
        <v>#VALUE!</v>
      </c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</row>
    <row r="538" spans="1:68" ht="19" x14ac:dyDescent="0.25">
      <c r="A538" s="5"/>
      <c r="B538" s="5"/>
      <c r="C538" s="5"/>
      <c r="D538" s="5"/>
      <c r="E538" s="5"/>
      <c r="F538" s="5"/>
      <c r="G538" s="5"/>
      <c r="H538" s="6"/>
      <c r="I538" s="5"/>
      <c r="J538" s="83"/>
      <c r="K538" s="83"/>
      <c r="L538" s="83"/>
      <c r="M538" s="83"/>
      <c r="N538" s="83"/>
      <c r="O538" s="83"/>
      <c r="P538" s="83"/>
      <c r="Q538" s="84"/>
      <c r="R538" s="83"/>
      <c r="S538" s="83"/>
      <c r="T538" s="85"/>
      <c r="U538" s="6"/>
      <c r="V538" s="44">
        <v>44694</v>
      </c>
      <c r="W538" s="45">
        <v>133.6</v>
      </c>
      <c r="X538" s="46"/>
      <c r="Y538" s="61"/>
      <c r="Z538" s="5"/>
      <c r="AA538" s="5"/>
      <c r="AB538" s="5"/>
      <c r="AC538" s="5"/>
      <c r="AD538" s="5"/>
      <c r="AE538" s="5"/>
      <c r="AF538" s="5"/>
      <c r="AG538" s="5"/>
      <c r="AH538" s="6"/>
      <c r="AI538" s="44">
        <v>44694</v>
      </c>
      <c r="AJ538" s="53">
        <v>133.6</v>
      </c>
      <c r="AK538" s="54">
        <f t="shared" si="88"/>
        <v>5.2671181339352113E-3</v>
      </c>
      <c r="AL538" s="55">
        <f t="shared" si="91"/>
        <v>38.894491849433443</v>
      </c>
      <c r="AM538" s="56">
        <v>25</v>
      </c>
      <c r="AN538" s="57">
        <f t="shared" si="89"/>
        <v>-13.894491849433443</v>
      </c>
      <c r="AO538" s="76">
        <f t="shared" si="92"/>
        <v>-15.116277890884026</v>
      </c>
      <c r="AP538" s="63" t="str">
        <f t="shared" si="93"/>
        <v/>
      </c>
      <c r="AQ538" s="63" t="str">
        <f t="shared" si="94"/>
        <v>Sell Stocks</v>
      </c>
      <c r="AR538" s="63" t="str">
        <f t="shared" si="95"/>
        <v/>
      </c>
      <c r="AS538" s="63" t="str">
        <f t="shared" si="96"/>
        <v/>
      </c>
      <c r="AT538" s="78" t="str">
        <f t="shared" si="97"/>
        <v/>
      </c>
      <c r="AU538" s="78" t="str">
        <f t="shared" si="98"/>
        <v/>
      </c>
      <c r="AV538" s="64" t="str">
        <f ca="1">IFERROR(__xludf.DUMMYFUNCTION("IF(TRIM(AU538)="""","""",AU538/INDEX(FILTER(AT$3:AT538,TRIM(AT$3:AT538)&lt;&gt;""""),ROWS(FILTER(AT$3:AT538,TRIM(AT$3:AT538)&lt;&gt;"""")))-1)"),"")</f>
        <v/>
      </c>
      <c r="AW538" s="65" t="e">
        <f t="shared" ca="1" si="90"/>
        <v>#VALUE!</v>
      </c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</row>
    <row r="539" spans="1:68" ht="19" x14ac:dyDescent="0.25">
      <c r="A539" s="5"/>
      <c r="B539" s="5"/>
      <c r="C539" s="5"/>
      <c r="D539" s="5"/>
      <c r="E539" s="5"/>
      <c r="F539" s="5"/>
      <c r="G539" s="5"/>
      <c r="H539" s="6"/>
      <c r="I539" s="5"/>
      <c r="J539" s="83"/>
      <c r="K539" s="83"/>
      <c r="L539" s="83"/>
      <c r="M539" s="83"/>
      <c r="N539" s="83"/>
      <c r="O539" s="83"/>
      <c r="P539" s="83"/>
      <c r="Q539" s="84"/>
      <c r="R539" s="83"/>
      <c r="S539" s="83"/>
      <c r="T539" s="85"/>
      <c r="U539" s="6"/>
      <c r="V539" s="44">
        <v>44697</v>
      </c>
      <c r="W539" s="45">
        <v>135.03</v>
      </c>
      <c r="X539" s="46"/>
      <c r="Y539" s="61"/>
      <c r="Z539" s="5"/>
      <c r="AA539" s="5"/>
      <c r="AB539" s="5"/>
      <c r="AC539" s="5"/>
      <c r="AD539" s="5"/>
      <c r="AE539" s="5"/>
      <c r="AF539" s="5"/>
      <c r="AG539" s="5"/>
      <c r="AH539" s="6"/>
      <c r="AI539" s="44">
        <v>44697</v>
      </c>
      <c r="AJ539" s="53">
        <v>135.03</v>
      </c>
      <c r="AK539" s="54">
        <f t="shared" si="88"/>
        <v>1.0703592814371277E-2</v>
      </c>
      <c r="AL539" s="55">
        <f t="shared" si="91"/>
        <v>36.581608856829007</v>
      </c>
      <c r="AM539" s="56">
        <v>25</v>
      </c>
      <c r="AN539" s="57">
        <f t="shared" si="89"/>
        <v>-11.581608856829007</v>
      </c>
      <c r="AO539" s="76">
        <f t="shared" si="92"/>
        <v>-15.026039582545408</v>
      </c>
      <c r="AP539" s="63" t="str">
        <f t="shared" si="93"/>
        <v/>
      </c>
      <c r="AQ539" s="63" t="str">
        <f t="shared" si="94"/>
        <v>Sell Stocks</v>
      </c>
      <c r="AR539" s="63" t="str">
        <f t="shared" si="95"/>
        <v/>
      </c>
      <c r="AS539" s="63" t="str">
        <f t="shared" si="96"/>
        <v/>
      </c>
      <c r="AT539" s="78" t="str">
        <f t="shared" si="97"/>
        <v/>
      </c>
      <c r="AU539" s="78" t="str">
        <f t="shared" si="98"/>
        <v/>
      </c>
      <c r="AV539" s="64" t="str">
        <f ca="1">IFERROR(__xludf.DUMMYFUNCTION("IF(TRIM(AU539)="""","""",AU539/INDEX(FILTER(AT$3:AT539,TRIM(AT$3:AT539)&lt;&gt;""""),ROWS(FILTER(AT$3:AT539,TRIM(AT$3:AT539)&lt;&gt;"""")))-1)"),"")</f>
        <v/>
      </c>
      <c r="AW539" s="65" t="e">
        <f t="shared" ca="1" si="90"/>
        <v>#VALUE!</v>
      </c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</row>
    <row r="540" spans="1:68" ht="19" x14ac:dyDescent="0.25">
      <c r="A540" s="5"/>
      <c r="B540" s="5"/>
      <c r="C540" s="5"/>
      <c r="D540" s="5"/>
      <c r="E540" s="5"/>
      <c r="F540" s="5"/>
      <c r="G540" s="5"/>
      <c r="H540" s="6"/>
      <c r="I540" s="5"/>
      <c r="J540" s="83"/>
      <c r="K540" s="83"/>
      <c r="L540" s="83"/>
      <c r="M540" s="83"/>
      <c r="N540" s="83"/>
      <c r="O540" s="83"/>
      <c r="P540" s="83"/>
      <c r="Q540" s="84"/>
      <c r="R540" s="83"/>
      <c r="S540" s="83"/>
      <c r="T540" s="85"/>
      <c r="U540" s="6"/>
      <c r="V540" s="44">
        <v>44698</v>
      </c>
      <c r="W540" s="45">
        <v>138.37</v>
      </c>
      <c r="X540" s="46"/>
      <c r="Y540" s="61"/>
      <c r="Z540" s="5"/>
      <c r="AA540" s="5"/>
      <c r="AB540" s="5"/>
      <c r="AC540" s="5"/>
      <c r="AD540" s="5"/>
      <c r="AE540" s="5"/>
      <c r="AF540" s="5"/>
      <c r="AG540" s="5"/>
      <c r="AH540" s="6"/>
      <c r="AI540" s="44">
        <v>44698</v>
      </c>
      <c r="AJ540" s="53">
        <v>138.37</v>
      </c>
      <c r="AK540" s="54">
        <f t="shared" si="88"/>
        <v>2.4735244019847391E-2</v>
      </c>
      <c r="AL540" s="55">
        <f t="shared" si="91"/>
        <v>11.514302797022484</v>
      </c>
      <c r="AM540" s="56">
        <v>25</v>
      </c>
      <c r="AN540" s="57">
        <f t="shared" si="89"/>
        <v>13.485697202977516</v>
      </c>
      <c r="AO540" s="76">
        <f t="shared" si="92"/>
        <v>-7.76084823363251</v>
      </c>
      <c r="AP540" s="63" t="str">
        <f t="shared" si="93"/>
        <v/>
      </c>
      <c r="AQ540" s="63" t="str">
        <f t="shared" si="94"/>
        <v>Sell Stocks</v>
      </c>
      <c r="AR540" s="63" t="str">
        <f t="shared" si="95"/>
        <v/>
      </c>
      <c r="AS540" s="63" t="str">
        <f t="shared" si="96"/>
        <v/>
      </c>
      <c r="AT540" s="78" t="str">
        <f t="shared" si="97"/>
        <v/>
      </c>
      <c r="AU540" s="78" t="str">
        <f t="shared" si="98"/>
        <v/>
      </c>
      <c r="AV540" s="64" t="str">
        <f ca="1">IFERROR(__xludf.DUMMYFUNCTION("IF(TRIM(AU540)="""","""",AU540/INDEX(FILTER(AT$3:AT540,TRIM(AT$3:AT540)&lt;&gt;""""),ROWS(FILTER(AT$3:AT540,TRIM(AT$3:AT540)&lt;&gt;"""")))-1)"),"")</f>
        <v/>
      </c>
      <c r="AW540" s="65" t="e">
        <f t="shared" ca="1" si="90"/>
        <v>#VALUE!</v>
      </c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</row>
    <row r="541" spans="1:68" ht="19" x14ac:dyDescent="0.25">
      <c r="A541" s="5"/>
      <c r="B541" s="5"/>
      <c r="C541" s="5"/>
      <c r="D541" s="5"/>
      <c r="E541" s="5"/>
      <c r="F541" s="5"/>
      <c r="G541" s="5"/>
      <c r="H541" s="6"/>
      <c r="I541" s="5"/>
      <c r="J541" s="83"/>
      <c r="K541" s="83"/>
      <c r="L541" s="83"/>
      <c r="M541" s="83"/>
      <c r="N541" s="83"/>
      <c r="O541" s="83"/>
      <c r="P541" s="83"/>
      <c r="Q541" s="84"/>
      <c r="R541" s="83"/>
      <c r="S541" s="83"/>
      <c r="T541" s="85"/>
      <c r="U541" s="6"/>
      <c r="V541" s="44">
        <v>44699</v>
      </c>
      <c r="W541" s="45">
        <v>132.94</v>
      </c>
      <c r="X541" s="46"/>
      <c r="Y541" s="61"/>
      <c r="Z541" s="5"/>
      <c r="AA541" s="5"/>
      <c r="AB541" s="5"/>
      <c r="AC541" s="5"/>
      <c r="AD541" s="5"/>
      <c r="AE541" s="5"/>
      <c r="AF541" s="5"/>
      <c r="AG541" s="5"/>
      <c r="AH541" s="6"/>
      <c r="AI541" s="44">
        <v>44699</v>
      </c>
      <c r="AJ541" s="53">
        <v>132.94</v>
      </c>
      <c r="AK541" s="54">
        <f t="shared" si="88"/>
        <v>-3.9242610392426158E-2</v>
      </c>
      <c r="AL541" s="55">
        <f t="shared" si="91"/>
        <v>39.689319915892895</v>
      </c>
      <c r="AM541" s="56">
        <v>25</v>
      </c>
      <c r="AN541" s="57">
        <f t="shared" si="89"/>
        <v>-14.689319915892895</v>
      </c>
      <c r="AO541" s="76">
        <f t="shared" si="92"/>
        <v>-8.453768710671179</v>
      </c>
      <c r="AP541" s="63" t="str">
        <f t="shared" si="93"/>
        <v/>
      </c>
      <c r="AQ541" s="63" t="str">
        <f t="shared" si="94"/>
        <v>Sell Stocks</v>
      </c>
      <c r="AR541" s="63" t="str">
        <f t="shared" si="95"/>
        <v/>
      </c>
      <c r="AS541" s="63" t="str">
        <f t="shared" si="96"/>
        <v/>
      </c>
      <c r="AT541" s="78" t="str">
        <f t="shared" si="97"/>
        <v/>
      </c>
      <c r="AU541" s="78" t="str">
        <f t="shared" si="98"/>
        <v/>
      </c>
      <c r="AV541" s="64" t="str">
        <f ca="1">IFERROR(__xludf.DUMMYFUNCTION("IF(TRIM(AU541)="""","""",AU541/INDEX(FILTER(AT$3:AT541,TRIM(AT$3:AT541)&lt;&gt;""""),ROWS(FILTER(AT$3:AT541,TRIM(AT$3:AT541)&lt;&gt;"""")))-1)"),"")</f>
        <v/>
      </c>
      <c r="AW541" s="65" t="e">
        <f t="shared" ca="1" si="90"/>
        <v>#VALUE!</v>
      </c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</row>
    <row r="542" spans="1:68" ht="19" x14ac:dyDescent="0.25">
      <c r="A542" s="5"/>
      <c r="B542" s="5"/>
      <c r="C542" s="5"/>
      <c r="D542" s="5"/>
      <c r="E542" s="5"/>
      <c r="F542" s="5"/>
      <c r="G542" s="5"/>
      <c r="H542" s="6"/>
      <c r="I542" s="5"/>
      <c r="J542" s="83"/>
      <c r="K542" s="83"/>
      <c r="L542" s="83"/>
      <c r="M542" s="83"/>
      <c r="N542" s="83"/>
      <c r="O542" s="83"/>
      <c r="P542" s="83"/>
      <c r="Q542" s="84"/>
      <c r="R542" s="83"/>
      <c r="S542" s="83"/>
      <c r="T542" s="85"/>
      <c r="U542" s="6"/>
      <c r="V542" s="44">
        <v>44700</v>
      </c>
      <c r="W542" s="45">
        <v>129.66</v>
      </c>
      <c r="X542" s="46"/>
      <c r="Y542" s="61"/>
      <c r="Z542" s="5"/>
      <c r="AA542" s="5"/>
      <c r="AB542" s="5"/>
      <c r="AC542" s="5"/>
      <c r="AD542" s="5"/>
      <c r="AE542" s="5"/>
      <c r="AF542" s="5"/>
      <c r="AG542" s="5"/>
      <c r="AH542" s="6"/>
      <c r="AI542" s="44">
        <v>44700</v>
      </c>
      <c r="AJ542" s="53">
        <v>129.66</v>
      </c>
      <c r="AK542" s="54">
        <f t="shared" si="88"/>
        <v>-2.4672784714908969E-2</v>
      </c>
      <c r="AL542" s="55">
        <f t="shared" si="91"/>
        <v>41.96349575853899</v>
      </c>
      <c r="AM542" s="56">
        <v>25</v>
      </c>
      <c r="AN542" s="57">
        <f t="shared" si="89"/>
        <v>-16.96349575853899</v>
      </c>
      <c r="AO542" s="76">
        <f t="shared" si="92"/>
        <v>-8.7286438355433624</v>
      </c>
      <c r="AP542" s="63" t="str">
        <f t="shared" si="93"/>
        <v/>
      </c>
      <c r="AQ542" s="63" t="str">
        <f t="shared" si="94"/>
        <v>Sell Stocks</v>
      </c>
      <c r="AR542" s="63" t="str">
        <f t="shared" si="95"/>
        <v/>
      </c>
      <c r="AS542" s="63" t="str">
        <f t="shared" si="96"/>
        <v/>
      </c>
      <c r="AT542" s="78" t="str">
        <f t="shared" si="97"/>
        <v/>
      </c>
      <c r="AU542" s="78" t="str">
        <f t="shared" si="98"/>
        <v/>
      </c>
      <c r="AV542" s="64" t="str">
        <f ca="1">IFERROR(__xludf.DUMMYFUNCTION("IF(TRIM(AU542)="""","""",AU542/INDEX(FILTER(AT$3:AT542,TRIM(AT$3:AT542)&lt;&gt;""""),ROWS(FILTER(AT$3:AT542,TRIM(AT$3:AT542)&lt;&gt;"""")))-1)"),"")</f>
        <v/>
      </c>
      <c r="AW542" s="65" t="e">
        <f t="shared" ca="1" si="90"/>
        <v>#VALUE!</v>
      </c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</row>
    <row r="543" spans="1:68" ht="19" x14ac:dyDescent="0.25">
      <c r="A543" s="5"/>
      <c r="B543" s="5"/>
      <c r="C543" s="5"/>
      <c r="D543" s="5"/>
      <c r="E543" s="5"/>
      <c r="F543" s="5"/>
      <c r="G543" s="5"/>
      <c r="H543" s="6"/>
      <c r="I543" s="5"/>
      <c r="J543" s="83"/>
      <c r="K543" s="83"/>
      <c r="L543" s="83"/>
      <c r="M543" s="83"/>
      <c r="N543" s="83"/>
      <c r="O543" s="83"/>
      <c r="P543" s="83"/>
      <c r="Q543" s="84"/>
      <c r="R543" s="83"/>
      <c r="S543" s="83"/>
      <c r="T543" s="85"/>
      <c r="U543" s="6"/>
      <c r="V543" s="44">
        <v>44701</v>
      </c>
      <c r="W543" s="45">
        <v>128.47999999999999</v>
      </c>
      <c r="X543" s="46"/>
      <c r="Y543" s="61"/>
      <c r="Z543" s="5"/>
      <c r="AA543" s="5"/>
      <c r="AB543" s="5"/>
      <c r="AC543" s="5"/>
      <c r="AD543" s="5"/>
      <c r="AE543" s="5"/>
      <c r="AF543" s="5"/>
      <c r="AG543" s="5"/>
      <c r="AH543" s="6"/>
      <c r="AI543" s="44">
        <v>44701</v>
      </c>
      <c r="AJ543" s="53">
        <v>128.47999999999999</v>
      </c>
      <c r="AK543" s="54">
        <f t="shared" si="88"/>
        <v>-9.1007249730064022E-3</v>
      </c>
      <c r="AL543" s="55">
        <f t="shared" si="91"/>
        <v>41.055945439188271</v>
      </c>
      <c r="AM543" s="56">
        <v>25</v>
      </c>
      <c r="AN543" s="57">
        <f t="shared" si="89"/>
        <v>-16.055945439188271</v>
      </c>
      <c r="AO543" s="76">
        <f t="shared" si="92"/>
        <v>-9.1609345534943287</v>
      </c>
      <c r="AP543" s="63" t="str">
        <f t="shared" si="93"/>
        <v/>
      </c>
      <c r="AQ543" s="63" t="str">
        <f t="shared" si="94"/>
        <v>Sell Stocks</v>
      </c>
      <c r="AR543" s="63" t="str">
        <f t="shared" si="95"/>
        <v/>
      </c>
      <c r="AS543" s="63" t="str">
        <f t="shared" si="96"/>
        <v/>
      </c>
      <c r="AT543" s="78" t="str">
        <f t="shared" si="97"/>
        <v/>
      </c>
      <c r="AU543" s="78" t="str">
        <f t="shared" si="98"/>
        <v/>
      </c>
      <c r="AV543" s="64" t="str">
        <f ca="1">IFERROR(__xludf.DUMMYFUNCTION("IF(TRIM(AU543)="""","""",AU543/INDEX(FILTER(AT$3:AT543,TRIM(AT$3:AT543)&lt;&gt;""""),ROWS(FILTER(AT$3:AT543,TRIM(AT$3:AT543)&lt;&gt;"""")))-1)"),"")</f>
        <v/>
      </c>
      <c r="AW543" s="65" t="e">
        <f t="shared" ca="1" si="90"/>
        <v>#VALUE!</v>
      </c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</row>
    <row r="544" spans="1:68" ht="19" x14ac:dyDescent="0.25">
      <c r="A544" s="5"/>
      <c r="B544" s="5"/>
      <c r="C544" s="5"/>
      <c r="D544" s="5"/>
      <c r="E544" s="5"/>
      <c r="F544" s="5"/>
      <c r="G544" s="5"/>
      <c r="H544" s="6"/>
      <c r="I544" s="5"/>
      <c r="J544" s="83"/>
      <c r="K544" s="83"/>
      <c r="L544" s="83"/>
      <c r="M544" s="83"/>
      <c r="N544" s="83"/>
      <c r="O544" s="83"/>
      <c r="P544" s="83"/>
      <c r="Q544" s="84"/>
      <c r="R544" s="83"/>
      <c r="S544" s="83"/>
      <c r="T544" s="85"/>
      <c r="U544" s="6"/>
      <c r="V544" s="44">
        <v>44704</v>
      </c>
      <c r="W544" s="45">
        <v>131.16999999999999</v>
      </c>
      <c r="X544" s="46"/>
      <c r="Y544" s="61"/>
      <c r="Z544" s="5"/>
      <c r="AA544" s="5"/>
      <c r="AB544" s="5"/>
      <c r="AC544" s="5"/>
      <c r="AD544" s="5"/>
      <c r="AE544" s="5"/>
      <c r="AF544" s="5"/>
      <c r="AG544" s="5"/>
      <c r="AH544" s="6"/>
      <c r="AI544" s="44">
        <v>44704</v>
      </c>
      <c r="AJ544" s="53">
        <v>131.16999999999999</v>
      </c>
      <c r="AK544" s="54">
        <f t="shared" si="88"/>
        <v>2.0937110834370998E-2</v>
      </c>
      <c r="AL544" s="55">
        <f t="shared" si="91"/>
        <v>44.421758907700223</v>
      </c>
      <c r="AM544" s="56">
        <v>25</v>
      </c>
      <c r="AN544" s="57">
        <f t="shared" si="89"/>
        <v>-19.421758907700223</v>
      </c>
      <c r="AO544" s="76">
        <f t="shared" si="92"/>
        <v>-10.728964563668573</v>
      </c>
      <c r="AP544" s="63" t="str">
        <f t="shared" si="93"/>
        <v/>
      </c>
      <c r="AQ544" s="63" t="str">
        <f t="shared" si="94"/>
        <v>Sell Stocks</v>
      </c>
      <c r="AR544" s="63" t="str">
        <f t="shared" si="95"/>
        <v/>
      </c>
      <c r="AS544" s="63" t="str">
        <f t="shared" si="96"/>
        <v/>
      </c>
      <c r="AT544" s="78" t="str">
        <f t="shared" si="97"/>
        <v/>
      </c>
      <c r="AU544" s="78" t="str">
        <f t="shared" si="98"/>
        <v/>
      </c>
      <c r="AV544" s="64" t="str">
        <f ca="1">IFERROR(__xludf.DUMMYFUNCTION("IF(TRIM(AU544)="""","""",AU544/INDEX(FILTER(AT$3:AT544,TRIM(AT$3:AT544)&lt;&gt;""""),ROWS(FILTER(AT$3:AT544,TRIM(AT$3:AT544)&lt;&gt;"""")))-1)"),"")</f>
        <v/>
      </c>
      <c r="AW544" s="65" t="e">
        <f t="shared" ca="1" si="90"/>
        <v>#VALUE!</v>
      </c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</row>
    <row r="545" spans="1:68" ht="19" x14ac:dyDescent="0.25">
      <c r="A545" s="5"/>
      <c r="B545" s="5"/>
      <c r="C545" s="5"/>
      <c r="D545" s="5"/>
      <c r="E545" s="5"/>
      <c r="F545" s="5"/>
      <c r="G545" s="5"/>
      <c r="H545" s="6"/>
      <c r="I545" s="5"/>
      <c r="J545" s="83"/>
      <c r="K545" s="83"/>
      <c r="L545" s="83"/>
      <c r="M545" s="83"/>
      <c r="N545" s="83"/>
      <c r="O545" s="83"/>
      <c r="P545" s="83"/>
      <c r="Q545" s="84"/>
      <c r="R545" s="83"/>
      <c r="S545" s="83"/>
      <c r="T545" s="85"/>
      <c r="U545" s="6"/>
      <c r="V545" s="44">
        <v>44705</v>
      </c>
      <c r="W545" s="45">
        <v>133.80000000000001</v>
      </c>
      <c r="X545" s="46"/>
      <c r="Y545" s="61"/>
      <c r="Z545" s="5"/>
      <c r="AA545" s="5"/>
      <c r="AB545" s="5"/>
      <c r="AC545" s="5"/>
      <c r="AD545" s="5"/>
      <c r="AE545" s="5"/>
      <c r="AF545" s="5"/>
      <c r="AG545" s="5"/>
      <c r="AH545" s="6"/>
      <c r="AI545" s="44">
        <v>44705</v>
      </c>
      <c r="AJ545" s="53">
        <v>133.80000000000001</v>
      </c>
      <c r="AK545" s="54">
        <f t="shared" si="88"/>
        <v>2.0050316383319444E-2</v>
      </c>
      <c r="AL545" s="55">
        <f t="shared" si="91"/>
        <v>42.497767835333299</v>
      </c>
      <c r="AM545" s="56">
        <v>25</v>
      </c>
      <c r="AN545" s="57">
        <f t="shared" si="89"/>
        <v>-17.497767835333299</v>
      </c>
      <c r="AO545" s="76">
        <f t="shared" si="92"/>
        <v>-16.925657571330738</v>
      </c>
      <c r="AP545" s="63" t="str">
        <f t="shared" si="93"/>
        <v/>
      </c>
      <c r="AQ545" s="63" t="str">
        <f t="shared" si="94"/>
        <v>Sell Stocks</v>
      </c>
      <c r="AR545" s="63" t="str">
        <f t="shared" si="95"/>
        <v/>
      </c>
      <c r="AS545" s="63" t="str">
        <f t="shared" si="96"/>
        <v/>
      </c>
      <c r="AT545" s="78" t="str">
        <f t="shared" si="97"/>
        <v/>
      </c>
      <c r="AU545" s="78" t="str">
        <f t="shared" si="98"/>
        <v/>
      </c>
      <c r="AV545" s="64" t="str">
        <f ca="1">IFERROR(__xludf.DUMMYFUNCTION("IF(TRIM(AU545)="""","""",AU545/INDEX(FILTER(AT$3:AT545,TRIM(AT$3:AT545)&lt;&gt;""""),ROWS(FILTER(AT$3:AT545,TRIM(AT$3:AT545)&lt;&gt;"""")))-1)"),"")</f>
        <v/>
      </c>
      <c r="AW545" s="65" t="e">
        <f t="shared" ca="1" si="90"/>
        <v>#VALUE!</v>
      </c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</row>
    <row r="546" spans="1:68" ht="19" x14ac:dyDescent="0.25">
      <c r="A546" s="5"/>
      <c r="B546" s="5"/>
      <c r="C546" s="5"/>
      <c r="D546" s="5"/>
      <c r="E546" s="5"/>
      <c r="F546" s="5"/>
      <c r="G546" s="5"/>
      <c r="H546" s="6"/>
      <c r="I546" s="5"/>
      <c r="J546" s="83"/>
      <c r="K546" s="83"/>
      <c r="L546" s="83"/>
      <c r="M546" s="83"/>
      <c r="N546" s="83"/>
      <c r="O546" s="83"/>
      <c r="P546" s="83"/>
      <c r="Q546" s="84"/>
      <c r="R546" s="83"/>
      <c r="S546" s="83"/>
      <c r="T546" s="85"/>
      <c r="U546" s="6"/>
      <c r="V546" s="44">
        <v>44706</v>
      </c>
      <c r="W546" s="45">
        <v>134.38999999999999</v>
      </c>
      <c r="X546" s="46"/>
      <c r="Y546" s="61"/>
      <c r="Z546" s="5"/>
      <c r="AA546" s="5"/>
      <c r="AB546" s="5"/>
      <c r="AC546" s="5"/>
      <c r="AD546" s="5"/>
      <c r="AE546" s="5"/>
      <c r="AF546" s="5"/>
      <c r="AG546" s="5"/>
      <c r="AH546" s="6"/>
      <c r="AI546" s="44">
        <v>44706</v>
      </c>
      <c r="AJ546" s="53">
        <v>134.38999999999999</v>
      </c>
      <c r="AK546" s="54">
        <f t="shared" si="88"/>
        <v>4.4095665171897114E-3</v>
      </c>
      <c r="AL546" s="55">
        <f t="shared" si="91"/>
        <v>30.989569438391396</v>
      </c>
      <c r="AM546" s="56">
        <v>25</v>
      </c>
      <c r="AN546" s="57">
        <f t="shared" si="89"/>
        <v>-5.9895694383913956</v>
      </c>
      <c r="AO546" s="76">
        <f t="shared" si="92"/>
        <v>-15.185707475830437</v>
      </c>
      <c r="AP546" s="63" t="str">
        <f t="shared" si="93"/>
        <v/>
      </c>
      <c r="AQ546" s="63" t="str">
        <f t="shared" si="94"/>
        <v>Sell Stocks</v>
      </c>
      <c r="AR546" s="63" t="str">
        <f t="shared" si="95"/>
        <v/>
      </c>
      <c r="AS546" s="63" t="str">
        <f t="shared" si="96"/>
        <v/>
      </c>
      <c r="AT546" s="78" t="str">
        <f t="shared" si="97"/>
        <v/>
      </c>
      <c r="AU546" s="78" t="str">
        <f t="shared" si="98"/>
        <v/>
      </c>
      <c r="AV546" s="64" t="str">
        <f ca="1">IFERROR(__xludf.DUMMYFUNCTION("IF(TRIM(AU546)="""","""",AU546/INDEX(FILTER(AT$3:AT546,TRIM(AT$3:AT546)&lt;&gt;""""),ROWS(FILTER(AT$3:AT546,TRIM(AT$3:AT546)&lt;&gt;"""")))-1)"),"")</f>
        <v/>
      </c>
      <c r="AW546" s="65" t="e">
        <f t="shared" ca="1" si="90"/>
        <v>#VALUE!</v>
      </c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</row>
    <row r="547" spans="1:68" ht="19" x14ac:dyDescent="0.25">
      <c r="A547" s="5"/>
      <c r="B547" s="5"/>
      <c r="C547" s="5"/>
      <c r="D547" s="5"/>
      <c r="E547" s="5"/>
      <c r="F547" s="5"/>
      <c r="G547" s="5"/>
      <c r="H547" s="6"/>
      <c r="I547" s="5"/>
      <c r="J547" s="83"/>
      <c r="K547" s="83"/>
      <c r="L547" s="83"/>
      <c r="M547" s="83"/>
      <c r="N547" s="83"/>
      <c r="O547" s="83"/>
      <c r="P547" s="83"/>
      <c r="Q547" s="84"/>
      <c r="R547" s="83"/>
      <c r="S547" s="83"/>
      <c r="T547" s="85"/>
      <c r="U547" s="6"/>
      <c r="V547" s="44">
        <v>44707</v>
      </c>
      <c r="W547" s="45">
        <v>136.88999999999999</v>
      </c>
      <c r="X547" s="46"/>
      <c r="Y547" s="61"/>
      <c r="Z547" s="5"/>
      <c r="AA547" s="5"/>
      <c r="AB547" s="5"/>
      <c r="AC547" s="5"/>
      <c r="AD547" s="5"/>
      <c r="AE547" s="5"/>
      <c r="AF547" s="5"/>
      <c r="AG547" s="5"/>
      <c r="AH547" s="6"/>
      <c r="AI547" s="44">
        <v>44707</v>
      </c>
      <c r="AJ547" s="53">
        <v>136.88999999999999</v>
      </c>
      <c r="AK547" s="54">
        <f t="shared" si="88"/>
        <v>1.8602574596324084E-2</v>
      </c>
      <c r="AL547" s="55">
        <f t="shared" si="91"/>
        <v>20.787794583993453</v>
      </c>
      <c r="AM547" s="56">
        <v>25</v>
      </c>
      <c r="AN547" s="57">
        <f t="shared" si="89"/>
        <v>4.2122054160065474</v>
      </c>
      <c r="AO547" s="76">
        <f t="shared" si="92"/>
        <v>-10.950567240921329</v>
      </c>
      <c r="AP547" s="63" t="str">
        <f t="shared" si="93"/>
        <v/>
      </c>
      <c r="AQ547" s="63" t="str">
        <f t="shared" si="94"/>
        <v>Sell Stocks</v>
      </c>
      <c r="AR547" s="63" t="str">
        <f t="shared" si="95"/>
        <v/>
      </c>
      <c r="AS547" s="63" t="str">
        <f t="shared" si="96"/>
        <v/>
      </c>
      <c r="AT547" s="78" t="str">
        <f t="shared" si="97"/>
        <v/>
      </c>
      <c r="AU547" s="78" t="str">
        <f t="shared" si="98"/>
        <v/>
      </c>
      <c r="AV547" s="64" t="str">
        <f ca="1">IFERROR(__xludf.DUMMYFUNCTION("IF(TRIM(AU547)="""","""",AU547/INDEX(FILTER(AT$3:AT547,TRIM(AT$3:AT547)&lt;&gt;""""),ROWS(FILTER(AT$3:AT547,TRIM(AT$3:AT547)&lt;&gt;"""")))-1)"),"")</f>
        <v/>
      </c>
      <c r="AW547" s="65" t="e">
        <f t="shared" ca="1" si="90"/>
        <v>#VALUE!</v>
      </c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</row>
    <row r="548" spans="1:68" ht="19" x14ac:dyDescent="0.25">
      <c r="A548" s="5"/>
      <c r="B548" s="5"/>
      <c r="C548" s="5"/>
      <c r="D548" s="5"/>
      <c r="E548" s="5"/>
      <c r="F548" s="5"/>
      <c r="G548" s="5"/>
      <c r="H548" s="6"/>
      <c r="I548" s="5"/>
      <c r="J548" s="83"/>
      <c r="K548" s="83"/>
      <c r="L548" s="83"/>
      <c r="M548" s="83"/>
      <c r="N548" s="83"/>
      <c r="O548" s="83"/>
      <c r="P548" s="83"/>
      <c r="Q548" s="84"/>
      <c r="R548" s="83"/>
      <c r="S548" s="83"/>
      <c r="T548" s="85"/>
      <c r="U548" s="6"/>
      <c r="V548" s="44">
        <v>44708</v>
      </c>
      <c r="W548" s="45">
        <v>139.27000000000001</v>
      </c>
      <c r="X548" s="46"/>
      <c r="Y548" s="61"/>
      <c r="Z548" s="5"/>
      <c r="AA548" s="5"/>
      <c r="AB548" s="5"/>
      <c r="AC548" s="5"/>
      <c r="AD548" s="5"/>
      <c r="AE548" s="5"/>
      <c r="AF548" s="5"/>
      <c r="AG548" s="5"/>
      <c r="AH548" s="6"/>
      <c r="AI548" s="44">
        <v>44708</v>
      </c>
      <c r="AJ548" s="53">
        <v>139.27000000000001</v>
      </c>
      <c r="AK548" s="54">
        <f t="shared" si="88"/>
        <v>1.7386222514427896E-2</v>
      </c>
      <c r="AL548" s="55">
        <f t="shared" si="91"/>
        <v>10.749902099550582</v>
      </c>
      <c r="AM548" s="56">
        <v>25</v>
      </c>
      <c r="AN548" s="57">
        <f t="shared" si="89"/>
        <v>14.250097900449418</v>
      </c>
      <c r="AO548" s="76">
        <f t="shared" si="92"/>
        <v>-4.8893585729937898</v>
      </c>
      <c r="AP548" s="63" t="str">
        <f t="shared" si="93"/>
        <v/>
      </c>
      <c r="AQ548" s="63" t="str">
        <f t="shared" si="94"/>
        <v>Sell Stocks</v>
      </c>
      <c r="AR548" s="63" t="str">
        <f t="shared" si="95"/>
        <v/>
      </c>
      <c r="AS548" s="63" t="str">
        <f t="shared" si="96"/>
        <v/>
      </c>
      <c r="AT548" s="78" t="str">
        <f t="shared" si="97"/>
        <v/>
      </c>
      <c r="AU548" s="78" t="str">
        <f t="shared" si="98"/>
        <v/>
      </c>
      <c r="AV548" s="64" t="str">
        <f ca="1">IFERROR(__xludf.DUMMYFUNCTION("IF(TRIM(AU548)="""","""",AU548/INDEX(FILTER(AT$3:AT548,TRIM(AT$3:AT548)&lt;&gt;""""),ROWS(FILTER(AT$3:AT548,TRIM(AT$3:AT548)&lt;&gt;"""")))-1)"),"")</f>
        <v/>
      </c>
      <c r="AW548" s="65" t="e">
        <f t="shared" ca="1" si="90"/>
        <v>#VALUE!</v>
      </c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</row>
    <row r="549" spans="1:68" ht="19" x14ac:dyDescent="0.25">
      <c r="A549" s="5"/>
      <c r="B549" s="5"/>
      <c r="C549" s="5"/>
      <c r="D549" s="5"/>
      <c r="E549" s="5"/>
      <c r="F549" s="5"/>
      <c r="G549" s="5"/>
      <c r="H549" s="6"/>
      <c r="I549" s="5"/>
      <c r="J549" s="83"/>
      <c r="K549" s="83"/>
      <c r="L549" s="83"/>
      <c r="M549" s="83"/>
      <c r="N549" s="83"/>
      <c r="O549" s="83"/>
      <c r="P549" s="83"/>
      <c r="Q549" s="84"/>
      <c r="R549" s="83"/>
      <c r="S549" s="83"/>
      <c r="T549" s="85"/>
      <c r="U549" s="6"/>
      <c r="V549" s="44">
        <v>44712</v>
      </c>
      <c r="W549" s="45">
        <v>138.84</v>
      </c>
      <c r="X549" s="46"/>
      <c r="Y549" s="61"/>
      <c r="Z549" s="5"/>
      <c r="AA549" s="5"/>
      <c r="AB549" s="5"/>
      <c r="AC549" s="5"/>
      <c r="AD549" s="5"/>
      <c r="AE549" s="5"/>
      <c r="AF549" s="5"/>
      <c r="AG549" s="5"/>
      <c r="AH549" s="6"/>
      <c r="AI549" s="44">
        <v>44712</v>
      </c>
      <c r="AJ549" s="53">
        <v>138.84</v>
      </c>
      <c r="AK549" s="54">
        <f t="shared" si="88"/>
        <v>-3.0875278236519588E-3</v>
      </c>
      <c r="AL549" s="55">
        <f t="shared" si="91"/>
        <v>16.291074981499911</v>
      </c>
      <c r="AM549" s="56">
        <v>25</v>
      </c>
      <c r="AN549" s="57">
        <f t="shared" si="89"/>
        <v>8.7089250185000893</v>
      </c>
      <c r="AO549" s="76">
        <f t="shared" si="92"/>
        <v>0.73677821224627205</v>
      </c>
      <c r="AP549" s="63" t="str">
        <f t="shared" si="93"/>
        <v>Buy Stocks</v>
      </c>
      <c r="AQ549" s="63" t="str">
        <f t="shared" si="94"/>
        <v/>
      </c>
      <c r="AR549" s="63" t="str">
        <f t="shared" si="95"/>
        <v>Buy Stocks</v>
      </c>
      <c r="AS549" s="63" t="str">
        <f t="shared" si="96"/>
        <v/>
      </c>
      <c r="AT549" s="77">
        <f t="shared" si="97"/>
        <v>138.84</v>
      </c>
      <c r="AU549" s="78" t="str">
        <f t="shared" si="98"/>
        <v/>
      </c>
      <c r="AV549" s="64" t="str">
        <f ca="1">IFERROR(__xludf.DUMMYFUNCTION("IF(TRIM(AU549)="""","""",AU549/INDEX(FILTER(AT$3:AT549,TRIM(AT$3:AT549)&lt;&gt;""""),ROWS(FILTER(AT$3:AT549,TRIM(AT$3:AT549)&lt;&gt;"""")))-1)"),"")</f>
        <v/>
      </c>
      <c r="AW549" s="65" t="e">
        <f t="shared" ca="1" si="90"/>
        <v>#VALUE!</v>
      </c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</row>
    <row r="550" spans="1:68" ht="19" x14ac:dyDescent="0.25">
      <c r="A550" s="5"/>
      <c r="B550" s="5"/>
      <c r="C550" s="5"/>
      <c r="D550" s="5"/>
      <c r="E550" s="5"/>
      <c r="F550" s="5"/>
      <c r="G550" s="5"/>
      <c r="H550" s="6"/>
      <c r="I550" s="5"/>
      <c r="J550" s="83"/>
      <c r="K550" s="83"/>
      <c r="L550" s="83"/>
      <c r="M550" s="83"/>
      <c r="N550" s="83"/>
      <c r="O550" s="83"/>
      <c r="P550" s="83"/>
      <c r="Q550" s="84"/>
      <c r="R550" s="83"/>
      <c r="S550" s="83"/>
      <c r="T550" s="85"/>
      <c r="U550" s="6"/>
      <c r="V550" s="44">
        <v>44713</v>
      </c>
      <c r="W550" s="45">
        <v>139.43</v>
      </c>
      <c r="X550" s="46"/>
      <c r="Y550" s="61"/>
      <c r="Z550" s="5"/>
      <c r="AA550" s="5"/>
      <c r="AB550" s="5"/>
      <c r="AC550" s="5"/>
      <c r="AD550" s="5"/>
      <c r="AE550" s="5"/>
      <c r="AF550" s="5"/>
      <c r="AG550" s="5"/>
      <c r="AH550" s="6"/>
      <c r="AI550" s="44">
        <v>44713</v>
      </c>
      <c r="AJ550" s="53">
        <v>139.43</v>
      </c>
      <c r="AK550" s="54">
        <f t="shared" si="88"/>
        <v>4.2494958225296475E-3</v>
      </c>
      <c r="AL550" s="55">
        <f t="shared" si="91"/>
        <v>14.847536799853239</v>
      </c>
      <c r="AM550" s="56">
        <v>25</v>
      </c>
      <c r="AN550" s="57">
        <f t="shared" si="89"/>
        <v>10.152463200146761</v>
      </c>
      <c r="AO550" s="76">
        <f t="shared" si="92"/>
        <v>6.2668244193422833</v>
      </c>
      <c r="AP550" s="63" t="str">
        <f t="shared" si="93"/>
        <v>Buy Stocks</v>
      </c>
      <c r="AQ550" s="63" t="str">
        <f t="shared" si="94"/>
        <v/>
      </c>
      <c r="AR550" s="63" t="str">
        <f t="shared" si="95"/>
        <v/>
      </c>
      <c r="AS550" s="63" t="str">
        <f t="shared" si="96"/>
        <v/>
      </c>
      <c r="AT550" s="78" t="str">
        <f t="shared" si="97"/>
        <v/>
      </c>
      <c r="AU550" s="78" t="str">
        <f t="shared" si="98"/>
        <v/>
      </c>
      <c r="AV550" s="64" t="str">
        <f ca="1">IFERROR(__xludf.DUMMYFUNCTION("IF(TRIM(AU550)="""","""",AU550/INDEX(FILTER(AT$3:AT550,TRIM(AT$3:AT550)&lt;&gt;""""),ROWS(FILTER(AT$3:AT550,TRIM(AT$3:AT550)&lt;&gt;"""")))-1)"),"")</f>
        <v/>
      </c>
      <c r="AW550" s="65" t="e">
        <f t="shared" ca="1" si="90"/>
        <v>#VALUE!</v>
      </c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</row>
    <row r="551" spans="1:68" ht="19" x14ac:dyDescent="0.25">
      <c r="A551" s="5"/>
      <c r="B551" s="5"/>
      <c r="C551" s="5"/>
      <c r="D551" s="5"/>
      <c r="E551" s="5"/>
      <c r="F551" s="5"/>
      <c r="G551" s="5"/>
      <c r="H551" s="6"/>
      <c r="I551" s="5"/>
      <c r="J551" s="83"/>
      <c r="K551" s="83"/>
      <c r="L551" s="83"/>
      <c r="M551" s="83"/>
      <c r="N551" s="83"/>
      <c r="O551" s="83"/>
      <c r="P551" s="83"/>
      <c r="Q551" s="84"/>
      <c r="R551" s="83"/>
      <c r="S551" s="83"/>
      <c r="T551" s="85"/>
      <c r="U551" s="6"/>
      <c r="V551" s="87">
        <v>44714</v>
      </c>
      <c r="W551" s="45">
        <v>140.15</v>
      </c>
      <c r="X551" s="46"/>
      <c r="Y551" s="61"/>
      <c r="Z551" s="5"/>
      <c r="AA551" s="5"/>
      <c r="AB551" s="5"/>
      <c r="AC551" s="5"/>
      <c r="AD551" s="5"/>
      <c r="AE551" s="5"/>
      <c r="AF551" s="5"/>
      <c r="AG551" s="5"/>
      <c r="AH551" s="6"/>
      <c r="AI551" s="87">
        <v>44714</v>
      </c>
      <c r="AJ551" s="53">
        <v>140.15</v>
      </c>
      <c r="AK551" s="54">
        <f t="shared" si="88"/>
        <v>5.1638815176073827E-3</v>
      </c>
      <c r="AL551" s="55">
        <f t="shared" si="91"/>
        <v>14.731837656090899</v>
      </c>
      <c r="AM551" s="56">
        <v>25</v>
      </c>
      <c r="AN551" s="57">
        <f t="shared" si="89"/>
        <v>10.268162343909101</v>
      </c>
      <c r="AO551" s="76">
        <f t="shared" si="92"/>
        <v>9.518370775802385</v>
      </c>
      <c r="AP551" s="63" t="str">
        <f t="shared" si="93"/>
        <v>Buy Stocks</v>
      </c>
      <c r="AQ551" s="63" t="str">
        <f t="shared" si="94"/>
        <v/>
      </c>
      <c r="AR551" s="63" t="str">
        <f t="shared" si="95"/>
        <v/>
      </c>
      <c r="AS551" s="63" t="str">
        <f t="shared" si="96"/>
        <v/>
      </c>
      <c r="AT551" s="78" t="str">
        <f t="shared" si="97"/>
        <v/>
      </c>
      <c r="AU551" s="78" t="str">
        <f t="shared" si="98"/>
        <v/>
      </c>
      <c r="AV551" s="64" t="str">
        <f ca="1">IFERROR(__xludf.DUMMYFUNCTION("IF(TRIM(AU551)="""","""",AU551/INDEX(FILTER(AT$3:AT551,TRIM(AT$3:AT551)&lt;&gt;""""),ROWS(FILTER(AT$3:AT551,TRIM(AT$3:AT551)&lt;&gt;"""")))-1)"),"")</f>
        <v/>
      </c>
      <c r="AW551" s="65" t="e">
        <f t="shared" ca="1" si="90"/>
        <v>#VALUE!</v>
      </c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</row>
    <row r="552" spans="1:68" ht="19" x14ac:dyDescent="0.25">
      <c r="A552" s="5"/>
      <c r="B552" s="5"/>
      <c r="C552" s="5"/>
      <c r="D552" s="5"/>
      <c r="E552" s="5"/>
      <c r="F552" s="5"/>
      <c r="G552" s="5"/>
      <c r="H552" s="6"/>
      <c r="I552" s="5"/>
      <c r="J552" s="83"/>
      <c r="K552" s="83"/>
      <c r="L552" s="83"/>
      <c r="M552" s="83"/>
      <c r="N552" s="83"/>
      <c r="O552" s="83"/>
      <c r="P552" s="83"/>
      <c r="Q552" s="84"/>
      <c r="R552" s="83"/>
      <c r="S552" s="83"/>
      <c r="T552" s="85"/>
      <c r="U552" s="6"/>
      <c r="V552" s="87">
        <v>44715</v>
      </c>
      <c r="W552" s="45">
        <v>141.18</v>
      </c>
      <c r="X552" s="46"/>
      <c r="Y552" s="61"/>
      <c r="Z552" s="5"/>
      <c r="AA552" s="5"/>
      <c r="AB552" s="5"/>
      <c r="AC552" s="5"/>
      <c r="AD552" s="5"/>
      <c r="AE552" s="5"/>
      <c r="AF552" s="5"/>
      <c r="AG552" s="5"/>
      <c r="AH552" s="6"/>
      <c r="AI552" s="87">
        <v>44715</v>
      </c>
      <c r="AJ552" s="53">
        <v>141.18</v>
      </c>
      <c r="AK552" s="54">
        <f t="shared" si="88"/>
        <v>7.3492686407421459E-3</v>
      </c>
      <c r="AL552" s="55">
        <f t="shared" si="91"/>
        <v>11.708130821021653</v>
      </c>
      <c r="AM552" s="56">
        <v>25</v>
      </c>
      <c r="AN552" s="57">
        <f t="shared" si="89"/>
        <v>13.291869178978347</v>
      </c>
      <c r="AO552" s="76">
        <f t="shared" si="92"/>
        <v>11.334303528396742</v>
      </c>
      <c r="AP552" s="63" t="str">
        <f t="shared" si="93"/>
        <v>Buy Stocks</v>
      </c>
      <c r="AQ552" s="63" t="str">
        <f t="shared" si="94"/>
        <v/>
      </c>
      <c r="AR552" s="63" t="str">
        <f t="shared" si="95"/>
        <v/>
      </c>
      <c r="AS552" s="63" t="str">
        <f t="shared" si="96"/>
        <v/>
      </c>
      <c r="AT552" s="78" t="str">
        <f t="shared" si="97"/>
        <v/>
      </c>
      <c r="AU552" s="78" t="str">
        <f t="shared" si="98"/>
        <v/>
      </c>
      <c r="AV552" s="64" t="str">
        <f ca="1">IFERROR(__xludf.DUMMYFUNCTION("IF(TRIM(AU552)="""","""",AU552/INDEX(FILTER(AT$3:AT552,TRIM(AT$3:AT552)&lt;&gt;""""),ROWS(FILTER(AT$3:AT552,TRIM(AT$3:AT552)&lt;&gt;"""")))-1)"),"")</f>
        <v/>
      </c>
      <c r="AW552" s="65" t="e">
        <f t="shared" ca="1" si="90"/>
        <v>#VALUE!</v>
      </c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</row>
    <row r="553" spans="1:68" ht="19" x14ac:dyDescent="0.25">
      <c r="A553" s="5"/>
      <c r="B553" s="5"/>
      <c r="C553" s="5"/>
      <c r="D553" s="5"/>
      <c r="E553" s="5"/>
      <c r="F553" s="5"/>
      <c r="G553" s="5"/>
      <c r="H553" s="6"/>
      <c r="I553" s="5"/>
      <c r="J553" s="83"/>
      <c r="K553" s="83"/>
      <c r="L553" s="83"/>
      <c r="M553" s="83"/>
      <c r="N553" s="83"/>
      <c r="O553" s="83"/>
      <c r="P553" s="83"/>
      <c r="Q553" s="84"/>
      <c r="R553" s="83"/>
      <c r="S553" s="83"/>
      <c r="T553" s="85"/>
      <c r="U553" s="6"/>
      <c r="V553" s="87">
        <v>44718</v>
      </c>
      <c r="W553" s="45">
        <v>142.88</v>
      </c>
      <c r="X553" s="46"/>
      <c r="Y553" s="61"/>
      <c r="Z553" s="5"/>
      <c r="AA553" s="5"/>
      <c r="AB553" s="5"/>
      <c r="AC553" s="5"/>
      <c r="AD553" s="5"/>
      <c r="AE553" s="5"/>
      <c r="AF553" s="5"/>
      <c r="AG553" s="5"/>
      <c r="AH553" s="6"/>
      <c r="AI553" s="87">
        <v>44718</v>
      </c>
      <c r="AJ553" s="53">
        <v>142.88</v>
      </c>
      <c r="AK553" s="54">
        <f t="shared" si="88"/>
        <v>1.204136563252578E-2</v>
      </c>
      <c r="AL553" s="55">
        <f t="shared" si="91"/>
        <v>8.7308149258073779</v>
      </c>
      <c r="AM553" s="56">
        <v>25</v>
      </c>
      <c r="AN553" s="57">
        <f t="shared" si="89"/>
        <v>16.26918507419262</v>
      </c>
      <c r="AO553" s="76">
        <f t="shared" si="92"/>
        <v>11.738120963145384</v>
      </c>
      <c r="AP553" s="63" t="str">
        <f t="shared" si="93"/>
        <v>Buy Stocks</v>
      </c>
      <c r="AQ553" s="63" t="str">
        <f t="shared" si="94"/>
        <v/>
      </c>
      <c r="AR553" s="63" t="str">
        <f t="shared" si="95"/>
        <v/>
      </c>
      <c r="AS553" s="63" t="str">
        <f t="shared" si="96"/>
        <v/>
      </c>
      <c r="AT553" s="78" t="str">
        <f t="shared" si="97"/>
        <v/>
      </c>
      <c r="AU553" s="78" t="str">
        <f t="shared" si="98"/>
        <v/>
      </c>
      <c r="AV553" s="64" t="str">
        <f ca="1">IFERROR(__xludf.DUMMYFUNCTION("IF(TRIM(AU553)="""","""",AU553/INDEX(FILTER(AT$3:AT553,TRIM(AT$3:AT553)&lt;&gt;""""),ROWS(FILTER(AT$3:AT553,TRIM(AT$3:AT553)&lt;&gt;"""")))-1)"),"")</f>
        <v/>
      </c>
      <c r="AW553" s="65" t="e">
        <f t="shared" ca="1" si="90"/>
        <v>#VALUE!</v>
      </c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</row>
    <row r="554" spans="1:68" ht="19" x14ac:dyDescent="0.25">
      <c r="A554" s="5"/>
      <c r="B554" s="5"/>
      <c r="C554" s="5"/>
      <c r="D554" s="5"/>
      <c r="E554" s="5"/>
      <c r="F554" s="5"/>
      <c r="G554" s="5"/>
      <c r="H554" s="6"/>
      <c r="I554" s="5"/>
      <c r="J554" s="83"/>
      <c r="K554" s="83"/>
      <c r="L554" s="83"/>
      <c r="M554" s="83"/>
      <c r="N554" s="83"/>
      <c r="O554" s="83"/>
      <c r="P554" s="83"/>
      <c r="Q554" s="84"/>
      <c r="R554" s="83"/>
      <c r="S554" s="83"/>
      <c r="T554" s="85"/>
      <c r="U554" s="6"/>
      <c r="V554" s="87">
        <v>44719</v>
      </c>
      <c r="W554" s="45">
        <v>142.78</v>
      </c>
      <c r="X554" s="46"/>
      <c r="Y554" s="61"/>
      <c r="Z554" s="5"/>
      <c r="AA554" s="5"/>
      <c r="AB554" s="5"/>
      <c r="AC554" s="5"/>
      <c r="AD554" s="5"/>
      <c r="AE554" s="5"/>
      <c r="AF554" s="5"/>
      <c r="AG554" s="5"/>
      <c r="AH554" s="6"/>
      <c r="AI554" s="87">
        <v>44719</v>
      </c>
      <c r="AJ554" s="53">
        <v>142.78</v>
      </c>
      <c r="AK554" s="54">
        <f t="shared" si="88"/>
        <v>-6.998880179170941E-4</v>
      </c>
      <c r="AL554" s="55">
        <f t="shared" si="91"/>
        <v>7.3714663761468628</v>
      </c>
      <c r="AM554" s="56">
        <v>25</v>
      </c>
      <c r="AN554" s="57">
        <f t="shared" si="89"/>
        <v>17.628533623853137</v>
      </c>
      <c r="AO554" s="76">
        <f t="shared" si="92"/>
        <v>13.522042684215993</v>
      </c>
      <c r="AP554" s="63" t="str">
        <f t="shared" si="93"/>
        <v>Buy Stocks</v>
      </c>
      <c r="AQ554" s="63" t="str">
        <f t="shared" si="94"/>
        <v/>
      </c>
      <c r="AR554" s="63" t="str">
        <f t="shared" si="95"/>
        <v/>
      </c>
      <c r="AS554" s="63" t="str">
        <f t="shared" si="96"/>
        <v/>
      </c>
      <c r="AT554" s="78" t="str">
        <f t="shared" si="97"/>
        <v/>
      </c>
      <c r="AU554" s="78" t="str">
        <f t="shared" si="98"/>
        <v/>
      </c>
      <c r="AV554" s="64" t="str">
        <f ca="1">IFERROR(__xludf.DUMMYFUNCTION("IF(TRIM(AU554)="""","""",AU554/INDEX(FILTER(AT$3:AT554,TRIM(AT$3:AT554)&lt;&gt;""""),ROWS(FILTER(AT$3:AT554,TRIM(AT$3:AT554)&lt;&gt;"""")))-1)"),"")</f>
        <v/>
      </c>
      <c r="AW554" s="65" t="e">
        <f t="shared" ca="1" si="90"/>
        <v>#VALUE!</v>
      </c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</row>
    <row r="555" spans="1:68" ht="19" x14ac:dyDescent="0.25">
      <c r="A555" s="5"/>
      <c r="B555" s="5"/>
      <c r="C555" s="5"/>
      <c r="D555" s="5"/>
      <c r="E555" s="5"/>
      <c r="F555" s="5"/>
      <c r="G555" s="5"/>
      <c r="H555" s="6"/>
      <c r="I555" s="5"/>
      <c r="J555" s="83"/>
      <c r="K555" s="83"/>
      <c r="L555" s="83"/>
      <c r="M555" s="83"/>
      <c r="N555" s="83"/>
      <c r="O555" s="83"/>
      <c r="P555" s="83"/>
      <c r="Q555" s="84"/>
      <c r="R555" s="83"/>
      <c r="S555" s="83"/>
      <c r="T555" s="85"/>
      <c r="U555" s="6"/>
      <c r="V555" s="87">
        <v>44720</v>
      </c>
      <c r="W555" s="45">
        <v>140.83000000000001</v>
      </c>
      <c r="X555" s="46"/>
      <c r="Y555" s="61"/>
      <c r="Z555" s="5"/>
      <c r="AA555" s="5"/>
      <c r="AB555" s="5"/>
      <c r="AC555" s="5"/>
      <c r="AD555" s="5"/>
      <c r="AE555" s="5"/>
      <c r="AF555" s="5"/>
      <c r="AG555" s="5"/>
      <c r="AH555" s="6"/>
      <c r="AI555" s="87">
        <v>44720</v>
      </c>
      <c r="AJ555" s="53">
        <v>140.83000000000001</v>
      </c>
      <c r="AK555" s="54">
        <f t="shared" si="88"/>
        <v>-1.3657374982490422E-2</v>
      </c>
      <c r="AL555" s="55">
        <f t="shared" si="91"/>
        <v>15.712732908631001</v>
      </c>
      <c r="AM555" s="56">
        <v>25</v>
      </c>
      <c r="AN555" s="57">
        <f t="shared" si="89"/>
        <v>9.2872670913689994</v>
      </c>
      <c r="AO555" s="76">
        <f t="shared" si="92"/>
        <v>13.349003462460441</v>
      </c>
      <c r="AP555" s="63" t="str">
        <f t="shared" si="93"/>
        <v>Buy Stocks</v>
      </c>
      <c r="AQ555" s="63" t="str">
        <f t="shared" si="94"/>
        <v/>
      </c>
      <c r="AR555" s="63" t="str">
        <f t="shared" si="95"/>
        <v/>
      </c>
      <c r="AS555" s="63" t="str">
        <f t="shared" si="96"/>
        <v/>
      </c>
      <c r="AT555" s="78" t="str">
        <f t="shared" si="97"/>
        <v/>
      </c>
      <c r="AU555" s="78" t="str">
        <f t="shared" si="98"/>
        <v/>
      </c>
      <c r="AV555" s="64" t="str">
        <f ca="1">IFERROR(__xludf.DUMMYFUNCTION("IF(TRIM(AU555)="""","""",AU555/INDEX(FILTER(AT$3:AT555,TRIM(AT$3:AT555)&lt;&gt;""""),ROWS(FILTER(AT$3:AT555,TRIM(AT$3:AT555)&lt;&gt;"""")))-1)"),"")</f>
        <v/>
      </c>
      <c r="AW555" s="65" t="e">
        <f t="shared" ca="1" si="90"/>
        <v>#VALUE!</v>
      </c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</row>
    <row r="556" spans="1:68" ht="19" x14ac:dyDescent="0.25">
      <c r="A556" s="5"/>
      <c r="B556" s="5"/>
      <c r="C556" s="5"/>
      <c r="D556" s="5"/>
      <c r="E556" s="5"/>
      <c r="F556" s="5"/>
      <c r="G556" s="5"/>
      <c r="H556" s="6"/>
      <c r="I556" s="5"/>
      <c r="J556" s="83"/>
      <c r="K556" s="83"/>
      <c r="L556" s="83"/>
      <c r="M556" s="83"/>
      <c r="N556" s="83"/>
      <c r="O556" s="83"/>
      <c r="P556" s="83"/>
      <c r="Q556" s="84"/>
      <c r="R556" s="83"/>
      <c r="S556" s="83"/>
      <c r="T556" s="85"/>
      <c r="U556" s="6"/>
      <c r="V556" s="87">
        <v>44721</v>
      </c>
      <c r="W556" s="45">
        <v>137.96</v>
      </c>
      <c r="X556" s="46"/>
      <c r="Y556" s="61"/>
      <c r="Z556" s="5"/>
      <c r="AA556" s="5"/>
      <c r="AB556" s="5"/>
      <c r="AC556" s="5"/>
      <c r="AD556" s="5"/>
      <c r="AE556" s="5"/>
      <c r="AF556" s="5"/>
      <c r="AG556" s="5"/>
      <c r="AH556" s="6"/>
      <c r="AI556" s="87">
        <v>44721</v>
      </c>
      <c r="AJ556" s="53">
        <v>137.96</v>
      </c>
      <c r="AK556" s="54">
        <f t="shared" si="88"/>
        <v>-2.0379180572321243E-2</v>
      </c>
      <c r="AL556" s="55">
        <f t="shared" si="91"/>
        <v>21.79830922740404</v>
      </c>
      <c r="AM556" s="56">
        <v>25</v>
      </c>
      <c r="AN556" s="57">
        <f t="shared" si="89"/>
        <v>3.2016907725959598</v>
      </c>
      <c r="AO556" s="76">
        <f t="shared" si="92"/>
        <v>11.935709148197812</v>
      </c>
      <c r="AP556" s="63" t="str">
        <f t="shared" si="93"/>
        <v>Buy Stocks</v>
      </c>
      <c r="AQ556" s="63" t="str">
        <f t="shared" si="94"/>
        <v/>
      </c>
      <c r="AR556" s="63" t="str">
        <f t="shared" si="95"/>
        <v/>
      </c>
      <c r="AS556" s="63" t="str">
        <f t="shared" si="96"/>
        <v/>
      </c>
      <c r="AT556" s="78" t="str">
        <f t="shared" si="97"/>
        <v/>
      </c>
      <c r="AU556" s="78" t="str">
        <f t="shared" si="98"/>
        <v/>
      </c>
      <c r="AV556" s="64" t="str">
        <f ca="1">IFERROR(__xludf.DUMMYFUNCTION("IF(TRIM(AU556)="""","""",AU556/INDEX(FILTER(AT$3:AT556,TRIM(AT$3:AT556)&lt;&gt;""""),ROWS(FILTER(AT$3:AT556,TRIM(AT$3:AT556)&lt;&gt;"""")))-1)"),"")</f>
        <v/>
      </c>
      <c r="AW556" s="65" t="e">
        <f t="shared" ca="1" si="90"/>
        <v>#VALUE!</v>
      </c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</row>
    <row r="557" spans="1:68" ht="19" x14ac:dyDescent="0.25">
      <c r="A557" s="5"/>
      <c r="B557" s="5"/>
      <c r="C557" s="5"/>
      <c r="D557" s="5"/>
      <c r="E557" s="5"/>
      <c r="F557" s="5"/>
      <c r="G557" s="5"/>
      <c r="H557" s="6"/>
      <c r="I557" s="5"/>
      <c r="J557" s="83"/>
      <c r="K557" s="83"/>
      <c r="L557" s="83"/>
      <c r="M557" s="83"/>
      <c r="N557" s="83"/>
      <c r="O557" s="83"/>
      <c r="P557" s="83"/>
      <c r="Q557" s="84"/>
      <c r="R557" s="83"/>
      <c r="S557" s="83"/>
      <c r="T557" s="85"/>
      <c r="U557" s="6"/>
      <c r="V557" s="87">
        <v>44722</v>
      </c>
      <c r="W557" s="45">
        <v>136.19</v>
      </c>
      <c r="X557" s="46"/>
      <c r="Y557" s="61"/>
      <c r="Z557" s="5"/>
      <c r="AA557" s="5"/>
      <c r="AB557" s="5"/>
      <c r="AC557" s="5"/>
      <c r="AD557" s="5"/>
      <c r="AE557" s="5"/>
      <c r="AF557" s="5"/>
      <c r="AG557" s="5"/>
      <c r="AH557" s="6"/>
      <c r="AI557" s="87">
        <v>44722</v>
      </c>
      <c r="AJ557" s="53">
        <v>136.19</v>
      </c>
      <c r="AK557" s="54">
        <f t="shared" si="88"/>
        <v>-1.2829805740794509E-2</v>
      </c>
      <c r="AL557" s="55">
        <f t="shared" si="91"/>
        <v>20.383753063134151</v>
      </c>
      <c r="AM557" s="56">
        <v>25</v>
      </c>
      <c r="AN557" s="57">
        <f t="shared" si="89"/>
        <v>4.6162469368658492</v>
      </c>
      <c r="AO557" s="76">
        <f t="shared" si="92"/>
        <v>10.200584699775312</v>
      </c>
      <c r="AP557" s="63" t="str">
        <f t="shared" si="93"/>
        <v>Buy Stocks</v>
      </c>
      <c r="AQ557" s="63" t="str">
        <f t="shared" si="94"/>
        <v/>
      </c>
      <c r="AR557" s="63" t="str">
        <f t="shared" si="95"/>
        <v/>
      </c>
      <c r="AS557" s="63" t="str">
        <f t="shared" si="96"/>
        <v/>
      </c>
      <c r="AT557" s="78" t="str">
        <f t="shared" si="97"/>
        <v/>
      </c>
      <c r="AU557" s="78" t="str">
        <f t="shared" si="98"/>
        <v/>
      </c>
      <c r="AV557" s="64" t="str">
        <f ca="1">IFERROR(__xludf.DUMMYFUNCTION("IF(TRIM(AU557)="""","""",AU557/INDEX(FILTER(AT$3:AT557,TRIM(AT$3:AT557)&lt;&gt;""""),ROWS(FILTER(AT$3:AT557,TRIM(AT$3:AT557)&lt;&gt;"""")))-1)"),"")</f>
        <v/>
      </c>
      <c r="AW557" s="65" t="e">
        <f t="shared" ca="1" si="90"/>
        <v>#VALUE!</v>
      </c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</row>
    <row r="558" spans="1:68" ht="19" x14ac:dyDescent="0.25">
      <c r="A558" s="5"/>
      <c r="B558" s="5"/>
      <c r="C558" s="5"/>
      <c r="D558" s="5"/>
      <c r="E558" s="5"/>
      <c r="F558" s="5"/>
      <c r="G558" s="5"/>
      <c r="H558" s="6"/>
      <c r="I558" s="5"/>
      <c r="J558" s="83"/>
      <c r="K558" s="83"/>
      <c r="L558" s="83"/>
      <c r="M558" s="83"/>
      <c r="N558" s="83"/>
      <c r="O558" s="83"/>
      <c r="P558" s="83"/>
      <c r="Q558" s="84"/>
      <c r="R558" s="83"/>
      <c r="S558" s="83"/>
      <c r="T558" s="85"/>
      <c r="U558" s="6"/>
      <c r="V558" s="87">
        <v>44725</v>
      </c>
      <c r="W558" s="45">
        <v>135.11000000000001</v>
      </c>
      <c r="X558" s="46"/>
      <c r="Y558" s="61"/>
      <c r="Z558" s="5"/>
      <c r="AA558" s="5"/>
      <c r="AB558" s="5"/>
      <c r="AC558" s="5"/>
      <c r="AD558" s="5"/>
      <c r="AE558" s="5"/>
      <c r="AF558" s="5"/>
      <c r="AG558" s="5"/>
      <c r="AH558" s="6"/>
      <c r="AI558" s="87">
        <v>44725</v>
      </c>
      <c r="AJ558" s="53">
        <v>135.11000000000001</v>
      </c>
      <c r="AK558" s="54">
        <f t="shared" si="88"/>
        <v>-7.9300976576840432E-3</v>
      </c>
      <c r="AL558" s="55">
        <f t="shared" si="91"/>
        <v>11.607028145165701</v>
      </c>
      <c r="AM558" s="56">
        <v>25</v>
      </c>
      <c r="AN558" s="57">
        <f t="shared" si="89"/>
        <v>13.392971854834299</v>
      </c>
      <c r="AO558" s="76">
        <f t="shared" si="92"/>
        <v>9.6253420559036496</v>
      </c>
      <c r="AP558" s="63" t="str">
        <f t="shared" si="93"/>
        <v>Buy Stocks</v>
      </c>
      <c r="AQ558" s="63" t="str">
        <f t="shared" si="94"/>
        <v/>
      </c>
      <c r="AR558" s="63" t="str">
        <f t="shared" si="95"/>
        <v/>
      </c>
      <c r="AS558" s="63" t="str">
        <f t="shared" si="96"/>
        <v/>
      </c>
      <c r="AT558" s="78" t="str">
        <f t="shared" si="97"/>
        <v/>
      </c>
      <c r="AU558" s="78" t="str">
        <f t="shared" si="98"/>
        <v/>
      </c>
      <c r="AV558" s="64" t="str">
        <f ca="1">IFERROR(__xludf.DUMMYFUNCTION("IF(TRIM(AU558)="""","""",AU558/INDEX(FILTER(AT$3:AT558,TRIM(AT$3:AT558)&lt;&gt;""""),ROWS(FILTER(AT$3:AT558,TRIM(AT$3:AT558)&lt;&gt;"""")))-1)"),"")</f>
        <v/>
      </c>
      <c r="AW558" s="65" t="e">
        <f t="shared" ca="1" si="90"/>
        <v>#VALUE!</v>
      </c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</row>
    <row r="559" spans="1:68" ht="19" x14ac:dyDescent="0.25">
      <c r="A559" s="5"/>
      <c r="B559" s="5"/>
      <c r="C559" s="5"/>
      <c r="D559" s="5"/>
      <c r="E559" s="5"/>
      <c r="F559" s="5"/>
      <c r="G559" s="5"/>
      <c r="H559" s="6"/>
      <c r="I559" s="5"/>
      <c r="J559" s="83"/>
      <c r="K559" s="83"/>
      <c r="L559" s="83"/>
      <c r="M559" s="83"/>
      <c r="N559" s="83"/>
      <c r="O559" s="83"/>
      <c r="P559" s="83"/>
      <c r="Q559" s="84"/>
      <c r="R559" s="83"/>
      <c r="S559" s="83"/>
      <c r="T559" s="85"/>
      <c r="U559" s="6"/>
      <c r="V559" s="87">
        <v>44726</v>
      </c>
      <c r="W559" s="45">
        <v>135.72</v>
      </c>
      <c r="X559" s="46"/>
      <c r="Y559" s="61"/>
      <c r="Z559" s="5"/>
      <c r="AA559" s="5"/>
      <c r="AB559" s="5"/>
      <c r="AC559" s="5"/>
      <c r="AD559" s="5"/>
      <c r="AE559" s="5"/>
      <c r="AF559" s="5"/>
      <c r="AG559" s="5"/>
      <c r="AH559" s="6"/>
      <c r="AI559" s="87">
        <v>44726</v>
      </c>
      <c r="AJ559" s="53">
        <v>135.72</v>
      </c>
      <c r="AK559" s="54">
        <f t="shared" si="88"/>
        <v>4.5148397601952883E-3</v>
      </c>
      <c r="AL559" s="55">
        <f t="shared" si="91"/>
        <v>14.72271363940896</v>
      </c>
      <c r="AM559" s="56">
        <v>25</v>
      </c>
      <c r="AN559" s="57">
        <f t="shared" si="89"/>
        <v>10.27728636059104</v>
      </c>
      <c r="AO559" s="76">
        <f t="shared" si="92"/>
        <v>8.1550926032512301</v>
      </c>
      <c r="AP559" s="63" t="str">
        <f t="shared" si="93"/>
        <v>Buy Stocks</v>
      </c>
      <c r="AQ559" s="63" t="str">
        <f t="shared" si="94"/>
        <v/>
      </c>
      <c r="AR559" s="63" t="str">
        <f t="shared" si="95"/>
        <v/>
      </c>
      <c r="AS559" s="63" t="str">
        <f t="shared" si="96"/>
        <v/>
      </c>
      <c r="AT559" s="78" t="str">
        <f t="shared" si="97"/>
        <v/>
      </c>
      <c r="AU559" s="78" t="str">
        <f t="shared" si="98"/>
        <v/>
      </c>
      <c r="AV559" s="64" t="str">
        <f ca="1">IFERROR(__xludf.DUMMYFUNCTION("IF(TRIM(AU559)="""","""",AU559/INDEX(FILTER(AT$3:AT559,TRIM(AT$3:AT559)&lt;&gt;""""),ROWS(FILTER(AT$3:AT559,TRIM(AT$3:AT559)&lt;&gt;"""")))-1)"),"")</f>
        <v/>
      </c>
      <c r="AW559" s="65" t="e">
        <f t="shared" ca="1" si="90"/>
        <v>#VALUE!</v>
      </c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</row>
    <row r="560" spans="1:68" ht="19" x14ac:dyDescent="0.25">
      <c r="A560" s="5"/>
      <c r="B560" s="5"/>
      <c r="C560" s="5"/>
      <c r="D560" s="5"/>
      <c r="E560" s="5"/>
      <c r="F560" s="5"/>
      <c r="G560" s="5"/>
      <c r="H560" s="6"/>
      <c r="I560" s="5"/>
      <c r="J560" s="83"/>
      <c r="K560" s="83"/>
      <c r="L560" s="83"/>
      <c r="M560" s="83"/>
      <c r="N560" s="83"/>
      <c r="O560" s="83"/>
      <c r="P560" s="83"/>
      <c r="Q560" s="84"/>
      <c r="R560" s="83"/>
      <c r="S560" s="83"/>
      <c r="T560" s="85"/>
      <c r="U560" s="6"/>
      <c r="V560" s="87">
        <v>44727</v>
      </c>
      <c r="W560" s="45">
        <v>137.06</v>
      </c>
      <c r="X560" s="46"/>
      <c r="Y560" s="61"/>
      <c r="Z560" s="5"/>
      <c r="AA560" s="5"/>
      <c r="AB560" s="5"/>
      <c r="AC560" s="5"/>
      <c r="AD560" s="5"/>
      <c r="AE560" s="5"/>
      <c r="AF560" s="5"/>
      <c r="AG560" s="5"/>
      <c r="AH560" s="6"/>
      <c r="AI560" s="87">
        <v>44727</v>
      </c>
      <c r="AJ560" s="53">
        <v>137.06</v>
      </c>
      <c r="AK560" s="54">
        <f t="shared" si="88"/>
        <v>9.8732684939581983E-3</v>
      </c>
      <c r="AL560" s="55">
        <f t="shared" si="91"/>
        <v>19.724413529453273</v>
      </c>
      <c r="AM560" s="56">
        <v>25</v>
      </c>
      <c r="AN560" s="57">
        <f t="shared" si="89"/>
        <v>5.2755864705467275</v>
      </c>
      <c r="AO560" s="76">
        <f t="shared" si="92"/>
        <v>7.3527564790867759</v>
      </c>
      <c r="AP560" s="63" t="str">
        <f t="shared" si="93"/>
        <v>Buy Stocks</v>
      </c>
      <c r="AQ560" s="63" t="str">
        <f t="shared" si="94"/>
        <v/>
      </c>
      <c r="AR560" s="63" t="str">
        <f t="shared" si="95"/>
        <v/>
      </c>
      <c r="AS560" s="63" t="str">
        <f t="shared" si="96"/>
        <v/>
      </c>
      <c r="AT560" s="78" t="str">
        <f t="shared" si="97"/>
        <v/>
      </c>
      <c r="AU560" s="78" t="str">
        <f t="shared" si="98"/>
        <v/>
      </c>
      <c r="AV560" s="64" t="str">
        <f ca="1">IFERROR(__xludf.DUMMYFUNCTION("IF(TRIM(AU560)="""","""",AU560/INDEX(FILTER(AT$3:AT560,TRIM(AT$3:AT560)&lt;&gt;""""),ROWS(FILTER(AT$3:AT560,TRIM(AT$3:AT560)&lt;&gt;"""")))-1)"),"")</f>
        <v/>
      </c>
      <c r="AW560" s="65" t="e">
        <f t="shared" ca="1" si="90"/>
        <v>#VALUE!</v>
      </c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</row>
    <row r="561" spans="1:68" ht="19" x14ac:dyDescent="0.25">
      <c r="A561" s="5"/>
      <c r="B561" s="5"/>
      <c r="C561" s="5"/>
      <c r="D561" s="5"/>
      <c r="E561" s="5"/>
      <c r="F561" s="5"/>
      <c r="G561" s="5"/>
      <c r="H561" s="6"/>
      <c r="I561" s="5"/>
      <c r="J561" s="83"/>
      <c r="K561" s="83"/>
      <c r="L561" s="83"/>
      <c r="M561" s="83"/>
      <c r="N561" s="83"/>
      <c r="O561" s="83"/>
      <c r="P561" s="83"/>
      <c r="Q561" s="84"/>
      <c r="R561" s="83"/>
      <c r="S561" s="83"/>
      <c r="T561" s="85"/>
      <c r="U561" s="6"/>
      <c r="V561" s="87">
        <v>44728</v>
      </c>
      <c r="W561" s="45">
        <v>135.66999999999999</v>
      </c>
      <c r="X561" s="46"/>
      <c r="Y561" s="61"/>
      <c r="Z561" s="5"/>
      <c r="AA561" s="5"/>
      <c r="AB561" s="5"/>
      <c r="AC561" s="5"/>
      <c r="AD561" s="5"/>
      <c r="AE561" s="5"/>
      <c r="AF561" s="5"/>
      <c r="AG561" s="5"/>
      <c r="AH561" s="6"/>
      <c r="AI561" s="87">
        <v>44728</v>
      </c>
      <c r="AJ561" s="53">
        <v>135.66999999999999</v>
      </c>
      <c r="AK561" s="54">
        <f t="shared" si="88"/>
        <v>-1.0141543849409129E-2</v>
      </c>
      <c r="AL561" s="55">
        <f t="shared" si="91"/>
        <v>15.748368149983383</v>
      </c>
      <c r="AM561" s="56">
        <v>25</v>
      </c>
      <c r="AN561" s="57">
        <f t="shared" si="89"/>
        <v>9.2516318500166168</v>
      </c>
      <c r="AO561" s="76">
        <f t="shared" si="92"/>
        <v>8.562744694570906</v>
      </c>
      <c r="AP561" s="63" t="str">
        <f t="shared" si="93"/>
        <v>Buy Stocks</v>
      </c>
      <c r="AQ561" s="63" t="str">
        <f t="shared" si="94"/>
        <v/>
      </c>
      <c r="AR561" s="63" t="str">
        <f t="shared" si="95"/>
        <v/>
      </c>
      <c r="AS561" s="63" t="str">
        <f t="shared" si="96"/>
        <v/>
      </c>
      <c r="AT561" s="78" t="str">
        <f t="shared" si="97"/>
        <v/>
      </c>
      <c r="AU561" s="78" t="str">
        <f t="shared" si="98"/>
        <v/>
      </c>
      <c r="AV561" s="64" t="str">
        <f ca="1">IFERROR(__xludf.DUMMYFUNCTION("IF(TRIM(AU561)="""","""",AU561/INDEX(FILTER(AT$3:AT561,TRIM(AT$3:AT561)&lt;&gt;""""),ROWS(FILTER(AT$3:AT561,TRIM(AT$3:AT561)&lt;&gt;"""")))-1)"),"")</f>
        <v/>
      </c>
      <c r="AW561" s="65" t="e">
        <f t="shared" ca="1" si="90"/>
        <v>#VALUE!</v>
      </c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</row>
    <row r="562" spans="1:68" ht="19" x14ac:dyDescent="0.25">
      <c r="A562" s="5"/>
      <c r="B562" s="5"/>
      <c r="C562" s="5"/>
      <c r="D562" s="5"/>
      <c r="E562" s="5"/>
      <c r="F562" s="5"/>
      <c r="G562" s="5"/>
      <c r="H562" s="6"/>
      <c r="I562" s="5"/>
      <c r="J562" s="83"/>
      <c r="K562" s="83"/>
      <c r="L562" s="83"/>
      <c r="M562" s="83"/>
      <c r="N562" s="83"/>
      <c r="O562" s="83"/>
      <c r="P562" s="83"/>
      <c r="Q562" s="84"/>
      <c r="R562" s="83"/>
      <c r="S562" s="83"/>
      <c r="T562" s="85"/>
      <c r="U562" s="6"/>
      <c r="V562" s="87">
        <v>44729</v>
      </c>
      <c r="W562" s="45">
        <v>135.02000000000001</v>
      </c>
      <c r="X562" s="46"/>
      <c r="Y562" s="61"/>
      <c r="Z562" s="5"/>
      <c r="AA562" s="5"/>
      <c r="AB562" s="5"/>
      <c r="AC562" s="5"/>
      <c r="AD562" s="5"/>
      <c r="AE562" s="5"/>
      <c r="AF562" s="5"/>
      <c r="AG562" s="5"/>
      <c r="AH562" s="6"/>
      <c r="AI562" s="87">
        <v>44729</v>
      </c>
      <c r="AJ562" s="53">
        <v>135.02000000000001</v>
      </c>
      <c r="AK562" s="54">
        <f t="shared" si="88"/>
        <v>-4.7910370752559661E-3</v>
      </c>
      <c r="AL562" s="55">
        <f t="shared" si="91"/>
        <v>13.567665620601879</v>
      </c>
      <c r="AM562" s="56">
        <v>25</v>
      </c>
      <c r="AN562" s="57">
        <f t="shared" si="89"/>
        <v>11.432334379398121</v>
      </c>
      <c r="AO562" s="76">
        <f t="shared" si="92"/>
        <v>9.9259621830773614</v>
      </c>
      <c r="AP562" s="63" t="str">
        <f t="shared" si="93"/>
        <v>Buy Stocks</v>
      </c>
      <c r="AQ562" s="63" t="str">
        <f t="shared" si="94"/>
        <v/>
      </c>
      <c r="AR562" s="63" t="str">
        <f t="shared" si="95"/>
        <v/>
      </c>
      <c r="AS562" s="63" t="str">
        <f t="shared" si="96"/>
        <v/>
      </c>
      <c r="AT562" s="78" t="str">
        <f t="shared" si="97"/>
        <v/>
      </c>
      <c r="AU562" s="78" t="str">
        <f t="shared" si="98"/>
        <v/>
      </c>
      <c r="AV562" s="64" t="str">
        <f ca="1">IFERROR(__xludf.DUMMYFUNCTION("IF(TRIM(AU562)="""","""",AU562/INDEX(FILTER(AT$3:AT562,TRIM(AT$3:AT562)&lt;&gt;""""),ROWS(FILTER(AT$3:AT562,TRIM(AT$3:AT562)&lt;&gt;"""")))-1)"),"")</f>
        <v/>
      </c>
      <c r="AW562" s="65" t="e">
        <f t="shared" ca="1" si="90"/>
        <v>#VALUE!</v>
      </c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</row>
    <row r="563" spans="1:68" ht="19" x14ac:dyDescent="0.25">
      <c r="A563" s="5"/>
      <c r="B563" s="5"/>
      <c r="C563" s="5"/>
      <c r="D563" s="5"/>
      <c r="E563" s="5"/>
      <c r="F563" s="5"/>
      <c r="G563" s="5"/>
      <c r="H563" s="6"/>
      <c r="I563" s="5"/>
      <c r="J563" s="83"/>
      <c r="K563" s="83"/>
      <c r="L563" s="83"/>
      <c r="M563" s="83"/>
      <c r="N563" s="83"/>
      <c r="O563" s="83"/>
      <c r="P563" s="83"/>
      <c r="Q563" s="84"/>
      <c r="R563" s="83"/>
      <c r="S563" s="83"/>
      <c r="T563" s="85"/>
      <c r="U563" s="6"/>
      <c r="V563" s="87">
        <v>44733</v>
      </c>
      <c r="W563" s="45">
        <v>137.85</v>
      </c>
      <c r="X563" s="46"/>
      <c r="Y563" s="61"/>
      <c r="Z563" s="5"/>
      <c r="AA563" s="5"/>
      <c r="AB563" s="5"/>
      <c r="AC563" s="5"/>
      <c r="AD563" s="5"/>
      <c r="AE563" s="5"/>
      <c r="AF563" s="5"/>
      <c r="AG563" s="5"/>
      <c r="AH563" s="6"/>
      <c r="AI563" s="87">
        <v>44733</v>
      </c>
      <c r="AJ563" s="53">
        <v>137.85</v>
      </c>
      <c r="AK563" s="54">
        <f t="shared" si="88"/>
        <v>2.0959857798844572E-2</v>
      </c>
      <c r="AL563" s="55">
        <f t="shared" si="91"/>
        <v>19.436197405318069</v>
      </c>
      <c r="AM563" s="56">
        <v>25</v>
      </c>
      <c r="AN563" s="57">
        <f t="shared" si="89"/>
        <v>5.5638025946819312</v>
      </c>
      <c r="AO563" s="76">
        <f t="shared" si="92"/>
        <v>8.3601283310468872</v>
      </c>
      <c r="AP563" s="63" t="str">
        <f t="shared" si="93"/>
        <v>Buy Stocks</v>
      </c>
      <c r="AQ563" s="63" t="str">
        <f t="shared" si="94"/>
        <v/>
      </c>
      <c r="AR563" s="63" t="str">
        <f t="shared" si="95"/>
        <v/>
      </c>
      <c r="AS563" s="63" t="str">
        <f t="shared" si="96"/>
        <v/>
      </c>
      <c r="AT563" s="78" t="str">
        <f t="shared" si="97"/>
        <v/>
      </c>
      <c r="AU563" s="78" t="str">
        <f t="shared" si="98"/>
        <v/>
      </c>
      <c r="AV563" s="64" t="str">
        <f ca="1">IFERROR(__xludf.DUMMYFUNCTION("IF(TRIM(AU563)="""","""",AU563/INDEX(FILTER(AT$3:AT563,TRIM(AT$3:AT563)&lt;&gt;""""),ROWS(FILTER(AT$3:AT563,TRIM(AT$3:AT563)&lt;&gt;"""")))-1)"),"")</f>
        <v/>
      </c>
      <c r="AW563" s="65" t="e">
        <f t="shared" ca="1" si="90"/>
        <v>#VALUE!</v>
      </c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</row>
    <row r="564" spans="1:68" ht="19" x14ac:dyDescent="0.25">
      <c r="A564" s="5"/>
      <c r="B564" s="5"/>
      <c r="C564" s="5"/>
      <c r="D564" s="5"/>
      <c r="E564" s="5"/>
      <c r="F564" s="5"/>
      <c r="G564" s="5"/>
      <c r="H564" s="6"/>
      <c r="I564" s="5"/>
      <c r="J564" s="83"/>
      <c r="K564" s="83"/>
      <c r="L564" s="83"/>
      <c r="M564" s="83"/>
      <c r="N564" s="83"/>
      <c r="O564" s="83"/>
      <c r="P564" s="83"/>
      <c r="Q564" s="84"/>
      <c r="R564" s="83"/>
      <c r="S564" s="83"/>
      <c r="T564" s="85"/>
      <c r="U564" s="6"/>
      <c r="V564" s="87">
        <v>44734</v>
      </c>
      <c r="W564" s="45">
        <v>137.08000000000001</v>
      </c>
      <c r="X564" s="46"/>
      <c r="Y564" s="61"/>
      <c r="Z564" s="5"/>
      <c r="AA564" s="5"/>
      <c r="AB564" s="5"/>
      <c r="AC564" s="5"/>
      <c r="AD564" s="5"/>
      <c r="AE564" s="5"/>
      <c r="AF564" s="5"/>
      <c r="AG564" s="5"/>
      <c r="AH564" s="6"/>
      <c r="AI564" s="87">
        <v>44734</v>
      </c>
      <c r="AJ564" s="53">
        <v>137.08000000000001</v>
      </c>
      <c r="AK564" s="54">
        <f t="shared" si="88"/>
        <v>-5.5857816467173027E-3</v>
      </c>
      <c r="AL564" s="55">
        <f t="shared" si="91"/>
        <v>20.583735947940934</v>
      </c>
      <c r="AM564" s="56">
        <v>25</v>
      </c>
      <c r="AN564" s="57">
        <f t="shared" si="89"/>
        <v>4.4162640520590664</v>
      </c>
      <c r="AO564" s="76">
        <f t="shared" si="92"/>
        <v>7.1879238693404917</v>
      </c>
      <c r="AP564" s="63" t="str">
        <f t="shared" si="93"/>
        <v>Buy Stocks</v>
      </c>
      <c r="AQ564" s="63" t="str">
        <f t="shared" si="94"/>
        <v/>
      </c>
      <c r="AR564" s="63" t="str">
        <f t="shared" si="95"/>
        <v/>
      </c>
      <c r="AS564" s="63" t="str">
        <f t="shared" si="96"/>
        <v/>
      </c>
      <c r="AT564" s="78" t="str">
        <f t="shared" si="97"/>
        <v/>
      </c>
      <c r="AU564" s="78" t="str">
        <f t="shared" si="98"/>
        <v/>
      </c>
      <c r="AV564" s="64" t="str">
        <f ca="1">IFERROR(__xludf.DUMMYFUNCTION("IF(TRIM(AU564)="""","""",AU564/INDEX(FILTER(AT$3:AT564,TRIM(AT$3:AT564)&lt;&gt;""""),ROWS(FILTER(AT$3:AT564,TRIM(AT$3:AT564)&lt;&gt;"""")))-1)"),"")</f>
        <v/>
      </c>
      <c r="AW564" s="65" t="e">
        <f t="shared" ca="1" si="90"/>
        <v>#VALUE!</v>
      </c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</row>
    <row r="565" spans="1:68" ht="19" x14ac:dyDescent="0.25">
      <c r="A565" s="5"/>
      <c r="B565" s="5"/>
      <c r="C565" s="5"/>
      <c r="D565" s="5"/>
      <c r="E565" s="5"/>
      <c r="F565" s="5"/>
      <c r="G565" s="5"/>
      <c r="H565" s="6"/>
      <c r="I565" s="5"/>
      <c r="J565" s="83"/>
      <c r="K565" s="83"/>
      <c r="L565" s="83"/>
      <c r="M565" s="83"/>
      <c r="N565" s="83"/>
      <c r="O565" s="83"/>
      <c r="P565" s="83"/>
      <c r="Q565" s="84"/>
      <c r="R565" s="83"/>
      <c r="S565" s="83"/>
      <c r="T565" s="85"/>
      <c r="U565" s="6"/>
      <c r="V565" s="44">
        <v>44735</v>
      </c>
      <c r="W565" s="45">
        <v>138.44</v>
      </c>
      <c r="X565" s="46"/>
      <c r="Y565" s="61"/>
      <c r="Z565" s="5"/>
      <c r="AA565" s="5"/>
      <c r="AB565" s="5"/>
      <c r="AC565" s="5"/>
      <c r="AD565" s="5"/>
      <c r="AE565" s="5"/>
      <c r="AF565" s="5"/>
      <c r="AG565" s="5"/>
      <c r="AH565" s="6"/>
      <c r="AI565" s="44">
        <v>44735</v>
      </c>
      <c r="AJ565" s="53">
        <v>138.44</v>
      </c>
      <c r="AK565" s="54">
        <f t="shared" si="88"/>
        <v>9.921213889699354E-3</v>
      </c>
      <c r="AL565" s="55">
        <f t="shared" si="91"/>
        <v>20.595222132480938</v>
      </c>
      <c r="AM565" s="56">
        <v>25</v>
      </c>
      <c r="AN565" s="57">
        <f t="shared" si="89"/>
        <v>4.4047778675190621</v>
      </c>
      <c r="AO565" s="76">
        <f t="shared" si="92"/>
        <v>7.0137621487349593</v>
      </c>
      <c r="AP565" s="63" t="str">
        <f t="shared" si="93"/>
        <v>Buy Stocks</v>
      </c>
      <c r="AQ565" s="63" t="str">
        <f t="shared" si="94"/>
        <v/>
      </c>
      <c r="AR565" s="63" t="str">
        <f t="shared" si="95"/>
        <v/>
      </c>
      <c r="AS565" s="63" t="str">
        <f t="shared" si="96"/>
        <v/>
      </c>
      <c r="AT565" s="78" t="str">
        <f t="shared" si="97"/>
        <v/>
      </c>
      <c r="AU565" s="78" t="str">
        <f t="shared" si="98"/>
        <v/>
      </c>
      <c r="AV565" s="64" t="str">
        <f ca="1">IFERROR(__xludf.DUMMYFUNCTION("IF(TRIM(AU565)="""","""",AU565/INDEX(FILTER(AT$3:AT565,TRIM(AT$3:AT565)&lt;&gt;""""),ROWS(FILTER(AT$3:AT565,TRIM(AT$3:AT565)&lt;&gt;"""")))-1)"),"")</f>
        <v/>
      </c>
      <c r="AW565" s="65" t="e">
        <f t="shared" ca="1" si="90"/>
        <v>#VALUE!</v>
      </c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</row>
    <row r="566" spans="1:68" ht="19" x14ac:dyDescent="0.25">
      <c r="A566" s="5"/>
      <c r="B566" s="5"/>
      <c r="C566" s="5"/>
      <c r="D566" s="5"/>
      <c r="E566" s="5"/>
      <c r="F566" s="5"/>
      <c r="G566" s="5"/>
      <c r="H566" s="6"/>
      <c r="I566" s="5"/>
      <c r="J566" s="83"/>
      <c r="K566" s="83"/>
      <c r="L566" s="83"/>
      <c r="M566" s="83"/>
      <c r="N566" s="83"/>
      <c r="O566" s="83"/>
      <c r="P566" s="83"/>
      <c r="Q566" s="84"/>
      <c r="R566" s="83"/>
      <c r="S566" s="83"/>
      <c r="T566" s="85"/>
      <c r="U566" s="6"/>
      <c r="V566" s="44">
        <v>44736</v>
      </c>
      <c r="W566" s="45">
        <v>142.06</v>
      </c>
      <c r="X566" s="46"/>
      <c r="Y566" s="61"/>
      <c r="Z566" s="5"/>
      <c r="AA566" s="5"/>
      <c r="AB566" s="5"/>
      <c r="AC566" s="5"/>
      <c r="AD566" s="5"/>
      <c r="AE566" s="5"/>
      <c r="AF566" s="5"/>
      <c r="AG566" s="5"/>
      <c r="AH566" s="6"/>
      <c r="AI566" s="44">
        <v>44736</v>
      </c>
      <c r="AJ566" s="53">
        <v>142.06</v>
      </c>
      <c r="AK566" s="54">
        <f t="shared" si="88"/>
        <v>2.6148511990754075E-2</v>
      </c>
      <c r="AL566" s="55">
        <f t="shared" si="91"/>
        <v>23.009135388968062</v>
      </c>
      <c r="AM566" s="56">
        <v>25</v>
      </c>
      <c r="AN566" s="57">
        <f t="shared" si="89"/>
        <v>1.9908646110319381</v>
      </c>
      <c r="AO566" s="76">
        <f t="shared" si="92"/>
        <v>5.5616087009380237</v>
      </c>
      <c r="AP566" s="63" t="str">
        <f t="shared" si="93"/>
        <v>Buy Stocks</v>
      </c>
      <c r="AQ566" s="63" t="str">
        <f t="shared" si="94"/>
        <v/>
      </c>
      <c r="AR566" s="63" t="str">
        <f t="shared" si="95"/>
        <v/>
      </c>
      <c r="AS566" s="63" t="str">
        <f t="shared" si="96"/>
        <v/>
      </c>
      <c r="AT566" s="78" t="str">
        <f t="shared" si="97"/>
        <v/>
      </c>
      <c r="AU566" s="78" t="str">
        <f t="shared" si="98"/>
        <v/>
      </c>
      <c r="AV566" s="64" t="str">
        <f ca="1">IFERROR(__xludf.DUMMYFUNCTION("IF(TRIM(AU566)="""","""",AU566/INDEX(FILTER(AT$3:AT566,TRIM(AT$3:AT566)&lt;&gt;""""),ROWS(FILTER(AT$3:AT566,TRIM(AT$3:AT566)&lt;&gt;"""")))-1)"),"")</f>
        <v/>
      </c>
      <c r="AW566" s="65" t="e">
        <f t="shared" ca="1" si="90"/>
        <v>#VALUE!</v>
      </c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</row>
    <row r="567" spans="1:68" ht="19" x14ac:dyDescent="0.25">
      <c r="A567" s="5"/>
      <c r="B567" s="5"/>
      <c r="C567" s="5"/>
      <c r="D567" s="5"/>
      <c r="E567" s="5"/>
      <c r="F567" s="5"/>
      <c r="G567" s="5"/>
      <c r="H567" s="6"/>
      <c r="I567" s="5"/>
      <c r="J567" s="83"/>
      <c r="K567" s="83"/>
      <c r="L567" s="83"/>
      <c r="M567" s="83"/>
      <c r="N567" s="83"/>
      <c r="O567" s="83"/>
      <c r="P567" s="83"/>
      <c r="Q567" s="84"/>
      <c r="R567" s="83"/>
      <c r="S567" s="83"/>
      <c r="T567" s="85"/>
      <c r="U567" s="6"/>
      <c r="V567" s="44">
        <v>44739</v>
      </c>
      <c r="W567" s="45">
        <v>142.80000000000001</v>
      </c>
      <c r="X567" s="46"/>
      <c r="Y567" s="61"/>
      <c r="Z567" s="5"/>
      <c r="AA567" s="5"/>
      <c r="AB567" s="5"/>
      <c r="AC567" s="5"/>
      <c r="AD567" s="5"/>
      <c r="AE567" s="5"/>
      <c r="AF567" s="5"/>
      <c r="AG567" s="5"/>
      <c r="AH567" s="6"/>
      <c r="AI567" s="44">
        <v>44739</v>
      </c>
      <c r="AJ567" s="53">
        <v>142.80000000000001</v>
      </c>
      <c r="AK567" s="54">
        <f t="shared" si="88"/>
        <v>5.2090665915811574E-3</v>
      </c>
      <c r="AL567" s="55">
        <f t="shared" si="91"/>
        <v>20.047131388535021</v>
      </c>
      <c r="AM567" s="56">
        <v>25</v>
      </c>
      <c r="AN567" s="57">
        <f t="shared" si="89"/>
        <v>4.9528686114649787</v>
      </c>
      <c r="AO567" s="76">
        <f t="shared" si="92"/>
        <v>4.2657155473513955</v>
      </c>
      <c r="AP567" s="63" t="str">
        <f t="shared" si="93"/>
        <v>Buy Stocks</v>
      </c>
      <c r="AQ567" s="63" t="str">
        <f t="shared" si="94"/>
        <v/>
      </c>
      <c r="AR567" s="63" t="str">
        <f t="shared" si="95"/>
        <v/>
      </c>
      <c r="AS567" s="63" t="str">
        <f t="shared" si="96"/>
        <v/>
      </c>
      <c r="AT567" s="78" t="str">
        <f t="shared" si="97"/>
        <v/>
      </c>
      <c r="AU567" s="78" t="str">
        <f t="shared" si="98"/>
        <v/>
      </c>
      <c r="AV567" s="64" t="str">
        <f ca="1">IFERROR(__xludf.DUMMYFUNCTION("IF(TRIM(AU567)="""","""",AU567/INDEX(FILTER(AT$3:AT567,TRIM(AT$3:AT567)&lt;&gt;""""),ROWS(FILTER(AT$3:AT567,TRIM(AT$3:AT567)&lt;&gt;"""")))-1)"),"")</f>
        <v/>
      </c>
      <c r="AW567" s="65" t="e">
        <f t="shared" ca="1" si="90"/>
        <v>#VALUE!</v>
      </c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</row>
    <row r="568" spans="1:68" ht="19" x14ac:dyDescent="0.25">
      <c r="A568" s="5"/>
      <c r="B568" s="5"/>
      <c r="C568" s="5"/>
      <c r="D568" s="5"/>
      <c r="E568" s="5"/>
      <c r="F568" s="5"/>
      <c r="G568" s="5"/>
      <c r="H568" s="6"/>
      <c r="I568" s="5"/>
      <c r="J568" s="83"/>
      <c r="K568" s="83"/>
      <c r="L568" s="83"/>
      <c r="M568" s="83"/>
      <c r="N568" s="83"/>
      <c r="O568" s="83"/>
      <c r="P568" s="83"/>
      <c r="Q568" s="84"/>
      <c r="R568" s="83"/>
      <c r="S568" s="83"/>
      <c r="T568" s="85"/>
      <c r="U568" s="6"/>
      <c r="V568" s="44">
        <v>44740</v>
      </c>
      <c r="W568" s="45">
        <v>141.86000000000001</v>
      </c>
      <c r="X568" s="46"/>
      <c r="Y568" s="61"/>
      <c r="Z568" s="5"/>
      <c r="AA568" s="5"/>
      <c r="AB568" s="5"/>
      <c r="AC568" s="5"/>
      <c r="AD568" s="5"/>
      <c r="AE568" s="5"/>
      <c r="AF568" s="5"/>
      <c r="AG568" s="5"/>
      <c r="AH568" s="6"/>
      <c r="AI568" s="44">
        <v>44740</v>
      </c>
      <c r="AJ568" s="53">
        <v>141.86000000000001</v>
      </c>
      <c r="AK568" s="54">
        <f t="shared" si="88"/>
        <v>-6.5826330532212651E-3</v>
      </c>
      <c r="AL568" s="55">
        <f t="shared" si="91"/>
        <v>21.214287707836458</v>
      </c>
      <c r="AM568" s="56">
        <v>25</v>
      </c>
      <c r="AN568" s="57">
        <f t="shared" si="89"/>
        <v>3.7857122921635415</v>
      </c>
      <c r="AO568" s="76">
        <f t="shared" si="92"/>
        <v>3.9100974868477172</v>
      </c>
      <c r="AP568" s="63" t="str">
        <f t="shared" si="93"/>
        <v>Buy Stocks</v>
      </c>
      <c r="AQ568" s="63" t="str">
        <f t="shared" si="94"/>
        <v/>
      </c>
      <c r="AR568" s="63" t="str">
        <f t="shared" si="95"/>
        <v/>
      </c>
      <c r="AS568" s="63" t="str">
        <f t="shared" si="96"/>
        <v/>
      </c>
      <c r="AT568" s="78" t="str">
        <f t="shared" si="97"/>
        <v/>
      </c>
      <c r="AU568" s="78" t="str">
        <f t="shared" si="98"/>
        <v/>
      </c>
      <c r="AV568" s="64" t="str">
        <f ca="1">IFERROR(__xludf.DUMMYFUNCTION("IF(TRIM(AU568)="""","""",AU568/INDEX(FILTER(AT$3:AT568,TRIM(AT$3:AT568)&lt;&gt;""""),ROWS(FILTER(AT$3:AT568,TRIM(AT$3:AT568)&lt;&gt;"""")))-1)"),"")</f>
        <v/>
      </c>
      <c r="AW568" s="65" t="e">
        <f t="shared" ca="1" si="90"/>
        <v>#VALUE!</v>
      </c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</row>
    <row r="569" spans="1:68" ht="19" x14ac:dyDescent="0.25">
      <c r="A569" s="5"/>
      <c r="B569" s="5"/>
      <c r="C569" s="5"/>
      <c r="D569" s="5"/>
      <c r="E569" s="5"/>
      <c r="F569" s="5"/>
      <c r="G569" s="5"/>
      <c r="H569" s="6"/>
      <c r="I569" s="5"/>
      <c r="J569" s="83"/>
      <c r="K569" s="83"/>
      <c r="L569" s="83"/>
      <c r="M569" s="83"/>
      <c r="N569" s="83"/>
      <c r="O569" s="83"/>
      <c r="P569" s="83"/>
      <c r="Q569" s="84"/>
      <c r="R569" s="83"/>
      <c r="S569" s="83"/>
      <c r="T569" s="85"/>
      <c r="U569" s="6"/>
      <c r="V569" s="44">
        <v>44741</v>
      </c>
      <c r="W569" s="45">
        <v>140.71</v>
      </c>
      <c r="X569" s="46"/>
      <c r="Y569" s="61"/>
      <c r="Z569" s="5"/>
      <c r="AA569" s="5"/>
      <c r="AB569" s="5"/>
      <c r="AC569" s="5"/>
      <c r="AD569" s="5"/>
      <c r="AE569" s="5"/>
      <c r="AF569" s="5"/>
      <c r="AG569" s="5"/>
      <c r="AH569" s="6"/>
      <c r="AI569" s="44">
        <v>44741</v>
      </c>
      <c r="AJ569" s="53">
        <v>140.71</v>
      </c>
      <c r="AK569" s="54">
        <f t="shared" si="88"/>
        <v>-8.106583956013047E-3</v>
      </c>
      <c r="AL569" s="55">
        <f t="shared" si="91"/>
        <v>22.124249215916013</v>
      </c>
      <c r="AM569" s="56">
        <v>25</v>
      </c>
      <c r="AN569" s="57">
        <f t="shared" si="89"/>
        <v>2.8757507840839871</v>
      </c>
      <c r="AO569" s="76">
        <f t="shared" si="92"/>
        <v>3.6019948332527014</v>
      </c>
      <c r="AP569" s="63" t="str">
        <f t="shared" si="93"/>
        <v>Buy Stocks</v>
      </c>
      <c r="AQ569" s="63" t="str">
        <f t="shared" si="94"/>
        <v/>
      </c>
      <c r="AR569" s="63" t="str">
        <f t="shared" si="95"/>
        <v/>
      </c>
      <c r="AS569" s="63" t="str">
        <f t="shared" si="96"/>
        <v/>
      </c>
      <c r="AT569" s="78" t="str">
        <f t="shared" si="97"/>
        <v/>
      </c>
      <c r="AU569" s="78" t="str">
        <f t="shared" si="98"/>
        <v/>
      </c>
      <c r="AV569" s="64" t="str">
        <f ca="1">IFERROR(__xludf.DUMMYFUNCTION("IF(TRIM(AU569)="""","""",AU569/INDEX(FILTER(AT$3:AT569,TRIM(AT$3:AT569)&lt;&gt;""""),ROWS(FILTER(AT$3:AT569,TRIM(AT$3:AT569)&lt;&gt;"""")))-1)"),"")</f>
        <v/>
      </c>
      <c r="AW569" s="65" t="e">
        <f t="shared" ca="1" si="90"/>
        <v>#VALUE!</v>
      </c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</row>
    <row r="570" spans="1:68" ht="19" x14ac:dyDescent="0.25">
      <c r="A570" s="5"/>
      <c r="B570" s="5"/>
      <c r="C570" s="5"/>
      <c r="D570" s="5"/>
      <c r="E570" s="5"/>
      <c r="F570" s="5"/>
      <c r="G570" s="5"/>
      <c r="H570" s="6"/>
      <c r="I570" s="5"/>
      <c r="J570" s="83"/>
      <c r="K570" s="83"/>
      <c r="L570" s="83"/>
      <c r="M570" s="83"/>
      <c r="N570" s="83"/>
      <c r="O570" s="83"/>
      <c r="P570" s="83"/>
      <c r="Q570" s="84"/>
      <c r="R570" s="83"/>
      <c r="S570" s="83"/>
      <c r="T570" s="85"/>
      <c r="U570" s="6"/>
      <c r="V570" s="44">
        <v>44742</v>
      </c>
      <c r="W570" s="45">
        <v>141.19</v>
      </c>
      <c r="X570" s="46"/>
      <c r="Y570" s="61"/>
      <c r="Z570" s="5"/>
      <c r="AA570" s="5"/>
      <c r="AB570" s="5"/>
      <c r="AC570" s="5"/>
      <c r="AD570" s="5"/>
      <c r="AE570" s="5"/>
      <c r="AF570" s="5"/>
      <c r="AG570" s="5"/>
      <c r="AH570" s="6"/>
      <c r="AI570" s="44">
        <v>44742</v>
      </c>
      <c r="AJ570" s="53">
        <v>141.19</v>
      </c>
      <c r="AK570" s="54">
        <f t="shared" si="88"/>
        <v>3.4112714092813246E-3</v>
      </c>
      <c r="AL570" s="55">
        <f t="shared" si="91"/>
        <v>21.750469218632755</v>
      </c>
      <c r="AM570" s="56">
        <v>25</v>
      </c>
      <c r="AN570" s="57">
        <f t="shared" si="89"/>
        <v>3.2495307813672447</v>
      </c>
      <c r="AO570" s="76">
        <f t="shared" si="92"/>
        <v>3.3709454160223382</v>
      </c>
      <c r="AP570" s="63" t="str">
        <f t="shared" si="93"/>
        <v>Buy Stocks</v>
      </c>
      <c r="AQ570" s="63" t="str">
        <f t="shared" si="94"/>
        <v/>
      </c>
      <c r="AR570" s="63" t="str">
        <f t="shared" si="95"/>
        <v/>
      </c>
      <c r="AS570" s="63" t="str">
        <f t="shared" si="96"/>
        <v/>
      </c>
      <c r="AT570" s="78" t="str">
        <f t="shared" si="97"/>
        <v/>
      </c>
      <c r="AU570" s="78" t="str">
        <f t="shared" si="98"/>
        <v/>
      </c>
      <c r="AV570" s="64" t="str">
        <f ca="1">IFERROR(__xludf.DUMMYFUNCTION("IF(TRIM(AU570)="""","""",AU570/INDEX(FILTER(AT$3:AT570,TRIM(AT$3:AT570)&lt;&gt;""""),ROWS(FILTER(AT$3:AT570,TRIM(AT$3:AT570)&lt;&gt;"""")))-1)"),"")</f>
        <v/>
      </c>
      <c r="AW570" s="65" t="e">
        <f t="shared" ca="1" si="90"/>
        <v>#VALUE!</v>
      </c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</row>
    <row r="571" spans="1:68" ht="19" x14ac:dyDescent="0.25">
      <c r="A571" s="5"/>
      <c r="B571" s="5"/>
      <c r="C571" s="5"/>
      <c r="D571" s="5"/>
      <c r="E571" s="5"/>
      <c r="F571" s="5"/>
      <c r="G571" s="5"/>
      <c r="H571" s="6"/>
      <c r="I571" s="5"/>
      <c r="J571" s="83"/>
      <c r="K571" s="83"/>
      <c r="L571" s="83"/>
      <c r="M571" s="83"/>
      <c r="N571" s="83"/>
      <c r="O571" s="83"/>
      <c r="P571" s="83"/>
      <c r="Q571" s="84"/>
      <c r="R571" s="83"/>
      <c r="S571" s="83"/>
      <c r="T571" s="85"/>
      <c r="U571" s="6"/>
      <c r="V571" s="87">
        <v>44743</v>
      </c>
      <c r="W571" s="45">
        <v>141.12</v>
      </c>
      <c r="X571" s="46"/>
      <c r="Y571" s="61"/>
      <c r="Z571" s="5"/>
      <c r="AA571" s="5"/>
      <c r="AB571" s="5"/>
      <c r="AC571" s="5"/>
      <c r="AD571" s="5"/>
      <c r="AE571" s="5"/>
      <c r="AF571" s="5"/>
      <c r="AG571" s="5"/>
      <c r="AH571" s="6"/>
      <c r="AI571" s="87">
        <v>44743</v>
      </c>
      <c r="AJ571" s="53">
        <v>141.12</v>
      </c>
      <c r="AK571" s="54">
        <f t="shared" si="88"/>
        <v>-4.9578582052545173E-4</v>
      </c>
      <c r="AL571" s="55">
        <f t="shared" si="91"/>
        <v>9.3728768738856338</v>
      </c>
      <c r="AM571" s="56">
        <v>25</v>
      </c>
      <c r="AN571" s="57">
        <f t="shared" si="89"/>
        <v>15.627123126114366</v>
      </c>
      <c r="AO571" s="76">
        <f t="shared" si="92"/>
        <v>6.098197119038824</v>
      </c>
      <c r="AP571" s="63" t="str">
        <f t="shared" si="93"/>
        <v>Buy Stocks</v>
      </c>
      <c r="AQ571" s="63" t="str">
        <f t="shared" si="94"/>
        <v/>
      </c>
      <c r="AR571" s="63" t="str">
        <f t="shared" si="95"/>
        <v/>
      </c>
      <c r="AS571" s="63" t="str">
        <f t="shared" si="96"/>
        <v/>
      </c>
      <c r="AT571" s="78" t="str">
        <f t="shared" si="97"/>
        <v/>
      </c>
      <c r="AU571" s="78" t="str">
        <f t="shared" si="98"/>
        <v/>
      </c>
      <c r="AV571" s="64" t="str">
        <f ca="1">IFERROR(__xludf.DUMMYFUNCTION("IF(TRIM(AU571)="""","""",AU571/INDEX(FILTER(AT$3:AT571,TRIM(AT$3:AT571)&lt;&gt;""""),ROWS(FILTER(AT$3:AT571,TRIM(AT$3:AT571)&lt;&gt;"""")))-1)"),"")</f>
        <v/>
      </c>
      <c r="AW571" s="65" t="e">
        <f t="shared" ca="1" si="90"/>
        <v>#VALUE!</v>
      </c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</row>
    <row r="572" spans="1:68" ht="19" x14ac:dyDescent="0.25">
      <c r="A572" s="5"/>
      <c r="B572" s="5"/>
      <c r="C572" s="5"/>
      <c r="D572" s="5"/>
      <c r="E572" s="5"/>
      <c r="F572" s="5"/>
      <c r="G572" s="5"/>
      <c r="H572" s="6"/>
      <c r="I572" s="5"/>
      <c r="J572" s="83"/>
      <c r="K572" s="83"/>
      <c r="L572" s="83"/>
      <c r="M572" s="83"/>
      <c r="N572" s="83"/>
      <c r="O572" s="83"/>
      <c r="P572" s="83"/>
      <c r="Q572" s="84"/>
      <c r="R572" s="83"/>
      <c r="S572" s="83"/>
      <c r="T572" s="85"/>
      <c r="U572" s="6"/>
      <c r="V572" s="87">
        <v>44747</v>
      </c>
      <c r="W572" s="45">
        <v>137.62</v>
      </c>
      <c r="X572" s="46"/>
      <c r="Y572" s="61"/>
      <c r="Z572" s="5"/>
      <c r="AA572" s="5"/>
      <c r="AB572" s="5"/>
      <c r="AC572" s="5"/>
      <c r="AD572" s="5"/>
      <c r="AE572" s="5"/>
      <c r="AF572" s="5"/>
      <c r="AG572" s="5"/>
      <c r="AH572" s="6"/>
      <c r="AI572" s="87">
        <v>44747</v>
      </c>
      <c r="AJ572" s="53">
        <v>137.62</v>
      </c>
      <c r="AK572" s="54">
        <f t="shared" si="88"/>
        <v>-2.4801587301587324E-2</v>
      </c>
      <c r="AL572" s="55">
        <f t="shared" si="91"/>
        <v>17.180044175028154</v>
      </c>
      <c r="AM572" s="56">
        <v>25</v>
      </c>
      <c r="AN572" s="57">
        <f t="shared" si="89"/>
        <v>7.8199558249718457</v>
      </c>
      <c r="AO572" s="76">
        <f t="shared" si="92"/>
        <v>6.6716145617401965</v>
      </c>
      <c r="AP572" s="63" t="str">
        <f t="shared" si="93"/>
        <v>Buy Stocks</v>
      </c>
      <c r="AQ572" s="63" t="str">
        <f t="shared" si="94"/>
        <v/>
      </c>
      <c r="AR572" s="63" t="str">
        <f t="shared" si="95"/>
        <v/>
      </c>
      <c r="AS572" s="63" t="str">
        <f t="shared" si="96"/>
        <v/>
      </c>
      <c r="AT572" s="78" t="str">
        <f t="shared" si="97"/>
        <v/>
      </c>
      <c r="AU572" s="78" t="str">
        <f t="shared" si="98"/>
        <v/>
      </c>
      <c r="AV572" s="64" t="str">
        <f ca="1">IFERROR(__xludf.DUMMYFUNCTION("IF(TRIM(AU572)="""","""",AU572/INDEX(FILTER(AT$3:AT572,TRIM(AT$3:AT572)&lt;&gt;""""),ROWS(FILTER(AT$3:AT572,TRIM(AT$3:AT572)&lt;&gt;"""")))-1)"),"")</f>
        <v/>
      </c>
      <c r="AW572" s="65" t="e">
        <f t="shared" ca="1" si="90"/>
        <v>#VALUE!</v>
      </c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</row>
    <row r="573" spans="1:68" ht="19" x14ac:dyDescent="0.25">
      <c r="A573" s="5"/>
      <c r="B573" s="5"/>
      <c r="C573" s="5"/>
      <c r="D573" s="5"/>
      <c r="E573" s="5"/>
      <c r="F573" s="5"/>
      <c r="G573" s="5"/>
      <c r="H573" s="6"/>
      <c r="I573" s="5"/>
      <c r="J573" s="83"/>
      <c r="K573" s="83"/>
      <c r="L573" s="83"/>
      <c r="M573" s="83"/>
      <c r="N573" s="83"/>
      <c r="O573" s="83"/>
      <c r="P573" s="83"/>
      <c r="Q573" s="84"/>
      <c r="R573" s="83"/>
      <c r="S573" s="83"/>
      <c r="T573" s="85"/>
      <c r="U573" s="6"/>
      <c r="V573" s="87">
        <v>44748</v>
      </c>
      <c r="W573" s="45">
        <v>138.08000000000001</v>
      </c>
      <c r="X573" s="46"/>
      <c r="Y573" s="61"/>
      <c r="Z573" s="5"/>
      <c r="AA573" s="5"/>
      <c r="AB573" s="5"/>
      <c r="AC573" s="5"/>
      <c r="AD573" s="5"/>
      <c r="AE573" s="5"/>
      <c r="AF573" s="5"/>
      <c r="AG573" s="5"/>
      <c r="AH573" s="6"/>
      <c r="AI573" s="87">
        <v>44748</v>
      </c>
      <c r="AJ573" s="53">
        <v>138.08000000000001</v>
      </c>
      <c r="AK573" s="54">
        <f t="shared" si="88"/>
        <v>3.3425374218865045E-3</v>
      </c>
      <c r="AL573" s="55">
        <f t="shared" si="91"/>
        <v>18.8138785928247</v>
      </c>
      <c r="AM573" s="56">
        <v>25</v>
      </c>
      <c r="AN573" s="57">
        <f t="shared" si="89"/>
        <v>6.1861214071752997</v>
      </c>
      <c r="AO573" s="76">
        <f t="shared" si="92"/>
        <v>7.1516963847425483</v>
      </c>
      <c r="AP573" s="63" t="str">
        <f t="shared" si="93"/>
        <v>Buy Stocks</v>
      </c>
      <c r="AQ573" s="63" t="str">
        <f t="shared" si="94"/>
        <v/>
      </c>
      <c r="AR573" s="63" t="str">
        <f t="shared" si="95"/>
        <v/>
      </c>
      <c r="AS573" s="63" t="str">
        <f t="shared" si="96"/>
        <v/>
      </c>
      <c r="AT573" s="78" t="str">
        <f t="shared" si="97"/>
        <v/>
      </c>
      <c r="AU573" s="78" t="str">
        <f t="shared" si="98"/>
        <v/>
      </c>
      <c r="AV573" s="64" t="str">
        <f ca="1">IFERROR(__xludf.DUMMYFUNCTION("IF(TRIM(AU573)="""","""",AU573/INDEX(FILTER(AT$3:AT573,TRIM(AT$3:AT573)&lt;&gt;""""),ROWS(FILTER(AT$3:AT573,TRIM(AT$3:AT573)&lt;&gt;"""")))-1)"),"")</f>
        <v/>
      </c>
      <c r="AW573" s="65" t="e">
        <f t="shared" ca="1" si="90"/>
        <v>#VALUE!</v>
      </c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</row>
    <row r="574" spans="1:68" ht="19" x14ac:dyDescent="0.25">
      <c r="A574" s="5"/>
      <c r="B574" s="5"/>
      <c r="C574" s="5"/>
      <c r="D574" s="5"/>
      <c r="E574" s="5"/>
      <c r="F574" s="5"/>
      <c r="G574" s="5"/>
      <c r="H574" s="6"/>
      <c r="I574" s="5"/>
      <c r="J574" s="83"/>
      <c r="K574" s="83"/>
      <c r="L574" s="83"/>
      <c r="M574" s="83"/>
      <c r="N574" s="83"/>
      <c r="O574" s="83"/>
      <c r="P574" s="83"/>
      <c r="Q574" s="84"/>
      <c r="R574" s="83"/>
      <c r="S574" s="83"/>
      <c r="T574" s="85"/>
      <c r="U574" s="6"/>
      <c r="V574" s="87">
        <v>44749</v>
      </c>
      <c r="W574" s="45">
        <v>140.83000000000001</v>
      </c>
      <c r="X574" s="46"/>
      <c r="Y574" s="61"/>
      <c r="Z574" s="5"/>
      <c r="AA574" s="5"/>
      <c r="AB574" s="5"/>
      <c r="AC574" s="5"/>
      <c r="AD574" s="5"/>
      <c r="AE574" s="5"/>
      <c r="AF574" s="5"/>
      <c r="AG574" s="5"/>
      <c r="AH574" s="6"/>
      <c r="AI574" s="87">
        <v>44749</v>
      </c>
      <c r="AJ574" s="53">
        <v>140.83000000000001</v>
      </c>
      <c r="AK574" s="54">
        <f t="shared" si="88"/>
        <v>1.991599073001149E-2</v>
      </c>
      <c r="AL574" s="55">
        <f t="shared" si="91"/>
        <v>25.528408096715417</v>
      </c>
      <c r="AM574" s="56">
        <v>25</v>
      </c>
      <c r="AN574" s="57">
        <f t="shared" si="89"/>
        <v>-0.52840809671541678</v>
      </c>
      <c r="AO574" s="76">
        <f t="shared" si="92"/>
        <v>6.4708646085826684</v>
      </c>
      <c r="AP574" s="63" t="str">
        <f t="shared" si="93"/>
        <v>Buy Stocks</v>
      </c>
      <c r="AQ574" s="63" t="str">
        <f t="shared" si="94"/>
        <v/>
      </c>
      <c r="AR574" s="63" t="str">
        <f t="shared" si="95"/>
        <v/>
      </c>
      <c r="AS574" s="63" t="str">
        <f t="shared" si="96"/>
        <v/>
      </c>
      <c r="AT574" s="78" t="str">
        <f t="shared" si="97"/>
        <v/>
      </c>
      <c r="AU574" s="78" t="str">
        <f t="shared" si="98"/>
        <v/>
      </c>
      <c r="AV574" s="64" t="str">
        <f ca="1">IFERROR(__xludf.DUMMYFUNCTION("IF(TRIM(AU574)="""","""",AU574/INDEX(FILTER(AT$3:AT574,TRIM(AT$3:AT574)&lt;&gt;""""),ROWS(FILTER(AT$3:AT574,TRIM(AT$3:AT574)&lt;&gt;"""")))-1)"),"")</f>
        <v/>
      </c>
      <c r="AW574" s="65" t="e">
        <f t="shared" ca="1" si="90"/>
        <v>#VALUE!</v>
      </c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</row>
    <row r="575" spans="1:68" ht="19" x14ac:dyDescent="0.25">
      <c r="A575" s="5"/>
      <c r="B575" s="5"/>
      <c r="C575" s="5"/>
      <c r="D575" s="5"/>
      <c r="E575" s="5"/>
      <c r="F575" s="5"/>
      <c r="G575" s="5"/>
      <c r="H575" s="6"/>
      <c r="I575" s="5"/>
      <c r="J575" s="83"/>
      <c r="K575" s="83"/>
      <c r="L575" s="83"/>
      <c r="M575" s="83"/>
      <c r="N575" s="83"/>
      <c r="O575" s="83"/>
      <c r="P575" s="83"/>
      <c r="Q575" s="84"/>
      <c r="R575" s="83"/>
      <c r="S575" s="83"/>
      <c r="T575" s="85"/>
      <c r="U575" s="6"/>
      <c r="V575" s="87">
        <v>44750</v>
      </c>
      <c r="W575" s="45">
        <v>140.47</v>
      </c>
      <c r="X575" s="46"/>
      <c r="Y575" s="61"/>
      <c r="Z575" s="5"/>
      <c r="AA575" s="5"/>
      <c r="AB575" s="5"/>
      <c r="AC575" s="5"/>
      <c r="AD575" s="5"/>
      <c r="AE575" s="5"/>
      <c r="AF575" s="5"/>
      <c r="AG575" s="5"/>
      <c r="AH575" s="6"/>
      <c r="AI575" s="87">
        <v>44750</v>
      </c>
      <c r="AJ575" s="53">
        <v>140.47</v>
      </c>
      <c r="AK575" s="54">
        <f t="shared" si="88"/>
        <v>-2.5562735212668608E-3</v>
      </c>
      <c r="AL575" s="55">
        <f t="shared" si="91"/>
        <v>25.417750358825902</v>
      </c>
      <c r="AM575" s="56">
        <v>25</v>
      </c>
      <c r="AN575" s="57">
        <f t="shared" si="89"/>
        <v>-0.41775035882590217</v>
      </c>
      <c r="AO575" s="76">
        <f t="shared" si="92"/>
        <v>5.7374083805440383</v>
      </c>
      <c r="AP575" s="63" t="str">
        <f t="shared" si="93"/>
        <v>Buy Stocks</v>
      </c>
      <c r="AQ575" s="63" t="str">
        <f t="shared" si="94"/>
        <v/>
      </c>
      <c r="AR575" s="63" t="str">
        <f t="shared" si="95"/>
        <v/>
      </c>
      <c r="AS575" s="63" t="str">
        <f t="shared" si="96"/>
        <v/>
      </c>
      <c r="AT575" s="78" t="str">
        <f t="shared" si="97"/>
        <v/>
      </c>
      <c r="AU575" s="78" t="str">
        <f t="shared" si="98"/>
        <v/>
      </c>
      <c r="AV575" s="64" t="str">
        <f ca="1">IFERROR(__xludf.DUMMYFUNCTION("IF(TRIM(AU575)="""","""",AU575/INDEX(FILTER(AT$3:AT575,TRIM(AT$3:AT575)&lt;&gt;""""),ROWS(FILTER(AT$3:AT575,TRIM(AT$3:AT575)&lt;&gt;"""")))-1)"),"")</f>
        <v/>
      </c>
      <c r="AW575" s="65" t="e">
        <f t="shared" ca="1" si="90"/>
        <v>#VALUE!</v>
      </c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</row>
    <row r="576" spans="1:68" ht="19" x14ac:dyDescent="0.25">
      <c r="A576" s="5"/>
      <c r="B576" s="5"/>
      <c r="C576" s="5"/>
      <c r="D576" s="5"/>
      <c r="E576" s="5"/>
      <c r="F576" s="5"/>
      <c r="G576" s="5"/>
      <c r="H576" s="6"/>
      <c r="I576" s="5"/>
      <c r="J576" s="83"/>
      <c r="K576" s="83"/>
      <c r="L576" s="83"/>
      <c r="M576" s="83"/>
      <c r="N576" s="83"/>
      <c r="O576" s="83"/>
      <c r="P576" s="83"/>
      <c r="Q576" s="84"/>
      <c r="R576" s="83"/>
      <c r="S576" s="83"/>
      <c r="T576" s="85"/>
      <c r="U576" s="6"/>
      <c r="V576" s="87">
        <v>44753</v>
      </c>
      <c r="W576" s="45">
        <v>141</v>
      </c>
      <c r="X576" s="46"/>
      <c r="Y576" s="61"/>
      <c r="Z576" s="5"/>
      <c r="AA576" s="5"/>
      <c r="AB576" s="5"/>
      <c r="AC576" s="5"/>
      <c r="AD576" s="5"/>
      <c r="AE576" s="5"/>
      <c r="AF576" s="5"/>
      <c r="AG576" s="5"/>
      <c r="AH576" s="6"/>
      <c r="AI576" s="87">
        <v>44753</v>
      </c>
      <c r="AJ576" s="53">
        <v>141</v>
      </c>
      <c r="AK576" s="54">
        <f t="shared" si="88"/>
        <v>3.7730476258275303E-3</v>
      </c>
      <c r="AL576" s="55">
        <f t="shared" si="91"/>
        <v>25.642208892497724</v>
      </c>
      <c r="AM576" s="56">
        <v>25</v>
      </c>
      <c r="AN576" s="57">
        <f t="shared" si="89"/>
        <v>-0.64220889249772384</v>
      </c>
      <c r="AO576" s="76">
        <f t="shared" si="92"/>
        <v>2.4835419768216207</v>
      </c>
      <c r="AP576" s="63" t="str">
        <f t="shared" si="93"/>
        <v>Buy Stocks</v>
      </c>
      <c r="AQ576" s="63" t="str">
        <f t="shared" si="94"/>
        <v/>
      </c>
      <c r="AR576" s="63" t="str">
        <f t="shared" si="95"/>
        <v/>
      </c>
      <c r="AS576" s="63" t="str">
        <f t="shared" si="96"/>
        <v/>
      </c>
      <c r="AT576" s="78" t="str">
        <f t="shared" si="97"/>
        <v/>
      </c>
      <c r="AU576" s="78" t="str">
        <f t="shared" si="98"/>
        <v/>
      </c>
      <c r="AV576" s="64" t="str">
        <f ca="1">IFERROR(__xludf.DUMMYFUNCTION("IF(TRIM(AU576)="""","""",AU576/INDEX(FILTER(AT$3:AT576,TRIM(AT$3:AT576)&lt;&gt;""""),ROWS(FILTER(AT$3:AT576,TRIM(AT$3:AT576)&lt;&gt;"""")))-1)"),"")</f>
        <v/>
      </c>
      <c r="AW576" s="65" t="e">
        <f t="shared" ca="1" si="90"/>
        <v>#VALUE!</v>
      </c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</row>
    <row r="577" spans="1:68" ht="19" x14ac:dyDescent="0.25">
      <c r="A577" s="5"/>
      <c r="B577" s="5"/>
      <c r="C577" s="5"/>
      <c r="D577" s="5"/>
      <c r="E577" s="5"/>
      <c r="F577" s="5"/>
      <c r="G577" s="5"/>
      <c r="H577" s="6"/>
      <c r="I577" s="5"/>
      <c r="J577" s="83"/>
      <c r="K577" s="83"/>
      <c r="L577" s="83"/>
      <c r="M577" s="83"/>
      <c r="N577" s="83"/>
      <c r="O577" s="83"/>
      <c r="P577" s="83"/>
      <c r="Q577" s="84"/>
      <c r="R577" s="83"/>
      <c r="S577" s="83"/>
      <c r="T577" s="85"/>
      <c r="U577" s="6"/>
      <c r="V577" s="87">
        <v>44754</v>
      </c>
      <c r="W577" s="45">
        <v>139.18</v>
      </c>
      <c r="X577" s="46"/>
      <c r="Y577" s="61"/>
      <c r="Z577" s="5"/>
      <c r="AA577" s="5"/>
      <c r="AB577" s="5"/>
      <c r="AC577" s="5"/>
      <c r="AD577" s="5"/>
      <c r="AE577" s="5"/>
      <c r="AF577" s="5"/>
      <c r="AG577" s="5"/>
      <c r="AH577" s="6"/>
      <c r="AI577" s="87">
        <v>44754</v>
      </c>
      <c r="AJ577" s="53">
        <v>139.18</v>
      </c>
      <c r="AK577" s="54">
        <f t="shared" si="88"/>
        <v>-1.2907801418439613E-2</v>
      </c>
      <c r="AL577" s="55">
        <f t="shared" si="91"/>
        <v>18.923977926709206</v>
      </c>
      <c r="AM577" s="56">
        <v>25</v>
      </c>
      <c r="AN577" s="57">
        <f t="shared" si="89"/>
        <v>6.0760220732907939</v>
      </c>
      <c r="AO577" s="76">
        <f t="shared" si="92"/>
        <v>2.1347552264854102</v>
      </c>
      <c r="AP577" s="63" t="str">
        <f t="shared" si="93"/>
        <v>Buy Stocks</v>
      </c>
      <c r="AQ577" s="63" t="str">
        <f t="shared" si="94"/>
        <v/>
      </c>
      <c r="AR577" s="63" t="str">
        <f t="shared" si="95"/>
        <v/>
      </c>
      <c r="AS577" s="63" t="str">
        <f t="shared" si="96"/>
        <v/>
      </c>
      <c r="AT577" s="78" t="str">
        <f t="shared" si="97"/>
        <v/>
      </c>
      <c r="AU577" s="78" t="str">
        <f t="shared" si="98"/>
        <v/>
      </c>
      <c r="AV577" s="64" t="str">
        <f ca="1">IFERROR(__xludf.DUMMYFUNCTION("IF(TRIM(AU577)="""","""",AU577/INDEX(FILTER(AT$3:AT577,TRIM(AT$3:AT577)&lt;&gt;""""),ROWS(FILTER(AT$3:AT577,TRIM(AT$3:AT577)&lt;&gt;"""")))-1)"),"")</f>
        <v/>
      </c>
      <c r="AW577" s="65" t="e">
        <f t="shared" ca="1" si="90"/>
        <v>#VALUE!</v>
      </c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</row>
    <row r="578" spans="1:68" ht="19" x14ac:dyDescent="0.25">
      <c r="A578" s="5"/>
      <c r="B578" s="5"/>
      <c r="C578" s="5"/>
      <c r="D578" s="5"/>
      <c r="E578" s="5"/>
      <c r="F578" s="5"/>
      <c r="G578" s="5"/>
      <c r="H578" s="6"/>
      <c r="I578" s="5"/>
      <c r="J578" s="83"/>
      <c r="K578" s="83"/>
      <c r="L578" s="83"/>
      <c r="M578" s="83"/>
      <c r="N578" s="83"/>
      <c r="O578" s="83"/>
      <c r="P578" s="83"/>
      <c r="Q578" s="84"/>
      <c r="R578" s="83"/>
      <c r="S578" s="83"/>
      <c r="T578" s="85"/>
      <c r="U578" s="6"/>
      <c r="V578" s="87">
        <v>44755</v>
      </c>
      <c r="W578" s="45">
        <v>137.18</v>
      </c>
      <c r="X578" s="46"/>
      <c r="Y578" s="61"/>
      <c r="Z578" s="5"/>
      <c r="AA578" s="5"/>
      <c r="AB578" s="5"/>
      <c r="AC578" s="5"/>
      <c r="AD578" s="5"/>
      <c r="AE578" s="5"/>
      <c r="AF578" s="5"/>
      <c r="AG578" s="5"/>
      <c r="AH578" s="6"/>
      <c r="AI578" s="87">
        <v>44755</v>
      </c>
      <c r="AJ578" s="53">
        <v>137.18</v>
      </c>
      <c r="AK578" s="54">
        <f t="shared" si="88"/>
        <v>-1.4369880729989903E-2</v>
      </c>
      <c r="AL578" s="55">
        <f t="shared" si="91"/>
        <v>22.209706164932168</v>
      </c>
      <c r="AM578" s="56">
        <v>25</v>
      </c>
      <c r="AN578" s="57">
        <f t="shared" si="89"/>
        <v>2.7902938350678319</v>
      </c>
      <c r="AO578" s="76">
        <f t="shared" si="92"/>
        <v>1.4555897120639165</v>
      </c>
      <c r="AP578" s="63" t="str">
        <f t="shared" si="93"/>
        <v>Buy Stocks</v>
      </c>
      <c r="AQ578" s="63" t="str">
        <f t="shared" si="94"/>
        <v/>
      </c>
      <c r="AR578" s="63" t="str">
        <f t="shared" si="95"/>
        <v/>
      </c>
      <c r="AS578" s="63" t="str">
        <f t="shared" si="96"/>
        <v/>
      </c>
      <c r="AT578" s="78" t="str">
        <f t="shared" si="97"/>
        <v/>
      </c>
      <c r="AU578" s="78" t="str">
        <f t="shared" si="98"/>
        <v/>
      </c>
      <c r="AV578" s="64" t="str">
        <f ca="1">IFERROR(__xludf.DUMMYFUNCTION("IF(TRIM(AU578)="""","""",AU578/INDEX(FILTER(AT$3:AT578,TRIM(AT$3:AT578)&lt;&gt;""""),ROWS(FILTER(AT$3:AT578,TRIM(AT$3:AT578)&lt;&gt;"""")))-1)"),"")</f>
        <v/>
      </c>
      <c r="AW578" s="65" t="e">
        <f t="shared" ca="1" si="90"/>
        <v>#VALUE!</v>
      </c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</row>
    <row r="579" spans="1:68" ht="19" x14ac:dyDescent="0.25">
      <c r="A579" s="5"/>
      <c r="B579" s="5"/>
      <c r="C579" s="5"/>
      <c r="D579" s="5"/>
      <c r="E579" s="5"/>
      <c r="F579" s="5"/>
      <c r="G579" s="5"/>
      <c r="H579" s="6"/>
      <c r="I579" s="5"/>
      <c r="J579" s="83"/>
      <c r="K579" s="83"/>
      <c r="L579" s="83"/>
      <c r="M579" s="83"/>
      <c r="N579" s="83"/>
      <c r="O579" s="83"/>
      <c r="P579" s="83"/>
      <c r="Q579" s="84"/>
      <c r="R579" s="83"/>
      <c r="S579" s="83"/>
      <c r="T579" s="85"/>
      <c r="U579" s="6"/>
      <c r="V579" s="87">
        <v>44756</v>
      </c>
      <c r="W579" s="45">
        <v>139.06</v>
      </c>
      <c r="X579" s="46"/>
      <c r="Y579" s="61"/>
      <c r="Z579" s="5"/>
      <c r="AA579" s="5"/>
      <c r="AB579" s="5"/>
      <c r="AC579" s="5"/>
      <c r="AD579" s="5"/>
      <c r="AE579" s="5"/>
      <c r="AF579" s="5"/>
      <c r="AG579" s="5"/>
      <c r="AH579" s="6"/>
      <c r="AI579" s="87">
        <v>44756</v>
      </c>
      <c r="AJ579" s="53">
        <v>139.06</v>
      </c>
      <c r="AK579" s="54">
        <f t="shared" ref="AK579:AK642" si="99">AJ579/AJ578-1</f>
        <v>1.3704621664965666E-2</v>
      </c>
      <c r="AL579" s="55">
        <f t="shared" si="91"/>
        <v>18.634067848238374</v>
      </c>
      <c r="AM579" s="56">
        <v>25</v>
      </c>
      <c r="AN579" s="57">
        <f t="shared" ref="AN579:AN642" si="100">AM579-AL579</f>
        <v>6.3659321517616263</v>
      </c>
      <c r="AO579" s="76">
        <f t="shared" si="92"/>
        <v>2.8344577617593254</v>
      </c>
      <c r="AP579" s="63" t="str">
        <f t="shared" si="93"/>
        <v>Buy Stocks</v>
      </c>
      <c r="AQ579" s="63" t="str">
        <f t="shared" si="94"/>
        <v/>
      </c>
      <c r="AR579" s="63" t="str">
        <f t="shared" si="95"/>
        <v/>
      </c>
      <c r="AS579" s="63" t="str">
        <f t="shared" si="96"/>
        <v/>
      </c>
      <c r="AT579" s="78" t="str">
        <f t="shared" si="97"/>
        <v/>
      </c>
      <c r="AU579" s="78" t="str">
        <f t="shared" si="98"/>
        <v/>
      </c>
      <c r="AV579" s="64" t="str">
        <f ca="1">IFERROR(__xludf.DUMMYFUNCTION("IF(TRIM(AU579)="""","""",AU579/INDEX(FILTER(AT$3:AT579,TRIM(AT$3:AT579)&lt;&gt;""""),ROWS(FILTER(AT$3:AT579,TRIM(AT$3:AT579)&lt;&gt;"""")))-1)"),"")</f>
        <v/>
      </c>
      <c r="AW579" s="65" t="e">
        <f t="shared" ref="AW579:AW642" ca="1" si="101">AW578*(1+AV579)</f>
        <v>#VALUE!</v>
      </c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</row>
    <row r="580" spans="1:68" ht="19" x14ac:dyDescent="0.25">
      <c r="A580" s="5"/>
      <c r="B580" s="5"/>
      <c r="C580" s="5"/>
      <c r="D580" s="5"/>
      <c r="E580" s="5"/>
      <c r="F580" s="5"/>
      <c r="G580" s="5"/>
      <c r="H580" s="6"/>
      <c r="I580" s="5"/>
      <c r="J580" s="83"/>
      <c r="K580" s="83"/>
      <c r="L580" s="83"/>
      <c r="M580" s="83"/>
      <c r="N580" s="83"/>
      <c r="O580" s="83"/>
      <c r="P580" s="83"/>
      <c r="Q580" s="84"/>
      <c r="R580" s="83"/>
      <c r="S580" s="83"/>
      <c r="T580" s="85"/>
      <c r="U580" s="6"/>
      <c r="V580" s="87">
        <v>44757</v>
      </c>
      <c r="W580" s="45">
        <v>139.91999999999999</v>
      </c>
      <c r="X580" s="46"/>
      <c r="Y580" s="61"/>
      <c r="Z580" s="5"/>
      <c r="AA580" s="5"/>
      <c r="AB580" s="5"/>
      <c r="AC580" s="5"/>
      <c r="AD580" s="5"/>
      <c r="AE580" s="5"/>
      <c r="AF580" s="5"/>
      <c r="AG580" s="5"/>
      <c r="AH580" s="6"/>
      <c r="AI580" s="87">
        <v>44757</v>
      </c>
      <c r="AJ580" s="53">
        <v>139.91999999999999</v>
      </c>
      <c r="AK580" s="54">
        <f t="shared" si="99"/>
        <v>6.1843808428014846E-3</v>
      </c>
      <c r="AL580" s="55">
        <f t="shared" si="91"/>
        <v>19.616250841740229</v>
      </c>
      <c r="AM580" s="56">
        <v>25</v>
      </c>
      <c r="AN580" s="57">
        <f t="shared" si="100"/>
        <v>5.3837491582597714</v>
      </c>
      <c r="AO580" s="76">
        <f t="shared" si="92"/>
        <v>3.99475766517646</v>
      </c>
      <c r="AP580" s="63" t="str">
        <f t="shared" si="93"/>
        <v>Buy Stocks</v>
      </c>
      <c r="AQ580" s="63" t="str">
        <f t="shared" si="94"/>
        <v/>
      </c>
      <c r="AR580" s="63" t="str">
        <f t="shared" si="95"/>
        <v/>
      </c>
      <c r="AS580" s="63" t="str">
        <f t="shared" si="96"/>
        <v/>
      </c>
      <c r="AT580" s="78" t="str">
        <f t="shared" si="97"/>
        <v/>
      </c>
      <c r="AU580" s="78" t="str">
        <f t="shared" si="98"/>
        <v/>
      </c>
      <c r="AV580" s="64" t="str">
        <f ca="1">IFERROR(__xludf.DUMMYFUNCTION("IF(TRIM(AU580)="""","""",AU580/INDEX(FILTER(AT$3:AT580,TRIM(AT$3:AT580)&lt;&gt;""""),ROWS(FILTER(AT$3:AT580,TRIM(AT$3:AT580)&lt;&gt;"""")))-1)"),"")</f>
        <v/>
      </c>
      <c r="AW580" s="65" t="e">
        <f t="shared" ca="1" si="101"/>
        <v>#VALUE!</v>
      </c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</row>
    <row r="581" spans="1:68" ht="19" x14ac:dyDescent="0.25">
      <c r="A581" s="5"/>
      <c r="B581" s="5"/>
      <c r="C581" s="5"/>
      <c r="D581" s="5"/>
      <c r="E581" s="5"/>
      <c r="F581" s="5"/>
      <c r="G581" s="5"/>
      <c r="H581" s="6"/>
      <c r="I581" s="5"/>
      <c r="J581" s="83"/>
      <c r="K581" s="83"/>
      <c r="L581" s="83"/>
      <c r="M581" s="83"/>
      <c r="N581" s="83"/>
      <c r="O581" s="83"/>
      <c r="P581" s="83"/>
      <c r="Q581" s="84"/>
      <c r="R581" s="83"/>
      <c r="S581" s="83"/>
      <c r="T581" s="85"/>
      <c r="U581" s="6"/>
      <c r="V581" s="87">
        <v>44760</v>
      </c>
      <c r="W581" s="45">
        <v>138.13</v>
      </c>
      <c r="X581" s="46"/>
      <c r="Y581" s="61"/>
      <c r="Z581" s="5"/>
      <c r="AA581" s="5"/>
      <c r="AB581" s="5"/>
      <c r="AC581" s="5"/>
      <c r="AD581" s="5"/>
      <c r="AE581" s="5"/>
      <c r="AF581" s="5"/>
      <c r="AG581" s="5"/>
      <c r="AH581" s="6"/>
      <c r="AI581" s="87">
        <v>44760</v>
      </c>
      <c r="AJ581" s="53">
        <v>138.13</v>
      </c>
      <c r="AK581" s="54">
        <f t="shared" si="99"/>
        <v>-1.2793024585477375E-2</v>
      </c>
      <c r="AL581" s="55">
        <f t="shared" si="91"/>
        <v>20.718654429145225</v>
      </c>
      <c r="AM581" s="56">
        <v>25</v>
      </c>
      <c r="AN581" s="57">
        <f t="shared" si="100"/>
        <v>4.281345570854775</v>
      </c>
      <c r="AO581" s="76">
        <f t="shared" si="92"/>
        <v>4.9794685578469595</v>
      </c>
      <c r="AP581" s="63" t="str">
        <f t="shared" si="93"/>
        <v>Buy Stocks</v>
      </c>
      <c r="AQ581" s="63" t="str">
        <f t="shared" si="94"/>
        <v/>
      </c>
      <c r="AR581" s="63" t="str">
        <f t="shared" si="95"/>
        <v/>
      </c>
      <c r="AS581" s="63" t="str">
        <f t="shared" si="96"/>
        <v/>
      </c>
      <c r="AT581" s="78" t="str">
        <f t="shared" si="97"/>
        <v/>
      </c>
      <c r="AU581" s="78" t="str">
        <f t="shared" si="98"/>
        <v/>
      </c>
      <c r="AV581" s="64" t="str">
        <f ca="1">IFERROR(__xludf.DUMMYFUNCTION("IF(TRIM(AU581)="""","""",AU581/INDEX(FILTER(AT$3:AT581,TRIM(AT$3:AT581)&lt;&gt;""""),ROWS(FILTER(AT$3:AT581,TRIM(AT$3:AT581)&lt;&gt;"""")))-1)"),"")</f>
        <v/>
      </c>
      <c r="AW581" s="65" t="e">
        <f t="shared" ca="1" si="101"/>
        <v>#VALUE!</v>
      </c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</row>
    <row r="582" spans="1:68" ht="19" x14ac:dyDescent="0.25">
      <c r="A582" s="5"/>
      <c r="B582" s="5"/>
      <c r="C582" s="5"/>
      <c r="D582" s="5"/>
      <c r="E582" s="5"/>
      <c r="F582" s="5"/>
      <c r="G582" s="5"/>
      <c r="H582" s="6"/>
      <c r="I582" s="5"/>
      <c r="J582" s="83"/>
      <c r="K582" s="83"/>
      <c r="L582" s="83"/>
      <c r="M582" s="83"/>
      <c r="N582" s="83"/>
      <c r="O582" s="83"/>
      <c r="P582" s="83"/>
      <c r="Q582" s="84"/>
      <c r="R582" s="83"/>
      <c r="S582" s="83"/>
      <c r="T582" s="85"/>
      <c r="U582" s="6"/>
      <c r="V582" s="87">
        <v>44761</v>
      </c>
      <c r="W582" s="45">
        <v>130.88</v>
      </c>
      <c r="X582" s="46"/>
      <c r="Y582" s="61"/>
      <c r="Z582" s="5"/>
      <c r="AA582" s="5"/>
      <c r="AB582" s="5"/>
      <c r="AC582" s="5"/>
      <c r="AD582" s="5"/>
      <c r="AE582" s="5"/>
      <c r="AF582" s="5"/>
      <c r="AG582" s="5"/>
      <c r="AH582" s="6"/>
      <c r="AI582" s="87">
        <v>44761</v>
      </c>
      <c r="AJ582" s="53">
        <v>130.88</v>
      </c>
      <c r="AK582" s="54">
        <f t="shared" si="99"/>
        <v>-5.2486787808586066E-2</v>
      </c>
      <c r="AL582" s="55">
        <f t="shared" si="91"/>
        <v>40.757725815205077</v>
      </c>
      <c r="AM582" s="56">
        <v>25</v>
      </c>
      <c r="AN582" s="57">
        <f t="shared" si="100"/>
        <v>-15.757725815205077</v>
      </c>
      <c r="AO582" s="76">
        <f t="shared" si="92"/>
        <v>0.61271898014778547</v>
      </c>
      <c r="AP582" s="63" t="str">
        <f t="shared" si="93"/>
        <v>Buy Stocks</v>
      </c>
      <c r="AQ582" s="63" t="str">
        <f t="shared" si="94"/>
        <v/>
      </c>
      <c r="AR582" s="63" t="str">
        <f t="shared" si="95"/>
        <v/>
      </c>
      <c r="AS582" s="63" t="str">
        <f t="shared" si="96"/>
        <v/>
      </c>
      <c r="AT582" s="78" t="str">
        <f t="shared" si="97"/>
        <v/>
      </c>
      <c r="AU582" s="78" t="str">
        <f t="shared" si="98"/>
        <v/>
      </c>
      <c r="AV582" s="64" t="str">
        <f ca="1">IFERROR(__xludf.DUMMYFUNCTION("IF(TRIM(AU582)="""","""",AU582/INDEX(FILTER(AT$3:AT582,TRIM(AT$3:AT582)&lt;&gt;""""),ROWS(FILTER(AT$3:AT582,TRIM(AT$3:AT582)&lt;&gt;"""")))-1)"),"")</f>
        <v/>
      </c>
      <c r="AW582" s="65" t="e">
        <f t="shared" ca="1" si="101"/>
        <v>#VALUE!</v>
      </c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</row>
    <row r="583" spans="1:68" ht="19" x14ac:dyDescent="0.25">
      <c r="A583" s="5"/>
      <c r="B583" s="5"/>
      <c r="C583" s="5"/>
      <c r="D583" s="5"/>
      <c r="E583" s="5"/>
      <c r="F583" s="5"/>
      <c r="G583" s="5"/>
      <c r="H583" s="6"/>
      <c r="I583" s="5"/>
      <c r="J583" s="83"/>
      <c r="K583" s="83"/>
      <c r="L583" s="83"/>
      <c r="M583" s="83"/>
      <c r="N583" s="83"/>
      <c r="O583" s="83"/>
      <c r="P583" s="83"/>
      <c r="Q583" s="84"/>
      <c r="R583" s="83"/>
      <c r="S583" s="83"/>
      <c r="T583" s="85"/>
      <c r="U583" s="6"/>
      <c r="V583" s="87">
        <v>44762</v>
      </c>
      <c r="W583" s="45">
        <v>129.18</v>
      </c>
      <c r="X583" s="46"/>
      <c r="Y583" s="61"/>
      <c r="Z583" s="5"/>
      <c r="AA583" s="5"/>
      <c r="AB583" s="5"/>
      <c r="AC583" s="5"/>
      <c r="AD583" s="5"/>
      <c r="AE583" s="5"/>
      <c r="AF583" s="5"/>
      <c r="AG583" s="5"/>
      <c r="AH583" s="6"/>
      <c r="AI583" s="87">
        <v>44762</v>
      </c>
      <c r="AJ583" s="53">
        <v>129.18</v>
      </c>
      <c r="AK583" s="54">
        <f t="shared" si="99"/>
        <v>-1.2988997555012149E-2</v>
      </c>
      <c r="AL583" s="55">
        <f t="shared" ref="AL583:AL646" si="102">_xlfn.STDEV.S(AK579:AK583)*SQRT(252)*100</f>
        <v>40.717890402654383</v>
      </c>
      <c r="AM583" s="56">
        <v>25</v>
      </c>
      <c r="AN583" s="57">
        <f t="shared" si="100"/>
        <v>-15.717890402654383</v>
      </c>
      <c r="AO583" s="76">
        <f t="shared" ref="AO583:AO646" si="103">AVERAGE(AN579:AN583)</f>
        <v>-3.0889178673966575</v>
      </c>
      <c r="AP583" s="63" t="str">
        <f t="shared" ref="AP583:AP646" si="104">IF(AO583&gt;0,"Buy Stocks","")</f>
        <v/>
      </c>
      <c r="AQ583" s="63" t="str">
        <f t="shared" ref="AQ583:AQ646" si="105">IF(AO583&lt;0,"Sell Stocks","")</f>
        <v>Sell Stocks</v>
      </c>
      <c r="AR583" s="63" t="str">
        <f t="shared" ref="AR583:AR646" si="106">IF(AND(AP583="Buy Stocks",AP582=""),"Buy Stocks","")</f>
        <v/>
      </c>
      <c r="AS583" s="63" t="str">
        <f t="shared" ref="AS583:AS646" si="107">IF(AND(AQ583="Sell Stocks",AQ582=""),"Sell Stocks","")</f>
        <v>Sell Stocks</v>
      </c>
      <c r="AT583" s="78" t="str">
        <f t="shared" ref="AT583:AT646" si="108">IF(AR583="Buy Stocks",AJ583,"")</f>
        <v/>
      </c>
      <c r="AU583" s="77">
        <f t="shared" ref="AU583:AU646" si="109">IF(AS583="Sell Stocks",AJ583,"")</f>
        <v>129.18</v>
      </c>
      <c r="AV583" s="64">
        <f ca="1">IFERROR(__xludf.DUMMYFUNCTION("IF(TRIM(AU583)="""","""",AU583/INDEX(FILTER(AT$3:AT583,TRIM(AT$3:AT583)&lt;&gt;""""),ROWS(FILTER(AT$3:AT583,TRIM(AT$3:AT583)&lt;&gt;"""")))-1)"),-0.0695764909248055)</f>
        <v>-6.9576490924805501E-2</v>
      </c>
      <c r="AW583" s="65" t="e">
        <f t="shared" ca="1" si="101"/>
        <v>#VALUE!</v>
      </c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</row>
    <row r="584" spans="1:68" ht="19" x14ac:dyDescent="0.25">
      <c r="A584" s="5"/>
      <c r="B584" s="5"/>
      <c r="C584" s="5"/>
      <c r="D584" s="5"/>
      <c r="E584" s="5"/>
      <c r="F584" s="5"/>
      <c r="G584" s="5"/>
      <c r="H584" s="6"/>
      <c r="I584" s="5"/>
      <c r="J584" s="83"/>
      <c r="K584" s="83"/>
      <c r="L584" s="83"/>
      <c r="M584" s="83"/>
      <c r="N584" s="83"/>
      <c r="O584" s="83"/>
      <c r="P584" s="83"/>
      <c r="Q584" s="84"/>
      <c r="R584" s="83"/>
      <c r="S584" s="83"/>
      <c r="T584" s="85"/>
      <c r="U584" s="6"/>
      <c r="V584" s="87">
        <v>44763</v>
      </c>
      <c r="W584" s="45">
        <v>127.15</v>
      </c>
      <c r="X584" s="46"/>
      <c r="Y584" s="61"/>
      <c r="Z584" s="5"/>
      <c r="AA584" s="5"/>
      <c r="AB584" s="5"/>
      <c r="AC584" s="5"/>
      <c r="AD584" s="5"/>
      <c r="AE584" s="5"/>
      <c r="AF584" s="5"/>
      <c r="AG584" s="5"/>
      <c r="AH584" s="6"/>
      <c r="AI584" s="87">
        <v>44763</v>
      </c>
      <c r="AJ584" s="53">
        <v>127.15</v>
      </c>
      <c r="AK584" s="54">
        <f t="shared" si="99"/>
        <v>-1.5714506889611402E-2</v>
      </c>
      <c r="AL584" s="55">
        <f t="shared" si="102"/>
        <v>33.960875389088145</v>
      </c>
      <c r="AM584" s="56">
        <v>25</v>
      </c>
      <c r="AN584" s="57">
        <f t="shared" si="100"/>
        <v>-8.9608753890881445</v>
      </c>
      <c r="AO584" s="76">
        <f t="shared" si="103"/>
        <v>-6.1542793755666114</v>
      </c>
      <c r="AP584" s="63" t="str">
        <f t="shared" si="104"/>
        <v/>
      </c>
      <c r="AQ584" s="63" t="str">
        <f t="shared" si="105"/>
        <v>Sell Stocks</v>
      </c>
      <c r="AR584" s="63" t="str">
        <f t="shared" si="106"/>
        <v/>
      </c>
      <c r="AS584" s="63" t="str">
        <f t="shared" si="107"/>
        <v/>
      </c>
      <c r="AT584" s="78" t="str">
        <f t="shared" si="108"/>
        <v/>
      </c>
      <c r="AU584" s="78" t="str">
        <f t="shared" si="109"/>
        <v/>
      </c>
      <c r="AV584" s="64" t="str">
        <f ca="1">IFERROR(__xludf.DUMMYFUNCTION("IF(TRIM(AU584)="""","""",AU584/INDEX(FILTER(AT$3:AT584,TRIM(AT$3:AT584)&lt;&gt;""""),ROWS(FILTER(AT$3:AT584,TRIM(AT$3:AT584)&lt;&gt;"""")))-1)"),"")</f>
        <v/>
      </c>
      <c r="AW584" s="65" t="e">
        <f t="shared" ca="1" si="101"/>
        <v>#VALUE!</v>
      </c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</row>
    <row r="585" spans="1:68" ht="19" x14ac:dyDescent="0.25">
      <c r="A585" s="5"/>
      <c r="B585" s="5"/>
      <c r="C585" s="5"/>
      <c r="D585" s="5"/>
      <c r="E585" s="5"/>
      <c r="F585" s="5"/>
      <c r="G585" s="5"/>
      <c r="H585" s="6"/>
      <c r="I585" s="5"/>
      <c r="J585" s="83"/>
      <c r="K585" s="83"/>
      <c r="L585" s="83"/>
      <c r="M585" s="83"/>
      <c r="N585" s="83"/>
      <c r="O585" s="83"/>
      <c r="P585" s="83"/>
      <c r="Q585" s="84"/>
      <c r="R585" s="83"/>
      <c r="S585" s="83"/>
      <c r="T585" s="85"/>
      <c r="U585" s="6"/>
      <c r="V585" s="44">
        <v>44764</v>
      </c>
      <c r="W585" s="45">
        <v>128.25</v>
      </c>
      <c r="X585" s="46"/>
      <c r="Y585" s="61"/>
      <c r="Z585" s="5"/>
      <c r="AA585" s="5"/>
      <c r="AB585" s="5"/>
      <c r="AC585" s="5"/>
      <c r="AD585" s="5"/>
      <c r="AE585" s="5"/>
      <c r="AF585" s="5"/>
      <c r="AG585" s="5"/>
      <c r="AH585" s="6"/>
      <c r="AI585" s="44">
        <v>44764</v>
      </c>
      <c r="AJ585" s="53">
        <v>128.25</v>
      </c>
      <c r="AK585" s="54">
        <f t="shared" si="99"/>
        <v>8.651199370821816E-3</v>
      </c>
      <c r="AL585" s="55">
        <f t="shared" si="102"/>
        <v>35.074341225494535</v>
      </c>
      <c r="AM585" s="56">
        <v>25</v>
      </c>
      <c r="AN585" s="57">
        <f t="shared" si="100"/>
        <v>-10.074341225494535</v>
      </c>
      <c r="AO585" s="76">
        <f t="shared" si="103"/>
        <v>-9.2458974523174735</v>
      </c>
      <c r="AP585" s="63" t="str">
        <f t="shared" si="104"/>
        <v/>
      </c>
      <c r="AQ585" s="63" t="str">
        <f t="shared" si="105"/>
        <v>Sell Stocks</v>
      </c>
      <c r="AR585" s="63" t="str">
        <f t="shared" si="106"/>
        <v/>
      </c>
      <c r="AS585" s="63" t="str">
        <f t="shared" si="107"/>
        <v/>
      </c>
      <c r="AT585" s="78" t="str">
        <f t="shared" si="108"/>
        <v/>
      </c>
      <c r="AU585" s="78" t="str">
        <f t="shared" si="109"/>
        <v/>
      </c>
      <c r="AV585" s="64" t="str">
        <f ca="1">IFERROR(__xludf.DUMMYFUNCTION("IF(TRIM(AU585)="""","""",AU585/INDEX(FILTER(AT$3:AT585,TRIM(AT$3:AT585)&lt;&gt;""""),ROWS(FILTER(AT$3:AT585,TRIM(AT$3:AT585)&lt;&gt;"""")))-1)"),"")</f>
        <v/>
      </c>
      <c r="AW585" s="65" t="e">
        <f t="shared" ca="1" si="101"/>
        <v>#VALUE!</v>
      </c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</row>
    <row r="586" spans="1:68" ht="19" x14ac:dyDescent="0.25">
      <c r="A586" s="5"/>
      <c r="B586" s="5"/>
      <c r="C586" s="5"/>
      <c r="D586" s="5"/>
      <c r="E586" s="5"/>
      <c r="F586" s="5"/>
      <c r="G586" s="5"/>
      <c r="H586" s="6"/>
      <c r="I586" s="5"/>
      <c r="J586" s="83"/>
      <c r="K586" s="83"/>
      <c r="L586" s="83"/>
      <c r="M586" s="83"/>
      <c r="N586" s="83"/>
      <c r="O586" s="83"/>
      <c r="P586" s="83"/>
      <c r="Q586" s="84"/>
      <c r="R586" s="83"/>
      <c r="S586" s="83"/>
      <c r="T586" s="85"/>
      <c r="U586" s="6"/>
      <c r="V586" s="44">
        <v>44767</v>
      </c>
      <c r="W586" s="45">
        <v>128.54</v>
      </c>
      <c r="X586" s="46"/>
      <c r="Y586" s="61"/>
      <c r="Z586" s="5"/>
      <c r="AA586" s="5"/>
      <c r="AB586" s="5"/>
      <c r="AC586" s="5"/>
      <c r="AD586" s="5"/>
      <c r="AE586" s="5"/>
      <c r="AF586" s="5"/>
      <c r="AG586" s="5"/>
      <c r="AH586" s="6"/>
      <c r="AI586" s="44">
        <v>44767</v>
      </c>
      <c r="AJ586" s="53">
        <v>128.54</v>
      </c>
      <c r="AK586" s="54">
        <f t="shared" si="99"/>
        <v>2.261208576997964E-3</v>
      </c>
      <c r="AL586" s="55">
        <f t="shared" si="102"/>
        <v>37.7556639073658</v>
      </c>
      <c r="AM586" s="56">
        <v>25</v>
      </c>
      <c r="AN586" s="57">
        <f t="shared" si="100"/>
        <v>-12.7556639073658</v>
      </c>
      <c r="AO586" s="76">
        <f t="shared" si="103"/>
        <v>-12.653299347961589</v>
      </c>
      <c r="AP586" s="63" t="str">
        <f t="shared" si="104"/>
        <v/>
      </c>
      <c r="AQ586" s="63" t="str">
        <f t="shared" si="105"/>
        <v>Sell Stocks</v>
      </c>
      <c r="AR586" s="63" t="str">
        <f t="shared" si="106"/>
        <v/>
      </c>
      <c r="AS586" s="63" t="str">
        <f t="shared" si="107"/>
        <v/>
      </c>
      <c r="AT586" s="78" t="str">
        <f t="shared" si="108"/>
        <v/>
      </c>
      <c r="AU586" s="78" t="str">
        <f t="shared" si="109"/>
        <v/>
      </c>
      <c r="AV586" s="64" t="str">
        <f ca="1">IFERROR(__xludf.DUMMYFUNCTION("IF(TRIM(AU586)="""","""",AU586/INDEX(FILTER(AT$3:AT586,TRIM(AT$3:AT586)&lt;&gt;""""),ROWS(FILTER(AT$3:AT586,TRIM(AT$3:AT586)&lt;&gt;"""")))-1)"),"")</f>
        <v/>
      </c>
      <c r="AW586" s="65" t="e">
        <f t="shared" ca="1" si="101"/>
        <v>#VALUE!</v>
      </c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</row>
    <row r="587" spans="1:68" ht="19" x14ac:dyDescent="0.25">
      <c r="A587" s="5"/>
      <c r="B587" s="5"/>
      <c r="C587" s="5"/>
      <c r="D587" s="5"/>
      <c r="E587" s="5"/>
      <c r="F587" s="5"/>
      <c r="G587" s="5"/>
      <c r="H587" s="6"/>
      <c r="I587" s="5"/>
      <c r="J587" s="83"/>
      <c r="K587" s="83"/>
      <c r="L587" s="83"/>
      <c r="M587" s="83"/>
      <c r="N587" s="83"/>
      <c r="O587" s="83"/>
      <c r="P587" s="83"/>
      <c r="Q587" s="84"/>
      <c r="R587" s="83"/>
      <c r="S587" s="83"/>
      <c r="T587" s="85"/>
      <c r="U587" s="6"/>
      <c r="V587" s="44">
        <v>44768</v>
      </c>
      <c r="W587" s="45">
        <v>128.08000000000001</v>
      </c>
      <c r="X587" s="46"/>
      <c r="Y587" s="61"/>
      <c r="Z587" s="5"/>
      <c r="AA587" s="5"/>
      <c r="AB587" s="5"/>
      <c r="AC587" s="5"/>
      <c r="AD587" s="5"/>
      <c r="AE587" s="5"/>
      <c r="AF587" s="5"/>
      <c r="AG587" s="5"/>
      <c r="AH587" s="6"/>
      <c r="AI587" s="44">
        <v>44768</v>
      </c>
      <c r="AJ587" s="53">
        <v>128.08000000000001</v>
      </c>
      <c r="AK587" s="54">
        <f t="shared" si="99"/>
        <v>-3.5786525595143948E-3</v>
      </c>
      <c r="AL587" s="55">
        <f t="shared" si="102"/>
        <v>16.210072778827914</v>
      </c>
      <c r="AM587" s="56">
        <v>25</v>
      </c>
      <c r="AN587" s="57">
        <f t="shared" si="100"/>
        <v>8.7899272211720856</v>
      </c>
      <c r="AO587" s="76">
        <f t="shared" si="103"/>
        <v>-7.7437687406861553</v>
      </c>
      <c r="AP587" s="63" t="str">
        <f t="shared" si="104"/>
        <v/>
      </c>
      <c r="AQ587" s="63" t="str">
        <f t="shared" si="105"/>
        <v>Sell Stocks</v>
      </c>
      <c r="AR587" s="63" t="str">
        <f t="shared" si="106"/>
        <v/>
      </c>
      <c r="AS587" s="63" t="str">
        <f t="shared" si="107"/>
        <v/>
      </c>
      <c r="AT587" s="78" t="str">
        <f t="shared" si="108"/>
        <v/>
      </c>
      <c r="AU587" s="78" t="str">
        <f t="shared" si="109"/>
        <v/>
      </c>
      <c r="AV587" s="64" t="str">
        <f ca="1">IFERROR(__xludf.DUMMYFUNCTION("IF(TRIM(AU587)="""","""",AU587/INDEX(FILTER(AT$3:AT587,TRIM(AT$3:AT587)&lt;&gt;""""),ROWS(FILTER(AT$3:AT587,TRIM(AT$3:AT587)&lt;&gt;"""")))-1)"),"")</f>
        <v/>
      </c>
      <c r="AW587" s="65" t="e">
        <f t="shared" ca="1" si="101"/>
        <v>#VALUE!</v>
      </c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</row>
    <row r="588" spans="1:68" ht="19" x14ac:dyDescent="0.25">
      <c r="A588" s="5"/>
      <c r="B588" s="5"/>
      <c r="C588" s="5"/>
      <c r="D588" s="5"/>
      <c r="E588" s="5"/>
      <c r="F588" s="5"/>
      <c r="G588" s="5"/>
      <c r="H588" s="6"/>
      <c r="I588" s="5"/>
      <c r="J588" s="83"/>
      <c r="K588" s="83"/>
      <c r="L588" s="83"/>
      <c r="M588" s="83"/>
      <c r="N588" s="83"/>
      <c r="O588" s="83"/>
      <c r="P588" s="83"/>
      <c r="Q588" s="84"/>
      <c r="R588" s="83"/>
      <c r="S588" s="83"/>
      <c r="T588" s="85"/>
      <c r="U588" s="6"/>
      <c r="V588" s="44">
        <v>44769</v>
      </c>
      <c r="W588" s="45">
        <v>129.12</v>
      </c>
      <c r="X588" s="46"/>
      <c r="Y588" s="61"/>
      <c r="Z588" s="5"/>
      <c r="AA588" s="5"/>
      <c r="AB588" s="5"/>
      <c r="AC588" s="5"/>
      <c r="AD588" s="5"/>
      <c r="AE588" s="5"/>
      <c r="AF588" s="5"/>
      <c r="AG588" s="5"/>
      <c r="AH588" s="6"/>
      <c r="AI588" s="44">
        <v>44769</v>
      </c>
      <c r="AJ588" s="53">
        <v>129.12</v>
      </c>
      <c r="AK588" s="54">
        <f t="shared" si="99"/>
        <v>8.1199250468455553E-3</v>
      </c>
      <c r="AL588" s="55">
        <f t="shared" si="102"/>
        <v>15.985802282130127</v>
      </c>
      <c r="AM588" s="56">
        <v>25</v>
      </c>
      <c r="AN588" s="57">
        <f t="shared" si="100"/>
        <v>9.0141977178698731</v>
      </c>
      <c r="AO588" s="76">
        <f t="shared" si="103"/>
        <v>-2.7973511165813045</v>
      </c>
      <c r="AP588" s="63" t="str">
        <f t="shared" si="104"/>
        <v/>
      </c>
      <c r="AQ588" s="63" t="str">
        <f t="shared" si="105"/>
        <v>Sell Stocks</v>
      </c>
      <c r="AR588" s="63" t="str">
        <f t="shared" si="106"/>
        <v/>
      </c>
      <c r="AS588" s="63" t="str">
        <f t="shared" si="107"/>
        <v/>
      </c>
      <c r="AT588" s="78" t="str">
        <f t="shared" si="108"/>
        <v/>
      </c>
      <c r="AU588" s="78" t="str">
        <f t="shared" si="109"/>
        <v/>
      </c>
      <c r="AV588" s="64" t="str">
        <f ca="1">IFERROR(__xludf.DUMMYFUNCTION("IF(TRIM(AU588)="""","""",AU588/INDEX(FILTER(AT$3:AT588,TRIM(AT$3:AT588)&lt;&gt;""""),ROWS(FILTER(AT$3:AT588,TRIM(AT$3:AT588)&lt;&gt;"""")))-1)"),"")</f>
        <v/>
      </c>
      <c r="AW588" s="65" t="e">
        <f t="shared" ca="1" si="101"/>
        <v>#VALUE!</v>
      </c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</row>
    <row r="589" spans="1:68" ht="19" x14ac:dyDescent="0.25">
      <c r="A589" s="5"/>
      <c r="B589" s="5"/>
      <c r="C589" s="5"/>
      <c r="D589" s="5"/>
      <c r="E589" s="5"/>
      <c r="F589" s="5"/>
      <c r="G589" s="5"/>
      <c r="H589" s="6"/>
      <c r="I589" s="5"/>
      <c r="J589" s="83"/>
      <c r="K589" s="83"/>
      <c r="L589" s="83"/>
      <c r="M589" s="83"/>
      <c r="N589" s="83"/>
      <c r="O589" s="83"/>
      <c r="P589" s="83"/>
      <c r="Q589" s="84"/>
      <c r="R589" s="83"/>
      <c r="S589" s="83"/>
      <c r="T589" s="85"/>
      <c r="U589" s="6"/>
      <c r="V589" s="44">
        <v>44770</v>
      </c>
      <c r="W589" s="45">
        <v>129.22</v>
      </c>
      <c r="X589" s="46"/>
      <c r="Y589" s="61"/>
      <c r="Z589" s="5"/>
      <c r="AA589" s="5"/>
      <c r="AB589" s="5"/>
      <c r="AC589" s="5"/>
      <c r="AD589" s="5"/>
      <c r="AE589" s="5"/>
      <c r="AF589" s="5"/>
      <c r="AG589" s="5"/>
      <c r="AH589" s="6"/>
      <c r="AI589" s="44">
        <v>44770</v>
      </c>
      <c r="AJ589" s="53">
        <v>129.22</v>
      </c>
      <c r="AK589" s="54">
        <f t="shared" si="99"/>
        <v>7.7447335811653417E-4</v>
      </c>
      <c r="AL589" s="55">
        <f t="shared" si="102"/>
        <v>8.1959772636440569</v>
      </c>
      <c r="AM589" s="56">
        <v>25</v>
      </c>
      <c r="AN589" s="57">
        <f t="shared" si="100"/>
        <v>16.804022736355943</v>
      </c>
      <c r="AO589" s="76">
        <f t="shared" si="103"/>
        <v>2.3556285085075133</v>
      </c>
      <c r="AP589" s="63" t="str">
        <f t="shared" si="104"/>
        <v>Buy Stocks</v>
      </c>
      <c r="AQ589" s="63" t="str">
        <f t="shared" si="105"/>
        <v/>
      </c>
      <c r="AR589" s="63" t="str">
        <f t="shared" si="106"/>
        <v>Buy Stocks</v>
      </c>
      <c r="AS589" s="63" t="str">
        <f t="shared" si="107"/>
        <v/>
      </c>
      <c r="AT589" s="77">
        <f t="shared" si="108"/>
        <v>129.22</v>
      </c>
      <c r="AU589" s="78" t="str">
        <f t="shared" si="109"/>
        <v/>
      </c>
      <c r="AV589" s="64" t="str">
        <f ca="1">IFERROR(__xludf.DUMMYFUNCTION("IF(TRIM(AU589)="""","""",AU589/INDEX(FILTER(AT$3:AT589,TRIM(AT$3:AT589)&lt;&gt;""""),ROWS(FILTER(AT$3:AT589,TRIM(AT$3:AT589)&lt;&gt;"""")))-1)"),"")</f>
        <v/>
      </c>
      <c r="AW589" s="65" t="e">
        <f t="shared" ca="1" si="101"/>
        <v>#VALUE!</v>
      </c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</row>
    <row r="590" spans="1:68" ht="19" x14ac:dyDescent="0.25">
      <c r="A590" s="5"/>
      <c r="B590" s="5"/>
      <c r="C590" s="5"/>
      <c r="D590" s="5"/>
      <c r="E590" s="5"/>
      <c r="F590" s="5"/>
      <c r="G590" s="5"/>
      <c r="H590" s="6"/>
      <c r="I590" s="5"/>
      <c r="J590" s="83"/>
      <c r="K590" s="83"/>
      <c r="L590" s="83"/>
      <c r="M590" s="83"/>
      <c r="N590" s="83"/>
      <c r="O590" s="83"/>
      <c r="P590" s="83"/>
      <c r="Q590" s="84"/>
      <c r="R590" s="83"/>
      <c r="S590" s="83"/>
      <c r="T590" s="85"/>
      <c r="U590" s="6"/>
      <c r="V590" s="44">
        <v>44771</v>
      </c>
      <c r="W590" s="45">
        <v>130.79</v>
      </c>
      <c r="X590" s="46"/>
      <c r="Y590" s="61"/>
      <c r="Z590" s="5"/>
      <c r="AA590" s="5"/>
      <c r="AB590" s="5"/>
      <c r="AC590" s="5"/>
      <c r="AD590" s="5"/>
      <c r="AE590" s="5"/>
      <c r="AF590" s="5"/>
      <c r="AG590" s="5"/>
      <c r="AH590" s="6"/>
      <c r="AI590" s="44">
        <v>44771</v>
      </c>
      <c r="AJ590" s="53">
        <v>130.79</v>
      </c>
      <c r="AK590" s="54">
        <f t="shared" si="99"/>
        <v>1.2149822008976852E-2</v>
      </c>
      <c r="AL590" s="55">
        <f t="shared" si="102"/>
        <v>9.8576042360813698</v>
      </c>
      <c r="AM590" s="56">
        <v>25</v>
      </c>
      <c r="AN590" s="57">
        <f t="shared" si="100"/>
        <v>15.14239576391863</v>
      </c>
      <c r="AO590" s="76">
        <f t="shared" si="103"/>
        <v>7.3989759063901461</v>
      </c>
      <c r="AP590" s="63" t="str">
        <f t="shared" si="104"/>
        <v>Buy Stocks</v>
      </c>
      <c r="AQ590" s="63" t="str">
        <f t="shared" si="105"/>
        <v/>
      </c>
      <c r="AR590" s="63" t="str">
        <f t="shared" si="106"/>
        <v/>
      </c>
      <c r="AS590" s="63" t="str">
        <f t="shared" si="107"/>
        <v/>
      </c>
      <c r="AT590" s="78" t="str">
        <f t="shared" si="108"/>
        <v/>
      </c>
      <c r="AU590" s="78" t="str">
        <f t="shared" si="109"/>
        <v/>
      </c>
      <c r="AV590" s="64" t="str">
        <f ca="1">IFERROR(__xludf.DUMMYFUNCTION("IF(TRIM(AU590)="""","""",AU590/INDEX(FILTER(AT$3:AT590,TRIM(AT$3:AT590)&lt;&gt;""""),ROWS(FILTER(AT$3:AT590,TRIM(AT$3:AT590)&lt;&gt;"""")))-1)"),"")</f>
        <v/>
      </c>
      <c r="AW590" s="65" t="e">
        <f t="shared" ca="1" si="101"/>
        <v>#VALUE!</v>
      </c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</row>
    <row r="591" spans="1:68" ht="19" x14ac:dyDescent="0.25">
      <c r="A591" s="5"/>
      <c r="B591" s="5"/>
      <c r="C591" s="5"/>
      <c r="D591" s="5"/>
      <c r="E591" s="5"/>
      <c r="F591" s="5"/>
      <c r="G591" s="5"/>
      <c r="H591" s="6"/>
      <c r="I591" s="5"/>
      <c r="J591" s="83"/>
      <c r="K591" s="83"/>
      <c r="L591" s="83"/>
      <c r="M591" s="83"/>
      <c r="N591" s="83"/>
      <c r="O591" s="83"/>
      <c r="P591" s="83"/>
      <c r="Q591" s="84"/>
      <c r="R591" s="83"/>
      <c r="S591" s="83"/>
      <c r="T591" s="85"/>
      <c r="U591" s="6"/>
      <c r="V591" s="44">
        <v>44774</v>
      </c>
      <c r="W591" s="45">
        <v>132.04</v>
      </c>
      <c r="X591" s="46"/>
      <c r="Y591" s="61"/>
      <c r="Z591" s="5"/>
      <c r="AA591" s="5"/>
      <c r="AB591" s="5"/>
      <c r="AC591" s="5"/>
      <c r="AD591" s="5"/>
      <c r="AE591" s="5"/>
      <c r="AF591" s="5"/>
      <c r="AG591" s="5"/>
      <c r="AH591" s="6"/>
      <c r="AI591" s="44">
        <v>44774</v>
      </c>
      <c r="AJ591" s="53">
        <v>132.04</v>
      </c>
      <c r="AK591" s="54">
        <f t="shared" si="99"/>
        <v>9.5573056044040428E-3</v>
      </c>
      <c r="AL591" s="55">
        <f t="shared" si="102"/>
        <v>10.417260200841421</v>
      </c>
      <c r="AM591" s="56">
        <v>25</v>
      </c>
      <c r="AN591" s="57">
        <f t="shared" si="100"/>
        <v>14.582739799158579</v>
      </c>
      <c r="AO591" s="76">
        <f t="shared" si="103"/>
        <v>12.86665664769502</v>
      </c>
      <c r="AP591" s="63" t="str">
        <f t="shared" si="104"/>
        <v>Buy Stocks</v>
      </c>
      <c r="AQ591" s="63" t="str">
        <f t="shared" si="105"/>
        <v/>
      </c>
      <c r="AR591" s="63" t="str">
        <f t="shared" si="106"/>
        <v/>
      </c>
      <c r="AS591" s="63" t="str">
        <f t="shared" si="107"/>
        <v/>
      </c>
      <c r="AT591" s="78" t="str">
        <f t="shared" si="108"/>
        <v/>
      </c>
      <c r="AU591" s="78" t="str">
        <f t="shared" si="109"/>
        <v/>
      </c>
      <c r="AV591" s="64" t="str">
        <f ca="1">IFERROR(__xludf.DUMMYFUNCTION("IF(TRIM(AU591)="""","""",AU591/INDEX(FILTER(AT$3:AT591,TRIM(AT$3:AT591)&lt;&gt;""""),ROWS(FILTER(AT$3:AT591,TRIM(AT$3:AT591)&lt;&gt;"""")))-1)"),"")</f>
        <v/>
      </c>
      <c r="AW591" s="65" t="e">
        <f t="shared" ca="1" si="101"/>
        <v>#VALUE!</v>
      </c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</row>
    <row r="592" spans="1:68" ht="19" x14ac:dyDescent="0.25">
      <c r="A592" s="5"/>
      <c r="B592" s="5"/>
      <c r="C592" s="5"/>
      <c r="D592" s="5"/>
      <c r="E592" s="5"/>
      <c r="F592" s="5"/>
      <c r="G592" s="5"/>
      <c r="H592" s="6"/>
      <c r="I592" s="5"/>
      <c r="J592" s="83"/>
      <c r="K592" s="83"/>
      <c r="L592" s="83"/>
      <c r="M592" s="83"/>
      <c r="N592" s="83"/>
      <c r="O592" s="83"/>
      <c r="P592" s="83"/>
      <c r="Q592" s="84"/>
      <c r="R592" s="83"/>
      <c r="S592" s="83"/>
      <c r="T592" s="85"/>
      <c r="U592" s="6"/>
      <c r="V592" s="87">
        <v>44775</v>
      </c>
      <c r="W592" s="45">
        <v>131.81</v>
      </c>
      <c r="X592" s="46"/>
      <c r="Y592" s="61"/>
      <c r="Z592" s="5"/>
      <c r="AA592" s="5"/>
      <c r="AB592" s="5"/>
      <c r="AC592" s="5"/>
      <c r="AD592" s="5"/>
      <c r="AE592" s="5"/>
      <c r="AF592" s="5"/>
      <c r="AG592" s="5"/>
      <c r="AH592" s="6"/>
      <c r="AI592" s="87">
        <v>44775</v>
      </c>
      <c r="AJ592" s="53">
        <v>131.81</v>
      </c>
      <c r="AK592" s="54">
        <f t="shared" si="99"/>
        <v>-1.7418963950317501E-3</v>
      </c>
      <c r="AL592" s="55">
        <f t="shared" si="102"/>
        <v>9.4567247961447656</v>
      </c>
      <c r="AM592" s="56">
        <v>25</v>
      </c>
      <c r="AN592" s="57">
        <f t="shared" si="100"/>
        <v>15.543275203855234</v>
      </c>
      <c r="AO592" s="76">
        <f t="shared" si="103"/>
        <v>14.217326244231652</v>
      </c>
      <c r="AP592" s="63" t="str">
        <f t="shared" si="104"/>
        <v>Buy Stocks</v>
      </c>
      <c r="AQ592" s="63" t="str">
        <f t="shared" si="105"/>
        <v/>
      </c>
      <c r="AR592" s="63" t="str">
        <f t="shared" si="106"/>
        <v/>
      </c>
      <c r="AS592" s="63" t="str">
        <f t="shared" si="107"/>
        <v/>
      </c>
      <c r="AT592" s="78" t="str">
        <f t="shared" si="108"/>
        <v/>
      </c>
      <c r="AU592" s="78" t="str">
        <f t="shared" si="109"/>
        <v/>
      </c>
      <c r="AV592" s="64" t="str">
        <f ca="1">IFERROR(__xludf.DUMMYFUNCTION("IF(TRIM(AU592)="""","""",AU592/INDEX(FILTER(AT$3:AT592,TRIM(AT$3:AT592)&lt;&gt;""""),ROWS(FILTER(AT$3:AT592,TRIM(AT$3:AT592)&lt;&gt;"""")))-1)"),"")</f>
        <v/>
      </c>
      <c r="AW592" s="65" t="e">
        <f t="shared" ca="1" si="101"/>
        <v>#VALUE!</v>
      </c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</row>
    <row r="593" spans="1:68" ht="19" x14ac:dyDescent="0.25">
      <c r="A593" s="5"/>
      <c r="B593" s="5"/>
      <c r="C593" s="5"/>
      <c r="D593" s="5"/>
      <c r="E593" s="5"/>
      <c r="F593" s="5"/>
      <c r="G593" s="5"/>
      <c r="H593" s="6"/>
      <c r="I593" s="5"/>
      <c r="J593" s="83"/>
      <c r="K593" s="83"/>
      <c r="L593" s="83"/>
      <c r="M593" s="83"/>
      <c r="N593" s="83"/>
      <c r="O593" s="83"/>
      <c r="P593" s="83"/>
      <c r="Q593" s="84"/>
      <c r="R593" s="83"/>
      <c r="S593" s="83"/>
      <c r="T593" s="85"/>
      <c r="U593" s="6"/>
      <c r="V593" s="87">
        <v>44776</v>
      </c>
      <c r="W593" s="45">
        <v>132.34</v>
      </c>
      <c r="X593" s="46"/>
      <c r="Y593" s="61"/>
      <c r="Z593" s="5"/>
      <c r="AA593" s="5"/>
      <c r="AB593" s="5"/>
      <c r="AC593" s="5"/>
      <c r="AD593" s="5"/>
      <c r="AE593" s="5"/>
      <c r="AF593" s="5"/>
      <c r="AG593" s="5"/>
      <c r="AH593" s="6"/>
      <c r="AI593" s="87">
        <v>44776</v>
      </c>
      <c r="AJ593" s="53">
        <v>132.34</v>
      </c>
      <c r="AK593" s="54">
        <f t="shared" si="99"/>
        <v>4.020939230710896E-3</v>
      </c>
      <c r="AL593" s="55">
        <f t="shared" si="102"/>
        <v>9.2612596306172392</v>
      </c>
      <c r="AM593" s="56">
        <v>25</v>
      </c>
      <c r="AN593" s="57">
        <f t="shared" si="100"/>
        <v>15.738740369382761</v>
      </c>
      <c r="AO593" s="76">
        <f t="shared" si="103"/>
        <v>15.562234774534232</v>
      </c>
      <c r="AP593" s="63" t="str">
        <f t="shared" si="104"/>
        <v>Buy Stocks</v>
      </c>
      <c r="AQ593" s="63" t="str">
        <f t="shared" si="105"/>
        <v/>
      </c>
      <c r="AR593" s="63" t="str">
        <f t="shared" si="106"/>
        <v/>
      </c>
      <c r="AS593" s="63" t="str">
        <f t="shared" si="107"/>
        <v/>
      </c>
      <c r="AT593" s="78" t="str">
        <f t="shared" si="108"/>
        <v/>
      </c>
      <c r="AU593" s="78" t="str">
        <f t="shared" si="109"/>
        <v/>
      </c>
      <c r="AV593" s="64" t="str">
        <f ca="1">IFERROR(__xludf.DUMMYFUNCTION("IF(TRIM(AU593)="""","""",AU593/INDEX(FILTER(AT$3:AT593,TRIM(AT$3:AT593)&lt;&gt;""""),ROWS(FILTER(AT$3:AT593,TRIM(AT$3:AT593)&lt;&gt;"""")))-1)"),"")</f>
        <v/>
      </c>
      <c r="AW593" s="65" t="e">
        <f t="shared" ca="1" si="101"/>
        <v>#VALUE!</v>
      </c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</row>
    <row r="594" spans="1:68" ht="19" x14ac:dyDescent="0.25">
      <c r="A594" s="5"/>
      <c r="B594" s="5"/>
      <c r="C594" s="5"/>
      <c r="D594" s="5"/>
      <c r="E594" s="5"/>
      <c r="F594" s="5"/>
      <c r="G594" s="5"/>
      <c r="H594" s="6"/>
      <c r="I594" s="5"/>
      <c r="J594" s="83"/>
      <c r="K594" s="83"/>
      <c r="L594" s="83"/>
      <c r="M594" s="83"/>
      <c r="N594" s="83"/>
      <c r="O594" s="83"/>
      <c r="P594" s="83"/>
      <c r="Q594" s="84"/>
      <c r="R594" s="83"/>
      <c r="S594" s="83"/>
      <c r="T594" s="85"/>
      <c r="U594" s="6"/>
      <c r="V594" s="87">
        <v>44777</v>
      </c>
      <c r="W594" s="45">
        <v>131.63999999999999</v>
      </c>
      <c r="X594" s="46"/>
      <c r="Y594" s="61"/>
      <c r="Z594" s="5"/>
      <c r="AA594" s="5"/>
      <c r="AB594" s="5"/>
      <c r="AC594" s="5"/>
      <c r="AD594" s="5"/>
      <c r="AE594" s="5"/>
      <c r="AF594" s="5"/>
      <c r="AG594" s="5"/>
      <c r="AH594" s="6"/>
      <c r="AI594" s="87">
        <v>44777</v>
      </c>
      <c r="AJ594" s="53">
        <v>131.63999999999999</v>
      </c>
      <c r="AK594" s="54">
        <f t="shared" si="99"/>
        <v>-5.2894060752608496E-3</v>
      </c>
      <c r="AL594" s="55">
        <f t="shared" si="102"/>
        <v>11.671446170411013</v>
      </c>
      <c r="AM594" s="56">
        <v>25</v>
      </c>
      <c r="AN594" s="57">
        <f t="shared" si="100"/>
        <v>13.328553829588987</v>
      </c>
      <c r="AO594" s="76">
        <f t="shared" si="103"/>
        <v>14.86714099318084</v>
      </c>
      <c r="AP594" s="63" t="str">
        <f t="shared" si="104"/>
        <v>Buy Stocks</v>
      </c>
      <c r="AQ594" s="63" t="str">
        <f t="shared" si="105"/>
        <v/>
      </c>
      <c r="AR594" s="63" t="str">
        <f t="shared" si="106"/>
        <v/>
      </c>
      <c r="AS594" s="63" t="str">
        <f t="shared" si="107"/>
        <v/>
      </c>
      <c r="AT594" s="78" t="str">
        <f t="shared" si="108"/>
        <v/>
      </c>
      <c r="AU594" s="78" t="str">
        <f t="shared" si="109"/>
        <v/>
      </c>
      <c r="AV594" s="64" t="str">
        <f ca="1">IFERROR(__xludf.DUMMYFUNCTION("IF(TRIM(AU594)="""","""",AU594/INDEX(FILTER(AT$3:AT594,TRIM(AT$3:AT594)&lt;&gt;""""),ROWS(FILTER(AT$3:AT594,TRIM(AT$3:AT594)&lt;&gt;"""")))-1)"),"")</f>
        <v/>
      </c>
      <c r="AW594" s="65" t="e">
        <f t="shared" ca="1" si="101"/>
        <v>#VALUE!</v>
      </c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</row>
    <row r="595" spans="1:68" ht="19" x14ac:dyDescent="0.25">
      <c r="A595" s="5"/>
      <c r="B595" s="5"/>
      <c r="C595" s="5"/>
      <c r="D595" s="5"/>
      <c r="E595" s="5"/>
      <c r="F595" s="5"/>
      <c r="G595" s="5"/>
      <c r="H595" s="6"/>
      <c r="I595" s="5"/>
      <c r="J595" s="83"/>
      <c r="K595" s="83"/>
      <c r="L595" s="83"/>
      <c r="M595" s="83"/>
      <c r="N595" s="83"/>
      <c r="O595" s="83"/>
      <c r="P595" s="83"/>
      <c r="Q595" s="84"/>
      <c r="R595" s="83"/>
      <c r="S595" s="83"/>
      <c r="T595" s="85"/>
      <c r="U595" s="6"/>
      <c r="V595" s="87">
        <v>44778</v>
      </c>
      <c r="W595" s="45">
        <v>132.47999999999999</v>
      </c>
      <c r="X595" s="46"/>
      <c r="Y595" s="61"/>
      <c r="Z595" s="5"/>
      <c r="AA595" s="5"/>
      <c r="AB595" s="5"/>
      <c r="AC595" s="5"/>
      <c r="AD595" s="5"/>
      <c r="AE595" s="5"/>
      <c r="AF595" s="5"/>
      <c r="AG595" s="5"/>
      <c r="AH595" s="6"/>
      <c r="AI595" s="87">
        <v>44778</v>
      </c>
      <c r="AJ595" s="53">
        <v>132.47999999999999</v>
      </c>
      <c r="AK595" s="54">
        <f t="shared" si="99"/>
        <v>6.3810391978122993E-3</v>
      </c>
      <c r="AL595" s="55">
        <f t="shared" si="102"/>
        <v>9.5844824989983568</v>
      </c>
      <c r="AM595" s="56">
        <v>25</v>
      </c>
      <c r="AN595" s="57">
        <f t="shared" si="100"/>
        <v>15.415517501001643</v>
      </c>
      <c r="AO595" s="76">
        <f t="shared" si="103"/>
        <v>14.921765340597441</v>
      </c>
      <c r="AP595" s="63" t="str">
        <f t="shared" si="104"/>
        <v>Buy Stocks</v>
      </c>
      <c r="AQ595" s="63" t="str">
        <f t="shared" si="105"/>
        <v/>
      </c>
      <c r="AR595" s="63" t="str">
        <f t="shared" si="106"/>
        <v/>
      </c>
      <c r="AS595" s="63" t="str">
        <f t="shared" si="107"/>
        <v/>
      </c>
      <c r="AT595" s="78" t="str">
        <f t="shared" si="108"/>
        <v/>
      </c>
      <c r="AU595" s="78" t="str">
        <f t="shared" si="109"/>
        <v/>
      </c>
      <c r="AV595" s="64" t="str">
        <f ca="1">IFERROR(__xludf.DUMMYFUNCTION("IF(TRIM(AU595)="""","""",AU595/INDEX(FILTER(AT$3:AT595,TRIM(AT$3:AT595)&lt;&gt;""""),ROWS(FILTER(AT$3:AT595,TRIM(AT$3:AT595)&lt;&gt;"""")))-1)"),"")</f>
        <v/>
      </c>
      <c r="AW595" s="65" t="e">
        <f t="shared" ca="1" si="101"/>
        <v>#VALUE!</v>
      </c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</row>
    <row r="596" spans="1:68" ht="19" x14ac:dyDescent="0.25">
      <c r="A596" s="5"/>
      <c r="B596" s="5"/>
      <c r="C596" s="5"/>
      <c r="D596" s="5"/>
      <c r="E596" s="5"/>
      <c r="F596" s="5"/>
      <c r="G596" s="5"/>
      <c r="H596" s="6"/>
      <c r="I596" s="5"/>
      <c r="J596" s="83"/>
      <c r="K596" s="83"/>
      <c r="L596" s="83"/>
      <c r="M596" s="83"/>
      <c r="N596" s="83"/>
      <c r="O596" s="83"/>
      <c r="P596" s="83"/>
      <c r="Q596" s="84"/>
      <c r="R596" s="83"/>
      <c r="S596" s="83"/>
      <c r="T596" s="85"/>
      <c r="U596" s="6"/>
      <c r="V596" s="87">
        <v>44781</v>
      </c>
      <c r="W596" s="45">
        <v>132.61000000000001</v>
      </c>
      <c r="X596" s="46"/>
      <c r="Y596" s="61"/>
      <c r="Z596" s="5"/>
      <c r="AA596" s="5"/>
      <c r="AB596" s="5"/>
      <c r="AC596" s="5"/>
      <c r="AD596" s="5"/>
      <c r="AE596" s="5"/>
      <c r="AF596" s="5"/>
      <c r="AG596" s="5"/>
      <c r="AH596" s="6"/>
      <c r="AI596" s="87">
        <v>44781</v>
      </c>
      <c r="AJ596" s="53">
        <v>132.61000000000001</v>
      </c>
      <c r="AK596" s="54">
        <f t="shared" si="99"/>
        <v>9.8128019323695526E-4</v>
      </c>
      <c r="AL596" s="55">
        <f t="shared" si="102"/>
        <v>7.3209127114749615</v>
      </c>
      <c r="AM596" s="56">
        <v>25</v>
      </c>
      <c r="AN596" s="57">
        <f t="shared" si="100"/>
        <v>17.679087288525039</v>
      </c>
      <c r="AO596" s="76">
        <f t="shared" si="103"/>
        <v>15.541034838470733</v>
      </c>
      <c r="AP596" s="63" t="str">
        <f t="shared" si="104"/>
        <v>Buy Stocks</v>
      </c>
      <c r="AQ596" s="63" t="str">
        <f t="shared" si="105"/>
        <v/>
      </c>
      <c r="AR596" s="63" t="str">
        <f t="shared" si="106"/>
        <v/>
      </c>
      <c r="AS596" s="63" t="str">
        <f t="shared" si="107"/>
        <v/>
      </c>
      <c r="AT596" s="78" t="str">
        <f t="shared" si="108"/>
        <v/>
      </c>
      <c r="AU596" s="78" t="str">
        <f t="shared" si="109"/>
        <v/>
      </c>
      <c r="AV596" s="64" t="str">
        <f ca="1">IFERROR(__xludf.DUMMYFUNCTION("IF(TRIM(AU596)="""","""",AU596/INDEX(FILTER(AT$3:AT596,TRIM(AT$3:AT596)&lt;&gt;""""),ROWS(FILTER(AT$3:AT596,TRIM(AT$3:AT596)&lt;&gt;"""")))-1)"),"")</f>
        <v/>
      </c>
      <c r="AW596" s="65" t="e">
        <f t="shared" ca="1" si="101"/>
        <v>#VALUE!</v>
      </c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</row>
    <row r="597" spans="1:68" ht="19" x14ac:dyDescent="0.25">
      <c r="A597" s="5"/>
      <c r="B597" s="5"/>
      <c r="C597" s="5"/>
      <c r="D597" s="5"/>
      <c r="E597" s="5"/>
      <c r="F597" s="5"/>
      <c r="G597" s="5"/>
      <c r="H597" s="6"/>
      <c r="I597" s="5"/>
      <c r="J597" s="83"/>
      <c r="K597" s="83"/>
      <c r="L597" s="83"/>
      <c r="M597" s="83"/>
      <c r="N597" s="83"/>
      <c r="O597" s="83"/>
      <c r="P597" s="83"/>
      <c r="Q597" s="84"/>
      <c r="R597" s="83"/>
      <c r="S597" s="83"/>
      <c r="T597" s="85"/>
      <c r="U597" s="6"/>
      <c r="V597" s="87">
        <v>44782</v>
      </c>
      <c r="W597" s="45">
        <v>129.47</v>
      </c>
      <c r="X597" s="46"/>
      <c r="Y597" s="61"/>
      <c r="Z597" s="5"/>
      <c r="AA597" s="5"/>
      <c r="AB597" s="5"/>
      <c r="AC597" s="5"/>
      <c r="AD597" s="5"/>
      <c r="AE597" s="5"/>
      <c r="AF597" s="5"/>
      <c r="AG597" s="5"/>
      <c r="AH597" s="6"/>
      <c r="AI597" s="87">
        <v>44782</v>
      </c>
      <c r="AJ597" s="53">
        <v>129.47</v>
      </c>
      <c r="AK597" s="54">
        <f t="shared" si="99"/>
        <v>-2.3678455621748085E-2</v>
      </c>
      <c r="AL597" s="55">
        <f t="shared" si="102"/>
        <v>19.191944341058576</v>
      </c>
      <c r="AM597" s="56">
        <v>25</v>
      </c>
      <c r="AN597" s="57">
        <f t="shared" si="100"/>
        <v>5.8080556589414236</v>
      </c>
      <c r="AO597" s="76">
        <f t="shared" si="103"/>
        <v>13.593990929487969</v>
      </c>
      <c r="AP597" s="63" t="str">
        <f t="shared" si="104"/>
        <v>Buy Stocks</v>
      </c>
      <c r="AQ597" s="63" t="str">
        <f t="shared" si="105"/>
        <v/>
      </c>
      <c r="AR597" s="63" t="str">
        <f t="shared" si="106"/>
        <v/>
      </c>
      <c r="AS597" s="63" t="str">
        <f t="shared" si="107"/>
        <v/>
      </c>
      <c r="AT597" s="78" t="str">
        <f t="shared" si="108"/>
        <v/>
      </c>
      <c r="AU597" s="78" t="str">
        <f t="shared" si="109"/>
        <v/>
      </c>
      <c r="AV597" s="64" t="str">
        <f ca="1">IFERROR(__xludf.DUMMYFUNCTION("IF(TRIM(AU597)="""","""",AU597/INDEX(FILTER(AT$3:AT597,TRIM(AT$3:AT597)&lt;&gt;""""),ROWS(FILTER(AT$3:AT597,TRIM(AT$3:AT597)&lt;&gt;"""")))-1)"),"")</f>
        <v/>
      </c>
      <c r="AW597" s="65" t="e">
        <f t="shared" ca="1" si="101"/>
        <v>#VALUE!</v>
      </c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</row>
    <row r="598" spans="1:68" ht="19" x14ac:dyDescent="0.25">
      <c r="A598" s="5"/>
      <c r="B598" s="5"/>
      <c r="C598" s="5"/>
      <c r="D598" s="5"/>
      <c r="E598" s="5"/>
      <c r="F598" s="5"/>
      <c r="G598" s="5"/>
      <c r="H598" s="6"/>
      <c r="I598" s="5"/>
      <c r="J598" s="83"/>
      <c r="K598" s="83"/>
      <c r="L598" s="83"/>
      <c r="M598" s="83"/>
      <c r="N598" s="83"/>
      <c r="O598" s="83"/>
      <c r="P598" s="83"/>
      <c r="Q598" s="84"/>
      <c r="R598" s="83"/>
      <c r="S598" s="83"/>
      <c r="T598" s="85"/>
      <c r="U598" s="6"/>
      <c r="V598" s="87">
        <v>44783</v>
      </c>
      <c r="W598" s="45">
        <v>131.5</v>
      </c>
      <c r="X598" s="46"/>
      <c r="Y598" s="61"/>
      <c r="Z598" s="5"/>
      <c r="AA598" s="5"/>
      <c r="AB598" s="5"/>
      <c r="AC598" s="5"/>
      <c r="AD598" s="5"/>
      <c r="AE598" s="5"/>
      <c r="AF598" s="5"/>
      <c r="AG598" s="5"/>
      <c r="AH598" s="6"/>
      <c r="AI598" s="87">
        <v>44783</v>
      </c>
      <c r="AJ598" s="53">
        <v>131.5</v>
      </c>
      <c r="AK598" s="54">
        <f t="shared" si="99"/>
        <v>1.5679307947787047E-2</v>
      </c>
      <c r="AL598" s="55">
        <f t="shared" si="102"/>
        <v>23.40001937339175</v>
      </c>
      <c r="AM598" s="56">
        <v>25</v>
      </c>
      <c r="AN598" s="57">
        <f t="shared" si="100"/>
        <v>1.5999806266082501</v>
      </c>
      <c r="AO598" s="76">
        <f t="shared" si="103"/>
        <v>10.766238980933069</v>
      </c>
      <c r="AP598" s="63" t="str">
        <f t="shared" si="104"/>
        <v>Buy Stocks</v>
      </c>
      <c r="AQ598" s="63" t="str">
        <f t="shared" si="105"/>
        <v/>
      </c>
      <c r="AR598" s="63" t="str">
        <f t="shared" si="106"/>
        <v/>
      </c>
      <c r="AS598" s="63" t="str">
        <f t="shared" si="107"/>
        <v/>
      </c>
      <c r="AT598" s="78" t="str">
        <f t="shared" si="108"/>
        <v/>
      </c>
      <c r="AU598" s="78" t="str">
        <f t="shared" si="109"/>
        <v/>
      </c>
      <c r="AV598" s="64" t="str">
        <f ca="1">IFERROR(__xludf.DUMMYFUNCTION("IF(TRIM(AU598)="""","""",AU598/INDEX(FILTER(AT$3:AT598,TRIM(AT$3:AT598)&lt;&gt;""""),ROWS(FILTER(AT$3:AT598,TRIM(AT$3:AT598)&lt;&gt;"""")))-1)"),"")</f>
        <v/>
      </c>
      <c r="AW598" s="65" t="e">
        <f t="shared" ca="1" si="101"/>
        <v>#VALUE!</v>
      </c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</row>
    <row r="599" spans="1:68" ht="19" x14ac:dyDescent="0.25">
      <c r="A599" s="5"/>
      <c r="B599" s="5"/>
      <c r="C599" s="5"/>
      <c r="D599" s="5"/>
      <c r="E599" s="5"/>
      <c r="F599" s="5"/>
      <c r="G599" s="5"/>
      <c r="H599" s="6"/>
      <c r="I599" s="5"/>
      <c r="J599" s="83"/>
      <c r="K599" s="83"/>
      <c r="L599" s="83"/>
      <c r="M599" s="83"/>
      <c r="N599" s="83"/>
      <c r="O599" s="83"/>
      <c r="P599" s="83"/>
      <c r="Q599" s="84"/>
      <c r="R599" s="83"/>
      <c r="S599" s="83"/>
      <c r="T599" s="85"/>
      <c r="U599" s="6"/>
      <c r="V599" s="87">
        <v>44784</v>
      </c>
      <c r="W599" s="45">
        <v>132.54</v>
      </c>
      <c r="X599" s="46"/>
      <c r="Y599" s="61"/>
      <c r="Z599" s="5"/>
      <c r="AA599" s="5"/>
      <c r="AB599" s="5"/>
      <c r="AC599" s="5"/>
      <c r="AD599" s="5"/>
      <c r="AE599" s="5"/>
      <c r="AF599" s="5"/>
      <c r="AG599" s="5"/>
      <c r="AH599" s="6"/>
      <c r="AI599" s="87">
        <v>44784</v>
      </c>
      <c r="AJ599" s="53">
        <v>132.54</v>
      </c>
      <c r="AK599" s="54">
        <f t="shared" si="99"/>
        <v>7.9087452471482411E-3</v>
      </c>
      <c r="AL599" s="55">
        <f t="shared" si="102"/>
        <v>23.813913049201414</v>
      </c>
      <c r="AM599" s="56">
        <v>25</v>
      </c>
      <c r="AN599" s="57">
        <f t="shared" si="100"/>
        <v>1.1860869507985861</v>
      </c>
      <c r="AO599" s="76">
        <f t="shared" si="103"/>
        <v>8.337745605174991</v>
      </c>
      <c r="AP599" s="63" t="str">
        <f t="shared" si="104"/>
        <v>Buy Stocks</v>
      </c>
      <c r="AQ599" s="63" t="str">
        <f t="shared" si="105"/>
        <v/>
      </c>
      <c r="AR599" s="63" t="str">
        <f t="shared" si="106"/>
        <v/>
      </c>
      <c r="AS599" s="63" t="str">
        <f t="shared" si="107"/>
        <v/>
      </c>
      <c r="AT599" s="78" t="str">
        <f t="shared" si="108"/>
        <v/>
      </c>
      <c r="AU599" s="78" t="str">
        <f t="shared" si="109"/>
        <v/>
      </c>
      <c r="AV599" s="64" t="str">
        <f ca="1">IFERROR(__xludf.DUMMYFUNCTION("IF(TRIM(AU599)="""","""",AU599/INDEX(FILTER(AT$3:AT599,TRIM(AT$3:AT599)&lt;&gt;""""),ROWS(FILTER(AT$3:AT599,TRIM(AT$3:AT599)&lt;&gt;"""")))-1)"),"")</f>
        <v/>
      </c>
      <c r="AW599" s="65" t="e">
        <f t="shared" ca="1" si="101"/>
        <v>#VALUE!</v>
      </c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</row>
    <row r="600" spans="1:68" ht="19" x14ac:dyDescent="0.25">
      <c r="A600" s="5"/>
      <c r="B600" s="5"/>
      <c r="C600" s="5"/>
      <c r="D600" s="5"/>
      <c r="E600" s="5"/>
      <c r="F600" s="5"/>
      <c r="G600" s="5"/>
      <c r="H600" s="6"/>
      <c r="I600" s="5"/>
      <c r="J600" s="83"/>
      <c r="K600" s="83"/>
      <c r="L600" s="83"/>
      <c r="M600" s="83"/>
      <c r="N600" s="83"/>
      <c r="O600" s="83"/>
      <c r="P600" s="83"/>
      <c r="Q600" s="84"/>
      <c r="R600" s="83"/>
      <c r="S600" s="83"/>
      <c r="T600" s="85"/>
      <c r="U600" s="6"/>
      <c r="V600" s="87">
        <v>44785</v>
      </c>
      <c r="W600" s="45">
        <v>134.01</v>
      </c>
      <c r="X600" s="46"/>
      <c r="Y600" s="61"/>
      <c r="Z600" s="5"/>
      <c r="AA600" s="5"/>
      <c r="AB600" s="5"/>
      <c r="AC600" s="5"/>
      <c r="AD600" s="5"/>
      <c r="AE600" s="5"/>
      <c r="AF600" s="5"/>
      <c r="AG600" s="5"/>
      <c r="AH600" s="6"/>
      <c r="AI600" s="87">
        <v>44785</v>
      </c>
      <c r="AJ600" s="53">
        <v>134.01</v>
      </c>
      <c r="AK600" s="54">
        <f t="shared" si="99"/>
        <v>1.109099139882308E-2</v>
      </c>
      <c r="AL600" s="55">
        <f t="shared" si="102"/>
        <v>24.647929913190801</v>
      </c>
      <c r="AM600" s="56">
        <v>25</v>
      </c>
      <c r="AN600" s="57">
        <f t="shared" si="100"/>
        <v>0.35207008680919927</v>
      </c>
      <c r="AO600" s="76">
        <f t="shared" si="103"/>
        <v>5.3250561223365001</v>
      </c>
      <c r="AP600" s="63" t="str">
        <f t="shared" si="104"/>
        <v>Buy Stocks</v>
      </c>
      <c r="AQ600" s="63" t="str">
        <f t="shared" si="105"/>
        <v/>
      </c>
      <c r="AR600" s="63" t="str">
        <f t="shared" si="106"/>
        <v/>
      </c>
      <c r="AS600" s="63" t="str">
        <f t="shared" si="107"/>
        <v/>
      </c>
      <c r="AT600" s="78" t="str">
        <f t="shared" si="108"/>
        <v/>
      </c>
      <c r="AU600" s="78" t="str">
        <f t="shared" si="109"/>
        <v/>
      </c>
      <c r="AV600" s="64" t="str">
        <f ca="1">IFERROR(__xludf.DUMMYFUNCTION("IF(TRIM(AU600)="""","""",AU600/INDEX(FILTER(AT$3:AT600,TRIM(AT$3:AT600)&lt;&gt;""""),ROWS(FILTER(AT$3:AT600,TRIM(AT$3:AT600)&lt;&gt;"""")))-1)"),"")</f>
        <v/>
      </c>
      <c r="AW600" s="65" t="e">
        <f t="shared" ca="1" si="101"/>
        <v>#VALUE!</v>
      </c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</row>
    <row r="601" spans="1:68" ht="19" x14ac:dyDescent="0.25">
      <c r="A601" s="5"/>
      <c r="B601" s="5"/>
      <c r="C601" s="5"/>
      <c r="D601" s="5"/>
      <c r="E601" s="5"/>
      <c r="F601" s="5"/>
      <c r="G601" s="5"/>
      <c r="H601" s="6"/>
      <c r="I601" s="5"/>
      <c r="J601" s="83"/>
      <c r="K601" s="83"/>
      <c r="L601" s="83"/>
      <c r="M601" s="83"/>
      <c r="N601" s="83"/>
      <c r="O601" s="83"/>
      <c r="P601" s="83"/>
      <c r="Q601" s="84"/>
      <c r="R601" s="83"/>
      <c r="S601" s="83"/>
      <c r="T601" s="85"/>
      <c r="U601" s="6"/>
      <c r="V601" s="87">
        <v>44788</v>
      </c>
      <c r="W601" s="45">
        <v>134.93</v>
      </c>
      <c r="X601" s="46"/>
      <c r="Y601" s="61"/>
      <c r="Z601" s="5"/>
      <c r="AA601" s="5"/>
      <c r="AB601" s="5"/>
      <c r="AC601" s="5"/>
      <c r="AD601" s="5"/>
      <c r="AE601" s="5"/>
      <c r="AF601" s="5"/>
      <c r="AG601" s="5"/>
      <c r="AH601" s="6"/>
      <c r="AI601" s="87">
        <v>44788</v>
      </c>
      <c r="AJ601" s="53">
        <v>134.93</v>
      </c>
      <c r="AK601" s="54">
        <f t="shared" si="99"/>
        <v>6.8651593164690272E-3</v>
      </c>
      <c r="AL601" s="55">
        <f t="shared" si="102"/>
        <v>24.788664417490914</v>
      </c>
      <c r="AM601" s="56">
        <v>25</v>
      </c>
      <c r="AN601" s="57">
        <f t="shared" si="100"/>
        <v>0.21133558250908635</v>
      </c>
      <c r="AO601" s="76">
        <f t="shared" si="103"/>
        <v>1.8315057811333091</v>
      </c>
      <c r="AP601" s="63" t="str">
        <f t="shared" si="104"/>
        <v>Buy Stocks</v>
      </c>
      <c r="AQ601" s="63" t="str">
        <f t="shared" si="105"/>
        <v/>
      </c>
      <c r="AR601" s="63" t="str">
        <f t="shared" si="106"/>
        <v/>
      </c>
      <c r="AS601" s="63" t="str">
        <f t="shared" si="107"/>
        <v/>
      </c>
      <c r="AT601" s="78" t="str">
        <f t="shared" si="108"/>
        <v/>
      </c>
      <c r="AU601" s="78" t="str">
        <f t="shared" si="109"/>
        <v/>
      </c>
      <c r="AV601" s="64" t="str">
        <f ca="1">IFERROR(__xludf.DUMMYFUNCTION("IF(TRIM(AU601)="""","""",AU601/INDEX(FILTER(AT$3:AT601,TRIM(AT$3:AT601)&lt;&gt;""""),ROWS(FILTER(AT$3:AT601,TRIM(AT$3:AT601)&lt;&gt;"""")))-1)"),"")</f>
        <v/>
      </c>
      <c r="AW601" s="65" t="e">
        <f t="shared" ca="1" si="101"/>
        <v>#VALUE!</v>
      </c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</row>
    <row r="602" spans="1:68" ht="19" x14ac:dyDescent="0.25">
      <c r="A602" s="5"/>
      <c r="B602" s="5"/>
      <c r="C602" s="5"/>
      <c r="D602" s="5"/>
      <c r="E602" s="5"/>
      <c r="F602" s="5"/>
      <c r="G602" s="5"/>
      <c r="H602" s="6"/>
      <c r="I602" s="5"/>
      <c r="J602" s="83"/>
      <c r="K602" s="83"/>
      <c r="L602" s="83"/>
      <c r="M602" s="83"/>
      <c r="N602" s="83"/>
      <c r="O602" s="83"/>
      <c r="P602" s="83"/>
      <c r="Q602" s="84"/>
      <c r="R602" s="83"/>
      <c r="S602" s="83"/>
      <c r="T602" s="85"/>
      <c r="U602" s="6"/>
      <c r="V602" s="87">
        <v>44789</v>
      </c>
      <c r="W602" s="45">
        <v>136.56</v>
      </c>
      <c r="X602" s="46"/>
      <c r="Y602" s="61"/>
      <c r="Z602" s="5"/>
      <c r="AA602" s="5"/>
      <c r="AB602" s="5"/>
      <c r="AC602" s="5"/>
      <c r="AD602" s="5"/>
      <c r="AE602" s="5"/>
      <c r="AF602" s="5"/>
      <c r="AG602" s="5"/>
      <c r="AH602" s="6"/>
      <c r="AI602" s="87">
        <v>44789</v>
      </c>
      <c r="AJ602" s="53">
        <v>136.56</v>
      </c>
      <c r="AK602" s="54">
        <f t="shared" si="99"/>
        <v>1.2080337953012554E-2</v>
      </c>
      <c r="AL602" s="55">
        <f t="shared" si="102"/>
        <v>5.575643715979278</v>
      </c>
      <c r="AM602" s="56">
        <v>25</v>
      </c>
      <c r="AN602" s="57">
        <f t="shared" si="100"/>
        <v>19.424356284020721</v>
      </c>
      <c r="AO602" s="76">
        <f t="shared" si="103"/>
        <v>4.5547659061491688</v>
      </c>
      <c r="AP602" s="63" t="str">
        <f t="shared" si="104"/>
        <v>Buy Stocks</v>
      </c>
      <c r="AQ602" s="63" t="str">
        <f t="shared" si="105"/>
        <v/>
      </c>
      <c r="AR602" s="63" t="str">
        <f t="shared" si="106"/>
        <v/>
      </c>
      <c r="AS602" s="63" t="str">
        <f t="shared" si="107"/>
        <v/>
      </c>
      <c r="AT602" s="78" t="str">
        <f t="shared" si="108"/>
        <v/>
      </c>
      <c r="AU602" s="78" t="str">
        <f t="shared" si="109"/>
        <v/>
      </c>
      <c r="AV602" s="64" t="str">
        <f ca="1">IFERROR(__xludf.DUMMYFUNCTION("IF(TRIM(AU602)="""","""",AU602/INDEX(FILTER(AT$3:AT602,TRIM(AT$3:AT602)&lt;&gt;""""),ROWS(FILTER(AT$3:AT602,TRIM(AT$3:AT602)&lt;&gt;"""")))-1)"),"")</f>
        <v/>
      </c>
      <c r="AW602" s="65" t="e">
        <f t="shared" ca="1" si="101"/>
        <v>#VALUE!</v>
      </c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</row>
    <row r="603" spans="1:68" ht="19" x14ac:dyDescent="0.25">
      <c r="A603" s="5"/>
      <c r="B603" s="5"/>
      <c r="C603" s="5"/>
      <c r="D603" s="5"/>
      <c r="E603" s="5"/>
      <c r="F603" s="5"/>
      <c r="G603" s="5"/>
      <c r="H603" s="6"/>
      <c r="I603" s="5"/>
      <c r="J603" s="83"/>
      <c r="K603" s="83"/>
      <c r="L603" s="83"/>
      <c r="M603" s="83"/>
      <c r="N603" s="83"/>
      <c r="O603" s="83"/>
      <c r="P603" s="83"/>
      <c r="Q603" s="84"/>
      <c r="R603" s="83"/>
      <c r="S603" s="83"/>
      <c r="T603" s="85"/>
      <c r="U603" s="6"/>
      <c r="V603" s="87">
        <v>44790</v>
      </c>
      <c r="W603" s="45">
        <v>137.79</v>
      </c>
      <c r="X603" s="46"/>
      <c r="Y603" s="61"/>
      <c r="Z603" s="5"/>
      <c r="AA603" s="5"/>
      <c r="AB603" s="5"/>
      <c r="AC603" s="5"/>
      <c r="AD603" s="5"/>
      <c r="AE603" s="5"/>
      <c r="AF603" s="5"/>
      <c r="AG603" s="5"/>
      <c r="AH603" s="6"/>
      <c r="AI603" s="87">
        <v>44790</v>
      </c>
      <c r="AJ603" s="53">
        <v>137.79</v>
      </c>
      <c r="AK603" s="54">
        <f t="shared" si="99"/>
        <v>9.0070298769771018E-3</v>
      </c>
      <c r="AL603" s="55">
        <f t="shared" si="102"/>
        <v>3.4458005583363809</v>
      </c>
      <c r="AM603" s="56">
        <v>25</v>
      </c>
      <c r="AN603" s="57">
        <f t="shared" si="100"/>
        <v>21.55419944166362</v>
      </c>
      <c r="AO603" s="76">
        <f t="shared" si="103"/>
        <v>8.5456096691602426</v>
      </c>
      <c r="AP603" s="63" t="str">
        <f t="shared" si="104"/>
        <v>Buy Stocks</v>
      </c>
      <c r="AQ603" s="63" t="str">
        <f t="shared" si="105"/>
        <v/>
      </c>
      <c r="AR603" s="63" t="str">
        <f t="shared" si="106"/>
        <v/>
      </c>
      <c r="AS603" s="63" t="str">
        <f t="shared" si="107"/>
        <v/>
      </c>
      <c r="AT603" s="78" t="str">
        <f t="shared" si="108"/>
        <v/>
      </c>
      <c r="AU603" s="78" t="str">
        <f t="shared" si="109"/>
        <v/>
      </c>
      <c r="AV603" s="64" t="str">
        <f ca="1">IFERROR(__xludf.DUMMYFUNCTION("IF(TRIM(AU603)="""","""",AU603/INDEX(FILTER(AT$3:AT603,TRIM(AT$3:AT603)&lt;&gt;""""),ROWS(FILTER(AT$3:AT603,TRIM(AT$3:AT603)&lt;&gt;"""")))-1)"),"")</f>
        <v/>
      </c>
      <c r="AW603" s="65" t="e">
        <f t="shared" ca="1" si="101"/>
        <v>#VALUE!</v>
      </c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</row>
    <row r="604" spans="1:68" ht="19" x14ac:dyDescent="0.25">
      <c r="A604" s="5"/>
      <c r="B604" s="5"/>
      <c r="C604" s="5"/>
      <c r="D604" s="5"/>
      <c r="E604" s="5"/>
      <c r="F604" s="5"/>
      <c r="G604" s="5"/>
      <c r="H604" s="6"/>
      <c r="I604" s="5"/>
      <c r="J604" s="83"/>
      <c r="K604" s="83"/>
      <c r="L604" s="83"/>
      <c r="M604" s="83"/>
      <c r="N604" s="83"/>
      <c r="O604" s="83"/>
      <c r="P604" s="83"/>
      <c r="Q604" s="84"/>
      <c r="R604" s="83"/>
      <c r="S604" s="83"/>
      <c r="T604" s="85"/>
      <c r="U604" s="6"/>
      <c r="V604" s="87">
        <v>44791</v>
      </c>
      <c r="W604" s="45">
        <v>139.07</v>
      </c>
      <c r="X604" s="46"/>
      <c r="Y604" s="61"/>
      <c r="Z604" s="5"/>
      <c r="AA604" s="5"/>
      <c r="AB604" s="5"/>
      <c r="AC604" s="5"/>
      <c r="AD604" s="5"/>
      <c r="AE604" s="5"/>
      <c r="AF604" s="5"/>
      <c r="AG604" s="5"/>
      <c r="AH604" s="6"/>
      <c r="AI604" s="87">
        <v>44791</v>
      </c>
      <c r="AJ604" s="53">
        <v>139.07</v>
      </c>
      <c r="AK604" s="54">
        <f t="shared" si="99"/>
        <v>9.289498512228711E-3</v>
      </c>
      <c r="AL604" s="55">
        <f t="shared" si="102"/>
        <v>3.2025939276785551</v>
      </c>
      <c r="AM604" s="56">
        <v>25</v>
      </c>
      <c r="AN604" s="57">
        <f t="shared" si="100"/>
        <v>21.797406072321444</v>
      </c>
      <c r="AO604" s="76">
        <f t="shared" si="103"/>
        <v>12.667873493464814</v>
      </c>
      <c r="AP604" s="63" t="str">
        <f t="shared" si="104"/>
        <v>Buy Stocks</v>
      </c>
      <c r="AQ604" s="63" t="str">
        <f t="shared" si="105"/>
        <v/>
      </c>
      <c r="AR604" s="63" t="str">
        <f t="shared" si="106"/>
        <v/>
      </c>
      <c r="AS604" s="63" t="str">
        <f t="shared" si="107"/>
        <v/>
      </c>
      <c r="AT604" s="78" t="str">
        <f t="shared" si="108"/>
        <v/>
      </c>
      <c r="AU604" s="78" t="str">
        <f t="shared" si="109"/>
        <v/>
      </c>
      <c r="AV604" s="64" t="str">
        <f ca="1">IFERROR(__xludf.DUMMYFUNCTION("IF(TRIM(AU604)="""","""",AU604/INDEX(FILTER(AT$3:AT604,TRIM(AT$3:AT604)&lt;&gt;""""),ROWS(FILTER(AT$3:AT604,TRIM(AT$3:AT604)&lt;&gt;"""")))-1)"),"")</f>
        <v/>
      </c>
      <c r="AW604" s="65" t="e">
        <f t="shared" ca="1" si="101"/>
        <v>#VALUE!</v>
      </c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</row>
    <row r="605" spans="1:68" ht="19" x14ac:dyDescent="0.25">
      <c r="A605" s="5"/>
      <c r="B605" s="5"/>
      <c r="C605" s="5"/>
      <c r="D605" s="5"/>
      <c r="E605" s="5"/>
      <c r="F605" s="5"/>
      <c r="G605" s="5"/>
      <c r="H605" s="6"/>
      <c r="I605" s="5"/>
      <c r="J605" s="83"/>
      <c r="K605" s="83"/>
      <c r="L605" s="83"/>
      <c r="M605" s="83"/>
      <c r="N605" s="83"/>
      <c r="O605" s="83"/>
      <c r="P605" s="83"/>
      <c r="Q605" s="84"/>
      <c r="R605" s="83"/>
      <c r="S605" s="83"/>
      <c r="T605" s="85"/>
      <c r="U605" s="6"/>
      <c r="V605" s="87">
        <v>44792</v>
      </c>
      <c r="W605" s="45">
        <v>138.37</v>
      </c>
      <c r="X605" s="46"/>
      <c r="Y605" s="61"/>
      <c r="Z605" s="5"/>
      <c r="AA605" s="5"/>
      <c r="AB605" s="5"/>
      <c r="AC605" s="5"/>
      <c r="AD605" s="5"/>
      <c r="AE605" s="5"/>
      <c r="AF605" s="5"/>
      <c r="AG605" s="5"/>
      <c r="AH605" s="6"/>
      <c r="AI605" s="87">
        <v>44792</v>
      </c>
      <c r="AJ605" s="53">
        <v>138.37</v>
      </c>
      <c r="AK605" s="54">
        <f t="shared" si="99"/>
        <v>-5.03343639893572E-3</v>
      </c>
      <c r="AL605" s="55">
        <f t="shared" si="102"/>
        <v>10.599821058436632</v>
      </c>
      <c r="AM605" s="56">
        <v>25</v>
      </c>
      <c r="AN605" s="57">
        <f t="shared" si="100"/>
        <v>14.400178941563368</v>
      </c>
      <c r="AO605" s="76">
        <f t="shared" si="103"/>
        <v>15.477495264415648</v>
      </c>
      <c r="AP605" s="63" t="str">
        <f t="shared" si="104"/>
        <v>Buy Stocks</v>
      </c>
      <c r="AQ605" s="63" t="str">
        <f t="shared" si="105"/>
        <v/>
      </c>
      <c r="AR605" s="63" t="str">
        <f t="shared" si="106"/>
        <v/>
      </c>
      <c r="AS605" s="63" t="str">
        <f t="shared" si="107"/>
        <v/>
      </c>
      <c r="AT605" s="78" t="str">
        <f t="shared" si="108"/>
        <v/>
      </c>
      <c r="AU605" s="78" t="str">
        <f t="shared" si="109"/>
        <v/>
      </c>
      <c r="AV605" s="64" t="str">
        <f ca="1">IFERROR(__xludf.DUMMYFUNCTION("IF(TRIM(AU605)="""","""",AU605/INDEX(FILTER(AT$3:AT605,TRIM(AT$3:AT605)&lt;&gt;""""),ROWS(FILTER(AT$3:AT605,TRIM(AT$3:AT605)&lt;&gt;"""")))-1)"),"")</f>
        <v/>
      </c>
      <c r="AW605" s="65" t="e">
        <f t="shared" ca="1" si="101"/>
        <v>#VALUE!</v>
      </c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</row>
    <row r="606" spans="1:68" ht="19" x14ac:dyDescent="0.25">
      <c r="A606" s="5"/>
      <c r="B606" s="5"/>
      <c r="C606" s="5"/>
      <c r="D606" s="5"/>
      <c r="E606" s="5"/>
      <c r="F606" s="5"/>
      <c r="G606" s="5"/>
      <c r="H606" s="6"/>
      <c r="I606" s="5"/>
      <c r="J606" s="83"/>
      <c r="K606" s="83"/>
      <c r="L606" s="83"/>
      <c r="M606" s="83"/>
      <c r="N606" s="83"/>
      <c r="O606" s="83"/>
      <c r="P606" s="83"/>
      <c r="Q606" s="84"/>
      <c r="R606" s="83"/>
      <c r="S606" s="83"/>
      <c r="T606" s="85"/>
      <c r="U606" s="6"/>
      <c r="V606" s="87">
        <v>44795</v>
      </c>
      <c r="W606" s="45">
        <v>135.55000000000001</v>
      </c>
      <c r="X606" s="46"/>
      <c r="Y606" s="61"/>
      <c r="Z606" s="5"/>
      <c r="AA606" s="5"/>
      <c r="AB606" s="5"/>
      <c r="AC606" s="5"/>
      <c r="AD606" s="5"/>
      <c r="AE606" s="5"/>
      <c r="AF606" s="5"/>
      <c r="AG606" s="5"/>
      <c r="AH606" s="6"/>
      <c r="AI606" s="87">
        <v>44795</v>
      </c>
      <c r="AJ606" s="53">
        <v>135.55000000000001</v>
      </c>
      <c r="AK606" s="54">
        <f t="shared" si="99"/>
        <v>-2.03801402038013E-2</v>
      </c>
      <c r="AL606" s="55">
        <f t="shared" si="102"/>
        <v>21.724231862630994</v>
      </c>
      <c r="AM606" s="56">
        <v>25</v>
      </c>
      <c r="AN606" s="57">
        <f t="shared" si="100"/>
        <v>3.2757681373690062</v>
      </c>
      <c r="AO606" s="76">
        <f t="shared" si="103"/>
        <v>16.09038177538763</v>
      </c>
      <c r="AP606" s="63" t="str">
        <f t="shared" si="104"/>
        <v>Buy Stocks</v>
      </c>
      <c r="AQ606" s="63" t="str">
        <f t="shared" si="105"/>
        <v/>
      </c>
      <c r="AR606" s="63" t="str">
        <f t="shared" si="106"/>
        <v/>
      </c>
      <c r="AS606" s="63" t="str">
        <f t="shared" si="107"/>
        <v/>
      </c>
      <c r="AT606" s="78" t="str">
        <f t="shared" si="108"/>
        <v/>
      </c>
      <c r="AU606" s="78" t="str">
        <f t="shared" si="109"/>
        <v/>
      </c>
      <c r="AV606" s="64" t="str">
        <f ca="1">IFERROR(__xludf.DUMMYFUNCTION("IF(TRIM(AU606)="""","""",AU606/INDEX(FILTER(AT$3:AT606,TRIM(AT$3:AT606)&lt;&gt;""""),ROWS(FILTER(AT$3:AT606,TRIM(AT$3:AT606)&lt;&gt;"""")))-1)"),"")</f>
        <v/>
      </c>
      <c r="AW606" s="65" t="e">
        <f t="shared" ca="1" si="101"/>
        <v>#VALUE!</v>
      </c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</row>
    <row r="607" spans="1:68" ht="19" x14ac:dyDescent="0.25">
      <c r="A607" s="5"/>
      <c r="B607" s="5"/>
      <c r="C607" s="5"/>
      <c r="D607" s="5"/>
      <c r="E607" s="5"/>
      <c r="F607" s="5"/>
      <c r="G607" s="5"/>
      <c r="H607" s="6"/>
      <c r="I607" s="5"/>
      <c r="J607" s="83"/>
      <c r="K607" s="83"/>
      <c r="L607" s="83"/>
      <c r="M607" s="83"/>
      <c r="N607" s="83"/>
      <c r="O607" s="83"/>
      <c r="P607" s="83"/>
      <c r="Q607" s="84"/>
      <c r="R607" s="83"/>
      <c r="S607" s="83"/>
      <c r="T607" s="85"/>
      <c r="U607" s="6"/>
      <c r="V607" s="87">
        <v>44796</v>
      </c>
      <c r="W607" s="45">
        <v>134.74</v>
      </c>
      <c r="X607" s="46"/>
      <c r="Y607" s="61"/>
      <c r="Z607" s="5"/>
      <c r="AA607" s="5"/>
      <c r="AB607" s="5"/>
      <c r="AC607" s="5"/>
      <c r="AD607" s="5"/>
      <c r="AE607" s="5"/>
      <c r="AF607" s="5"/>
      <c r="AG607" s="5"/>
      <c r="AH607" s="6"/>
      <c r="AI607" s="87">
        <v>44796</v>
      </c>
      <c r="AJ607" s="53">
        <v>134.74</v>
      </c>
      <c r="AK607" s="54">
        <f t="shared" si="99"/>
        <v>-5.9756547399483217E-3</v>
      </c>
      <c r="AL607" s="55">
        <f t="shared" si="102"/>
        <v>19.596043846644541</v>
      </c>
      <c r="AM607" s="56">
        <v>25</v>
      </c>
      <c r="AN607" s="57">
        <f t="shared" si="100"/>
        <v>5.403956153355459</v>
      </c>
      <c r="AO607" s="76">
        <f t="shared" si="103"/>
        <v>13.28630174925458</v>
      </c>
      <c r="AP607" s="63" t="str">
        <f t="shared" si="104"/>
        <v>Buy Stocks</v>
      </c>
      <c r="AQ607" s="63" t="str">
        <f t="shared" si="105"/>
        <v/>
      </c>
      <c r="AR607" s="63" t="str">
        <f t="shared" si="106"/>
        <v/>
      </c>
      <c r="AS607" s="63" t="str">
        <f t="shared" si="107"/>
        <v/>
      </c>
      <c r="AT607" s="78" t="str">
        <f t="shared" si="108"/>
        <v/>
      </c>
      <c r="AU607" s="78" t="str">
        <f t="shared" si="109"/>
        <v/>
      </c>
      <c r="AV607" s="64" t="str">
        <f ca="1">IFERROR(__xludf.DUMMYFUNCTION("IF(TRIM(AU607)="""","""",AU607/INDEX(FILTER(AT$3:AT607,TRIM(AT$3:AT607)&lt;&gt;""""),ROWS(FILTER(AT$3:AT607,TRIM(AT$3:AT607)&lt;&gt;"""")))-1)"),"")</f>
        <v/>
      </c>
      <c r="AW607" s="65" t="e">
        <f t="shared" ca="1" si="101"/>
        <v>#VALUE!</v>
      </c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</row>
    <row r="608" spans="1:68" ht="19" x14ac:dyDescent="0.25">
      <c r="A608" s="5"/>
      <c r="B608" s="5"/>
      <c r="C608" s="5"/>
      <c r="D608" s="5"/>
      <c r="E608" s="5"/>
      <c r="F608" s="5"/>
      <c r="G608" s="5"/>
      <c r="H608" s="6"/>
      <c r="I608" s="5"/>
      <c r="J608" s="83"/>
      <c r="K608" s="83"/>
      <c r="L608" s="83"/>
      <c r="M608" s="83"/>
      <c r="N608" s="83"/>
      <c r="O608" s="83"/>
      <c r="P608" s="83"/>
      <c r="Q608" s="84"/>
      <c r="R608" s="83"/>
      <c r="S608" s="83"/>
      <c r="T608" s="85"/>
      <c r="U608" s="6"/>
      <c r="V608" s="44">
        <v>44797</v>
      </c>
      <c r="W608" s="45">
        <v>133.22999999999999</v>
      </c>
      <c r="X608" s="46"/>
      <c r="Y608" s="61"/>
      <c r="Z608" s="5"/>
      <c r="AA608" s="5"/>
      <c r="AB608" s="5"/>
      <c r="AC608" s="5"/>
      <c r="AD608" s="5"/>
      <c r="AE608" s="5"/>
      <c r="AF608" s="5"/>
      <c r="AG608" s="5"/>
      <c r="AH608" s="6"/>
      <c r="AI608" s="44">
        <v>44797</v>
      </c>
      <c r="AJ608" s="53">
        <v>133.22999999999999</v>
      </c>
      <c r="AK608" s="54">
        <f t="shared" si="99"/>
        <v>-1.1206768591361271E-2</v>
      </c>
      <c r="AL608" s="55">
        <f t="shared" si="102"/>
        <v>17.141820404105228</v>
      </c>
      <c r="AM608" s="56">
        <v>25</v>
      </c>
      <c r="AN608" s="57">
        <f t="shared" si="100"/>
        <v>7.8581795958947716</v>
      </c>
      <c r="AO608" s="76">
        <f t="shared" si="103"/>
        <v>10.54709778010081</v>
      </c>
      <c r="AP608" s="63" t="str">
        <f t="shared" si="104"/>
        <v>Buy Stocks</v>
      </c>
      <c r="AQ608" s="63" t="str">
        <f t="shared" si="105"/>
        <v/>
      </c>
      <c r="AR608" s="63" t="str">
        <f t="shared" si="106"/>
        <v/>
      </c>
      <c r="AS608" s="63" t="str">
        <f t="shared" si="107"/>
        <v/>
      </c>
      <c r="AT608" s="78" t="str">
        <f t="shared" si="108"/>
        <v/>
      </c>
      <c r="AU608" s="78" t="str">
        <f t="shared" si="109"/>
        <v/>
      </c>
      <c r="AV608" s="64" t="str">
        <f ca="1">IFERROR(__xludf.DUMMYFUNCTION("IF(TRIM(AU608)="""","""",AU608/INDEX(FILTER(AT$3:AT608,TRIM(AT$3:AT608)&lt;&gt;""""),ROWS(FILTER(AT$3:AT608,TRIM(AT$3:AT608)&lt;&gt;"""")))-1)"),"")</f>
        <v/>
      </c>
      <c r="AW608" s="65" t="e">
        <f t="shared" ca="1" si="101"/>
        <v>#VALUE!</v>
      </c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</row>
    <row r="609" spans="1:68" ht="19" x14ac:dyDescent="0.25">
      <c r="A609" s="5"/>
      <c r="B609" s="5"/>
      <c r="C609" s="5"/>
      <c r="D609" s="5"/>
      <c r="E609" s="5"/>
      <c r="F609" s="5"/>
      <c r="G609" s="5"/>
      <c r="H609" s="6"/>
      <c r="I609" s="5"/>
      <c r="J609" s="83"/>
      <c r="K609" s="83"/>
      <c r="L609" s="83"/>
      <c r="M609" s="83"/>
      <c r="N609" s="83"/>
      <c r="O609" s="83"/>
      <c r="P609" s="83"/>
      <c r="Q609" s="84"/>
      <c r="R609" s="83"/>
      <c r="S609" s="83"/>
      <c r="T609" s="85"/>
      <c r="U609" s="6"/>
      <c r="V609" s="44">
        <v>44798</v>
      </c>
      <c r="W609" s="45">
        <v>133.97999999999999</v>
      </c>
      <c r="X609" s="46"/>
      <c r="Y609" s="61"/>
      <c r="Z609" s="5"/>
      <c r="AA609" s="5"/>
      <c r="AB609" s="5"/>
      <c r="AC609" s="5"/>
      <c r="AD609" s="5"/>
      <c r="AE609" s="5"/>
      <c r="AF609" s="5"/>
      <c r="AG609" s="5"/>
      <c r="AH609" s="6"/>
      <c r="AI609" s="44">
        <v>44798</v>
      </c>
      <c r="AJ609" s="53">
        <v>133.97999999999999</v>
      </c>
      <c r="AK609" s="54">
        <f t="shared" si="99"/>
        <v>5.6293627561359028E-3</v>
      </c>
      <c r="AL609" s="55">
        <f t="shared" si="102"/>
        <v>15.06759628676474</v>
      </c>
      <c r="AM609" s="56">
        <v>25</v>
      </c>
      <c r="AN609" s="57">
        <f t="shared" si="100"/>
        <v>9.9324037132352601</v>
      </c>
      <c r="AO609" s="76">
        <f t="shared" si="103"/>
        <v>8.1740973082835726</v>
      </c>
      <c r="AP609" s="63" t="str">
        <f t="shared" si="104"/>
        <v>Buy Stocks</v>
      </c>
      <c r="AQ609" s="63" t="str">
        <f t="shared" si="105"/>
        <v/>
      </c>
      <c r="AR609" s="63" t="str">
        <f t="shared" si="106"/>
        <v/>
      </c>
      <c r="AS609" s="63" t="str">
        <f t="shared" si="107"/>
        <v/>
      </c>
      <c r="AT609" s="78" t="str">
        <f t="shared" si="108"/>
        <v/>
      </c>
      <c r="AU609" s="78" t="str">
        <f t="shared" si="109"/>
        <v/>
      </c>
      <c r="AV609" s="64" t="str">
        <f ca="1">IFERROR(__xludf.DUMMYFUNCTION("IF(TRIM(AU609)="""","""",AU609/INDEX(FILTER(AT$3:AT609,TRIM(AT$3:AT609)&lt;&gt;""""),ROWS(FILTER(AT$3:AT609,TRIM(AT$3:AT609)&lt;&gt;"""")))-1)"),"")</f>
        <v/>
      </c>
      <c r="AW609" s="65" t="e">
        <f t="shared" ca="1" si="101"/>
        <v>#VALUE!</v>
      </c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</row>
    <row r="610" spans="1:68" ht="19" x14ac:dyDescent="0.25">
      <c r="A610" s="5"/>
      <c r="B610" s="5"/>
      <c r="C610" s="5"/>
      <c r="D610" s="5"/>
      <c r="E610" s="5"/>
      <c r="F610" s="5"/>
      <c r="G610" s="5"/>
      <c r="H610" s="6"/>
      <c r="I610" s="5"/>
      <c r="J610" s="83"/>
      <c r="K610" s="83"/>
      <c r="L610" s="83"/>
      <c r="M610" s="83"/>
      <c r="N610" s="83"/>
      <c r="O610" s="83"/>
      <c r="P610" s="83"/>
      <c r="Q610" s="84"/>
      <c r="R610" s="83"/>
      <c r="S610" s="83"/>
      <c r="T610" s="85"/>
      <c r="U610" s="6"/>
      <c r="V610" s="44">
        <v>44799</v>
      </c>
      <c r="W610" s="45">
        <v>130.38</v>
      </c>
      <c r="X610" s="46"/>
      <c r="Y610" s="61"/>
      <c r="Z610" s="5"/>
      <c r="AA610" s="5"/>
      <c r="AB610" s="5"/>
      <c r="AC610" s="5"/>
      <c r="AD610" s="5"/>
      <c r="AE610" s="5"/>
      <c r="AF610" s="5"/>
      <c r="AG610" s="5"/>
      <c r="AH610" s="6"/>
      <c r="AI610" s="44">
        <v>44799</v>
      </c>
      <c r="AJ610" s="53">
        <v>130.38</v>
      </c>
      <c r="AK610" s="54">
        <f t="shared" si="99"/>
        <v>-2.6869682042095833E-2</v>
      </c>
      <c r="AL610" s="55">
        <f t="shared" si="102"/>
        <v>20.060441026744474</v>
      </c>
      <c r="AM610" s="56">
        <v>25</v>
      </c>
      <c r="AN610" s="57">
        <f t="shared" si="100"/>
        <v>4.9395589732555258</v>
      </c>
      <c r="AO610" s="76">
        <f t="shared" si="103"/>
        <v>6.2819733146220047</v>
      </c>
      <c r="AP610" s="63" t="str">
        <f t="shared" si="104"/>
        <v>Buy Stocks</v>
      </c>
      <c r="AQ610" s="63" t="str">
        <f t="shared" si="105"/>
        <v/>
      </c>
      <c r="AR610" s="63" t="str">
        <f t="shared" si="106"/>
        <v/>
      </c>
      <c r="AS610" s="63" t="str">
        <f t="shared" si="107"/>
        <v/>
      </c>
      <c r="AT610" s="78" t="str">
        <f t="shared" si="108"/>
        <v/>
      </c>
      <c r="AU610" s="78" t="str">
        <f t="shared" si="109"/>
        <v/>
      </c>
      <c r="AV610" s="64" t="str">
        <f ca="1">IFERROR(__xludf.DUMMYFUNCTION("IF(TRIM(AU610)="""","""",AU610/INDEX(FILTER(AT$3:AT610,TRIM(AT$3:AT610)&lt;&gt;""""),ROWS(FILTER(AT$3:AT610,TRIM(AT$3:AT610)&lt;&gt;"""")))-1)"),"")</f>
        <v/>
      </c>
      <c r="AW610" s="65" t="e">
        <f t="shared" ca="1" si="101"/>
        <v>#VALUE!</v>
      </c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</row>
    <row r="611" spans="1:68" ht="19" x14ac:dyDescent="0.25">
      <c r="A611" s="5"/>
      <c r="B611" s="5"/>
      <c r="C611" s="5"/>
      <c r="D611" s="5"/>
      <c r="E611" s="5"/>
      <c r="F611" s="5"/>
      <c r="G611" s="5"/>
      <c r="H611" s="6"/>
      <c r="I611" s="5"/>
      <c r="J611" s="83"/>
      <c r="K611" s="83"/>
      <c r="L611" s="83"/>
      <c r="M611" s="83"/>
      <c r="N611" s="83"/>
      <c r="O611" s="83"/>
      <c r="P611" s="83"/>
      <c r="Q611" s="84"/>
      <c r="R611" s="83"/>
      <c r="S611" s="83"/>
      <c r="T611" s="85"/>
      <c r="U611" s="6"/>
      <c r="V611" s="44">
        <v>44802</v>
      </c>
      <c r="W611" s="45">
        <v>130.31</v>
      </c>
      <c r="X611" s="46"/>
      <c r="Y611" s="61"/>
      <c r="Z611" s="5"/>
      <c r="AA611" s="5"/>
      <c r="AB611" s="5"/>
      <c r="AC611" s="5"/>
      <c r="AD611" s="5"/>
      <c r="AE611" s="5"/>
      <c r="AF611" s="5"/>
      <c r="AG611" s="5"/>
      <c r="AH611" s="6"/>
      <c r="AI611" s="44">
        <v>44802</v>
      </c>
      <c r="AJ611" s="53">
        <v>130.31</v>
      </c>
      <c r="AK611" s="54">
        <f t="shared" si="99"/>
        <v>-5.3689216137442486E-4</v>
      </c>
      <c r="AL611" s="55">
        <f t="shared" si="102"/>
        <v>19.630664355930058</v>
      </c>
      <c r="AM611" s="56">
        <v>25</v>
      </c>
      <c r="AN611" s="57">
        <f t="shared" si="100"/>
        <v>5.3693356440699418</v>
      </c>
      <c r="AO611" s="76">
        <f t="shared" si="103"/>
        <v>6.7006868159621913</v>
      </c>
      <c r="AP611" s="63" t="str">
        <f t="shared" si="104"/>
        <v>Buy Stocks</v>
      </c>
      <c r="AQ611" s="63" t="str">
        <f t="shared" si="105"/>
        <v/>
      </c>
      <c r="AR611" s="63" t="str">
        <f t="shared" si="106"/>
        <v/>
      </c>
      <c r="AS611" s="63" t="str">
        <f t="shared" si="107"/>
        <v/>
      </c>
      <c r="AT611" s="78" t="str">
        <f t="shared" si="108"/>
        <v/>
      </c>
      <c r="AU611" s="78" t="str">
        <f t="shared" si="109"/>
        <v/>
      </c>
      <c r="AV611" s="64" t="str">
        <f ca="1">IFERROR(__xludf.DUMMYFUNCTION("IF(TRIM(AU611)="""","""",AU611/INDEX(FILTER(AT$3:AT611,TRIM(AT$3:AT611)&lt;&gt;""""),ROWS(FILTER(AT$3:AT611,TRIM(AT$3:AT611)&lt;&gt;"""")))-1)"),"")</f>
        <v/>
      </c>
      <c r="AW611" s="65" t="e">
        <f t="shared" ca="1" si="101"/>
        <v>#VALUE!</v>
      </c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</row>
    <row r="612" spans="1:68" ht="19" x14ac:dyDescent="0.25">
      <c r="A612" s="5"/>
      <c r="B612" s="5"/>
      <c r="C612" s="5"/>
      <c r="D612" s="5"/>
      <c r="E612" s="5"/>
      <c r="F612" s="5"/>
      <c r="G612" s="5"/>
      <c r="H612" s="6"/>
      <c r="I612" s="5"/>
      <c r="J612" s="83"/>
      <c r="K612" s="83"/>
      <c r="L612" s="83"/>
      <c r="M612" s="83"/>
      <c r="N612" s="83"/>
      <c r="O612" s="83"/>
      <c r="P612" s="83"/>
      <c r="Q612" s="84"/>
      <c r="R612" s="83"/>
      <c r="S612" s="83"/>
      <c r="T612" s="85"/>
      <c r="U612" s="6"/>
      <c r="V612" s="44">
        <v>44803</v>
      </c>
      <c r="W612" s="45">
        <v>129.58000000000001</v>
      </c>
      <c r="X612" s="46"/>
      <c r="Y612" s="61"/>
      <c r="Z612" s="5"/>
      <c r="AA612" s="5"/>
      <c r="AB612" s="5"/>
      <c r="AC612" s="5"/>
      <c r="AD612" s="5"/>
      <c r="AE612" s="5"/>
      <c r="AF612" s="5"/>
      <c r="AG612" s="5"/>
      <c r="AH612" s="6"/>
      <c r="AI612" s="44">
        <v>44803</v>
      </c>
      <c r="AJ612" s="53">
        <v>129.58000000000001</v>
      </c>
      <c r="AK612" s="54">
        <f t="shared" si="99"/>
        <v>-5.6020259381474036E-3</v>
      </c>
      <c r="AL612" s="55">
        <f t="shared" si="102"/>
        <v>19.654220699906976</v>
      </c>
      <c r="AM612" s="56">
        <v>25</v>
      </c>
      <c r="AN612" s="57">
        <f t="shared" si="100"/>
        <v>5.3457793000930245</v>
      </c>
      <c r="AO612" s="76">
        <f t="shared" si="103"/>
        <v>6.6890514453097039</v>
      </c>
      <c r="AP612" s="63" t="str">
        <f t="shared" si="104"/>
        <v>Buy Stocks</v>
      </c>
      <c r="AQ612" s="63" t="str">
        <f t="shared" si="105"/>
        <v/>
      </c>
      <c r="AR612" s="63" t="str">
        <f t="shared" si="106"/>
        <v/>
      </c>
      <c r="AS612" s="63" t="str">
        <f t="shared" si="107"/>
        <v/>
      </c>
      <c r="AT612" s="78" t="str">
        <f t="shared" si="108"/>
        <v/>
      </c>
      <c r="AU612" s="78" t="str">
        <f t="shared" si="109"/>
        <v/>
      </c>
      <c r="AV612" s="64" t="str">
        <f ca="1">IFERROR(__xludf.DUMMYFUNCTION("IF(TRIM(AU612)="""","""",AU612/INDEX(FILTER(AT$3:AT612,TRIM(AT$3:AT612)&lt;&gt;""""),ROWS(FILTER(AT$3:AT612,TRIM(AT$3:AT612)&lt;&gt;"""")))-1)"),"")</f>
        <v/>
      </c>
      <c r="AW612" s="65" t="e">
        <f t="shared" ca="1" si="101"/>
        <v>#VALUE!</v>
      </c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</row>
    <row r="613" spans="1:68" ht="19" x14ac:dyDescent="0.25">
      <c r="A613" s="5"/>
      <c r="B613" s="5"/>
      <c r="C613" s="5"/>
      <c r="D613" s="5"/>
      <c r="E613" s="5"/>
      <c r="F613" s="5"/>
      <c r="G613" s="5"/>
      <c r="H613" s="6"/>
      <c r="I613" s="5"/>
      <c r="J613" s="83"/>
      <c r="K613" s="83"/>
      <c r="L613" s="83"/>
      <c r="M613" s="83"/>
      <c r="N613" s="83"/>
      <c r="O613" s="83"/>
      <c r="P613" s="83"/>
      <c r="Q613" s="84"/>
      <c r="R613" s="83"/>
      <c r="S613" s="83"/>
      <c r="T613" s="85"/>
      <c r="U613" s="6"/>
      <c r="V613" s="44">
        <v>44804</v>
      </c>
      <c r="W613" s="45">
        <v>128.44999999999999</v>
      </c>
      <c r="X613" s="46"/>
      <c r="Y613" s="61"/>
      <c r="Z613" s="5"/>
      <c r="AA613" s="5"/>
      <c r="AB613" s="5"/>
      <c r="AC613" s="5"/>
      <c r="AD613" s="5"/>
      <c r="AE613" s="5"/>
      <c r="AF613" s="5"/>
      <c r="AG613" s="5"/>
      <c r="AH613" s="6"/>
      <c r="AI613" s="44">
        <v>44804</v>
      </c>
      <c r="AJ613" s="53">
        <v>128.44999999999999</v>
      </c>
      <c r="AK613" s="54">
        <f t="shared" si="99"/>
        <v>-8.7204815557958559E-3</v>
      </c>
      <c r="AL613" s="55">
        <f t="shared" si="102"/>
        <v>19.45435904991233</v>
      </c>
      <c r="AM613" s="56">
        <v>25</v>
      </c>
      <c r="AN613" s="57">
        <f t="shared" si="100"/>
        <v>5.5456409500876696</v>
      </c>
      <c r="AO613" s="76">
        <f t="shared" si="103"/>
        <v>6.2265437161482842</v>
      </c>
      <c r="AP613" s="63" t="str">
        <f t="shared" si="104"/>
        <v>Buy Stocks</v>
      </c>
      <c r="AQ613" s="63" t="str">
        <f t="shared" si="105"/>
        <v/>
      </c>
      <c r="AR613" s="63" t="str">
        <f t="shared" si="106"/>
        <v/>
      </c>
      <c r="AS613" s="63" t="str">
        <f t="shared" si="107"/>
        <v/>
      </c>
      <c r="AT613" s="78" t="str">
        <f t="shared" si="108"/>
        <v/>
      </c>
      <c r="AU613" s="78" t="str">
        <f t="shared" si="109"/>
        <v/>
      </c>
      <c r="AV613" s="64" t="str">
        <f ca="1">IFERROR(__xludf.DUMMYFUNCTION("IF(TRIM(AU613)="""","""",AU613/INDEX(FILTER(AT$3:AT613,TRIM(AT$3:AT613)&lt;&gt;""""),ROWS(FILTER(AT$3:AT613,TRIM(AT$3:AT613)&lt;&gt;"""")))-1)"),"")</f>
        <v/>
      </c>
      <c r="AW613" s="65" t="e">
        <f t="shared" ca="1" si="101"/>
        <v>#VALUE!</v>
      </c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</row>
    <row r="614" spans="1:68" ht="19" x14ac:dyDescent="0.25">
      <c r="A614" s="5"/>
      <c r="B614" s="5"/>
      <c r="C614" s="5"/>
      <c r="D614" s="5"/>
      <c r="E614" s="5"/>
      <c r="F614" s="5"/>
      <c r="G614" s="5"/>
      <c r="H614" s="6"/>
      <c r="I614" s="5"/>
      <c r="J614" s="83"/>
      <c r="K614" s="83"/>
      <c r="L614" s="83"/>
      <c r="M614" s="83"/>
      <c r="N614" s="83"/>
      <c r="O614" s="83"/>
      <c r="P614" s="83"/>
      <c r="Q614" s="84"/>
      <c r="R614" s="83"/>
      <c r="S614" s="83"/>
      <c r="T614" s="85"/>
      <c r="U614" s="6"/>
      <c r="V614" s="44">
        <v>44805</v>
      </c>
      <c r="W614" s="45">
        <v>129.66</v>
      </c>
      <c r="X614" s="46"/>
      <c r="Y614" s="61"/>
      <c r="Z614" s="5"/>
      <c r="AA614" s="5"/>
      <c r="AB614" s="5"/>
      <c r="AC614" s="5"/>
      <c r="AD614" s="5"/>
      <c r="AE614" s="5"/>
      <c r="AF614" s="5"/>
      <c r="AG614" s="5"/>
      <c r="AH614" s="6"/>
      <c r="AI614" s="44">
        <v>44805</v>
      </c>
      <c r="AJ614" s="53">
        <v>129.66</v>
      </c>
      <c r="AK614" s="54">
        <f t="shared" si="99"/>
        <v>9.4200077851305242E-3</v>
      </c>
      <c r="AL614" s="55">
        <f t="shared" si="102"/>
        <v>21.14438645226463</v>
      </c>
      <c r="AM614" s="56">
        <v>25</v>
      </c>
      <c r="AN614" s="57">
        <f t="shared" si="100"/>
        <v>3.8556135477353699</v>
      </c>
      <c r="AO614" s="76">
        <f t="shared" si="103"/>
        <v>5.0111856830483061</v>
      </c>
      <c r="AP614" s="63" t="str">
        <f t="shared" si="104"/>
        <v>Buy Stocks</v>
      </c>
      <c r="AQ614" s="63" t="str">
        <f t="shared" si="105"/>
        <v/>
      </c>
      <c r="AR614" s="63" t="str">
        <f t="shared" si="106"/>
        <v/>
      </c>
      <c r="AS614" s="63" t="str">
        <f t="shared" si="107"/>
        <v/>
      </c>
      <c r="AT614" s="78" t="str">
        <f t="shared" si="108"/>
        <v/>
      </c>
      <c r="AU614" s="78" t="str">
        <f t="shared" si="109"/>
        <v/>
      </c>
      <c r="AV614" s="64" t="str">
        <f ca="1">IFERROR(__xludf.DUMMYFUNCTION("IF(TRIM(AU614)="""","""",AU614/INDEX(FILTER(AT$3:AT614,TRIM(AT$3:AT614)&lt;&gt;""""),ROWS(FILTER(AT$3:AT614,TRIM(AT$3:AT614)&lt;&gt;"""")))-1)"),"")</f>
        <v/>
      </c>
      <c r="AW614" s="65" t="e">
        <f t="shared" ca="1" si="101"/>
        <v>#VALUE!</v>
      </c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</row>
    <row r="615" spans="1:68" ht="19" x14ac:dyDescent="0.25">
      <c r="A615" s="5"/>
      <c r="B615" s="5"/>
      <c r="C615" s="5"/>
      <c r="D615" s="5"/>
      <c r="E615" s="5"/>
      <c r="F615" s="5"/>
      <c r="G615" s="5"/>
      <c r="H615" s="6"/>
      <c r="I615" s="5"/>
      <c r="J615" s="83"/>
      <c r="K615" s="83"/>
      <c r="L615" s="83"/>
      <c r="M615" s="83"/>
      <c r="N615" s="83"/>
      <c r="O615" s="83"/>
      <c r="P615" s="83"/>
      <c r="Q615" s="84"/>
      <c r="R615" s="83"/>
      <c r="S615" s="83"/>
      <c r="T615" s="85"/>
      <c r="U615" s="6"/>
      <c r="V615" s="44">
        <v>44806</v>
      </c>
      <c r="W615" s="45">
        <v>127.79</v>
      </c>
      <c r="X615" s="46"/>
      <c r="Y615" s="61"/>
      <c r="Z615" s="5"/>
      <c r="AA615" s="5"/>
      <c r="AB615" s="5"/>
      <c r="AC615" s="5"/>
      <c r="AD615" s="5"/>
      <c r="AE615" s="5"/>
      <c r="AF615" s="5"/>
      <c r="AG615" s="5"/>
      <c r="AH615" s="6"/>
      <c r="AI615" s="44">
        <v>44806</v>
      </c>
      <c r="AJ615" s="53">
        <v>127.79</v>
      </c>
      <c r="AK615" s="54">
        <f t="shared" si="99"/>
        <v>-1.442233533857773E-2</v>
      </c>
      <c r="AL615" s="55">
        <f t="shared" si="102"/>
        <v>14.32141952159774</v>
      </c>
      <c r="AM615" s="56">
        <v>25</v>
      </c>
      <c r="AN615" s="57">
        <f t="shared" si="100"/>
        <v>10.67858047840226</v>
      </c>
      <c r="AO615" s="76">
        <f t="shared" si="103"/>
        <v>6.1589899840776532</v>
      </c>
      <c r="AP615" s="63" t="str">
        <f t="shared" si="104"/>
        <v>Buy Stocks</v>
      </c>
      <c r="AQ615" s="63" t="str">
        <f t="shared" si="105"/>
        <v/>
      </c>
      <c r="AR615" s="63" t="str">
        <f t="shared" si="106"/>
        <v/>
      </c>
      <c r="AS615" s="63" t="str">
        <f t="shared" si="107"/>
        <v/>
      </c>
      <c r="AT615" s="78" t="str">
        <f t="shared" si="108"/>
        <v/>
      </c>
      <c r="AU615" s="78" t="str">
        <f t="shared" si="109"/>
        <v/>
      </c>
      <c r="AV615" s="64" t="str">
        <f ca="1">IFERROR(__xludf.DUMMYFUNCTION("IF(TRIM(AU615)="""","""",AU615/INDEX(FILTER(AT$3:AT615,TRIM(AT$3:AT615)&lt;&gt;""""),ROWS(FILTER(AT$3:AT615,TRIM(AT$3:AT615)&lt;&gt;"""")))-1)"),"")</f>
        <v/>
      </c>
      <c r="AW615" s="65" t="e">
        <f t="shared" ca="1" si="101"/>
        <v>#VALUE!</v>
      </c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</row>
    <row r="616" spans="1:68" ht="19" x14ac:dyDescent="0.25">
      <c r="A616" s="5"/>
      <c r="B616" s="5"/>
      <c r="C616" s="5"/>
      <c r="D616" s="5"/>
      <c r="E616" s="5"/>
      <c r="F616" s="5"/>
      <c r="G616" s="5"/>
      <c r="H616" s="6"/>
      <c r="I616" s="5"/>
      <c r="J616" s="83"/>
      <c r="K616" s="83"/>
      <c r="L616" s="83"/>
      <c r="M616" s="83"/>
      <c r="N616" s="83"/>
      <c r="O616" s="83"/>
      <c r="P616" s="83"/>
      <c r="Q616" s="84"/>
      <c r="R616" s="83"/>
      <c r="S616" s="83"/>
      <c r="T616" s="85"/>
      <c r="U616" s="6"/>
      <c r="V616" s="44">
        <v>44810</v>
      </c>
      <c r="W616" s="45">
        <v>126.72</v>
      </c>
      <c r="X616" s="46"/>
      <c r="Y616" s="61"/>
      <c r="Z616" s="5"/>
      <c r="AA616" s="5"/>
      <c r="AB616" s="5"/>
      <c r="AC616" s="5"/>
      <c r="AD616" s="5"/>
      <c r="AE616" s="5"/>
      <c r="AF616" s="5"/>
      <c r="AG616" s="5"/>
      <c r="AH616" s="6"/>
      <c r="AI616" s="44">
        <v>44810</v>
      </c>
      <c r="AJ616" s="53">
        <v>126.72</v>
      </c>
      <c r="AK616" s="54">
        <f t="shared" si="99"/>
        <v>-8.3731121371000139E-3</v>
      </c>
      <c r="AL616" s="55">
        <f t="shared" si="102"/>
        <v>14.217293520170472</v>
      </c>
      <c r="AM616" s="56">
        <v>25</v>
      </c>
      <c r="AN616" s="57">
        <f t="shared" si="100"/>
        <v>10.782706479829528</v>
      </c>
      <c r="AO616" s="76">
        <f t="shared" si="103"/>
        <v>7.2416641512295712</v>
      </c>
      <c r="AP616" s="63" t="str">
        <f t="shared" si="104"/>
        <v>Buy Stocks</v>
      </c>
      <c r="AQ616" s="63" t="str">
        <f t="shared" si="105"/>
        <v/>
      </c>
      <c r="AR616" s="63" t="str">
        <f t="shared" si="106"/>
        <v/>
      </c>
      <c r="AS616" s="63" t="str">
        <f t="shared" si="107"/>
        <v/>
      </c>
      <c r="AT616" s="78" t="str">
        <f t="shared" si="108"/>
        <v/>
      </c>
      <c r="AU616" s="78" t="str">
        <f t="shared" si="109"/>
        <v/>
      </c>
      <c r="AV616" s="64" t="str">
        <f ca="1">IFERROR(__xludf.DUMMYFUNCTION("IF(TRIM(AU616)="""","""",AU616/INDEX(FILTER(AT$3:AT616,TRIM(AT$3:AT616)&lt;&gt;""""),ROWS(FILTER(AT$3:AT616,TRIM(AT$3:AT616)&lt;&gt;"""")))-1)"),"")</f>
        <v/>
      </c>
      <c r="AW616" s="65" t="e">
        <f t="shared" ca="1" si="101"/>
        <v>#VALUE!</v>
      </c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</row>
    <row r="617" spans="1:68" ht="19" x14ac:dyDescent="0.25">
      <c r="A617" s="5"/>
      <c r="B617" s="5"/>
      <c r="C617" s="5"/>
      <c r="D617" s="5"/>
      <c r="E617" s="5"/>
      <c r="F617" s="5"/>
      <c r="G617" s="5"/>
      <c r="H617" s="6"/>
      <c r="I617" s="5"/>
      <c r="J617" s="83"/>
      <c r="K617" s="83"/>
      <c r="L617" s="83"/>
      <c r="M617" s="83"/>
      <c r="N617" s="83"/>
      <c r="O617" s="83"/>
      <c r="P617" s="83"/>
      <c r="Q617" s="84"/>
      <c r="R617" s="83"/>
      <c r="S617" s="83"/>
      <c r="T617" s="85"/>
      <c r="U617" s="6"/>
      <c r="V617" s="44">
        <v>44811</v>
      </c>
      <c r="W617" s="45">
        <v>127.71</v>
      </c>
      <c r="X617" s="46"/>
      <c r="Y617" s="61"/>
      <c r="Z617" s="5"/>
      <c r="AA617" s="5"/>
      <c r="AB617" s="5"/>
      <c r="AC617" s="5"/>
      <c r="AD617" s="5"/>
      <c r="AE617" s="5"/>
      <c r="AF617" s="5"/>
      <c r="AG617" s="5"/>
      <c r="AH617" s="6"/>
      <c r="AI617" s="44">
        <v>44811</v>
      </c>
      <c r="AJ617" s="53">
        <v>127.71</v>
      </c>
      <c r="AK617" s="54">
        <f t="shared" si="99"/>
        <v>7.8125E-3</v>
      </c>
      <c r="AL617" s="55">
        <f t="shared" si="102"/>
        <v>17.081295779107393</v>
      </c>
      <c r="AM617" s="56">
        <v>25</v>
      </c>
      <c r="AN617" s="57">
        <f t="shared" si="100"/>
        <v>7.9187042208926073</v>
      </c>
      <c r="AO617" s="76">
        <f t="shared" si="103"/>
        <v>7.7562491353894867</v>
      </c>
      <c r="AP617" s="63" t="str">
        <f t="shared" si="104"/>
        <v>Buy Stocks</v>
      </c>
      <c r="AQ617" s="63" t="str">
        <f t="shared" si="105"/>
        <v/>
      </c>
      <c r="AR617" s="63" t="str">
        <f t="shared" si="106"/>
        <v/>
      </c>
      <c r="AS617" s="63" t="str">
        <f t="shared" si="107"/>
        <v/>
      </c>
      <c r="AT617" s="78" t="str">
        <f t="shared" si="108"/>
        <v/>
      </c>
      <c r="AU617" s="78" t="str">
        <f t="shared" si="109"/>
        <v/>
      </c>
      <c r="AV617" s="64" t="str">
        <f ca="1">IFERROR(__xludf.DUMMYFUNCTION("IF(TRIM(AU617)="""","""",AU617/INDEX(FILTER(AT$3:AT617,TRIM(AT$3:AT617)&lt;&gt;""""),ROWS(FILTER(AT$3:AT617,TRIM(AT$3:AT617)&lt;&gt;"""")))-1)"),"")</f>
        <v/>
      </c>
      <c r="AW617" s="65" t="e">
        <f t="shared" ca="1" si="101"/>
        <v>#VALUE!</v>
      </c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</row>
    <row r="618" spans="1:68" ht="19" x14ac:dyDescent="0.25">
      <c r="A618" s="5"/>
      <c r="B618" s="5"/>
      <c r="C618" s="5"/>
      <c r="D618" s="5"/>
      <c r="E618" s="5"/>
      <c r="F618" s="5"/>
      <c r="G618" s="5"/>
      <c r="H618" s="6"/>
      <c r="I618" s="5"/>
      <c r="J618" s="83"/>
      <c r="K618" s="83"/>
      <c r="L618" s="83"/>
      <c r="M618" s="83"/>
      <c r="N618" s="83"/>
      <c r="O618" s="83"/>
      <c r="P618" s="83"/>
      <c r="Q618" s="84"/>
      <c r="R618" s="83"/>
      <c r="S618" s="83"/>
      <c r="T618" s="85"/>
      <c r="U618" s="6"/>
      <c r="V618" s="44">
        <v>44812</v>
      </c>
      <c r="W618" s="45">
        <v>128.47</v>
      </c>
      <c r="X618" s="46"/>
      <c r="Y618" s="61"/>
      <c r="Z618" s="5"/>
      <c r="AA618" s="5"/>
      <c r="AB618" s="5"/>
      <c r="AC618" s="5"/>
      <c r="AD618" s="5"/>
      <c r="AE618" s="5"/>
      <c r="AF618" s="5"/>
      <c r="AG618" s="5"/>
      <c r="AH618" s="6"/>
      <c r="AI618" s="44">
        <v>44812</v>
      </c>
      <c r="AJ618" s="53">
        <v>128.47</v>
      </c>
      <c r="AK618" s="54">
        <f t="shared" si="99"/>
        <v>5.9509826951686939E-3</v>
      </c>
      <c r="AL618" s="55">
        <f t="shared" si="102"/>
        <v>17.083886675973055</v>
      </c>
      <c r="AM618" s="56">
        <v>25</v>
      </c>
      <c r="AN618" s="57">
        <f t="shared" si="100"/>
        <v>7.916113324026945</v>
      </c>
      <c r="AO618" s="76">
        <f t="shared" si="103"/>
        <v>8.2303436101773411</v>
      </c>
      <c r="AP618" s="63" t="str">
        <f t="shared" si="104"/>
        <v>Buy Stocks</v>
      </c>
      <c r="AQ618" s="63" t="str">
        <f t="shared" si="105"/>
        <v/>
      </c>
      <c r="AR618" s="63" t="str">
        <f t="shared" si="106"/>
        <v/>
      </c>
      <c r="AS618" s="63" t="str">
        <f t="shared" si="107"/>
        <v/>
      </c>
      <c r="AT618" s="78" t="str">
        <f t="shared" si="108"/>
        <v/>
      </c>
      <c r="AU618" s="78" t="str">
        <f t="shared" si="109"/>
        <v/>
      </c>
      <c r="AV618" s="64" t="str">
        <f ca="1">IFERROR(__xludf.DUMMYFUNCTION("IF(TRIM(AU618)="""","""",AU618/INDEX(FILTER(AT$3:AT618,TRIM(AT$3:AT618)&lt;&gt;""""),ROWS(FILTER(AT$3:AT618,TRIM(AT$3:AT618)&lt;&gt;"""")))-1)"),"")</f>
        <v/>
      </c>
      <c r="AW618" s="65" t="e">
        <f t="shared" ca="1" si="101"/>
        <v>#VALUE!</v>
      </c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</row>
    <row r="619" spans="1:68" ht="19" x14ac:dyDescent="0.25">
      <c r="A619" s="5"/>
      <c r="B619" s="5"/>
      <c r="C619" s="5"/>
      <c r="D619" s="5"/>
      <c r="E619" s="5"/>
      <c r="F619" s="5"/>
      <c r="G619" s="5"/>
      <c r="H619" s="6"/>
      <c r="I619" s="5"/>
      <c r="J619" s="83"/>
      <c r="K619" s="83"/>
      <c r="L619" s="83"/>
      <c r="M619" s="83"/>
      <c r="N619" s="83"/>
      <c r="O619" s="83"/>
      <c r="P619" s="83"/>
      <c r="Q619" s="84"/>
      <c r="R619" s="83"/>
      <c r="S619" s="83"/>
      <c r="T619" s="85"/>
      <c r="U619" s="6"/>
      <c r="V619" s="44">
        <v>44813</v>
      </c>
      <c r="W619" s="45">
        <v>129.19</v>
      </c>
      <c r="X619" s="46"/>
      <c r="Y619" s="61"/>
      <c r="Z619" s="5"/>
      <c r="AA619" s="5"/>
      <c r="AB619" s="5"/>
      <c r="AC619" s="5"/>
      <c r="AD619" s="5"/>
      <c r="AE619" s="5"/>
      <c r="AF619" s="5"/>
      <c r="AG619" s="5"/>
      <c r="AH619" s="6"/>
      <c r="AI619" s="44">
        <v>44813</v>
      </c>
      <c r="AJ619" s="53">
        <v>129.19</v>
      </c>
      <c r="AK619" s="54">
        <f t="shared" si="99"/>
        <v>5.6044212656651826E-3</v>
      </c>
      <c r="AL619" s="55">
        <f t="shared" si="102"/>
        <v>15.946218554752528</v>
      </c>
      <c r="AM619" s="56">
        <v>25</v>
      </c>
      <c r="AN619" s="57">
        <f t="shared" si="100"/>
        <v>9.0537814452474716</v>
      </c>
      <c r="AO619" s="76">
        <f t="shared" si="103"/>
        <v>9.2699771896797625</v>
      </c>
      <c r="AP619" s="63" t="str">
        <f t="shared" si="104"/>
        <v>Buy Stocks</v>
      </c>
      <c r="AQ619" s="63" t="str">
        <f t="shared" si="105"/>
        <v/>
      </c>
      <c r="AR619" s="63" t="str">
        <f t="shared" si="106"/>
        <v/>
      </c>
      <c r="AS619" s="63" t="str">
        <f t="shared" si="107"/>
        <v/>
      </c>
      <c r="AT619" s="78" t="str">
        <f t="shared" si="108"/>
        <v/>
      </c>
      <c r="AU619" s="78" t="str">
        <f t="shared" si="109"/>
        <v/>
      </c>
      <c r="AV619" s="64" t="str">
        <f ca="1">IFERROR(__xludf.DUMMYFUNCTION("IF(TRIM(AU619)="""","""",AU619/INDEX(FILTER(AT$3:AT619,TRIM(AT$3:AT619)&lt;&gt;""""),ROWS(FILTER(AT$3:AT619,TRIM(AT$3:AT619)&lt;&gt;"""")))-1)"),"")</f>
        <v/>
      </c>
      <c r="AW619" s="65" t="e">
        <f t="shared" ca="1" si="101"/>
        <v>#VALUE!</v>
      </c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</row>
    <row r="620" spans="1:68" ht="19" x14ac:dyDescent="0.25">
      <c r="A620" s="5"/>
      <c r="B620" s="5"/>
      <c r="C620" s="5"/>
      <c r="D620" s="5"/>
      <c r="E620" s="5"/>
      <c r="F620" s="5"/>
      <c r="G620" s="5"/>
      <c r="H620" s="6"/>
      <c r="I620" s="5"/>
      <c r="J620" s="83"/>
      <c r="K620" s="83"/>
      <c r="L620" s="83"/>
      <c r="M620" s="83"/>
      <c r="N620" s="83"/>
      <c r="O620" s="83"/>
      <c r="P620" s="83"/>
      <c r="Q620" s="84"/>
      <c r="R620" s="83"/>
      <c r="S620" s="83"/>
      <c r="T620" s="85"/>
      <c r="U620" s="6"/>
      <c r="V620" s="44">
        <v>44816</v>
      </c>
      <c r="W620" s="45">
        <v>130.66</v>
      </c>
      <c r="X620" s="46"/>
      <c r="Y620" s="61"/>
      <c r="Z620" s="5"/>
      <c r="AA620" s="5"/>
      <c r="AB620" s="5"/>
      <c r="AC620" s="5"/>
      <c r="AD620" s="5"/>
      <c r="AE620" s="5"/>
      <c r="AF620" s="5"/>
      <c r="AG620" s="5"/>
      <c r="AH620" s="6"/>
      <c r="AI620" s="44">
        <v>44816</v>
      </c>
      <c r="AJ620" s="53">
        <v>130.66</v>
      </c>
      <c r="AK620" s="54">
        <f t="shared" si="99"/>
        <v>1.1378589674123418E-2</v>
      </c>
      <c r="AL620" s="55">
        <f t="shared" si="102"/>
        <v>11.967277556563792</v>
      </c>
      <c r="AM620" s="56">
        <v>25</v>
      </c>
      <c r="AN620" s="57">
        <f t="shared" si="100"/>
        <v>13.032722443436208</v>
      </c>
      <c r="AO620" s="76">
        <f t="shared" si="103"/>
        <v>9.7408055826865514</v>
      </c>
      <c r="AP620" s="63" t="str">
        <f t="shared" si="104"/>
        <v>Buy Stocks</v>
      </c>
      <c r="AQ620" s="63" t="str">
        <f t="shared" si="105"/>
        <v/>
      </c>
      <c r="AR620" s="63" t="str">
        <f t="shared" si="106"/>
        <v/>
      </c>
      <c r="AS620" s="63" t="str">
        <f t="shared" si="107"/>
        <v/>
      </c>
      <c r="AT620" s="78" t="str">
        <f t="shared" si="108"/>
        <v/>
      </c>
      <c r="AU620" s="78" t="str">
        <f t="shared" si="109"/>
        <v/>
      </c>
      <c r="AV620" s="64" t="str">
        <f ca="1">IFERROR(__xludf.DUMMYFUNCTION("IF(TRIM(AU620)="""","""",AU620/INDEX(FILTER(AT$3:AT620,TRIM(AT$3:AT620)&lt;&gt;""""),ROWS(FILTER(AT$3:AT620,TRIM(AT$3:AT620)&lt;&gt;"""")))-1)"),"")</f>
        <v/>
      </c>
      <c r="AW620" s="65" t="e">
        <f t="shared" ca="1" si="101"/>
        <v>#VALUE!</v>
      </c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</row>
    <row r="621" spans="1:68" ht="19" x14ac:dyDescent="0.25">
      <c r="A621" s="5"/>
      <c r="B621" s="5"/>
      <c r="C621" s="5"/>
      <c r="D621" s="5"/>
      <c r="E621" s="5"/>
      <c r="F621" s="5"/>
      <c r="G621" s="5"/>
      <c r="H621" s="6"/>
      <c r="I621" s="5"/>
      <c r="J621" s="83"/>
      <c r="K621" s="83"/>
      <c r="L621" s="83"/>
      <c r="M621" s="83"/>
      <c r="N621" s="83"/>
      <c r="O621" s="83"/>
      <c r="P621" s="83"/>
      <c r="Q621" s="84"/>
      <c r="R621" s="83"/>
      <c r="S621" s="83"/>
      <c r="T621" s="85"/>
      <c r="U621" s="6"/>
      <c r="V621" s="44">
        <v>44817</v>
      </c>
      <c r="W621" s="45">
        <v>127.25</v>
      </c>
      <c r="X621" s="46"/>
      <c r="Y621" s="61"/>
      <c r="Z621" s="5"/>
      <c r="AA621" s="5"/>
      <c r="AB621" s="5"/>
      <c r="AC621" s="5"/>
      <c r="AD621" s="5"/>
      <c r="AE621" s="5"/>
      <c r="AF621" s="5"/>
      <c r="AG621" s="5"/>
      <c r="AH621" s="6"/>
      <c r="AI621" s="44">
        <v>44817</v>
      </c>
      <c r="AJ621" s="53">
        <v>127.25</v>
      </c>
      <c r="AK621" s="54">
        <f t="shared" si="99"/>
        <v>-2.6098270319914296E-2</v>
      </c>
      <c r="AL621" s="55">
        <f t="shared" si="102"/>
        <v>24.259054332284133</v>
      </c>
      <c r="AM621" s="56">
        <v>25</v>
      </c>
      <c r="AN621" s="57">
        <f t="shared" si="100"/>
        <v>0.74094566771586656</v>
      </c>
      <c r="AO621" s="76">
        <f t="shared" si="103"/>
        <v>7.7324534202638207</v>
      </c>
      <c r="AP621" s="63" t="str">
        <f t="shared" si="104"/>
        <v>Buy Stocks</v>
      </c>
      <c r="AQ621" s="63" t="str">
        <f t="shared" si="105"/>
        <v/>
      </c>
      <c r="AR621" s="63" t="str">
        <f t="shared" si="106"/>
        <v/>
      </c>
      <c r="AS621" s="63" t="str">
        <f t="shared" si="107"/>
        <v/>
      </c>
      <c r="AT621" s="78" t="str">
        <f t="shared" si="108"/>
        <v/>
      </c>
      <c r="AU621" s="78" t="str">
        <f t="shared" si="109"/>
        <v/>
      </c>
      <c r="AV621" s="64" t="str">
        <f ca="1">IFERROR(__xludf.DUMMYFUNCTION("IF(TRIM(AU621)="""","""",AU621/INDEX(FILTER(AT$3:AT621,TRIM(AT$3:AT621)&lt;&gt;""""),ROWS(FILTER(AT$3:AT621,TRIM(AT$3:AT621)&lt;&gt;"""")))-1)"),"")</f>
        <v/>
      </c>
      <c r="AW621" s="65" t="e">
        <f t="shared" ca="1" si="101"/>
        <v>#VALUE!</v>
      </c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</row>
    <row r="622" spans="1:68" ht="19" x14ac:dyDescent="0.25">
      <c r="A622" s="5"/>
      <c r="B622" s="5"/>
      <c r="C622" s="5"/>
      <c r="D622" s="5"/>
      <c r="E622" s="5"/>
      <c r="F622" s="5"/>
      <c r="G622" s="5"/>
      <c r="H622" s="6"/>
      <c r="I622" s="5"/>
      <c r="J622" s="83"/>
      <c r="K622" s="83"/>
      <c r="L622" s="83"/>
      <c r="M622" s="83"/>
      <c r="N622" s="83"/>
      <c r="O622" s="83"/>
      <c r="P622" s="83"/>
      <c r="Q622" s="84"/>
      <c r="R622" s="83"/>
      <c r="S622" s="83"/>
      <c r="T622" s="85"/>
      <c r="U622" s="6"/>
      <c r="V622" s="44">
        <v>44818</v>
      </c>
      <c r="W622" s="45">
        <v>127.69</v>
      </c>
      <c r="X622" s="46"/>
      <c r="Y622" s="61"/>
      <c r="Z622" s="5"/>
      <c r="AA622" s="5"/>
      <c r="AB622" s="5"/>
      <c r="AC622" s="5"/>
      <c r="AD622" s="5"/>
      <c r="AE622" s="5"/>
      <c r="AF622" s="5"/>
      <c r="AG622" s="5"/>
      <c r="AH622" s="6"/>
      <c r="AI622" s="44">
        <v>44818</v>
      </c>
      <c r="AJ622" s="53">
        <v>127.69</v>
      </c>
      <c r="AK622" s="54">
        <f t="shared" si="99"/>
        <v>3.4577603143417512E-3</v>
      </c>
      <c r="AL622" s="55">
        <f t="shared" si="102"/>
        <v>23.670517874592196</v>
      </c>
      <c r="AM622" s="56">
        <v>25</v>
      </c>
      <c r="AN622" s="57">
        <f t="shared" si="100"/>
        <v>1.3294821254078037</v>
      </c>
      <c r="AO622" s="76">
        <f t="shared" si="103"/>
        <v>6.4146090011668591</v>
      </c>
      <c r="AP622" s="63" t="str">
        <f t="shared" si="104"/>
        <v>Buy Stocks</v>
      </c>
      <c r="AQ622" s="63" t="str">
        <f t="shared" si="105"/>
        <v/>
      </c>
      <c r="AR622" s="63" t="str">
        <f t="shared" si="106"/>
        <v/>
      </c>
      <c r="AS622" s="63" t="str">
        <f t="shared" si="107"/>
        <v/>
      </c>
      <c r="AT622" s="78" t="str">
        <f t="shared" si="108"/>
        <v/>
      </c>
      <c r="AU622" s="78" t="str">
        <f t="shared" si="109"/>
        <v/>
      </c>
      <c r="AV622" s="64" t="str">
        <f ca="1">IFERROR(__xludf.DUMMYFUNCTION("IF(TRIM(AU622)="""","""",AU622/INDEX(FILTER(AT$3:AT622,TRIM(AT$3:AT622)&lt;&gt;""""),ROWS(FILTER(AT$3:AT622,TRIM(AT$3:AT622)&lt;&gt;"""")))-1)"),"")</f>
        <v/>
      </c>
      <c r="AW622" s="65" t="e">
        <f t="shared" ca="1" si="101"/>
        <v>#VALUE!</v>
      </c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</row>
    <row r="623" spans="1:68" ht="19" x14ac:dyDescent="0.25">
      <c r="A623" s="5"/>
      <c r="B623" s="5"/>
      <c r="C623" s="5"/>
      <c r="D623" s="5"/>
      <c r="E623" s="5"/>
      <c r="F623" s="5"/>
      <c r="G623" s="5"/>
      <c r="H623" s="6"/>
      <c r="I623" s="5"/>
      <c r="J623" s="83"/>
      <c r="K623" s="83"/>
      <c r="L623" s="83"/>
      <c r="M623" s="83"/>
      <c r="N623" s="83"/>
      <c r="O623" s="83"/>
      <c r="P623" s="83"/>
      <c r="Q623" s="84"/>
      <c r="R623" s="83"/>
      <c r="S623" s="83"/>
      <c r="T623" s="85"/>
      <c r="U623" s="6"/>
      <c r="V623" s="44">
        <v>44819</v>
      </c>
      <c r="W623" s="45">
        <v>125.49</v>
      </c>
      <c r="X623" s="46"/>
      <c r="Y623" s="61"/>
      <c r="Z623" s="5"/>
      <c r="AA623" s="5"/>
      <c r="AB623" s="5"/>
      <c r="AC623" s="5"/>
      <c r="AD623" s="5"/>
      <c r="AE623" s="5"/>
      <c r="AF623" s="5"/>
      <c r="AG623" s="5"/>
      <c r="AH623" s="6"/>
      <c r="AI623" s="44">
        <v>44819</v>
      </c>
      <c r="AJ623" s="53">
        <v>125.49</v>
      </c>
      <c r="AK623" s="54">
        <f t="shared" si="99"/>
        <v>-1.7229227034223582E-2</v>
      </c>
      <c r="AL623" s="55">
        <f t="shared" si="102"/>
        <v>25.671139272641941</v>
      </c>
      <c r="AM623" s="56">
        <v>25</v>
      </c>
      <c r="AN623" s="57">
        <f t="shared" si="100"/>
        <v>-0.67113927264194118</v>
      </c>
      <c r="AO623" s="76">
        <f t="shared" si="103"/>
        <v>4.6971584818330818</v>
      </c>
      <c r="AP623" s="63" t="str">
        <f t="shared" si="104"/>
        <v>Buy Stocks</v>
      </c>
      <c r="AQ623" s="63" t="str">
        <f t="shared" si="105"/>
        <v/>
      </c>
      <c r="AR623" s="63" t="str">
        <f t="shared" si="106"/>
        <v/>
      </c>
      <c r="AS623" s="63" t="str">
        <f t="shared" si="107"/>
        <v/>
      </c>
      <c r="AT623" s="78" t="str">
        <f t="shared" si="108"/>
        <v/>
      </c>
      <c r="AU623" s="78" t="str">
        <f t="shared" si="109"/>
        <v/>
      </c>
      <c r="AV623" s="64" t="str">
        <f ca="1">IFERROR(__xludf.DUMMYFUNCTION("IF(TRIM(AU623)="""","""",AU623/INDEX(FILTER(AT$3:AT623,TRIM(AT$3:AT623)&lt;&gt;""""),ROWS(FILTER(AT$3:AT623,TRIM(AT$3:AT623)&lt;&gt;"""")))-1)"),"")</f>
        <v/>
      </c>
      <c r="AW623" s="65" t="e">
        <f t="shared" ca="1" si="101"/>
        <v>#VALUE!</v>
      </c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</row>
    <row r="624" spans="1:68" ht="19" x14ac:dyDescent="0.25">
      <c r="A624" s="5"/>
      <c r="B624" s="5"/>
      <c r="C624" s="5"/>
      <c r="D624" s="5"/>
      <c r="E624" s="5"/>
      <c r="F624" s="5"/>
      <c r="G624" s="5"/>
      <c r="H624" s="6"/>
      <c r="I624" s="5"/>
      <c r="J624" s="83"/>
      <c r="K624" s="83"/>
      <c r="L624" s="83"/>
      <c r="M624" s="83"/>
      <c r="N624" s="83"/>
      <c r="O624" s="83"/>
      <c r="P624" s="83"/>
      <c r="Q624" s="84"/>
      <c r="R624" s="83"/>
      <c r="S624" s="83"/>
      <c r="T624" s="85"/>
      <c r="U624" s="6"/>
      <c r="V624" s="44">
        <v>44820</v>
      </c>
      <c r="W624" s="45">
        <v>127.27</v>
      </c>
      <c r="X624" s="46"/>
      <c r="Y624" s="61"/>
      <c r="Z624" s="5"/>
      <c r="AA624" s="5"/>
      <c r="AB624" s="5"/>
      <c r="AC624" s="5"/>
      <c r="AD624" s="5"/>
      <c r="AE624" s="5"/>
      <c r="AF624" s="5"/>
      <c r="AG624" s="5"/>
      <c r="AH624" s="6"/>
      <c r="AI624" s="44">
        <v>44820</v>
      </c>
      <c r="AJ624" s="53">
        <v>127.27</v>
      </c>
      <c r="AK624" s="54">
        <f t="shared" si="99"/>
        <v>1.4184397163120588E-2</v>
      </c>
      <c r="AL624" s="55">
        <f t="shared" si="102"/>
        <v>28.393354514965651</v>
      </c>
      <c r="AM624" s="56">
        <v>25</v>
      </c>
      <c r="AN624" s="57">
        <f t="shared" si="100"/>
        <v>-3.393354514965651</v>
      </c>
      <c r="AO624" s="76">
        <f t="shared" si="103"/>
        <v>2.2077312897904573</v>
      </c>
      <c r="AP624" s="63" t="str">
        <f t="shared" si="104"/>
        <v>Buy Stocks</v>
      </c>
      <c r="AQ624" s="63" t="str">
        <f t="shared" si="105"/>
        <v/>
      </c>
      <c r="AR624" s="63" t="str">
        <f t="shared" si="106"/>
        <v/>
      </c>
      <c r="AS624" s="63" t="str">
        <f t="shared" si="107"/>
        <v/>
      </c>
      <c r="AT624" s="78" t="str">
        <f t="shared" si="108"/>
        <v/>
      </c>
      <c r="AU624" s="78" t="str">
        <f t="shared" si="109"/>
        <v/>
      </c>
      <c r="AV624" s="64" t="str">
        <f ca="1">IFERROR(__xludf.DUMMYFUNCTION("IF(TRIM(AU624)="""","""",AU624/INDEX(FILTER(AT$3:AT624,TRIM(AT$3:AT624)&lt;&gt;""""),ROWS(FILTER(AT$3:AT624,TRIM(AT$3:AT624)&lt;&gt;"""")))-1)"),"")</f>
        <v/>
      </c>
      <c r="AW624" s="65" t="e">
        <f t="shared" ca="1" si="101"/>
        <v>#VALUE!</v>
      </c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</row>
    <row r="625" spans="1:68" ht="19" x14ac:dyDescent="0.25">
      <c r="A625" s="5"/>
      <c r="B625" s="5"/>
      <c r="C625" s="5"/>
      <c r="D625" s="5"/>
      <c r="E625" s="5"/>
      <c r="F625" s="5"/>
      <c r="G625" s="5"/>
      <c r="H625" s="6"/>
      <c r="I625" s="5"/>
      <c r="J625" s="83"/>
      <c r="K625" s="83"/>
      <c r="L625" s="83"/>
      <c r="M625" s="83"/>
      <c r="N625" s="83"/>
      <c r="O625" s="83"/>
      <c r="P625" s="83"/>
      <c r="Q625" s="84"/>
      <c r="R625" s="83"/>
      <c r="S625" s="83"/>
      <c r="T625" s="85"/>
      <c r="U625" s="6"/>
      <c r="V625" s="44">
        <v>44823</v>
      </c>
      <c r="W625" s="45">
        <v>127.73</v>
      </c>
      <c r="X625" s="46"/>
      <c r="Y625" s="61"/>
      <c r="Z625" s="5"/>
      <c r="AA625" s="5"/>
      <c r="AB625" s="5"/>
      <c r="AC625" s="5"/>
      <c r="AD625" s="5"/>
      <c r="AE625" s="5"/>
      <c r="AF625" s="5"/>
      <c r="AG625" s="5"/>
      <c r="AH625" s="6"/>
      <c r="AI625" s="44">
        <v>44823</v>
      </c>
      <c r="AJ625" s="53">
        <v>127.73</v>
      </c>
      <c r="AK625" s="54">
        <f t="shared" si="99"/>
        <v>3.6143631649250274E-3</v>
      </c>
      <c r="AL625" s="55">
        <f t="shared" si="102"/>
        <v>26.405625388491245</v>
      </c>
      <c r="AM625" s="56">
        <v>25</v>
      </c>
      <c r="AN625" s="57">
        <f t="shared" si="100"/>
        <v>-1.4056253884912451</v>
      </c>
      <c r="AO625" s="76">
        <f t="shared" si="103"/>
        <v>-0.67993827659503336</v>
      </c>
      <c r="AP625" s="63" t="str">
        <f t="shared" si="104"/>
        <v/>
      </c>
      <c r="AQ625" s="63" t="str">
        <f t="shared" si="105"/>
        <v>Sell Stocks</v>
      </c>
      <c r="AR625" s="63" t="str">
        <f t="shared" si="106"/>
        <v/>
      </c>
      <c r="AS625" s="63" t="str">
        <f t="shared" si="107"/>
        <v>Sell Stocks</v>
      </c>
      <c r="AT625" s="78" t="str">
        <f t="shared" si="108"/>
        <v/>
      </c>
      <c r="AU625" s="77">
        <f t="shared" si="109"/>
        <v>127.73</v>
      </c>
      <c r="AV625" s="64">
        <f ca="1">IFERROR(__xludf.DUMMYFUNCTION("IF(TRIM(AU625)="""","""",AU625/INDEX(FILTER(AT$3:AT625,TRIM(AT$3:AT625)&lt;&gt;""""),ROWS(FILTER(AT$3:AT625,TRIM(AT$3:AT625)&lt;&gt;"""")))-1)"),-0.0115307227983283)</f>
        <v>-1.1530722798328299E-2</v>
      </c>
      <c r="AW625" s="65" t="e">
        <f t="shared" ca="1" si="101"/>
        <v>#VALUE!</v>
      </c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</row>
    <row r="626" spans="1:68" ht="19" x14ac:dyDescent="0.25">
      <c r="A626" s="5"/>
      <c r="B626" s="5"/>
      <c r="C626" s="5"/>
      <c r="D626" s="5"/>
      <c r="E626" s="5"/>
      <c r="F626" s="5"/>
      <c r="G626" s="5"/>
      <c r="H626" s="6"/>
      <c r="I626" s="5"/>
      <c r="J626" s="83"/>
      <c r="K626" s="83"/>
      <c r="L626" s="83"/>
      <c r="M626" s="83"/>
      <c r="N626" s="83"/>
      <c r="O626" s="83"/>
      <c r="P626" s="83"/>
      <c r="Q626" s="84"/>
      <c r="R626" s="83"/>
      <c r="S626" s="83"/>
      <c r="T626" s="85"/>
      <c r="U626" s="6"/>
      <c r="V626" s="44">
        <v>44824</v>
      </c>
      <c r="W626" s="45">
        <v>126.3</v>
      </c>
      <c r="X626" s="46"/>
      <c r="Y626" s="61"/>
      <c r="Z626" s="5"/>
      <c r="AA626" s="5"/>
      <c r="AB626" s="5"/>
      <c r="AC626" s="5"/>
      <c r="AD626" s="5"/>
      <c r="AE626" s="5"/>
      <c r="AF626" s="5"/>
      <c r="AG626" s="5"/>
      <c r="AH626" s="6"/>
      <c r="AI626" s="44">
        <v>44824</v>
      </c>
      <c r="AJ626" s="53">
        <v>126.3</v>
      </c>
      <c r="AK626" s="54">
        <f t="shared" si="99"/>
        <v>-1.1195490487747595E-2</v>
      </c>
      <c r="AL626" s="55">
        <f t="shared" si="102"/>
        <v>20.050413284672295</v>
      </c>
      <c r="AM626" s="56">
        <v>25</v>
      </c>
      <c r="AN626" s="57">
        <f t="shared" si="100"/>
        <v>4.9495867153277047</v>
      </c>
      <c r="AO626" s="76">
        <f t="shared" si="103"/>
        <v>0.16178993292733423</v>
      </c>
      <c r="AP626" s="63" t="str">
        <f t="shared" si="104"/>
        <v>Buy Stocks</v>
      </c>
      <c r="AQ626" s="63" t="str">
        <f t="shared" si="105"/>
        <v/>
      </c>
      <c r="AR626" s="63" t="str">
        <f t="shared" si="106"/>
        <v>Buy Stocks</v>
      </c>
      <c r="AS626" s="63" t="str">
        <f t="shared" si="107"/>
        <v/>
      </c>
      <c r="AT626" s="77">
        <f t="shared" si="108"/>
        <v>126.3</v>
      </c>
      <c r="AU626" s="78" t="str">
        <f t="shared" si="109"/>
        <v/>
      </c>
      <c r="AV626" s="64" t="str">
        <f ca="1">IFERROR(__xludf.DUMMYFUNCTION("IF(TRIM(AU626)="""","""",AU626/INDEX(FILTER(AT$3:AT626,TRIM(AT$3:AT626)&lt;&gt;""""),ROWS(FILTER(AT$3:AT626,TRIM(AT$3:AT626)&lt;&gt;"""")))-1)"),"")</f>
        <v/>
      </c>
      <c r="AW626" s="65" t="e">
        <f t="shared" ca="1" si="101"/>
        <v>#VALUE!</v>
      </c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</row>
    <row r="627" spans="1:68" ht="19" x14ac:dyDescent="0.25">
      <c r="A627" s="5"/>
      <c r="B627" s="5"/>
      <c r="C627" s="5"/>
      <c r="D627" s="5"/>
      <c r="E627" s="5"/>
      <c r="F627" s="5"/>
      <c r="G627" s="5"/>
      <c r="H627" s="6"/>
      <c r="I627" s="5"/>
      <c r="J627" s="83"/>
      <c r="K627" s="83"/>
      <c r="L627" s="83"/>
      <c r="M627" s="83"/>
      <c r="N627" s="83"/>
      <c r="O627" s="83"/>
      <c r="P627" s="83"/>
      <c r="Q627" s="84"/>
      <c r="R627" s="83"/>
      <c r="S627" s="83"/>
      <c r="T627" s="85"/>
      <c r="U627" s="6"/>
      <c r="V627" s="44">
        <v>44825</v>
      </c>
      <c r="W627" s="45">
        <v>124.93</v>
      </c>
      <c r="X627" s="46"/>
      <c r="Y627" s="61"/>
      <c r="Z627" s="5"/>
      <c r="AA627" s="5"/>
      <c r="AB627" s="5"/>
      <c r="AC627" s="5"/>
      <c r="AD627" s="5"/>
      <c r="AE627" s="5"/>
      <c r="AF627" s="5"/>
      <c r="AG627" s="5"/>
      <c r="AH627" s="6"/>
      <c r="AI627" s="44">
        <v>44825</v>
      </c>
      <c r="AJ627" s="53">
        <v>124.93</v>
      </c>
      <c r="AK627" s="54">
        <f t="shared" si="99"/>
        <v>-1.0847189231987242E-2</v>
      </c>
      <c r="AL627" s="55">
        <f t="shared" si="102"/>
        <v>20.42032432384136</v>
      </c>
      <c r="AM627" s="56">
        <v>25</v>
      </c>
      <c r="AN627" s="57">
        <f t="shared" si="100"/>
        <v>4.5796756761586401</v>
      </c>
      <c r="AO627" s="76">
        <f t="shared" si="103"/>
        <v>0.81182864307750147</v>
      </c>
      <c r="AP627" s="63" t="str">
        <f t="shared" si="104"/>
        <v>Buy Stocks</v>
      </c>
      <c r="AQ627" s="63" t="str">
        <f t="shared" si="105"/>
        <v/>
      </c>
      <c r="AR627" s="63" t="str">
        <f t="shared" si="106"/>
        <v/>
      </c>
      <c r="AS627" s="63" t="str">
        <f t="shared" si="107"/>
        <v/>
      </c>
      <c r="AT627" s="78" t="str">
        <f t="shared" si="108"/>
        <v/>
      </c>
      <c r="AU627" s="78" t="str">
        <f t="shared" si="109"/>
        <v/>
      </c>
      <c r="AV627" s="64" t="str">
        <f ca="1">IFERROR(__xludf.DUMMYFUNCTION("IF(TRIM(AU627)="""","""",AU627/INDEX(FILTER(AT$3:AT627,TRIM(AT$3:AT627)&lt;&gt;""""),ROWS(FILTER(AT$3:AT627,TRIM(AT$3:AT627)&lt;&gt;"""")))-1)"),"")</f>
        <v/>
      </c>
      <c r="AW627" s="65" t="e">
        <f t="shared" ca="1" si="101"/>
        <v>#VALUE!</v>
      </c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</row>
    <row r="628" spans="1:68" ht="19" x14ac:dyDescent="0.25">
      <c r="A628" s="5"/>
      <c r="B628" s="5"/>
      <c r="C628" s="5"/>
      <c r="D628" s="5"/>
      <c r="E628" s="5"/>
      <c r="F628" s="5"/>
      <c r="G628" s="5"/>
      <c r="H628" s="6"/>
      <c r="I628" s="5"/>
      <c r="J628" s="83"/>
      <c r="K628" s="83"/>
      <c r="L628" s="83"/>
      <c r="M628" s="83"/>
      <c r="N628" s="83"/>
      <c r="O628" s="83"/>
      <c r="P628" s="83"/>
      <c r="Q628" s="84"/>
      <c r="R628" s="83"/>
      <c r="S628" s="83"/>
      <c r="T628" s="85"/>
      <c r="U628" s="6"/>
      <c r="V628" s="44">
        <v>44826</v>
      </c>
      <c r="W628" s="45">
        <v>125.31</v>
      </c>
      <c r="X628" s="46"/>
      <c r="Y628" s="61"/>
      <c r="Z628" s="5"/>
      <c r="AA628" s="5"/>
      <c r="AB628" s="5"/>
      <c r="AC628" s="5"/>
      <c r="AD628" s="5"/>
      <c r="AE628" s="5"/>
      <c r="AF628" s="5"/>
      <c r="AG628" s="5"/>
      <c r="AH628" s="6"/>
      <c r="AI628" s="44">
        <v>44826</v>
      </c>
      <c r="AJ628" s="53">
        <v>125.31</v>
      </c>
      <c r="AK628" s="54">
        <f t="shared" si="99"/>
        <v>3.0417033538781002E-3</v>
      </c>
      <c r="AL628" s="55">
        <f t="shared" si="102"/>
        <v>17.138296906311112</v>
      </c>
      <c r="AM628" s="56">
        <v>25</v>
      </c>
      <c r="AN628" s="57">
        <f t="shared" si="100"/>
        <v>7.8617030936888881</v>
      </c>
      <c r="AO628" s="76">
        <f t="shared" si="103"/>
        <v>2.5183971163436674</v>
      </c>
      <c r="AP628" s="63" t="str">
        <f t="shared" si="104"/>
        <v>Buy Stocks</v>
      </c>
      <c r="AQ628" s="63" t="str">
        <f t="shared" si="105"/>
        <v/>
      </c>
      <c r="AR628" s="63" t="str">
        <f t="shared" si="106"/>
        <v/>
      </c>
      <c r="AS628" s="63" t="str">
        <f t="shared" si="107"/>
        <v/>
      </c>
      <c r="AT628" s="78" t="str">
        <f t="shared" si="108"/>
        <v/>
      </c>
      <c r="AU628" s="78" t="str">
        <f t="shared" si="109"/>
        <v/>
      </c>
      <c r="AV628" s="64" t="str">
        <f ca="1">IFERROR(__xludf.DUMMYFUNCTION("IF(TRIM(AU628)="""","""",AU628/INDEX(FILTER(AT$3:AT628,TRIM(AT$3:AT628)&lt;&gt;""""),ROWS(FILTER(AT$3:AT628,TRIM(AT$3:AT628)&lt;&gt;"""")))-1)"),"")</f>
        <v/>
      </c>
      <c r="AW628" s="65" t="e">
        <f t="shared" ca="1" si="101"/>
        <v>#VALUE!</v>
      </c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</row>
    <row r="629" spans="1:68" ht="19" x14ac:dyDescent="0.25">
      <c r="A629" s="5"/>
      <c r="B629" s="5"/>
      <c r="C629" s="5"/>
      <c r="D629" s="5"/>
      <c r="E629" s="5"/>
      <c r="F629" s="5"/>
      <c r="G629" s="5"/>
      <c r="H629" s="6"/>
      <c r="I629" s="5"/>
      <c r="J629" s="83"/>
      <c r="K629" s="83"/>
      <c r="L629" s="83"/>
      <c r="M629" s="83"/>
      <c r="N629" s="83"/>
      <c r="O629" s="83"/>
      <c r="P629" s="83"/>
      <c r="Q629" s="84"/>
      <c r="R629" s="83"/>
      <c r="S629" s="83"/>
      <c r="T629" s="85"/>
      <c r="U629" s="6"/>
      <c r="V629" s="44">
        <v>44827</v>
      </c>
      <c r="W629" s="45">
        <v>122.71</v>
      </c>
      <c r="X629" s="46"/>
      <c r="Y629" s="61"/>
      <c r="Z629" s="5"/>
      <c r="AA629" s="5"/>
      <c r="AB629" s="5"/>
      <c r="AC629" s="5"/>
      <c r="AD629" s="5"/>
      <c r="AE629" s="5"/>
      <c r="AF629" s="5"/>
      <c r="AG629" s="5"/>
      <c r="AH629" s="6"/>
      <c r="AI629" s="44">
        <v>44827</v>
      </c>
      <c r="AJ629" s="53">
        <v>122.71</v>
      </c>
      <c r="AK629" s="54">
        <f t="shared" si="99"/>
        <v>-2.0748543611842751E-2</v>
      </c>
      <c r="AL629" s="55">
        <f t="shared" si="102"/>
        <v>16.548141858132968</v>
      </c>
      <c r="AM629" s="56">
        <v>25</v>
      </c>
      <c r="AN629" s="57">
        <f t="shared" si="100"/>
        <v>8.4518581418670315</v>
      </c>
      <c r="AO629" s="76">
        <f t="shared" si="103"/>
        <v>4.8874396477102042</v>
      </c>
      <c r="AP629" s="63" t="str">
        <f t="shared" si="104"/>
        <v>Buy Stocks</v>
      </c>
      <c r="AQ629" s="63" t="str">
        <f t="shared" si="105"/>
        <v/>
      </c>
      <c r="AR629" s="63" t="str">
        <f t="shared" si="106"/>
        <v/>
      </c>
      <c r="AS629" s="63" t="str">
        <f t="shared" si="107"/>
        <v/>
      </c>
      <c r="AT629" s="78" t="str">
        <f t="shared" si="108"/>
        <v/>
      </c>
      <c r="AU629" s="78" t="str">
        <f t="shared" si="109"/>
        <v/>
      </c>
      <c r="AV629" s="64" t="str">
        <f ca="1">IFERROR(__xludf.DUMMYFUNCTION("IF(TRIM(AU629)="""","""",AU629/INDEX(FILTER(AT$3:AT629,TRIM(AT$3:AT629)&lt;&gt;""""),ROWS(FILTER(AT$3:AT629,TRIM(AT$3:AT629)&lt;&gt;"""")))-1)"),"")</f>
        <v/>
      </c>
      <c r="AW629" s="65" t="e">
        <f t="shared" ca="1" si="101"/>
        <v>#VALUE!</v>
      </c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</row>
    <row r="630" spans="1:68" ht="19" x14ac:dyDescent="0.25">
      <c r="A630" s="5"/>
      <c r="B630" s="5"/>
      <c r="C630" s="5"/>
      <c r="D630" s="5"/>
      <c r="E630" s="5"/>
      <c r="F630" s="5"/>
      <c r="G630" s="5"/>
      <c r="H630" s="6"/>
      <c r="I630" s="5"/>
      <c r="J630" s="83"/>
      <c r="K630" s="83"/>
      <c r="L630" s="83"/>
      <c r="M630" s="83"/>
      <c r="N630" s="83"/>
      <c r="O630" s="83"/>
      <c r="P630" s="83"/>
      <c r="Q630" s="84"/>
      <c r="R630" s="83"/>
      <c r="S630" s="83"/>
      <c r="T630" s="85"/>
      <c r="U630" s="6"/>
      <c r="V630" s="44">
        <v>44830</v>
      </c>
      <c r="W630" s="45">
        <v>122.01</v>
      </c>
      <c r="X630" s="46"/>
      <c r="Y630" s="61"/>
      <c r="Z630" s="5"/>
      <c r="AA630" s="5"/>
      <c r="AB630" s="5"/>
      <c r="AC630" s="5"/>
      <c r="AD630" s="5"/>
      <c r="AE630" s="5"/>
      <c r="AF630" s="5"/>
      <c r="AG630" s="5"/>
      <c r="AH630" s="6"/>
      <c r="AI630" s="44">
        <v>44830</v>
      </c>
      <c r="AJ630" s="53">
        <v>122.01</v>
      </c>
      <c r="AK630" s="54">
        <f t="shared" si="99"/>
        <v>-5.7045065601823985E-3</v>
      </c>
      <c r="AL630" s="55">
        <f t="shared" si="102"/>
        <v>13.795354518205402</v>
      </c>
      <c r="AM630" s="56">
        <v>25</v>
      </c>
      <c r="AN630" s="57">
        <f t="shared" si="100"/>
        <v>11.204645481794598</v>
      </c>
      <c r="AO630" s="76">
        <f t="shared" si="103"/>
        <v>7.4094938217673727</v>
      </c>
      <c r="AP630" s="63" t="str">
        <f t="shared" si="104"/>
        <v>Buy Stocks</v>
      </c>
      <c r="AQ630" s="63" t="str">
        <f t="shared" si="105"/>
        <v/>
      </c>
      <c r="AR630" s="63" t="str">
        <f t="shared" si="106"/>
        <v/>
      </c>
      <c r="AS630" s="63" t="str">
        <f t="shared" si="107"/>
        <v/>
      </c>
      <c r="AT630" s="78" t="str">
        <f t="shared" si="108"/>
        <v/>
      </c>
      <c r="AU630" s="78" t="str">
        <f t="shared" si="109"/>
        <v/>
      </c>
      <c r="AV630" s="64" t="str">
        <f ca="1">IFERROR(__xludf.DUMMYFUNCTION("IF(TRIM(AU630)="""","""",AU630/INDEX(FILTER(AT$3:AT630,TRIM(AT$3:AT630)&lt;&gt;""""),ROWS(FILTER(AT$3:AT630,TRIM(AT$3:AT630)&lt;&gt;"""")))-1)"),"")</f>
        <v/>
      </c>
      <c r="AW630" s="65" t="e">
        <f t="shared" ca="1" si="101"/>
        <v>#VALUE!</v>
      </c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</row>
    <row r="631" spans="1:68" ht="19" x14ac:dyDescent="0.25">
      <c r="A631" s="5"/>
      <c r="B631" s="5"/>
      <c r="C631" s="5"/>
      <c r="D631" s="5"/>
      <c r="E631" s="5"/>
      <c r="F631" s="5"/>
      <c r="G631" s="5"/>
      <c r="H631" s="6"/>
      <c r="I631" s="5"/>
      <c r="J631" s="83"/>
      <c r="K631" s="83"/>
      <c r="L631" s="83"/>
      <c r="M631" s="83"/>
      <c r="N631" s="83"/>
      <c r="O631" s="83"/>
      <c r="P631" s="83"/>
      <c r="Q631" s="84"/>
      <c r="R631" s="83"/>
      <c r="S631" s="83"/>
      <c r="T631" s="85"/>
      <c r="U631" s="6"/>
      <c r="V631" s="44">
        <v>44831</v>
      </c>
      <c r="W631" s="45">
        <v>121.74</v>
      </c>
      <c r="X631" s="46"/>
      <c r="Y631" s="61"/>
      <c r="Z631" s="5"/>
      <c r="AA631" s="5"/>
      <c r="AB631" s="5"/>
      <c r="AC631" s="5"/>
      <c r="AD631" s="5"/>
      <c r="AE631" s="5"/>
      <c r="AF631" s="5"/>
      <c r="AG631" s="5"/>
      <c r="AH631" s="6"/>
      <c r="AI631" s="44">
        <v>44831</v>
      </c>
      <c r="AJ631" s="53">
        <v>121.74</v>
      </c>
      <c r="AK631" s="54">
        <f t="shared" si="99"/>
        <v>-2.2129333661176087E-3</v>
      </c>
      <c r="AL631" s="55">
        <f t="shared" si="102"/>
        <v>14.392944268580241</v>
      </c>
      <c r="AM631" s="56">
        <v>25</v>
      </c>
      <c r="AN631" s="57">
        <f t="shared" si="100"/>
        <v>10.607055731419759</v>
      </c>
      <c r="AO631" s="76">
        <f t="shared" si="103"/>
        <v>8.5409876249857835</v>
      </c>
      <c r="AP631" s="63" t="str">
        <f t="shared" si="104"/>
        <v>Buy Stocks</v>
      </c>
      <c r="AQ631" s="63" t="str">
        <f t="shared" si="105"/>
        <v/>
      </c>
      <c r="AR631" s="63" t="str">
        <f t="shared" si="106"/>
        <v/>
      </c>
      <c r="AS631" s="63" t="str">
        <f t="shared" si="107"/>
        <v/>
      </c>
      <c r="AT631" s="78" t="str">
        <f t="shared" si="108"/>
        <v/>
      </c>
      <c r="AU631" s="78" t="str">
        <f t="shared" si="109"/>
        <v/>
      </c>
      <c r="AV631" s="64" t="str">
        <f ca="1">IFERROR(__xludf.DUMMYFUNCTION("IF(TRIM(AU631)="""","""",AU631/INDEX(FILTER(AT$3:AT631,TRIM(AT$3:AT631)&lt;&gt;""""),ROWS(FILTER(AT$3:AT631,TRIM(AT$3:AT631)&lt;&gt;"""")))-1)"),"")</f>
        <v/>
      </c>
      <c r="AW631" s="65" t="e">
        <f t="shared" ca="1" si="101"/>
        <v>#VALUE!</v>
      </c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</row>
    <row r="632" spans="1:68" ht="19" x14ac:dyDescent="0.25">
      <c r="A632" s="5"/>
      <c r="B632" s="5"/>
      <c r="C632" s="5"/>
      <c r="D632" s="5"/>
      <c r="E632" s="5"/>
      <c r="F632" s="5"/>
      <c r="G632" s="5"/>
      <c r="H632" s="6"/>
      <c r="I632" s="5"/>
      <c r="J632" s="83"/>
      <c r="K632" s="83"/>
      <c r="L632" s="83"/>
      <c r="M632" s="83"/>
      <c r="N632" s="83"/>
      <c r="O632" s="83"/>
      <c r="P632" s="83"/>
      <c r="Q632" s="84"/>
      <c r="R632" s="83"/>
      <c r="S632" s="83"/>
      <c r="T632" s="85"/>
      <c r="U632" s="6"/>
      <c r="V632" s="44">
        <v>44832</v>
      </c>
      <c r="W632" s="45">
        <v>122.76</v>
      </c>
      <c r="X632" s="46"/>
      <c r="Y632" s="61"/>
      <c r="Z632" s="5"/>
      <c r="AA632" s="5"/>
      <c r="AB632" s="5"/>
      <c r="AC632" s="5"/>
      <c r="AD632" s="5"/>
      <c r="AE632" s="5"/>
      <c r="AF632" s="5"/>
      <c r="AG632" s="5"/>
      <c r="AH632" s="6"/>
      <c r="AI632" s="44">
        <v>44832</v>
      </c>
      <c r="AJ632" s="53">
        <v>122.76</v>
      </c>
      <c r="AK632" s="54">
        <f t="shared" si="99"/>
        <v>8.3785115820602662E-3</v>
      </c>
      <c r="AL632" s="55">
        <f t="shared" si="102"/>
        <v>17.532325662136962</v>
      </c>
      <c r="AM632" s="56">
        <v>25</v>
      </c>
      <c r="AN632" s="57">
        <f t="shared" si="100"/>
        <v>7.4676743378630377</v>
      </c>
      <c r="AO632" s="76">
        <f t="shared" si="103"/>
        <v>9.1185873573266623</v>
      </c>
      <c r="AP632" s="63" t="str">
        <f t="shared" si="104"/>
        <v>Buy Stocks</v>
      </c>
      <c r="AQ632" s="63" t="str">
        <f t="shared" si="105"/>
        <v/>
      </c>
      <c r="AR632" s="63" t="str">
        <f t="shared" si="106"/>
        <v/>
      </c>
      <c r="AS632" s="63" t="str">
        <f t="shared" si="107"/>
        <v/>
      </c>
      <c r="AT632" s="78" t="str">
        <f t="shared" si="108"/>
        <v/>
      </c>
      <c r="AU632" s="78" t="str">
        <f t="shared" si="109"/>
        <v/>
      </c>
      <c r="AV632" s="64" t="str">
        <f ca="1">IFERROR(__xludf.DUMMYFUNCTION("IF(TRIM(AU632)="""","""",AU632/INDEX(FILTER(AT$3:AT632,TRIM(AT$3:AT632)&lt;&gt;""""),ROWS(FILTER(AT$3:AT632,TRIM(AT$3:AT632)&lt;&gt;"""")))-1)"),"")</f>
        <v/>
      </c>
      <c r="AW632" s="65" t="e">
        <f t="shared" ca="1" si="101"/>
        <v>#VALUE!</v>
      </c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</row>
    <row r="633" spans="1:68" ht="19" x14ac:dyDescent="0.25">
      <c r="A633" s="5"/>
      <c r="B633" s="5"/>
      <c r="C633" s="5"/>
      <c r="D633" s="5"/>
      <c r="E633" s="5"/>
      <c r="F633" s="5"/>
      <c r="G633" s="5"/>
      <c r="H633" s="6"/>
      <c r="I633" s="5"/>
      <c r="J633" s="83"/>
      <c r="K633" s="83"/>
      <c r="L633" s="83"/>
      <c r="M633" s="83"/>
      <c r="N633" s="83"/>
      <c r="O633" s="83"/>
      <c r="P633" s="83"/>
      <c r="Q633" s="84"/>
      <c r="R633" s="83"/>
      <c r="S633" s="83"/>
      <c r="T633" s="85"/>
      <c r="U633" s="6"/>
      <c r="V633" s="44">
        <v>44833</v>
      </c>
      <c r="W633" s="45">
        <v>121.63</v>
      </c>
      <c r="X633" s="46"/>
      <c r="Y633" s="61"/>
      <c r="Z633" s="5"/>
      <c r="AA633" s="5"/>
      <c r="AB633" s="5"/>
      <c r="AC633" s="5"/>
      <c r="AD633" s="5"/>
      <c r="AE633" s="5"/>
      <c r="AF633" s="5"/>
      <c r="AG633" s="5"/>
      <c r="AH633" s="6"/>
      <c r="AI633" s="44">
        <v>44833</v>
      </c>
      <c r="AJ633" s="53">
        <v>121.63</v>
      </c>
      <c r="AK633" s="54">
        <f t="shared" si="99"/>
        <v>-9.2049527533398789E-3</v>
      </c>
      <c r="AL633" s="55">
        <f t="shared" si="102"/>
        <v>16.817063578060456</v>
      </c>
      <c r="AM633" s="56">
        <v>25</v>
      </c>
      <c r="AN633" s="57">
        <f t="shared" si="100"/>
        <v>8.1829364219395444</v>
      </c>
      <c r="AO633" s="76">
        <f t="shared" si="103"/>
        <v>9.1828340229767953</v>
      </c>
      <c r="AP633" s="63" t="str">
        <f t="shared" si="104"/>
        <v>Buy Stocks</v>
      </c>
      <c r="AQ633" s="63" t="str">
        <f t="shared" si="105"/>
        <v/>
      </c>
      <c r="AR633" s="63" t="str">
        <f t="shared" si="106"/>
        <v/>
      </c>
      <c r="AS633" s="63" t="str">
        <f t="shared" si="107"/>
        <v/>
      </c>
      <c r="AT633" s="78" t="str">
        <f t="shared" si="108"/>
        <v/>
      </c>
      <c r="AU633" s="78" t="str">
        <f t="shared" si="109"/>
        <v/>
      </c>
      <c r="AV633" s="64" t="str">
        <f ca="1">IFERROR(__xludf.DUMMYFUNCTION("IF(TRIM(AU633)="""","""",AU633/INDEX(FILTER(AT$3:AT633,TRIM(AT$3:AT633)&lt;&gt;""""),ROWS(FILTER(AT$3:AT633,TRIM(AT$3:AT633)&lt;&gt;"""")))-1)"),"")</f>
        <v/>
      </c>
      <c r="AW633" s="65" t="e">
        <f t="shared" ca="1" si="101"/>
        <v>#VALUE!</v>
      </c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</row>
    <row r="634" spans="1:68" ht="19" x14ac:dyDescent="0.25">
      <c r="A634" s="5"/>
      <c r="B634" s="5"/>
      <c r="C634" s="5"/>
      <c r="D634" s="5"/>
      <c r="E634" s="5"/>
      <c r="F634" s="5"/>
      <c r="G634" s="5"/>
      <c r="H634" s="6"/>
      <c r="I634" s="5"/>
      <c r="J634" s="83"/>
      <c r="K634" s="83"/>
      <c r="L634" s="83"/>
      <c r="M634" s="83"/>
      <c r="N634" s="83"/>
      <c r="O634" s="83"/>
      <c r="P634" s="83"/>
      <c r="Q634" s="84"/>
      <c r="R634" s="83"/>
      <c r="S634" s="83"/>
      <c r="T634" s="85"/>
      <c r="U634" s="6"/>
      <c r="V634" s="44">
        <v>44834</v>
      </c>
      <c r="W634" s="45">
        <v>118.81</v>
      </c>
      <c r="X634" s="46"/>
      <c r="Y634" s="61"/>
      <c r="Z634" s="5"/>
      <c r="AA634" s="5"/>
      <c r="AB634" s="5"/>
      <c r="AC634" s="5"/>
      <c r="AD634" s="5"/>
      <c r="AE634" s="5"/>
      <c r="AF634" s="5"/>
      <c r="AG634" s="5"/>
      <c r="AH634" s="6"/>
      <c r="AI634" s="44">
        <v>44834</v>
      </c>
      <c r="AJ634" s="53">
        <v>118.81</v>
      </c>
      <c r="AK634" s="54">
        <f t="shared" si="99"/>
        <v>-2.3185069472991815E-2</v>
      </c>
      <c r="AL634" s="55">
        <f t="shared" si="102"/>
        <v>18.20427748260548</v>
      </c>
      <c r="AM634" s="56">
        <v>25</v>
      </c>
      <c r="AN634" s="57">
        <f t="shared" si="100"/>
        <v>6.7957225173945197</v>
      </c>
      <c r="AO634" s="76">
        <f t="shared" si="103"/>
        <v>8.8516068980822915</v>
      </c>
      <c r="AP634" s="63" t="str">
        <f t="shared" si="104"/>
        <v>Buy Stocks</v>
      </c>
      <c r="AQ634" s="63" t="str">
        <f t="shared" si="105"/>
        <v/>
      </c>
      <c r="AR634" s="63" t="str">
        <f t="shared" si="106"/>
        <v/>
      </c>
      <c r="AS634" s="63" t="str">
        <f t="shared" si="107"/>
        <v/>
      </c>
      <c r="AT634" s="78" t="str">
        <f t="shared" si="108"/>
        <v/>
      </c>
      <c r="AU634" s="78" t="str">
        <f t="shared" si="109"/>
        <v/>
      </c>
      <c r="AV634" s="64" t="str">
        <f ca="1">IFERROR(__xludf.DUMMYFUNCTION("IF(TRIM(AU634)="""","""",AU634/INDEX(FILTER(AT$3:AT634,TRIM(AT$3:AT634)&lt;&gt;""""),ROWS(FILTER(AT$3:AT634,TRIM(AT$3:AT634)&lt;&gt;"""")))-1)"),"")</f>
        <v/>
      </c>
      <c r="AW634" s="65" t="e">
        <f t="shared" ca="1" si="101"/>
        <v>#VALUE!</v>
      </c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</row>
    <row r="635" spans="1:68" ht="19" x14ac:dyDescent="0.25">
      <c r="A635" s="5"/>
      <c r="B635" s="5"/>
      <c r="C635" s="5"/>
      <c r="D635" s="5"/>
      <c r="E635" s="5"/>
      <c r="F635" s="5"/>
      <c r="G635" s="5"/>
      <c r="H635" s="6"/>
      <c r="I635" s="5"/>
      <c r="J635" s="83"/>
      <c r="K635" s="83"/>
      <c r="L635" s="83"/>
      <c r="M635" s="83"/>
      <c r="N635" s="83"/>
      <c r="O635" s="83"/>
      <c r="P635" s="83"/>
      <c r="Q635" s="84"/>
      <c r="R635" s="83"/>
      <c r="S635" s="83"/>
      <c r="T635" s="85"/>
      <c r="U635" s="6"/>
      <c r="V635" s="44">
        <v>44837</v>
      </c>
      <c r="W635" s="45">
        <v>121.51</v>
      </c>
      <c r="X635" s="46"/>
      <c r="Y635" s="61"/>
      <c r="Z635" s="5"/>
      <c r="AA635" s="5"/>
      <c r="AB635" s="5"/>
      <c r="AC635" s="5"/>
      <c r="AD635" s="5"/>
      <c r="AE635" s="5"/>
      <c r="AF635" s="5"/>
      <c r="AG635" s="5"/>
      <c r="AH635" s="6"/>
      <c r="AI635" s="44">
        <v>44837</v>
      </c>
      <c r="AJ635" s="53">
        <v>121.51</v>
      </c>
      <c r="AK635" s="54">
        <f t="shared" si="99"/>
        <v>2.2725359818197122E-2</v>
      </c>
      <c r="AL635" s="55">
        <f t="shared" si="102"/>
        <v>27.625388459318607</v>
      </c>
      <c r="AM635" s="56">
        <v>25</v>
      </c>
      <c r="AN635" s="57">
        <f t="shared" si="100"/>
        <v>-2.6253884593186072</v>
      </c>
      <c r="AO635" s="76">
        <f t="shared" si="103"/>
        <v>6.0856001098596506</v>
      </c>
      <c r="AP635" s="63" t="str">
        <f t="shared" si="104"/>
        <v>Buy Stocks</v>
      </c>
      <c r="AQ635" s="63" t="str">
        <f t="shared" si="105"/>
        <v/>
      </c>
      <c r="AR635" s="63" t="str">
        <f t="shared" si="106"/>
        <v/>
      </c>
      <c r="AS635" s="63" t="str">
        <f t="shared" si="107"/>
        <v/>
      </c>
      <c r="AT635" s="78" t="str">
        <f t="shared" si="108"/>
        <v/>
      </c>
      <c r="AU635" s="78" t="str">
        <f t="shared" si="109"/>
        <v/>
      </c>
      <c r="AV635" s="64" t="str">
        <f ca="1">IFERROR(__xludf.DUMMYFUNCTION("IF(TRIM(AU635)="""","""",AU635/INDEX(FILTER(AT$3:AT635,TRIM(AT$3:AT635)&lt;&gt;""""),ROWS(FILTER(AT$3:AT635,TRIM(AT$3:AT635)&lt;&gt;"""")))-1)"),"")</f>
        <v/>
      </c>
      <c r="AW635" s="65" t="e">
        <f t="shared" ca="1" si="101"/>
        <v>#VALUE!</v>
      </c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</row>
    <row r="636" spans="1:68" ht="19" x14ac:dyDescent="0.25">
      <c r="A636" s="5"/>
      <c r="B636" s="5"/>
      <c r="C636" s="5"/>
      <c r="D636" s="5"/>
      <c r="E636" s="5"/>
      <c r="F636" s="5"/>
      <c r="G636" s="5"/>
      <c r="H636" s="6"/>
      <c r="I636" s="5"/>
      <c r="J636" s="83"/>
      <c r="K636" s="83"/>
      <c r="L636" s="83"/>
      <c r="M636" s="83"/>
      <c r="N636" s="83"/>
      <c r="O636" s="83"/>
      <c r="P636" s="83"/>
      <c r="Q636" s="84"/>
      <c r="R636" s="83"/>
      <c r="S636" s="83"/>
      <c r="T636" s="85"/>
      <c r="U636" s="6"/>
      <c r="V636" s="44">
        <v>44838</v>
      </c>
      <c r="W636" s="45">
        <v>125.5</v>
      </c>
      <c r="X636" s="46"/>
      <c r="Y636" s="61"/>
      <c r="Z636" s="5"/>
      <c r="AA636" s="5"/>
      <c r="AB636" s="5"/>
      <c r="AC636" s="5"/>
      <c r="AD636" s="5"/>
      <c r="AE636" s="5"/>
      <c r="AF636" s="5"/>
      <c r="AG636" s="5"/>
      <c r="AH636" s="6"/>
      <c r="AI636" s="44">
        <v>44838</v>
      </c>
      <c r="AJ636" s="53">
        <v>125.5</v>
      </c>
      <c r="AK636" s="54">
        <f t="shared" si="99"/>
        <v>3.2836803555262861E-2</v>
      </c>
      <c r="AL636" s="55">
        <f t="shared" si="102"/>
        <v>36.269750333367661</v>
      </c>
      <c r="AM636" s="56">
        <v>25</v>
      </c>
      <c r="AN636" s="57">
        <f t="shared" si="100"/>
        <v>-11.269750333367661</v>
      </c>
      <c r="AO636" s="76">
        <f t="shared" si="103"/>
        <v>1.7102388969021667</v>
      </c>
      <c r="AP636" s="63" t="str">
        <f t="shared" si="104"/>
        <v>Buy Stocks</v>
      </c>
      <c r="AQ636" s="63" t="str">
        <f t="shared" si="105"/>
        <v/>
      </c>
      <c r="AR636" s="63" t="str">
        <f t="shared" si="106"/>
        <v/>
      </c>
      <c r="AS636" s="63" t="str">
        <f t="shared" si="107"/>
        <v/>
      </c>
      <c r="AT636" s="78" t="str">
        <f t="shared" si="108"/>
        <v/>
      </c>
      <c r="AU636" s="78" t="str">
        <f t="shared" si="109"/>
        <v/>
      </c>
      <c r="AV636" s="64" t="str">
        <f ca="1">IFERROR(__xludf.DUMMYFUNCTION("IF(TRIM(AU636)="""","""",AU636/INDEX(FILTER(AT$3:AT636,TRIM(AT$3:AT636)&lt;&gt;""""),ROWS(FILTER(AT$3:AT636,TRIM(AT$3:AT636)&lt;&gt;"""")))-1)"),"")</f>
        <v/>
      </c>
      <c r="AW636" s="65" t="e">
        <f t="shared" ca="1" si="101"/>
        <v>#VALUE!</v>
      </c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</row>
    <row r="637" spans="1:68" ht="19" x14ac:dyDescent="0.25">
      <c r="A637" s="5"/>
      <c r="B637" s="5"/>
      <c r="C637" s="5"/>
      <c r="D637" s="5"/>
      <c r="E637" s="5"/>
      <c r="F637" s="5"/>
      <c r="G637" s="5"/>
      <c r="H637" s="6"/>
      <c r="I637" s="5"/>
      <c r="J637" s="83"/>
      <c r="K637" s="83"/>
      <c r="L637" s="83"/>
      <c r="M637" s="83"/>
      <c r="N637" s="83"/>
      <c r="O637" s="83"/>
      <c r="P637" s="83"/>
      <c r="Q637" s="84"/>
      <c r="R637" s="83"/>
      <c r="S637" s="83"/>
      <c r="T637" s="85"/>
      <c r="U637" s="6"/>
      <c r="V637" s="44">
        <v>44839</v>
      </c>
      <c r="W637" s="45">
        <v>125.74</v>
      </c>
      <c r="X637" s="46"/>
      <c r="Y637" s="61"/>
      <c r="Z637" s="5"/>
      <c r="AA637" s="5"/>
      <c r="AB637" s="5"/>
      <c r="AC637" s="5"/>
      <c r="AD637" s="5"/>
      <c r="AE637" s="5"/>
      <c r="AF637" s="5"/>
      <c r="AG637" s="5"/>
      <c r="AH637" s="6"/>
      <c r="AI637" s="44">
        <v>44839</v>
      </c>
      <c r="AJ637" s="53">
        <v>125.74</v>
      </c>
      <c r="AK637" s="54">
        <f t="shared" si="99"/>
        <v>1.9123505976095245E-3</v>
      </c>
      <c r="AL637" s="55">
        <f t="shared" si="102"/>
        <v>36.32789289706222</v>
      </c>
      <c r="AM637" s="56">
        <v>25</v>
      </c>
      <c r="AN637" s="57">
        <f t="shared" si="100"/>
        <v>-11.32789289706222</v>
      </c>
      <c r="AO637" s="76">
        <f t="shared" si="103"/>
        <v>-2.0488745500828847</v>
      </c>
      <c r="AP637" s="63" t="str">
        <f t="shared" si="104"/>
        <v/>
      </c>
      <c r="AQ637" s="63" t="str">
        <f t="shared" si="105"/>
        <v>Sell Stocks</v>
      </c>
      <c r="AR637" s="63" t="str">
        <f t="shared" si="106"/>
        <v/>
      </c>
      <c r="AS637" s="63" t="str">
        <f t="shared" si="107"/>
        <v>Sell Stocks</v>
      </c>
      <c r="AT637" s="78" t="str">
        <f t="shared" si="108"/>
        <v/>
      </c>
      <c r="AU637" s="77">
        <f t="shared" si="109"/>
        <v>125.74</v>
      </c>
      <c r="AV637" s="64">
        <f ca="1">IFERROR(__xludf.DUMMYFUNCTION("IF(TRIM(AU637)="""","""",AU637/INDEX(FILTER(AT$3:AT637,TRIM(AT$3:AT637)&lt;&gt;""""),ROWS(FILTER(AT$3:AT637,TRIM(AT$3:AT637)&lt;&gt;"""")))-1)"),-0.00443388756927953)</f>
        <v>-4.4338875692795298E-3</v>
      </c>
      <c r="AW637" s="65" t="e">
        <f t="shared" ca="1" si="101"/>
        <v>#VALUE!</v>
      </c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</row>
    <row r="638" spans="1:68" ht="19" x14ac:dyDescent="0.25">
      <c r="A638" s="5"/>
      <c r="B638" s="5"/>
      <c r="C638" s="5"/>
      <c r="D638" s="5"/>
      <c r="E638" s="5"/>
      <c r="F638" s="5"/>
      <c r="G638" s="5"/>
      <c r="H638" s="6"/>
      <c r="I638" s="5"/>
      <c r="J638" s="83"/>
      <c r="K638" s="83"/>
      <c r="L638" s="83"/>
      <c r="M638" s="83"/>
      <c r="N638" s="83"/>
      <c r="O638" s="83"/>
      <c r="P638" s="83"/>
      <c r="Q638" s="84"/>
      <c r="R638" s="83"/>
      <c r="S638" s="83"/>
      <c r="T638" s="85"/>
      <c r="U638" s="6"/>
      <c r="V638" s="44">
        <v>44840</v>
      </c>
      <c r="W638" s="45">
        <v>122.23</v>
      </c>
      <c r="X638" s="46"/>
      <c r="Y638" s="61"/>
      <c r="Z638" s="5"/>
      <c r="AA638" s="5"/>
      <c r="AB638" s="5"/>
      <c r="AC638" s="5"/>
      <c r="AD638" s="5"/>
      <c r="AE638" s="5"/>
      <c r="AF638" s="5"/>
      <c r="AG638" s="5"/>
      <c r="AH638" s="6"/>
      <c r="AI638" s="44">
        <v>44840</v>
      </c>
      <c r="AJ638" s="53">
        <v>122.23</v>
      </c>
      <c r="AK638" s="54">
        <f t="shared" si="99"/>
        <v>-2.7914744711308948E-2</v>
      </c>
      <c r="AL638" s="55">
        <f t="shared" si="102"/>
        <v>42.795033685419405</v>
      </c>
      <c r="AM638" s="56">
        <v>25</v>
      </c>
      <c r="AN638" s="57">
        <f t="shared" si="100"/>
        <v>-17.795033685419405</v>
      </c>
      <c r="AO638" s="76">
        <f t="shared" si="103"/>
        <v>-7.2444685715546742</v>
      </c>
      <c r="AP638" s="63" t="str">
        <f t="shared" si="104"/>
        <v/>
      </c>
      <c r="AQ638" s="63" t="str">
        <f t="shared" si="105"/>
        <v>Sell Stocks</v>
      </c>
      <c r="AR638" s="63" t="str">
        <f t="shared" si="106"/>
        <v/>
      </c>
      <c r="AS638" s="63" t="str">
        <f t="shared" si="107"/>
        <v/>
      </c>
      <c r="AT638" s="78" t="str">
        <f t="shared" si="108"/>
        <v/>
      </c>
      <c r="AU638" s="78" t="str">
        <f t="shared" si="109"/>
        <v/>
      </c>
      <c r="AV638" s="64" t="str">
        <f ca="1">IFERROR(__xludf.DUMMYFUNCTION("IF(TRIM(AU638)="""","""",AU638/INDEX(FILTER(AT$3:AT638,TRIM(AT$3:AT638)&lt;&gt;""""),ROWS(FILTER(AT$3:AT638,TRIM(AT$3:AT638)&lt;&gt;"""")))-1)"),"")</f>
        <v/>
      </c>
      <c r="AW638" s="65" t="e">
        <f t="shared" ca="1" si="101"/>
        <v>#VALUE!</v>
      </c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</row>
    <row r="639" spans="1:68" ht="19" x14ac:dyDescent="0.25">
      <c r="A639" s="5"/>
      <c r="B639" s="5"/>
      <c r="C639" s="5"/>
      <c r="D639" s="5"/>
      <c r="E639" s="5"/>
      <c r="F639" s="5"/>
      <c r="G639" s="5"/>
      <c r="H639" s="6"/>
      <c r="I639" s="5"/>
      <c r="J639" s="83"/>
      <c r="K639" s="83"/>
      <c r="L639" s="83"/>
      <c r="M639" s="83"/>
      <c r="N639" s="83"/>
      <c r="O639" s="83"/>
      <c r="P639" s="83"/>
      <c r="Q639" s="84"/>
      <c r="R639" s="83"/>
      <c r="S639" s="83"/>
      <c r="T639" s="85"/>
      <c r="U639" s="6"/>
      <c r="V639" s="44">
        <v>44841</v>
      </c>
      <c r="W639" s="45">
        <v>118.82</v>
      </c>
      <c r="X639" s="46"/>
      <c r="Y639" s="61"/>
      <c r="Z639" s="5"/>
      <c r="AA639" s="5"/>
      <c r="AB639" s="5"/>
      <c r="AC639" s="5"/>
      <c r="AD639" s="5"/>
      <c r="AE639" s="5"/>
      <c r="AF639" s="5"/>
      <c r="AG639" s="5"/>
      <c r="AH639" s="6"/>
      <c r="AI639" s="44">
        <v>44841</v>
      </c>
      <c r="AJ639" s="53">
        <v>118.82</v>
      </c>
      <c r="AK639" s="54">
        <f t="shared" si="99"/>
        <v>-2.7898224658430948E-2</v>
      </c>
      <c r="AL639" s="55">
        <f t="shared" si="102"/>
        <v>44.585516627267928</v>
      </c>
      <c r="AM639" s="56">
        <v>25</v>
      </c>
      <c r="AN639" s="57">
        <f t="shared" si="100"/>
        <v>-19.585516627267928</v>
      </c>
      <c r="AO639" s="76">
        <f t="shared" si="103"/>
        <v>-12.520716400487164</v>
      </c>
      <c r="AP639" s="63" t="str">
        <f t="shared" si="104"/>
        <v/>
      </c>
      <c r="AQ639" s="63" t="str">
        <f t="shared" si="105"/>
        <v>Sell Stocks</v>
      </c>
      <c r="AR639" s="63" t="str">
        <f t="shared" si="106"/>
        <v/>
      </c>
      <c r="AS639" s="63" t="str">
        <f t="shared" si="107"/>
        <v/>
      </c>
      <c r="AT639" s="78" t="str">
        <f t="shared" si="108"/>
        <v/>
      </c>
      <c r="AU639" s="78" t="str">
        <f t="shared" si="109"/>
        <v/>
      </c>
      <c r="AV639" s="64" t="str">
        <f ca="1">IFERROR(__xludf.DUMMYFUNCTION("IF(TRIM(AU639)="""","""",AU639/INDEX(FILTER(AT$3:AT639,TRIM(AT$3:AT639)&lt;&gt;""""),ROWS(FILTER(AT$3:AT639,TRIM(AT$3:AT639)&lt;&gt;"""")))-1)"),"")</f>
        <v/>
      </c>
      <c r="AW639" s="65" t="e">
        <f t="shared" ca="1" si="101"/>
        <v>#VALUE!</v>
      </c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</row>
    <row r="640" spans="1:68" ht="19" x14ac:dyDescent="0.25">
      <c r="A640" s="5"/>
      <c r="B640" s="5"/>
      <c r="C640" s="5"/>
      <c r="D640" s="5"/>
      <c r="E640" s="5"/>
      <c r="F640" s="5"/>
      <c r="G640" s="5"/>
      <c r="H640" s="6"/>
      <c r="I640" s="5"/>
      <c r="J640" s="83"/>
      <c r="K640" s="83"/>
      <c r="L640" s="83"/>
      <c r="M640" s="83"/>
      <c r="N640" s="83"/>
      <c r="O640" s="83"/>
      <c r="P640" s="83"/>
      <c r="Q640" s="84"/>
      <c r="R640" s="83"/>
      <c r="S640" s="83"/>
      <c r="T640" s="85"/>
      <c r="U640" s="6"/>
      <c r="V640" s="44">
        <v>44844</v>
      </c>
      <c r="W640" s="45">
        <v>117.75</v>
      </c>
      <c r="X640" s="46"/>
      <c r="Y640" s="61"/>
      <c r="Z640" s="5"/>
      <c r="AA640" s="5"/>
      <c r="AB640" s="5"/>
      <c r="AC640" s="5"/>
      <c r="AD640" s="5"/>
      <c r="AE640" s="5"/>
      <c r="AF640" s="5"/>
      <c r="AG640" s="5"/>
      <c r="AH640" s="6"/>
      <c r="AI640" s="44">
        <v>44844</v>
      </c>
      <c r="AJ640" s="53">
        <v>117.75</v>
      </c>
      <c r="AK640" s="54">
        <f t="shared" si="99"/>
        <v>-9.0052179767715623E-3</v>
      </c>
      <c r="AL640" s="55">
        <f t="shared" si="102"/>
        <v>40.000304947278416</v>
      </c>
      <c r="AM640" s="56">
        <v>25</v>
      </c>
      <c r="AN640" s="57">
        <f t="shared" si="100"/>
        <v>-15.000304947278416</v>
      </c>
      <c r="AO640" s="76">
        <f t="shared" si="103"/>
        <v>-14.995699698079125</v>
      </c>
      <c r="AP640" s="63" t="str">
        <f t="shared" si="104"/>
        <v/>
      </c>
      <c r="AQ640" s="63" t="str">
        <f t="shared" si="105"/>
        <v>Sell Stocks</v>
      </c>
      <c r="AR640" s="63" t="str">
        <f t="shared" si="106"/>
        <v/>
      </c>
      <c r="AS640" s="63" t="str">
        <f t="shared" si="107"/>
        <v/>
      </c>
      <c r="AT640" s="78" t="str">
        <f t="shared" si="108"/>
        <v/>
      </c>
      <c r="AU640" s="78" t="str">
        <f t="shared" si="109"/>
        <v/>
      </c>
      <c r="AV640" s="64" t="str">
        <f ca="1">IFERROR(__xludf.DUMMYFUNCTION("IF(TRIM(AU640)="""","""",AU640/INDEX(FILTER(AT$3:AT640,TRIM(AT$3:AT640)&lt;&gt;""""),ROWS(FILTER(AT$3:AT640,TRIM(AT$3:AT640)&lt;&gt;"""")))-1)"),"")</f>
        <v/>
      </c>
      <c r="AW640" s="65" t="e">
        <f t="shared" ca="1" si="101"/>
        <v>#VALUE!</v>
      </c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</row>
    <row r="641" spans="1:68" ht="19" x14ac:dyDescent="0.25">
      <c r="A641" s="5"/>
      <c r="B641" s="5"/>
      <c r="C641" s="5"/>
      <c r="D641" s="5"/>
      <c r="E641" s="5"/>
      <c r="F641" s="5"/>
      <c r="G641" s="5"/>
      <c r="H641" s="6"/>
      <c r="I641" s="5"/>
      <c r="J641" s="83"/>
      <c r="K641" s="83"/>
      <c r="L641" s="83"/>
      <c r="M641" s="83"/>
      <c r="N641" s="83"/>
      <c r="O641" s="83"/>
      <c r="P641" s="83"/>
      <c r="Q641" s="84"/>
      <c r="R641" s="83"/>
      <c r="S641" s="83"/>
      <c r="T641" s="85"/>
      <c r="U641" s="6"/>
      <c r="V641" s="44">
        <v>44845</v>
      </c>
      <c r="W641" s="45">
        <v>117.8</v>
      </c>
      <c r="X641" s="46"/>
      <c r="Y641" s="61"/>
      <c r="Z641" s="5"/>
      <c r="AA641" s="5"/>
      <c r="AB641" s="5"/>
      <c r="AC641" s="5"/>
      <c r="AD641" s="5"/>
      <c r="AE641" s="5"/>
      <c r="AF641" s="5"/>
      <c r="AG641" s="5"/>
      <c r="AH641" s="6"/>
      <c r="AI641" s="44">
        <v>44845</v>
      </c>
      <c r="AJ641" s="53">
        <v>117.8</v>
      </c>
      <c r="AK641" s="54">
        <f t="shared" si="99"/>
        <v>4.2462845010615702E-4</v>
      </c>
      <c r="AL641" s="55">
        <f t="shared" si="102"/>
        <v>23.299524378973107</v>
      </c>
      <c r="AM641" s="56">
        <v>25</v>
      </c>
      <c r="AN641" s="57">
        <f t="shared" si="100"/>
        <v>1.700475621026893</v>
      </c>
      <c r="AO641" s="76">
        <f t="shared" si="103"/>
        <v>-12.401654507200215</v>
      </c>
      <c r="AP641" s="63" t="str">
        <f t="shared" si="104"/>
        <v/>
      </c>
      <c r="AQ641" s="63" t="str">
        <f t="shared" si="105"/>
        <v>Sell Stocks</v>
      </c>
      <c r="AR641" s="63" t="str">
        <f t="shared" si="106"/>
        <v/>
      </c>
      <c r="AS641" s="63" t="str">
        <f t="shared" si="107"/>
        <v/>
      </c>
      <c r="AT641" s="78" t="str">
        <f t="shared" si="108"/>
        <v/>
      </c>
      <c r="AU641" s="78" t="str">
        <f t="shared" si="109"/>
        <v/>
      </c>
      <c r="AV641" s="64" t="str">
        <f ca="1">IFERROR(__xludf.DUMMYFUNCTION("IF(TRIM(AU641)="""","""",AU641/INDEX(FILTER(AT$3:AT641,TRIM(AT$3:AT641)&lt;&gt;""""),ROWS(FILTER(AT$3:AT641,TRIM(AT$3:AT641)&lt;&gt;"""")))-1)"),"")</f>
        <v/>
      </c>
      <c r="AW641" s="65" t="e">
        <f t="shared" ca="1" si="101"/>
        <v>#VALUE!</v>
      </c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</row>
    <row r="642" spans="1:68" ht="19" x14ac:dyDescent="0.25">
      <c r="A642" s="5"/>
      <c r="B642" s="5"/>
      <c r="C642" s="5"/>
      <c r="D642" s="5"/>
      <c r="E642" s="5"/>
      <c r="F642" s="5"/>
      <c r="G642" s="5"/>
      <c r="H642" s="6"/>
      <c r="I642" s="5"/>
      <c r="J642" s="83"/>
      <c r="K642" s="83"/>
      <c r="L642" s="83"/>
      <c r="M642" s="83"/>
      <c r="N642" s="83"/>
      <c r="O642" s="83"/>
      <c r="P642" s="83"/>
      <c r="Q642" s="84"/>
      <c r="R642" s="83"/>
      <c r="S642" s="83"/>
      <c r="T642" s="85"/>
      <c r="U642" s="6"/>
      <c r="V642" s="44">
        <v>44846</v>
      </c>
      <c r="W642" s="45">
        <v>117.57</v>
      </c>
      <c r="X642" s="46"/>
      <c r="Y642" s="61"/>
      <c r="Z642" s="5"/>
      <c r="AA642" s="5"/>
      <c r="AB642" s="5"/>
      <c r="AC642" s="5"/>
      <c r="AD642" s="5"/>
      <c r="AE642" s="5"/>
      <c r="AF642" s="5"/>
      <c r="AG642" s="5"/>
      <c r="AH642" s="6"/>
      <c r="AI642" s="44">
        <v>44846</v>
      </c>
      <c r="AJ642" s="53">
        <v>117.57</v>
      </c>
      <c r="AK642" s="54">
        <f t="shared" si="99"/>
        <v>-1.9524617996604654E-3</v>
      </c>
      <c r="AL642" s="55">
        <f t="shared" si="102"/>
        <v>21.914172886049769</v>
      </c>
      <c r="AM642" s="56">
        <v>25</v>
      </c>
      <c r="AN642" s="57">
        <f t="shared" si="100"/>
        <v>3.0858271139502307</v>
      </c>
      <c r="AO642" s="76">
        <f t="shared" si="103"/>
        <v>-9.5189105049977254</v>
      </c>
      <c r="AP642" s="63" t="str">
        <f t="shared" si="104"/>
        <v/>
      </c>
      <c r="AQ642" s="63" t="str">
        <f t="shared" si="105"/>
        <v>Sell Stocks</v>
      </c>
      <c r="AR642" s="63" t="str">
        <f t="shared" si="106"/>
        <v/>
      </c>
      <c r="AS642" s="63" t="str">
        <f t="shared" si="107"/>
        <v/>
      </c>
      <c r="AT642" s="78" t="str">
        <f t="shared" si="108"/>
        <v/>
      </c>
      <c r="AU642" s="78" t="str">
        <f t="shared" si="109"/>
        <v/>
      </c>
      <c r="AV642" s="64" t="str">
        <f ca="1">IFERROR(__xludf.DUMMYFUNCTION("IF(TRIM(AU642)="""","""",AU642/INDEX(FILTER(AT$3:AT642,TRIM(AT$3:AT642)&lt;&gt;""""),ROWS(FILTER(AT$3:AT642,TRIM(AT$3:AT642)&lt;&gt;"""")))-1)"),"")</f>
        <v/>
      </c>
      <c r="AW642" s="65" t="e">
        <f t="shared" ca="1" si="101"/>
        <v>#VALUE!</v>
      </c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</row>
    <row r="643" spans="1:68" ht="19" x14ac:dyDescent="0.25">
      <c r="A643" s="5"/>
      <c r="B643" s="5"/>
      <c r="C643" s="5"/>
      <c r="D643" s="5"/>
      <c r="E643" s="5"/>
      <c r="F643" s="5"/>
      <c r="G643" s="5"/>
      <c r="H643" s="6"/>
      <c r="I643" s="5"/>
      <c r="J643" s="83"/>
      <c r="K643" s="83"/>
      <c r="L643" s="83"/>
      <c r="M643" s="83"/>
      <c r="N643" s="83"/>
      <c r="O643" s="83"/>
      <c r="P643" s="83"/>
      <c r="Q643" s="84"/>
      <c r="R643" s="83"/>
      <c r="S643" s="83"/>
      <c r="T643" s="85"/>
      <c r="U643" s="6"/>
      <c r="V643" s="44">
        <v>44847</v>
      </c>
      <c r="W643" s="45">
        <v>121.79</v>
      </c>
      <c r="X643" s="46"/>
      <c r="Y643" s="61"/>
      <c r="Z643" s="5"/>
      <c r="AA643" s="5"/>
      <c r="AB643" s="5"/>
      <c r="AC643" s="5"/>
      <c r="AD643" s="5"/>
      <c r="AE643" s="5"/>
      <c r="AF643" s="5"/>
      <c r="AG643" s="5"/>
      <c r="AH643" s="6"/>
      <c r="AI643" s="44">
        <v>44847</v>
      </c>
      <c r="AJ643" s="53">
        <v>121.79</v>
      </c>
      <c r="AK643" s="54">
        <f t="shared" ref="AK643:AK706" si="110">AJ643/AJ642-1</f>
        <v>3.5893510249213278E-2</v>
      </c>
      <c r="AL643" s="55">
        <f t="shared" si="102"/>
        <v>36.807412296918137</v>
      </c>
      <c r="AM643" s="56">
        <v>25</v>
      </c>
      <c r="AN643" s="57">
        <f t="shared" ref="AN643:AN706" si="111">AM643-AL643</f>
        <v>-11.807412296918137</v>
      </c>
      <c r="AO643" s="76">
        <f t="shared" si="103"/>
        <v>-8.3213862272974701</v>
      </c>
      <c r="AP643" s="63" t="str">
        <f t="shared" si="104"/>
        <v/>
      </c>
      <c r="AQ643" s="63" t="str">
        <f t="shared" si="105"/>
        <v>Sell Stocks</v>
      </c>
      <c r="AR643" s="63" t="str">
        <f t="shared" si="106"/>
        <v/>
      </c>
      <c r="AS643" s="63" t="str">
        <f t="shared" si="107"/>
        <v/>
      </c>
      <c r="AT643" s="78" t="str">
        <f t="shared" si="108"/>
        <v/>
      </c>
      <c r="AU643" s="78" t="str">
        <f t="shared" si="109"/>
        <v/>
      </c>
      <c r="AV643" s="64" t="str">
        <f ca="1">IFERROR(__xludf.DUMMYFUNCTION("IF(TRIM(AU643)="""","""",AU643/INDEX(FILTER(AT$3:AT643,TRIM(AT$3:AT643)&lt;&gt;""""),ROWS(FILTER(AT$3:AT643,TRIM(AT$3:AT643)&lt;&gt;"""")))-1)"),"")</f>
        <v/>
      </c>
      <c r="AW643" s="65" t="e">
        <f t="shared" ref="AW643:AW706" ca="1" si="112">AW642*(1+AV643)</f>
        <v>#VALUE!</v>
      </c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</row>
    <row r="644" spans="1:68" ht="19" x14ac:dyDescent="0.25">
      <c r="A644" s="5"/>
      <c r="B644" s="5"/>
      <c r="C644" s="5"/>
      <c r="D644" s="5"/>
      <c r="E644" s="5"/>
      <c r="F644" s="5"/>
      <c r="G644" s="5"/>
      <c r="H644" s="6"/>
      <c r="I644" s="5"/>
      <c r="J644" s="83"/>
      <c r="K644" s="83"/>
      <c r="L644" s="83"/>
      <c r="M644" s="83"/>
      <c r="N644" s="83"/>
      <c r="O644" s="83"/>
      <c r="P644" s="83"/>
      <c r="Q644" s="84"/>
      <c r="R644" s="83"/>
      <c r="S644" s="83"/>
      <c r="T644" s="85"/>
      <c r="U644" s="6"/>
      <c r="V644" s="44">
        <v>44848</v>
      </c>
      <c r="W644" s="45">
        <v>120.04</v>
      </c>
      <c r="X644" s="46"/>
      <c r="Y644" s="61"/>
      <c r="Z644" s="5"/>
      <c r="AA644" s="5"/>
      <c r="AB644" s="5"/>
      <c r="AC644" s="5"/>
      <c r="AD644" s="5"/>
      <c r="AE644" s="5"/>
      <c r="AF644" s="5"/>
      <c r="AG644" s="5"/>
      <c r="AH644" s="6"/>
      <c r="AI644" s="44">
        <v>44848</v>
      </c>
      <c r="AJ644" s="53">
        <v>120.04</v>
      </c>
      <c r="AK644" s="54">
        <f t="shared" si="110"/>
        <v>-1.4368995812464092E-2</v>
      </c>
      <c r="AL644" s="55">
        <f t="shared" si="102"/>
        <v>31.306767657781513</v>
      </c>
      <c r="AM644" s="56">
        <v>25</v>
      </c>
      <c r="AN644" s="57">
        <f t="shared" si="111"/>
        <v>-6.3067676577815135</v>
      </c>
      <c r="AO644" s="76">
        <f t="shared" si="103"/>
        <v>-5.6656364334001887</v>
      </c>
      <c r="AP644" s="63" t="str">
        <f t="shared" si="104"/>
        <v/>
      </c>
      <c r="AQ644" s="63" t="str">
        <f t="shared" si="105"/>
        <v>Sell Stocks</v>
      </c>
      <c r="AR644" s="63" t="str">
        <f t="shared" si="106"/>
        <v/>
      </c>
      <c r="AS644" s="63" t="str">
        <f t="shared" si="107"/>
        <v/>
      </c>
      <c r="AT644" s="78" t="str">
        <f t="shared" si="108"/>
        <v/>
      </c>
      <c r="AU644" s="78" t="str">
        <f t="shared" si="109"/>
        <v/>
      </c>
      <c r="AV644" s="64" t="str">
        <f ca="1">IFERROR(__xludf.DUMMYFUNCTION("IF(TRIM(AU644)="""","""",AU644/INDEX(FILTER(AT$3:AT644,TRIM(AT$3:AT644)&lt;&gt;""""),ROWS(FILTER(AT$3:AT644,TRIM(AT$3:AT644)&lt;&gt;"""")))-1)"),"")</f>
        <v/>
      </c>
      <c r="AW644" s="65" t="e">
        <f t="shared" ca="1" si="112"/>
        <v>#VALUE!</v>
      </c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</row>
    <row r="645" spans="1:68" ht="19" x14ac:dyDescent="0.25">
      <c r="A645" s="5"/>
      <c r="B645" s="5"/>
      <c r="C645" s="5"/>
      <c r="D645" s="5"/>
      <c r="E645" s="5"/>
      <c r="F645" s="5"/>
      <c r="G645" s="5"/>
      <c r="H645" s="6"/>
      <c r="I645" s="5"/>
      <c r="J645" s="83"/>
      <c r="K645" s="83"/>
      <c r="L645" s="83"/>
      <c r="M645" s="83"/>
      <c r="N645" s="83"/>
      <c r="O645" s="83"/>
      <c r="P645" s="83"/>
      <c r="Q645" s="84"/>
      <c r="R645" s="83"/>
      <c r="S645" s="83"/>
      <c r="T645" s="85"/>
      <c r="U645" s="6"/>
      <c r="V645" s="44">
        <v>44851</v>
      </c>
      <c r="W645" s="45">
        <v>121.52</v>
      </c>
      <c r="X645" s="46"/>
      <c r="Y645" s="61"/>
      <c r="Z645" s="5"/>
      <c r="AA645" s="5"/>
      <c r="AB645" s="5"/>
      <c r="AC645" s="5"/>
      <c r="AD645" s="5"/>
      <c r="AE645" s="5"/>
      <c r="AF645" s="5"/>
      <c r="AG645" s="5"/>
      <c r="AH645" s="6"/>
      <c r="AI645" s="44">
        <v>44851</v>
      </c>
      <c r="AJ645" s="53">
        <v>121.52</v>
      </c>
      <c r="AK645" s="54">
        <f t="shared" si="110"/>
        <v>1.2329223592135952E-2</v>
      </c>
      <c r="AL645" s="55">
        <f t="shared" si="102"/>
        <v>30.138804290736399</v>
      </c>
      <c r="AM645" s="56">
        <v>25</v>
      </c>
      <c r="AN645" s="57">
        <f t="shared" si="111"/>
        <v>-5.1388042907363989</v>
      </c>
      <c r="AO645" s="76">
        <f t="shared" si="103"/>
        <v>-3.6933363020917853</v>
      </c>
      <c r="AP645" s="63" t="str">
        <f t="shared" si="104"/>
        <v/>
      </c>
      <c r="AQ645" s="63" t="str">
        <f t="shared" si="105"/>
        <v>Sell Stocks</v>
      </c>
      <c r="AR645" s="63" t="str">
        <f t="shared" si="106"/>
        <v/>
      </c>
      <c r="AS645" s="63" t="str">
        <f t="shared" si="107"/>
        <v/>
      </c>
      <c r="AT645" s="78" t="str">
        <f t="shared" si="108"/>
        <v/>
      </c>
      <c r="AU645" s="78" t="str">
        <f t="shared" si="109"/>
        <v/>
      </c>
      <c r="AV645" s="64" t="str">
        <f ca="1">IFERROR(__xludf.DUMMYFUNCTION("IF(TRIM(AU645)="""","""",AU645/INDEX(FILTER(AT$3:AT645,TRIM(AT$3:AT645)&lt;&gt;""""),ROWS(FILTER(AT$3:AT645,TRIM(AT$3:AT645)&lt;&gt;"""")))-1)"),"")</f>
        <v/>
      </c>
      <c r="AW645" s="65" t="e">
        <f t="shared" ca="1" si="112"/>
        <v>#VALUE!</v>
      </c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</row>
    <row r="646" spans="1:68" ht="19" x14ac:dyDescent="0.25">
      <c r="A646" s="5"/>
      <c r="B646" s="5"/>
      <c r="C646" s="5"/>
      <c r="D646" s="5"/>
      <c r="E646" s="5"/>
      <c r="F646" s="5"/>
      <c r="G646" s="5"/>
      <c r="H646" s="6"/>
      <c r="I646" s="5"/>
      <c r="J646" s="83"/>
      <c r="K646" s="83"/>
      <c r="L646" s="83"/>
      <c r="M646" s="83"/>
      <c r="N646" s="83"/>
      <c r="O646" s="83"/>
      <c r="P646" s="83"/>
      <c r="Q646" s="84"/>
      <c r="R646" s="83"/>
      <c r="S646" s="83"/>
      <c r="T646" s="85"/>
      <c r="U646" s="6"/>
      <c r="V646" s="44">
        <v>44852</v>
      </c>
      <c r="W646" s="45">
        <v>122.94</v>
      </c>
      <c r="X646" s="46"/>
      <c r="Y646" s="61"/>
      <c r="Z646" s="5"/>
      <c r="AA646" s="5"/>
      <c r="AB646" s="5"/>
      <c r="AC646" s="5"/>
      <c r="AD646" s="5"/>
      <c r="AE646" s="5"/>
      <c r="AF646" s="5"/>
      <c r="AG646" s="5"/>
      <c r="AH646" s="6"/>
      <c r="AI646" s="44">
        <v>44852</v>
      </c>
      <c r="AJ646" s="53">
        <v>122.94</v>
      </c>
      <c r="AK646" s="54">
        <f t="shared" si="110"/>
        <v>1.1685319289005847E-2</v>
      </c>
      <c r="AL646" s="55">
        <f t="shared" si="102"/>
        <v>29.774991440878392</v>
      </c>
      <c r="AM646" s="56">
        <v>25</v>
      </c>
      <c r="AN646" s="57">
        <f t="shared" si="111"/>
        <v>-4.7749914408783916</v>
      </c>
      <c r="AO646" s="76">
        <f t="shared" si="103"/>
        <v>-4.9884297144728418</v>
      </c>
      <c r="AP646" s="63" t="str">
        <f t="shared" si="104"/>
        <v/>
      </c>
      <c r="AQ646" s="63" t="str">
        <f t="shared" si="105"/>
        <v>Sell Stocks</v>
      </c>
      <c r="AR646" s="63" t="str">
        <f t="shared" si="106"/>
        <v/>
      </c>
      <c r="AS646" s="63" t="str">
        <f t="shared" si="107"/>
        <v/>
      </c>
      <c r="AT646" s="78" t="str">
        <f t="shared" si="108"/>
        <v/>
      </c>
      <c r="AU646" s="78" t="str">
        <f t="shared" si="109"/>
        <v/>
      </c>
      <c r="AV646" s="64" t="str">
        <f ca="1">IFERROR(__xludf.DUMMYFUNCTION("IF(TRIM(AU646)="""","""",AU646/INDEX(FILTER(AT$3:AT646,TRIM(AT$3:AT646)&lt;&gt;""""),ROWS(FILTER(AT$3:AT646,TRIM(AT$3:AT646)&lt;&gt;"""")))-1)"),"")</f>
        <v/>
      </c>
      <c r="AW646" s="65" t="e">
        <f t="shared" ca="1" si="112"/>
        <v>#VALUE!</v>
      </c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</row>
    <row r="647" spans="1:68" ht="19" x14ac:dyDescent="0.25">
      <c r="A647" s="5"/>
      <c r="B647" s="5"/>
      <c r="C647" s="5"/>
      <c r="D647" s="5"/>
      <c r="E647" s="5"/>
      <c r="F647" s="5"/>
      <c r="G647" s="5"/>
      <c r="H647" s="6"/>
      <c r="I647" s="5"/>
      <c r="J647" s="83"/>
      <c r="K647" s="83"/>
      <c r="L647" s="83"/>
      <c r="M647" s="83"/>
      <c r="N647" s="83"/>
      <c r="O647" s="83"/>
      <c r="P647" s="83"/>
      <c r="Q647" s="84"/>
      <c r="R647" s="83"/>
      <c r="S647" s="83"/>
      <c r="T647" s="85"/>
      <c r="U647" s="6"/>
      <c r="V647" s="44">
        <v>44853</v>
      </c>
      <c r="W647" s="45">
        <v>122.51</v>
      </c>
      <c r="X647" s="46"/>
      <c r="Y647" s="61"/>
      <c r="Z647" s="5"/>
      <c r="AA647" s="5"/>
      <c r="AB647" s="5"/>
      <c r="AC647" s="5"/>
      <c r="AD647" s="5"/>
      <c r="AE647" s="5"/>
      <c r="AF647" s="5"/>
      <c r="AG647" s="5"/>
      <c r="AH647" s="6"/>
      <c r="AI647" s="44">
        <v>44853</v>
      </c>
      <c r="AJ647" s="53">
        <v>122.51</v>
      </c>
      <c r="AK647" s="54">
        <f t="shared" si="110"/>
        <v>-3.4976411257523488E-3</v>
      </c>
      <c r="AL647" s="55">
        <f t="shared" ref="AL647:AL710" si="113">_xlfn.STDEV.S(AK643:AK647)*SQRT(252)*100</f>
        <v>30.141777129536973</v>
      </c>
      <c r="AM647" s="56">
        <v>25</v>
      </c>
      <c r="AN647" s="57">
        <f t="shared" si="111"/>
        <v>-5.1417771295369725</v>
      </c>
      <c r="AO647" s="76">
        <f t="shared" ref="AO647:AO710" si="114">AVERAGE(AN643:AN647)</f>
        <v>-6.6339505631702824</v>
      </c>
      <c r="AP647" s="63" t="str">
        <f t="shared" ref="AP647:AP710" si="115">IF(AO647&gt;0,"Buy Stocks","")</f>
        <v/>
      </c>
      <c r="AQ647" s="63" t="str">
        <f t="shared" ref="AQ647:AQ710" si="116">IF(AO647&lt;0,"Sell Stocks","")</f>
        <v>Sell Stocks</v>
      </c>
      <c r="AR647" s="63" t="str">
        <f t="shared" ref="AR647:AR710" si="117">IF(AND(AP647="Buy Stocks",AP646=""),"Buy Stocks","")</f>
        <v/>
      </c>
      <c r="AS647" s="63" t="str">
        <f t="shared" ref="AS647:AS710" si="118">IF(AND(AQ647="Sell Stocks",AQ646=""),"Sell Stocks","")</f>
        <v/>
      </c>
      <c r="AT647" s="78" t="str">
        <f t="shared" ref="AT647:AT710" si="119">IF(AR647="Buy Stocks",AJ647,"")</f>
        <v/>
      </c>
      <c r="AU647" s="78" t="str">
        <f t="shared" ref="AU647:AU710" si="120">IF(AS647="Sell Stocks",AJ647,"")</f>
        <v/>
      </c>
      <c r="AV647" s="64" t="str">
        <f ca="1">IFERROR(__xludf.DUMMYFUNCTION("IF(TRIM(AU647)="""","""",AU647/INDEX(FILTER(AT$3:AT647,TRIM(AT$3:AT647)&lt;&gt;""""),ROWS(FILTER(AT$3:AT647,TRIM(AT$3:AT647)&lt;&gt;"""")))-1)"),"")</f>
        <v/>
      </c>
      <c r="AW647" s="65" t="e">
        <f t="shared" ca="1" si="112"/>
        <v>#VALUE!</v>
      </c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</row>
    <row r="648" spans="1:68" ht="19" x14ac:dyDescent="0.25">
      <c r="A648" s="5"/>
      <c r="B648" s="5"/>
      <c r="C648" s="5"/>
      <c r="D648" s="5"/>
      <c r="E648" s="5"/>
      <c r="F648" s="5"/>
      <c r="G648" s="5"/>
      <c r="H648" s="6"/>
      <c r="I648" s="5"/>
      <c r="J648" s="83"/>
      <c r="K648" s="83"/>
      <c r="L648" s="83"/>
      <c r="M648" s="83"/>
      <c r="N648" s="83"/>
      <c r="O648" s="83"/>
      <c r="P648" s="83"/>
      <c r="Q648" s="84"/>
      <c r="R648" s="83"/>
      <c r="S648" s="83"/>
      <c r="T648" s="85"/>
      <c r="U648" s="6"/>
      <c r="V648" s="44">
        <v>44854</v>
      </c>
      <c r="W648" s="45">
        <v>128.30000000000001</v>
      </c>
      <c r="X648" s="46"/>
      <c r="Y648" s="61"/>
      <c r="Z648" s="5"/>
      <c r="AA648" s="5"/>
      <c r="AB648" s="5"/>
      <c r="AC648" s="5"/>
      <c r="AD648" s="5"/>
      <c r="AE648" s="5"/>
      <c r="AF648" s="5"/>
      <c r="AG648" s="5"/>
      <c r="AH648" s="6"/>
      <c r="AI648" s="44">
        <v>44854</v>
      </c>
      <c r="AJ648" s="53">
        <v>128.30000000000001</v>
      </c>
      <c r="AK648" s="54">
        <f t="shared" si="110"/>
        <v>4.7261448045057497E-2</v>
      </c>
      <c r="AL648" s="55">
        <f t="shared" si="113"/>
        <v>36.977643186720364</v>
      </c>
      <c r="AM648" s="56">
        <v>25</v>
      </c>
      <c r="AN648" s="57">
        <f t="shared" si="111"/>
        <v>-11.977643186720364</v>
      </c>
      <c r="AO648" s="76">
        <f t="shared" si="114"/>
        <v>-6.667996741130727</v>
      </c>
      <c r="AP648" s="63" t="str">
        <f t="shared" si="115"/>
        <v/>
      </c>
      <c r="AQ648" s="63" t="str">
        <f t="shared" si="116"/>
        <v>Sell Stocks</v>
      </c>
      <c r="AR648" s="63" t="str">
        <f t="shared" si="117"/>
        <v/>
      </c>
      <c r="AS648" s="63" t="str">
        <f t="shared" si="118"/>
        <v/>
      </c>
      <c r="AT648" s="78" t="str">
        <f t="shared" si="119"/>
        <v/>
      </c>
      <c r="AU648" s="78" t="str">
        <f t="shared" si="120"/>
        <v/>
      </c>
      <c r="AV648" s="64" t="str">
        <f ca="1">IFERROR(__xludf.DUMMYFUNCTION("IF(TRIM(AU648)="""","""",AU648/INDEX(FILTER(AT$3:AT648,TRIM(AT$3:AT648)&lt;&gt;""""),ROWS(FILTER(AT$3:AT648,TRIM(AT$3:AT648)&lt;&gt;"""")))-1)"),"")</f>
        <v/>
      </c>
      <c r="AW648" s="65" t="e">
        <f t="shared" ca="1" si="112"/>
        <v>#VALUE!</v>
      </c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</row>
    <row r="649" spans="1:68" ht="19" x14ac:dyDescent="0.25">
      <c r="A649" s="5"/>
      <c r="B649" s="5"/>
      <c r="C649" s="5"/>
      <c r="D649" s="5"/>
      <c r="E649" s="5"/>
      <c r="F649" s="5"/>
      <c r="G649" s="5"/>
      <c r="H649" s="6"/>
      <c r="I649" s="5"/>
      <c r="J649" s="83"/>
      <c r="K649" s="83"/>
      <c r="L649" s="83"/>
      <c r="M649" s="83"/>
      <c r="N649" s="83"/>
      <c r="O649" s="83"/>
      <c r="P649" s="83"/>
      <c r="Q649" s="84"/>
      <c r="R649" s="83"/>
      <c r="S649" s="83"/>
      <c r="T649" s="85"/>
      <c r="U649" s="6"/>
      <c r="V649" s="44">
        <v>44855</v>
      </c>
      <c r="W649" s="45">
        <v>129.9</v>
      </c>
      <c r="X649" s="46"/>
      <c r="Y649" s="61"/>
      <c r="Z649" s="5"/>
      <c r="AA649" s="5"/>
      <c r="AB649" s="5"/>
      <c r="AC649" s="5"/>
      <c r="AD649" s="5"/>
      <c r="AE649" s="5"/>
      <c r="AF649" s="5"/>
      <c r="AG649" s="5"/>
      <c r="AH649" s="6"/>
      <c r="AI649" s="44">
        <v>44855</v>
      </c>
      <c r="AJ649" s="53">
        <v>129.9</v>
      </c>
      <c r="AK649" s="54">
        <f t="shared" si="110"/>
        <v>1.2470771628994459E-2</v>
      </c>
      <c r="AL649" s="55">
        <f t="shared" si="113"/>
        <v>29.71937515155641</v>
      </c>
      <c r="AM649" s="56">
        <v>25</v>
      </c>
      <c r="AN649" s="57">
        <f t="shared" si="111"/>
        <v>-4.7193751515564095</v>
      </c>
      <c r="AO649" s="76">
        <f t="shared" si="114"/>
        <v>-6.350518239885707</v>
      </c>
      <c r="AP649" s="63" t="str">
        <f t="shared" si="115"/>
        <v/>
      </c>
      <c r="AQ649" s="63" t="str">
        <f t="shared" si="116"/>
        <v>Sell Stocks</v>
      </c>
      <c r="AR649" s="63" t="str">
        <f t="shared" si="117"/>
        <v/>
      </c>
      <c r="AS649" s="63" t="str">
        <f t="shared" si="118"/>
        <v/>
      </c>
      <c r="AT649" s="78" t="str">
        <f t="shared" si="119"/>
        <v/>
      </c>
      <c r="AU649" s="78" t="str">
        <f t="shared" si="120"/>
        <v/>
      </c>
      <c r="AV649" s="64" t="str">
        <f ca="1">IFERROR(__xludf.DUMMYFUNCTION("IF(TRIM(AU649)="""","""",AU649/INDEX(FILTER(AT$3:AT649,TRIM(AT$3:AT649)&lt;&gt;""""),ROWS(FILTER(AT$3:AT649,TRIM(AT$3:AT649)&lt;&gt;"""")))-1)"),"")</f>
        <v/>
      </c>
      <c r="AW649" s="65" t="e">
        <f t="shared" ca="1" si="112"/>
        <v>#VALUE!</v>
      </c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</row>
    <row r="650" spans="1:68" ht="19" x14ac:dyDescent="0.25">
      <c r="A650" s="5"/>
      <c r="B650" s="5"/>
      <c r="C650" s="5"/>
      <c r="D650" s="5"/>
      <c r="E650" s="5"/>
      <c r="F650" s="5"/>
      <c r="G650" s="5"/>
      <c r="H650" s="6"/>
      <c r="I650" s="5"/>
      <c r="J650" s="83"/>
      <c r="K650" s="83"/>
      <c r="L650" s="83"/>
      <c r="M650" s="83"/>
      <c r="N650" s="83"/>
      <c r="O650" s="83"/>
      <c r="P650" s="83"/>
      <c r="Q650" s="84"/>
      <c r="R650" s="83"/>
      <c r="S650" s="83"/>
      <c r="T650" s="85"/>
      <c r="U650" s="6"/>
      <c r="V650" s="44">
        <v>44858</v>
      </c>
      <c r="W650" s="45">
        <v>132.69</v>
      </c>
      <c r="X650" s="46"/>
      <c r="Y650" s="61"/>
      <c r="Z650" s="5"/>
      <c r="AA650" s="5"/>
      <c r="AB650" s="5"/>
      <c r="AC650" s="5"/>
      <c r="AD650" s="5"/>
      <c r="AE650" s="5"/>
      <c r="AF650" s="5"/>
      <c r="AG650" s="5"/>
      <c r="AH650" s="6"/>
      <c r="AI650" s="44">
        <v>44858</v>
      </c>
      <c r="AJ650" s="53">
        <v>132.69</v>
      </c>
      <c r="AK650" s="54">
        <f t="shared" si="110"/>
        <v>2.147806004618924E-2</v>
      </c>
      <c r="AL650" s="55">
        <f t="shared" si="113"/>
        <v>29.707529646863208</v>
      </c>
      <c r="AM650" s="56">
        <v>25</v>
      </c>
      <c r="AN650" s="57">
        <f t="shared" si="111"/>
        <v>-4.7075296468632075</v>
      </c>
      <c r="AO650" s="76">
        <f t="shared" si="114"/>
        <v>-6.264263311111069</v>
      </c>
      <c r="AP650" s="63" t="str">
        <f t="shared" si="115"/>
        <v/>
      </c>
      <c r="AQ650" s="63" t="str">
        <f t="shared" si="116"/>
        <v>Sell Stocks</v>
      </c>
      <c r="AR650" s="63" t="str">
        <f t="shared" si="117"/>
        <v/>
      </c>
      <c r="AS650" s="63" t="str">
        <f t="shared" si="118"/>
        <v/>
      </c>
      <c r="AT650" s="78" t="str">
        <f t="shared" si="119"/>
        <v/>
      </c>
      <c r="AU650" s="78" t="str">
        <f t="shared" si="120"/>
        <v/>
      </c>
      <c r="AV650" s="64" t="str">
        <f ca="1">IFERROR(__xludf.DUMMYFUNCTION("IF(TRIM(AU650)="""","""",AU650/INDEX(FILTER(AT$3:AT650,TRIM(AT$3:AT650)&lt;&gt;""""),ROWS(FILTER(AT$3:AT650,TRIM(AT$3:AT650)&lt;&gt;"""")))-1)"),"")</f>
        <v/>
      </c>
      <c r="AW650" s="65" t="e">
        <f t="shared" ca="1" si="112"/>
        <v>#VALUE!</v>
      </c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</row>
    <row r="651" spans="1:68" ht="19" x14ac:dyDescent="0.25">
      <c r="A651" s="5"/>
      <c r="B651" s="5"/>
      <c r="C651" s="5"/>
      <c r="D651" s="5"/>
      <c r="E651" s="5"/>
      <c r="F651" s="5"/>
      <c r="G651" s="5"/>
      <c r="H651" s="6"/>
      <c r="I651" s="5"/>
      <c r="J651" s="83"/>
      <c r="K651" s="83"/>
      <c r="L651" s="83"/>
      <c r="M651" s="83"/>
      <c r="N651" s="83"/>
      <c r="O651" s="83"/>
      <c r="P651" s="83"/>
      <c r="Q651" s="84"/>
      <c r="R651" s="83"/>
      <c r="S651" s="83"/>
      <c r="T651" s="85"/>
      <c r="U651" s="6"/>
      <c r="V651" s="44">
        <v>44859</v>
      </c>
      <c r="W651" s="45">
        <v>132.93</v>
      </c>
      <c r="X651" s="46"/>
      <c r="Y651" s="61"/>
      <c r="Z651" s="5"/>
      <c r="AA651" s="5"/>
      <c r="AB651" s="5"/>
      <c r="AC651" s="5"/>
      <c r="AD651" s="5"/>
      <c r="AE651" s="5"/>
      <c r="AF651" s="5"/>
      <c r="AG651" s="5"/>
      <c r="AH651" s="6"/>
      <c r="AI651" s="44">
        <v>44859</v>
      </c>
      <c r="AJ651" s="53">
        <v>132.93</v>
      </c>
      <c r="AK651" s="54">
        <f t="shared" si="110"/>
        <v>1.8087271082976031E-3</v>
      </c>
      <c r="AL651" s="55">
        <f t="shared" si="113"/>
        <v>31.761386967957865</v>
      </c>
      <c r="AM651" s="56">
        <v>25</v>
      </c>
      <c r="AN651" s="57">
        <f t="shared" si="111"/>
        <v>-6.7613869679578649</v>
      </c>
      <c r="AO651" s="76">
        <f t="shared" si="114"/>
        <v>-6.6615424165269648</v>
      </c>
      <c r="AP651" s="63" t="str">
        <f t="shared" si="115"/>
        <v/>
      </c>
      <c r="AQ651" s="63" t="str">
        <f t="shared" si="116"/>
        <v>Sell Stocks</v>
      </c>
      <c r="AR651" s="63" t="str">
        <f t="shared" si="117"/>
        <v/>
      </c>
      <c r="AS651" s="63" t="str">
        <f t="shared" si="118"/>
        <v/>
      </c>
      <c r="AT651" s="78" t="str">
        <f t="shared" si="119"/>
        <v/>
      </c>
      <c r="AU651" s="78" t="str">
        <f t="shared" si="120"/>
        <v/>
      </c>
      <c r="AV651" s="64" t="str">
        <f ca="1">IFERROR(__xludf.DUMMYFUNCTION("IF(TRIM(AU651)="""","""",AU651/INDEX(FILTER(AT$3:AT651,TRIM(AT$3:AT651)&lt;&gt;""""),ROWS(FILTER(AT$3:AT651,TRIM(AT$3:AT651)&lt;&gt;"""")))-1)"),"")</f>
        <v/>
      </c>
      <c r="AW651" s="65" t="e">
        <f t="shared" ca="1" si="112"/>
        <v>#VALUE!</v>
      </c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</row>
    <row r="652" spans="1:68" ht="19" x14ac:dyDescent="0.25">
      <c r="A652" s="5"/>
      <c r="B652" s="5"/>
      <c r="C652" s="5"/>
      <c r="D652" s="5"/>
      <c r="E652" s="5"/>
      <c r="F652" s="5"/>
      <c r="G652" s="5"/>
      <c r="H652" s="6"/>
      <c r="I652" s="5"/>
      <c r="J652" s="83"/>
      <c r="K652" s="83"/>
      <c r="L652" s="83"/>
      <c r="M652" s="83"/>
      <c r="N652" s="83"/>
      <c r="O652" s="83"/>
      <c r="P652" s="83"/>
      <c r="Q652" s="84"/>
      <c r="R652" s="83"/>
      <c r="S652" s="83"/>
      <c r="T652" s="85"/>
      <c r="U652" s="6"/>
      <c r="V652" s="44">
        <v>44860</v>
      </c>
      <c r="W652" s="45">
        <v>135.01</v>
      </c>
      <c r="X652" s="46"/>
      <c r="Y652" s="61"/>
      <c r="Z652" s="5"/>
      <c r="AA652" s="5"/>
      <c r="AB652" s="5"/>
      <c r="AC652" s="5"/>
      <c r="AD652" s="5"/>
      <c r="AE652" s="5"/>
      <c r="AF652" s="5"/>
      <c r="AG652" s="5"/>
      <c r="AH652" s="6"/>
      <c r="AI652" s="44">
        <v>44860</v>
      </c>
      <c r="AJ652" s="53">
        <v>135.01</v>
      </c>
      <c r="AK652" s="54">
        <f t="shared" si="110"/>
        <v>1.5647333182878143E-2</v>
      </c>
      <c r="AL652" s="55">
        <f t="shared" si="113"/>
        <v>26.934938531996551</v>
      </c>
      <c r="AM652" s="56">
        <v>25</v>
      </c>
      <c r="AN652" s="57">
        <f t="shared" si="111"/>
        <v>-1.9349385319965506</v>
      </c>
      <c r="AO652" s="76">
        <f t="shared" si="114"/>
        <v>-6.020174697018879</v>
      </c>
      <c r="AP652" s="63" t="str">
        <f t="shared" si="115"/>
        <v/>
      </c>
      <c r="AQ652" s="63" t="str">
        <f t="shared" si="116"/>
        <v>Sell Stocks</v>
      </c>
      <c r="AR652" s="63" t="str">
        <f t="shared" si="117"/>
        <v/>
      </c>
      <c r="AS652" s="63" t="str">
        <f t="shared" si="118"/>
        <v/>
      </c>
      <c r="AT652" s="78" t="str">
        <f t="shared" si="119"/>
        <v/>
      </c>
      <c r="AU652" s="78" t="str">
        <f t="shared" si="120"/>
        <v/>
      </c>
      <c r="AV652" s="64" t="str">
        <f ca="1">IFERROR(__xludf.DUMMYFUNCTION("IF(TRIM(AU652)="""","""",AU652/INDEX(FILTER(AT$3:AT652,TRIM(AT$3:AT652)&lt;&gt;""""),ROWS(FILTER(AT$3:AT652,TRIM(AT$3:AT652)&lt;&gt;"""")))-1)"),"")</f>
        <v/>
      </c>
      <c r="AW652" s="65" t="e">
        <f t="shared" ca="1" si="112"/>
        <v>#VALUE!</v>
      </c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</row>
    <row r="653" spans="1:68" ht="19" x14ac:dyDescent="0.25">
      <c r="A653" s="5"/>
      <c r="B653" s="5"/>
      <c r="C653" s="5"/>
      <c r="D653" s="5"/>
      <c r="E653" s="5"/>
      <c r="F653" s="5"/>
      <c r="G653" s="5"/>
      <c r="H653" s="6"/>
      <c r="I653" s="5"/>
      <c r="J653" s="83"/>
      <c r="K653" s="83"/>
      <c r="L653" s="83"/>
      <c r="M653" s="83"/>
      <c r="N653" s="83"/>
      <c r="O653" s="83"/>
      <c r="P653" s="83"/>
      <c r="Q653" s="84"/>
      <c r="R653" s="83"/>
      <c r="S653" s="83"/>
      <c r="T653" s="85"/>
      <c r="U653" s="6"/>
      <c r="V653" s="44">
        <v>44861</v>
      </c>
      <c r="W653" s="45">
        <v>134.77000000000001</v>
      </c>
      <c r="X653" s="46"/>
      <c r="Y653" s="61"/>
      <c r="Z653" s="5"/>
      <c r="AA653" s="5"/>
      <c r="AB653" s="5"/>
      <c r="AC653" s="5"/>
      <c r="AD653" s="5"/>
      <c r="AE653" s="5"/>
      <c r="AF653" s="5"/>
      <c r="AG653" s="5"/>
      <c r="AH653" s="6"/>
      <c r="AI653" s="44">
        <v>44861</v>
      </c>
      <c r="AJ653" s="53">
        <v>134.77000000000001</v>
      </c>
      <c r="AK653" s="54">
        <f t="shared" si="110"/>
        <v>-1.7776461002887434E-3</v>
      </c>
      <c r="AL653" s="55">
        <f t="shared" si="113"/>
        <v>15.381182852812557</v>
      </c>
      <c r="AM653" s="56">
        <v>25</v>
      </c>
      <c r="AN653" s="57">
        <f t="shared" si="111"/>
        <v>9.6188171471874426</v>
      </c>
      <c r="AO653" s="76">
        <f t="shared" si="114"/>
        <v>-1.7008826302373179</v>
      </c>
      <c r="AP653" s="63" t="str">
        <f t="shared" si="115"/>
        <v/>
      </c>
      <c r="AQ653" s="63" t="str">
        <f t="shared" si="116"/>
        <v>Sell Stocks</v>
      </c>
      <c r="AR653" s="63" t="str">
        <f t="shared" si="117"/>
        <v/>
      </c>
      <c r="AS653" s="63" t="str">
        <f t="shared" si="118"/>
        <v/>
      </c>
      <c r="AT653" s="78" t="str">
        <f t="shared" si="119"/>
        <v/>
      </c>
      <c r="AU653" s="78" t="str">
        <f t="shared" si="120"/>
        <v/>
      </c>
      <c r="AV653" s="64" t="str">
        <f ca="1">IFERROR(__xludf.DUMMYFUNCTION("IF(TRIM(AU653)="""","""",AU653/INDEX(FILTER(AT$3:AT653,TRIM(AT$3:AT653)&lt;&gt;""""),ROWS(FILTER(AT$3:AT653,TRIM(AT$3:AT653)&lt;&gt;"""")))-1)"),"")</f>
        <v/>
      </c>
      <c r="AW653" s="65" t="e">
        <f t="shared" ca="1" si="112"/>
        <v>#VALUE!</v>
      </c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</row>
    <row r="654" spans="1:68" ht="19" x14ac:dyDescent="0.25">
      <c r="A654" s="5"/>
      <c r="B654" s="5"/>
      <c r="C654" s="5"/>
      <c r="D654" s="5"/>
      <c r="E654" s="5"/>
      <c r="F654" s="5"/>
      <c r="G654" s="5"/>
      <c r="H654" s="6"/>
      <c r="I654" s="5"/>
      <c r="J654" s="83"/>
      <c r="K654" s="83"/>
      <c r="L654" s="83"/>
      <c r="M654" s="83"/>
      <c r="N654" s="83"/>
      <c r="O654" s="83"/>
      <c r="P654" s="83"/>
      <c r="Q654" s="84"/>
      <c r="R654" s="83"/>
      <c r="S654" s="83"/>
      <c r="T654" s="85"/>
      <c r="U654" s="6"/>
      <c r="V654" s="44">
        <v>44862</v>
      </c>
      <c r="W654" s="45">
        <v>138.51</v>
      </c>
      <c r="X654" s="46"/>
      <c r="Y654" s="61"/>
      <c r="Z654" s="5"/>
      <c r="AA654" s="5"/>
      <c r="AB654" s="5"/>
      <c r="AC654" s="5"/>
      <c r="AD654" s="5"/>
      <c r="AE654" s="5"/>
      <c r="AF654" s="5"/>
      <c r="AG654" s="5"/>
      <c r="AH654" s="6"/>
      <c r="AI654" s="44">
        <v>44862</v>
      </c>
      <c r="AJ654" s="53">
        <v>138.51</v>
      </c>
      <c r="AK654" s="54">
        <f t="shared" si="110"/>
        <v>2.7750983156488607E-2</v>
      </c>
      <c r="AL654" s="55">
        <f t="shared" si="113"/>
        <v>20.081394875337786</v>
      </c>
      <c r="AM654" s="56">
        <v>25</v>
      </c>
      <c r="AN654" s="57">
        <f t="shared" si="111"/>
        <v>4.9186051246622142</v>
      </c>
      <c r="AO654" s="76">
        <f t="shared" si="114"/>
        <v>0.22671342500640676</v>
      </c>
      <c r="AP654" s="63" t="str">
        <f t="shared" si="115"/>
        <v>Buy Stocks</v>
      </c>
      <c r="AQ654" s="63" t="str">
        <f t="shared" si="116"/>
        <v/>
      </c>
      <c r="AR654" s="63" t="str">
        <f t="shared" si="117"/>
        <v>Buy Stocks</v>
      </c>
      <c r="AS654" s="63" t="str">
        <f t="shared" si="118"/>
        <v/>
      </c>
      <c r="AT654" s="77">
        <f t="shared" si="119"/>
        <v>138.51</v>
      </c>
      <c r="AU654" s="78" t="str">
        <f t="shared" si="120"/>
        <v/>
      </c>
      <c r="AV654" s="64" t="str">
        <f ca="1">IFERROR(__xludf.DUMMYFUNCTION("IF(TRIM(AU654)="""","""",AU654/INDEX(FILTER(AT$3:AT654,TRIM(AT$3:AT654)&lt;&gt;""""),ROWS(FILTER(AT$3:AT654,TRIM(AT$3:AT654)&lt;&gt;"""")))-1)"),"")</f>
        <v/>
      </c>
      <c r="AW654" s="65" t="e">
        <f t="shared" ca="1" si="112"/>
        <v>#VALUE!</v>
      </c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</row>
    <row r="655" spans="1:68" ht="19" x14ac:dyDescent="0.25">
      <c r="A655" s="5"/>
      <c r="B655" s="5"/>
      <c r="C655" s="5"/>
      <c r="D655" s="5"/>
      <c r="E655" s="5"/>
      <c r="F655" s="5"/>
      <c r="G655" s="5"/>
      <c r="H655" s="6"/>
      <c r="I655" s="5"/>
      <c r="J655" s="83"/>
      <c r="K655" s="83"/>
      <c r="L655" s="83"/>
      <c r="M655" s="83"/>
      <c r="N655" s="83"/>
      <c r="O655" s="83"/>
      <c r="P655" s="83"/>
      <c r="Q655" s="84"/>
      <c r="R655" s="83"/>
      <c r="S655" s="83"/>
      <c r="T655" s="85"/>
      <c r="U655" s="6"/>
      <c r="V655" s="44">
        <v>44865</v>
      </c>
      <c r="W655" s="45">
        <v>138.29</v>
      </c>
      <c r="X655" s="46"/>
      <c r="Y655" s="61"/>
      <c r="Z655" s="5"/>
      <c r="AA655" s="5"/>
      <c r="AB655" s="5"/>
      <c r="AC655" s="5"/>
      <c r="AD655" s="5"/>
      <c r="AE655" s="5"/>
      <c r="AF655" s="5"/>
      <c r="AG655" s="5"/>
      <c r="AH655" s="6"/>
      <c r="AI655" s="44">
        <v>44865</v>
      </c>
      <c r="AJ655" s="53">
        <v>138.29</v>
      </c>
      <c r="AK655" s="54">
        <f t="shared" si="110"/>
        <v>-1.5883329723485051E-3</v>
      </c>
      <c r="AL655" s="55">
        <f t="shared" si="113"/>
        <v>20.602877427019571</v>
      </c>
      <c r="AM655" s="56">
        <v>25</v>
      </c>
      <c r="AN655" s="57">
        <f t="shared" si="111"/>
        <v>4.3971225729804289</v>
      </c>
      <c r="AO655" s="76">
        <f t="shared" si="114"/>
        <v>2.047643868975134</v>
      </c>
      <c r="AP655" s="63" t="str">
        <f t="shared" si="115"/>
        <v>Buy Stocks</v>
      </c>
      <c r="AQ655" s="63" t="str">
        <f t="shared" si="116"/>
        <v/>
      </c>
      <c r="AR655" s="63" t="str">
        <f t="shared" si="117"/>
        <v/>
      </c>
      <c r="AS655" s="63" t="str">
        <f t="shared" si="118"/>
        <v/>
      </c>
      <c r="AT655" s="78" t="str">
        <f t="shared" si="119"/>
        <v/>
      </c>
      <c r="AU655" s="78" t="str">
        <f t="shared" si="120"/>
        <v/>
      </c>
      <c r="AV655" s="64" t="str">
        <f ca="1">IFERROR(__xludf.DUMMYFUNCTION("IF(TRIM(AU655)="""","""",AU655/INDEX(FILTER(AT$3:AT655,TRIM(AT$3:AT655)&lt;&gt;""""),ROWS(FILTER(AT$3:AT655,TRIM(AT$3:AT655)&lt;&gt;"""")))-1)"),"")</f>
        <v/>
      </c>
      <c r="AW655" s="65" t="e">
        <f t="shared" ca="1" si="112"/>
        <v>#VALUE!</v>
      </c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</row>
    <row r="656" spans="1:68" ht="19" x14ac:dyDescent="0.25">
      <c r="A656" s="5"/>
      <c r="B656" s="5"/>
      <c r="C656" s="5"/>
      <c r="D656" s="5"/>
      <c r="E656" s="5"/>
      <c r="F656" s="5"/>
      <c r="G656" s="5"/>
      <c r="H656" s="6"/>
      <c r="I656" s="5"/>
      <c r="J656" s="83"/>
      <c r="K656" s="83"/>
      <c r="L656" s="83"/>
      <c r="M656" s="83"/>
      <c r="N656" s="83"/>
      <c r="O656" s="83"/>
      <c r="P656" s="83"/>
      <c r="Q656" s="84"/>
      <c r="R656" s="83"/>
      <c r="S656" s="83"/>
      <c r="T656" s="85"/>
      <c r="U656" s="6"/>
      <c r="V656" s="44">
        <v>44866</v>
      </c>
      <c r="W656" s="45">
        <v>138.19999999999999</v>
      </c>
      <c r="X656" s="46"/>
      <c r="Y656" s="61"/>
      <c r="Z656" s="5"/>
      <c r="AA656" s="5"/>
      <c r="AB656" s="5"/>
      <c r="AC656" s="5"/>
      <c r="AD656" s="5"/>
      <c r="AE656" s="5"/>
      <c r="AF656" s="5"/>
      <c r="AG656" s="5"/>
      <c r="AH656" s="6"/>
      <c r="AI656" s="44">
        <v>44866</v>
      </c>
      <c r="AJ656" s="53">
        <v>138.19999999999999</v>
      </c>
      <c r="AK656" s="54">
        <f t="shared" si="110"/>
        <v>-6.5080627666502799E-4</v>
      </c>
      <c r="AL656" s="55">
        <f t="shared" si="113"/>
        <v>21.162592782032235</v>
      </c>
      <c r="AM656" s="56">
        <v>25</v>
      </c>
      <c r="AN656" s="57">
        <f t="shared" si="111"/>
        <v>3.8374072179677654</v>
      </c>
      <c r="AO656" s="76">
        <f t="shared" si="114"/>
        <v>4.1674027061602601</v>
      </c>
      <c r="AP656" s="63" t="str">
        <f t="shared" si="115"/>
        <v>Buy Stocks</v>
      </c>
      <c r="AQ656" s="63" t="str">
        <f t="shared" si="116"/>
        <v/>
      </c>
      <c r="AR656" s="63" t="str">
        <f t="shared" si="117"/>
        <v/>
      </c>
      <c r="AS656" s="63" t="str">
        <f t="shared" si="118"/>
        <v/>
      </c>
      <c r="AT656" s="78" t="str">
        <f t="shared" si="119"/>
        <v/>
      </c>
      <c r="AU656" s="78" t="str">
        <f t="shared" si="120"/>
        <v/>
      </c>
      <c r="AV656" s="64" t="str">
        <f ca="1">IFERROR(__xludf.DUMMYFUNCTION("IF(TRIM(AU656)="""","""",AU656/INDEX(FILTER(AT$3:AT656,TRIM(AT$3:AT656)&lt;&gt;""""),ROWS(FILTER(AT$3:AT656,TRIM(AT$3:AT656)&lt;&gt;"""")))-1)"),"")</f>
        <v/>
      </c>
      <c r="AW656" s="65" t="e">
        <f t="shared" ca="1" si="112"/>
        <v>#VALUE!</v>
      </c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</row>
    <row r="657" spans="1:68" ht="19" x14ac:dyDescent="0.25">
      <c r="A657" s="5"/>
      <c r="B657" s="5"/>
      <c r="C657" s="5"/>
      <c r="D657" s="5"/>
      <c r="E657" s="5"/>
      <c r="F657" s="5"/>
      <c r="G657" s="5"/>
      <c r="H657" s="6"/>
      <c r="I657" s="5"/>
      <c r="J657" s="83"/>
      <c r="K657" s="83"/>
      <c r="L657" s="83"/>
      <c r="M657" s="83"/>
      <c r="N657" s="83"/>
      <c r="O657" s="83"/>
      <c r="P657" s="83"/>
      <c r="Q657" s="84"/>
      <c r="R657" s="83"/>
      <c r="S657" s="83"/>
      <c r="T657" s="85"/>
      <c r="U657" s="6"/>
      <c r="V657" s="44">
        <v>44867</v>
      </c>
      <c r="W657" s="45">
        <v>136.83000000000001</v>
      </c>
      <c r="X657" s="46"/>
      <c r="Y657" s="61"/>
      <c r="Z657" s="5"/>
      <c r="AA657" s="5"/>
      <c r="AB657" s="5"/>
      <c r="AC657" s="5"/>
      <c r="AD657" s="5"/>
      <c r="AE657" s="5"/>
      <c r="AF657" s="5"/>
      <c r="AG657" s="5"/>
      <c r="AH657" s="6"/>
      <c r="AI657" s="44">
        <v>44867</v>
      </c>
      <c r="AJ657" s="53">
        <v>136.83000000000001</v>
      </c>
      <c r="AK657" s="54">
        <f t="shared" si="110"/>
        <v>-9.9131693198262205E-3</v>
      </c>
      <c r="AL657" s="55">
        <f t="shared" si="113"/>
        <v>22.953492710049002</v>
      </c>
      <c r="AM657" s="56">
        <v>25</v>
      </c>
      <c r="AN657" s="57">
        <f t="shared" si="111"/>
        <v>2.0465072899509984</v>
      </c>
      <c r="AO657" s="76">
        <f t="shared" si="114"/>
        <v>4.9636918705497699</v>
      </c>
      <c r="AP657" s="63" t="str">
        <f t="shared" si="115"/>
        <v>Buy Stocks</v>
      </c>
      <c r="AQ657" s="63" t="str">
        <f t="shared" si="116"/>
        <v/>
      </c>
      <c r="AR657" s="63" t="str">
        <f t="shared" si="117"/>
        <v/>
      </c>
      <c r="AS657" s="63" t="str">
        <f t="shared" si="118"/>
        <v/>
      </c>
      <c r="AT657" s="78" t="str">
        <f t="shared" si="119"/>
        <v/>
      </c>
      <c r="AU657" s="78" t="str">
        <f t="shared" si="120"/>
        <v/>
      </c>
      <c r="AV657" s="64" t="str">
        <f ca="1">IFERROR(__xludf.DUMMYFUNCTION("IF(TRIM(AU657)="""","""",AU657/INDEX(FILTER(AT$3:AT657,TRIM(AT$3:AT657)&lt;&gt;""""),ROWS(FILTER(AT$3:AT657,TRIM(AT$3:AT657)&lt;&gt;"""")))-1)"),"")</f>
        <v/>
      </c>
      <c r="AW657" s="65" t="e">
        <f t="shared" ca="1" si="112"/>
        <v>#VALUE!</v>
      </c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</row>
    <row r="658" spans="1:68" ht="19" x14ac:dyDescent="0.25">
      <c r="A658" s="5"/>
      <c r="B658" s="5"/>
      <c r="C658" s="5"/>
      <c r="D658" s="5"/>
      <c r="E658" s="5"/>
      <c r="F658" s="5"/>
      <c r="G658" s="5"/>
      <c r="H658" s="6"/>
      <c r="I658" s="5"/>
      <c r="J658" s="83"/>
      <c r="K658" s="83"/>
      <c r="L658" s="83"/>
      <c r="M658" s="83"/>
      <c r="N658" s="83"/>
      <c r="O658" s="83"/>
      <c r="P658" s="83"/>
      <c r="Q658" s="84"/>
      <c r="R658" s="83"/>
      <c r="S658" s="83"/>
      <c r="T658" s="85"/>
      <c r="U658" s="6"/>
      <c r="V658" s="44">
        <v>44868</v>
      </c>
      <c r="W658" s="45">
        <v>134.47</v>
      </c>
      <c r="X658" s="46"/>
      <c r="Y658" s="61"/>
      <c r="Z658" s="5"/>
      <c r="AA658" s="5"/>
      <c r="AB658" s="5"/>
      <c r="AC658" s="5"/>
      <c r="AD658" s="5"/>
      <c r="AE658" s="5"/>
      <c r="AF658" s="5"/>
      <c r="AG658" s="5"/>
      <c r="AH658" s="6"/>
      <c r="AI658" s="44">
        <v>44868</v>
      </c>
      <c r="AJ658" s="53">
        <v>134.47</v>
      </c>
      <c r="AK658" s="54">
        <f t="shared" si="110"/>
        <v>-1.7247679602426458E-2</v>
      </c>
      <c r="AL658" s="55">
        <f t="shared" si="113"/>
        <v>27.12954033800137</v>
      </c>
      <c r="AM658" s="56">
        <v>25</v>
      </c>
      <c r="AN658" s="57">
        <f t="shared" si="111"/>
        <v>-2.1295403380013695</v>
      </c>
      <c r="AO658" s="76">
        <f t="shared" si="114"/>
        <v>2.6140203735120076</v>
      </c>
      <c r="AP658" s="63" t="str">
        <f t="shared" si="115"/>
        <v>Buy Stocks</v>
      </c>
      <c r="AQ658" s="63" t="str">
        <f t="shared" si="116"/>
        <v/>
      </c>
      <c r="AR658" s="63" t="str">
        <f t="shared" si="117"/>
        <v/>
      </c>
      <c r="AS658" s="63" t="str">
        <f t="shared" si="118"/>
        <v/>
      </c>
      <c r="AT658" s="78" t="str">
        <f t="shared" si="119"/>
        <v/>
      </c>
      <c r="AU658" s="78" t="str">
        <f t="shared" si="120"/>
        <v/>
      </c>
      <c r="AV658" s="64" t="str">
        <f ca="1">IFERROR(__xludf.DUMMYFUNCTION("IF(TRIM(AU658)="""","""",AU658/INDEX(FILTER(AT$3:AT658,TRIM(AT$3:AT658)&lt;&gt;""""),ROWS(FILTER(AT$3:AT658,TRIM(AT$3:AT658)&lt;&gt;"""")))-1)"),"")</f>
        <v/>
      </c>
      <c r="AW658" s="65" t="e">
        <f t="shared" ca="1" si="112"/>
        <v>#VALUE!</v>
      </c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</row>
    <row r="659" spans="1:68" ht="19" x14ac:dyDescent="0.25">
      <c r="A659" s="5"/>
      <c r="B659" s="5"/>
      <c r="C659" s="5"/>
      <c r="D659" s="5"/>
      <c r="E659" s="5"/>
      <c r="F659" s="5"/>
      <c r="G659" s="5"/>
      <c r="H659" s="6"/>
      <c r="I659" s="5"/>
      <c r="J659" s="83"/>
      <c r="K659" s="83"/>
      <c r="L659" s="83"/>
      <c r="M659" s="83"/>
      <c r="N659" s="83"/>
      <c r="O659" s="83"/>
      <c r="P659" s="83"/>
      <c r="Q659" s="84"/>
      <c r="R659" s="83"/>
      <c r="S659" s="83"/>
      <c r="T659" s="85"/>
      <c r="U659" s="6"/>
      <c r="V659" s="44">
        <v>44869</v>
      </c>
      <c r="W659" s="45">
        <v>136.96</v>
      </c>
      <c r="X659" s="46"/>
      <c r="Y659" s="61"/>
      <c r="Z659" s="5"/>
      <c r="AA659" s="5"/>
      <c r="AB659" s="5"/>
      <c r="AC659" s="5"/>
      <c r="AD659" s="5"/>
      <c r="AE659" s="5"/>
      <c r="AF659" s="5"/>
      <c r="AG659" s="5"/>
      <c r="AH659" s="6"/>
      <c r="AI659" s="44">
        <v>44869</v>
      </c>
      <c r="AJ659" s="53">
        <v>136.96</v>
      </c>
      <c r="AK659" s="54">
        <f t="shared" si="110"/>
        <v>1.851714136982241E-2</v>
      </c>
      <c r="AL659" s="55">
        <f t="shared" si="113"/>
        <v>21.266760412892573</v>
      </c>
      <c r="AM659" s="56">
        <v>25</v>
      </c>
      <c r="AN659" s="57">
        <f t="shared" si="111"/>
        <v>3.7332395871074269</v>
      </c>
      <c r="AO659" s="76">
        <f t="shared" si="114"/>
        <v>2.37694726600105</v>
      </c>
      <c r="AP659" s="63" t="str">
        <f t="shared" si="115"/>
        <v>Buy Stocks</v>
      </c>
      <c r="AQ659" s="63" t="str">
        <f t="shared" si="116"/>
        <v/>
      </c>
      <c r="AR659" s="63" t="str">
        <f t="shared" si="117"/>
        <v/>
      </c>
      <c r="AS659" s="63" t="str">
        <f t="shared" si="118"/>
        <v/>
      </c>
      <c r="AT659" s="78" t="str">
        <f t="shared" si="119"/>
        <v/>
      </c>
      <c r="AU659" s="78" t="str">
        <f t="shared" si="120"/>
        <v/>
      </c>
      <c r="AV659" s="64" t="str">
        <f ca="1">IFERROR(__xludf.DUMMYFUNCTION("IF(TRIM(AU659)="""","""",AU659/INDEX(FILTER(AT$3:AT659,TRIM(AT$3:AT659)&lt;&gt;""""),ROWS(FILTER(AT$3:AT659,TRIM(AT$3:AT659)&lt;&gt;"""")))-1)"),"")</f>
        <v/>
      </c>
      <c r="AW659" s="65" t="e">
        <f t="shared" ca="1" si="112"/>
        <v>#VALUE!</v>
      </c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</row>
    <row r="660" spans="1:68" ht="19" x14ac:dyDescent="0.25">
      <c r="A660" s="5"/>
      <c r="B660" s="5"/>
      <c r="C660" s="5"/>
      <c r="D660" s="5"/>
      <c r="E660" s="5"/>
      <c r="F660" s="5"/>
      <c r="G660" s="5"/>
      <c r="H660" s="6"/>
      <c r="I660" s="5"/>
      <c r="J660" s="83"/>
      <c r="K660" s="83"/>
      <c r="L660" s="83"/>
      <c r="M660" s="83"/>
      <c r="N660" s="83"/>
      <c r="O660" s="83"/>
      <c r="P660" s="83"/>
      <c r="Q660" s="84"/>
      <c r="R660" s="83"/>
      <c r="S660" s="83"/>
      <c r="T660" s="85"/>
      <c r="U660" s="6"/>
      <c r="V660" s="44">
        <v>44872</v>
      </c>
      <c r="W660" s="45">
        <v>138.34</v>
      </c>
      <c r="X660" s="46"/>
      <c r="Y660" s="61"/>
      <c r="Z660" s="5"/>
      <c r="AA660" s="5"/>
      <c r="AB660" s="5"/>
      <c r="AC660" s="5"/>
      <c r="AD660" s="5"/>
      <c r="AE660" s="5"/>
      <c r="AF660" s="5"/>
      <c r="AG660" s="5"/>
      <c r="AH660" s="6"/>
      <c r="AI660" s="44">
        <v>44872</v>
      </c>
      <c r="AJ660" s="53">
        <v>138.34</v>
      </c>
      <c r="AK660" s="54">
        <f t="shared" si="110"/>
        <v>1.0075934579439227E-2</v>
      </c>
      <c r="AL660" s="55">
        <f t="shared" si="113"/>
        <v>23.010697175470678</v>
      </c>
      <c r="AM660" s="56">
        <v>25</v>
      </c>
      <c r="AN660" s="57">
        <f t="shared" si="111"/>
        <v>1.9893028245293216</v>
      </c>
      <c r="AO660" s="76">
        <f t="shared" si="114"/>
        <v>1.8953833163108285</v>
      </c>
      <c r="AP660" s="63" t="str">
        <f t="shared" si="115"/>
        <v>Buy Stocks</v>
      </c>
      <c r="AQ660" s="63" t="str">
        <f t="shared" si="116"/>
        <v/>
      </c>
      <c r="AR660" s="63" t="str">
        <f t="shared" si="117"/>
        <v/>
      </c>
      <c r="AS660" s="63" t="str">
        <f t="shared" si="118"/>
        <v/>
      </c>
      <c r="AT660" s="78" t="str">
        <f t="shared" si="119"/>
        <v/>
      </c>
      <c r="AU660" s="78" t="str">
        <f t="shared" si="120"/>
        <v/>
      </c>
      <c r="AV660" s="64" t="str">
        <f ca="1">IFERROR(__xludf.DUMMYFUNCTION("IF(TRIM(AU660)="""","""",AU660/INDEX(FILTER(AT$3:AT660,TRIM(AT$3:AT660)&lt;&gt;""""),ROWS(FILTER(AT$3:AT660,TRIM(AT$3:AT660)&lt;&gt;"""")))-1)"),"")</f>
        <v/>
      </c>
      <c r="AW660" s="65" t="e">
        <f t="shared" ca="1" si="112"/>
        <v>#VALUE!</v>
      </c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</row>
    <row r="661" spans="1:68" ht="19" x14ac:dyDescent="0.25">
      <c r="A661" s="5"/>
      <c r="B661" s="5"/>
      <c r="C661" s="5"/>
      <c r="D661" s="5"/>
      <c r="E661" s="5"/>
      <c r="F661" s="5"/>
      <c r="G661" s="5"/>
      <c r="H661" s="6"/>
      <c r="I661" s="5"/>
      <c r="J661" s="83"/>
      <c r="K661" s="83"/>
      <c r="L661" s="83"/>
      <c r="M661" s="83"/>
      <c r="N661" s="83"/>
      <c r="O661" s="83"/>
      <c r="P661" s="83"/>
      <c r="Q661" s="84"/>
      <c r="R661" s="83"/>
      <c r="S661" s="83"/>
      <c r="T661" s="85"/>
      <c r="U661" s="6"/>
      <c r="V661" s="44">
        <v>44873</v>
      </c>
      <c r="W661" s="45">
        <v>140.04</v>
      </c>
      <c r="X661" s="46"/>
      <c r="Y661" s="61"/>
      <c r="Z661" s="5"/>
      <c r="AA661" s="5"/>
      <c r="AB661" s="5"/>
      <c r="AC661" s="5"/>
      <c r="AD661" s="5"/>
      <c r="AE661" s="5"/>
      <c r="AF661" s="5"/>
      <c r="AG661" s="5"/>
      <c r="AH661" s="6"/>
      <c r="AI661" s="44">
        <v>44873</v>
      </c>
      <c r="AJ661" s="53">
        <v>140.04</v>
      </c>
      <c r="AK661" s="54">
        <f t="shared" si="110"/>
        <v>1.2288564406534475E-2</v>
      </c>
      <c r="AL661" s="55">
        <f t="shared" si="113"/>
        <v>24.50953009371085</v>
      </c>
      <c r="AM661" s="56">
        <v>25</v>
      </c>
      <c r="AN661" s="57">
        <f t="shared" si="111"/>
        <v>0.49046990628914955</v>
      </c>
      <c r="AO661" s="76">
        <f t="shared" si="114"/>
        <v>1.2259958539751055</v>
      </c>
      <c r="AP661" s="63" t="str">
        <f t="shared" si="115"/>
        <v>Buy Stocks</v>
      </c>
      <c r="AQ661" s="63" t="str">
        <f t="shared" si="116"/>
        <v/>
      </c>
      <c r="AR661" s="63" t="str">
        <f t="shared" si="117"/>
        <v/>
      </c>
      <c r="AS661" s="63" t="str">
        <f t="shared" si="118"/>
        <v/>
      </c>
      <c r="AT661" s="78" t="str">
        <f t="shared" si="119"/>
        <v/>
      </c>
      <c r="AU661" s="78" t="str">
        <f t="shared" si="120"/>
        <v/>
      </c>
      <c r="AV661" s="64" t="str">
        <f ca="1">IFERROR(__xludf.DUMMYFUNCTION("IF(TRIM(AU661)="""","""",AU661/INDEX(FILTER(AT$3:AT661,TRIM(AT$3:AT661)&lt;&gt;""""),ROWS(FILTER(AT$3:AT661,TRIM(AT$3:AT661)&lt;&gt;"""")))-1)"),"")</f>
        <v/>
      </c>
      <c r="AW661" s="65" t="e">
        <f t="shared" ca="1" si="112"/>
        <v>#VALUE!</v>
      </c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</row>
    <row r="662" spans="1:68" ht="19" x14ac:dyDescent="0.25">
      <c r="A662" s="5"/>
      <c r="B662" s="5"/>
      <c r="C662" s="5"/>
      <c r="D662" s="5"/>
      <c r="E662" s="5"/>
      <c r="F662" s="5"/>
      <c r="G662" s="5"/>
      <c r="H662" s="6"/>
      <c r="I662" s="5"/>
      <c r="J662" s="83"/>
      <c r="K662" s="83"/>
      <c r="L662" s="83"/>
      <c r="M662" s="83"/>
      <c r="N662" s="83"/>
      <c r="O662" s="83"/>
      <c r="P662" s="83"/>
      <c r="Q662" s="84"/>
      <c r="R662" s="83"/>
      <c r="S662" s="83"/>
      <c r="T662" s="85"/>
      <c r="U662" s="6"/>
      <c r="V662" s="44">
        <v>44874</v>
      </c>
      <c r="W662" s="45">
        <v>137.38999999999999</v>
      </c>
      <c r="X662" s="46"/>
      <c r="Y662" s="61"/>
      <c r="Z662" s="5"/>
      <c r="AA662" s="5"/>
      <c r="AB662" s="5"/>
      <c r="AC662" s="5"/>
      <c r="AD662" s="5"/>
      <c r="AE662" s="5"/>
      <c r="AF662" s="5"/>
      <c r="AG662" s="5"/>
      <c r="AH662" s="6"/>
      <c r="AI662" s="44">
        <v>44874</v>
      </c>
      <c r="AJ662" s="53">
        <v>137.38999999999999</v>
      </c>
      <c r="AK662" s="54">
        <f t="shared" si="110"/>
        <v>-1.8923164810054294E-2</v>
      </c>
      <c r="AL662" s="55">
        <f t="shared" si="113"/>
        <v>28.023656084092142</v>
      </c>
      <c r="AM662" s="56">
        <v>25</v>
      </c>
      <c r="AN662" s="57">
        <f t="shared" si="111"/>
        <v>-3.023656084092142</v>
      </c>
      <c r="AO662" s="76">
        <f t="shared" si="114"/>
        <v>0.21196317916647728</v>
      </c>
      <c r="AP662" s="63" t="str">
        <f t="shared" si="115"/>
        <v>Buy Stocks</v>
      </c>
      <c r="AQ662" s="63" t="str">
        <f t="shared" si="116"/>
        <v/>
      </c>
      <c r="AR662" s="63" t="str">
        <f t="shared" si="117"/>
        <v/>
      </c>
      <c r="AS662" s="63" t="str">
        <f t="shared" si="118"/>
        <v/>
      </c>
      <c r="AT662" s="78" t="str">
        <f t="shared" si="119"/>
        <v/>
      </c>
      <c r="AU662" s="78" t="str">
        <f t="shared" si="120"/>
        <v/>
      </c>
      <c r="AV662" s="64" t="str">
        <f ca="1">IFERROR(__xludf.DUMMYFUNCTION("IF(TRIM(AU662)="""","""",AU662/INDEX(FILTER(AT$3:AT662,TRIM(AT$3:AT662)&lt;&gt;""""),ROWS(FILTER(AT$3:AT662,TRIM(AT$3:AT662)&lt;&gt;"""")))-1)"),"")</f>
        <v/>
      </c>
      <c r="AW662" s="65" t="e">
        <f t="shared" ca="1" si="112"/>
        <v>#VALUE!</v>
      </c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</row>
    <row r="663" spans="1:68" ht="19" x14ac:dyDescent="0.25">
      <c r="A663" s="5"/>
      <c r="B663" s="5"/>
      <c r="C663" s="5"/>
      <c r="D663" s="5"/>
      <c r="E663" s="5"/>
      <c r="F663" s="5"/>
      <c r="G663" s="5"/>
      <c r="H663" s="6"/>
      <c r="I663" s="5"/>
      <c r="J663" s="83"/>
      <c r="K663" s="83"/>
      <c r="L663" s="83"/>
      <c r="M663" s="83"/>
      <c r="N663" s="83"/>
      <c r="O663" s="83"/>
      <c r="P663" s="83"/>
      <c r="Q663" s="84"/>
      <c r="R663" s="83"/>
      <c r="S663" s="83"/>
      <c r="T663" s="85"/>
      <c r="U663" s="6"/>
      <c r="V663" s="44">
        <v>44875</v>
      </c>
      <c r="W663" s="45">
        <v>141.22999999999999</v>
      </c>
      <c r="X663" s="46"/>
      <c r="Y663" s="61"/>
      <c r="Z663" s="5"/>
      <c r="AA663" s="5"/>
      <c r="AB663" s="5"/>
      <c r="AC663" s="5"/>
      <c r="AD663" s="5"/>
      <c r="AE663" s="5"/>
      <c r="AF663" s="5"/>
      <c r="AG663" s="5"/>
      <c r="AH663" s="6"/>
      <c r="AI663" s="44">
        <v>44875</v>
      </c>
      <c r="AJ663" s="53">
        <v>141.22999999999999</v>
      </c>
      <c r="AK663" s="54">
        <f t="shared" si="110"/>
        <v>2.7949632433219351E-2</v>
      </c>
      <c r="AL663" s="55">
        <f t="shared" si="113"/>
        <v>27.910730967825469</v>
      </c>
      <c r="AM663" s="56">
        <v>25</v>
      </c>
      <c r="AN663" s="57">
        <f t="shared" si="111"/>
        <v>-2.9107309678254687</v>
      </c>
      <c r="AO663" s="76">
        <f t="shared" si="114"/>
        <v>5.5725053201657458E-2</v>
      </c>
      <c r="AP663" s="63" t="str">
        <f t="shared" si="115"/>
        <v>Buy Stocks</v>
      </c>
      <c r="AQ663" s="63" t="str">
        <f t="shared" si="116"/>
        <v/>
      </c>
      <c r="AR663" s="63" t="str">
        <f t="shared" si="117"/>
        <v/>
      </c>
      <c r="AS663" s="63" t="str">
        <f t="shared" si="118"/>
        <v/>
      </c>
      <c r="AT663" s="78" t="str">
        <f t="shared" si="119"/>
        <v/>
      </c>
      <c r="AU663" s="78" t="str">
        <f t="shared" si="120"/>
        <v/>
      </c>
      <c r="AV663" s="64" t="str">
        <f ca="1">IFERROR(__xludf.DUMMYFUNCTION("IF(TRIM(AU663)="""","""",AU663/INDEX(FILTER(AT$3:AT663,TRIM(AT$3:AT663)&lt;&gt;""""),ROWS(FILTER(AT$3:AT663,TRIM(AT$3:AT663)&lt;&gt;"""")))-1)"),"")</f>
        <v/>
      </c>
      <c r="AW663" s="65" t="e">
        <f t="shared" ca="1" si="112"/>
        <v>#VALUE!</v>
      </c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</row>
    <row r="664" spans="1:68" ht="19" x14ac:dyDescent="0.25">
      <c r="A664" s="5"/>
      <c r="B664" s="5"/>
      <c r="C664" s="5"/>
      <c r="D664" s="5"/>
      <c r="E664" s="5"/>
      <c r="F664" s="5"/>
      <c r="G664" s="5"/>
      <c r="H664" s="6"/>
      <c r="I664" s="5"/>
      <c r="J664" s="83"/>
      <c r="K664" s="83"/>
      <c r="L664" s="83"/>
      <c r="M664" s="83"/>
      <c r="N664" s="83"/>
      <c r="O664" s="83"/>
      <c r="P664" s="83"/>
      <c r="Q664" s="84"/>
      <c r="R664" s="83"/>
      <c r="S664" s="83"/>
      <c r="T664" s="85"/>
      <c r="U664" s="6"/>
      <c r="V664" s="44">
        <v>44876</v>
      </c>
      <c r="W664" s="45">
        <v>143.16999999999999</v>
      </c>
      <c r="X664" s="46"/>
      <c r="Y664" s="61"/>
      <c r="Z664" s="5"/>
      <c r="AA664" s="5"/>
      <c r="AB664" s="5"/>
      <c r="AC664" s="5"/>
      <c r="AD664" s="5"/>
      <c r="AE664" s="5"/>
      <c r="AF664" s="5"/>
      <c r="AG664" s="5"/>
      <c r="AH664" s="6"/>
      <c r="AI664" s="44">
        <v>44876</v>
      </c>
      <c r="AJ664" s="53">
        <v>143.16999999999999</v>
      </c>
      <c r="AK664" s="54">
        <f t="shared" si="110"/>
        <v>1.3736458259576478E-2</v>
      </c>
      <c r="AL664" s="55">
        <f t="shared" si="113"/>
        <v>27.186627470216411</v>
      </c>
      <c r="AM664" s="56">
        <v>25</v>
      </c>
      <c r="AN664" s="57">
        <f t="shared" si="111"/>
        <v>-2.1866274702164112</v>
      </c>
      <c r="AO664" s="76">
        <f t="shared" si="114"/>
        <v>-1.1282483582631102</v>
      </c>
      <c r="AP664" s="63" t="str">
        <f t="shared" si="115"/>
        <v/>
      </c>
      <c r="AQ664" s="63" t="str">
        <f t="shared" si="116"/>
        <v>Sell Stocks</v>
      </c>
      <c r="AR664" s="63" t="str">
        <f t="shared" si="117"/>
        <v/>
      </c>
      <c r="AS664" s="63" t="str">
        <f t="shared" si="118"/>
        <v>Sell Stocks</v>
      </c>
      <c r="AT664" s="78" t="str">
        <f t="shared" si="119"/>
        <v/>
      </c>
      <c r="AU664" s="77">
        <f t="shared" si="120"/>
        <v>143.16999999999999</v>
      </c>
      <c r="AV664" s="64">
        <f ca="1">IFERROR(__xludf.DUMMYFUNCTION("IF(TRIM(AU664)="""","""",AU664/INDEX(FILTER(AT$3:AT664,TRIM(AT$3:AT664)&lt;&gt;""""),ROWS(FILTER(AT$3:AT664,TRIM(AT$3:AT664)&lt;&gt;"""")))-1)"),0.0336437802324742)</f>
        <v>3.3643780232474198E-2</v>
      </c>
      <c r="AW664" s="65" t="e">
        <f t="shared" ca="1" si="112"/>
        <v>#VALUE!</v>
      </c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</row>
    <row r="665" spans="1:68" ht="19" x14ac:dyDescent="0.25">
      <c r="A665" s="5"/>
      <c r="B665" s="5"/>
      <c r="C665" s="5"/>
      <c r="D665" s="5"/>
      <c r="E665" s="5"/>
      <c r="F665" s="5"/>
      <c r="G665" s="5"/>
      <c r="H665" s="6"/>
      <c r="I665" s="5"/>
      <c r="J665" s="83"/>
      <c r="K665" s="83"/>
      <c r="L665" s="83"/>
      <c r="M665" s="83"/>
      <c r="N665" s="83"/>
      <c r="O665" s="83"/>
      <c r="P665" s="83"/>
      <c r="Q665" s="84"/>
      <c r="R665" s="83"/>
      <c r="S665" s="83"/>
      <c r="T665" s="85"/>
      <c r="U665" s="6"/>
      <c r="V665" s="44">
        <v>44879</v>
      </c>
      <c r="W665" s="45">
        <v>144.19999999999999</v>
      </c>
      <c r="X665" s="46"/>
      <c r="Y665" s="61"/>
      <c r="Z665" s="5"/>
      <c r="AA665" s="5"/>
      <c r="AB665" s="5"/>
      <c r="AC665" s="5"/>
      <c r="AD665" s="5"/>
      <c r="AE665" s="5"/>
      <c r="AF665" s="5"/>
      <c r="AG665" s="5"/>
      <c r="AH665" s="6"/>
      <c r="AI665" s="44">
        <v>44879</v>
      </c>
      <c r="AJ665" s="53">
        <v>144.19999999999999</v>
      </c>
      <c r="AK665" s="54">
        <f t="shared" si="110"/>
        <v>7.194244604316502E-3</v>
      </c>
      <c r="AL665" s="55">
        <f t="shared" si="113"/>
        <v>27.193453072118736</v>
      </c>
      <c r="AM665" s="56">
        <v>25</v>
      </c>
      <c r="AN665" s="57">
        <f t="shared" si="111"/>
        <v>-2.1934530721187357</v>
      </c>
      <c r="AO665" s="76">
        <f t="shared" si="114"/>
        <v>-1.9647995375927216</v>
      </c>
      <c r="AP665" s="63" t="str">
        <f t="shared" si="115"/>
        <v/>
      </c>
      <c r="AQ665" s="63" t="str">
        <f t="shared" si="116"/>
        <v>Sell Stocks</v>
      </c>
      <c r="AR665" s="63" t="str">
        <f t="shared" si="117"/>
        <v/>
      </c>
      <c r="AS665" s="63" t="str">
        <f t="shared" si="118"/>
        <v/>
      </c>
      <c r="AT665" s="78" t="str">
        <f t="shared" si="119"/>
        <v/>
      </c>
      <c r="AU665" s="78" t="str">
        <f t="shared" si="120"/>
        <v/>
      </c>
      <c r="AV665" s="64" t="str">
        <f ca="1">IFERROR(__xludf.DUMMYFUNCTION("IF(TRIM(AU665)="""","""",AU665/INDEX(FILTER(AT$3:AT665,TRIM(AT$3:AT665)&lt;&gt;""""),ROWS(FILTER(AT$3:AT665,TRIM(AT$3:AT665)&lt;&gt;"""")))-1)"),"")</f>
        <v/>
      </c>
      <c r="AW665" s="65" t="e">
        <f t="shared" ca="1" si="112"/>
        <v>#VALUE!</v>
      </c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</row>
    <row r="666" spans="1:68" ht="19" x14ac:dyDescent="0.25">
      <c r="A666" s="5"/>
      <c r="B666" s="5"/>
      <c r="C666" s="5"/>
      <c r="D666" s="5"/>
      <c r="E666" s="5"/>
      <c r="F666" s="5"/>
      <c r="G666" s="5"/>
      <c r="H666" s="6"/>
      <c r="I666" s="5"/>
      <c r="J666" s="83"/>
      <c r="K666" s="83"/>
      <c r="L666" s="83"/>
      <c r="M666" s="83"/>
      <c r="N666" s="83"/>
      <c r="O666" s="83"/>
      <c r="P666" s="83"/>
      <c r="Q666" s="84"/>
      <c r="R666" s="83"/>
      <c r="S666" s="83"/>
      <c r="T666" s="85"/>
      <c r="U666" s="6"/>
      <c r="V666" s="44">
        <v>44880</v>
      </c>
      <c r="W666" s="45">
        <v>144.34</v>
      </c>
      <c r="X666" s="46"/>
      <c r="Y666" s="61"/>
      <c r="Z666" s="5"/>
      <c r="AA666" s="5"/>
      <c r="AB666" s="5"/>
      <c r="AC666" s="5"/>
      <c r="AD666" s="5"/>
      <c r="AE666" s="5"/>
      <c r="AF666" s="5"/>
      <c r="AG666" s="5"/>
      <c r="AH666" s="6"/>
      <c r="AI666" s="44">
        <v>44880</v>
      </c>
      <c r="AJ666" s="53">
        <v>144.34</v>
      </c>
      <c r="AK666" s="54">
        <f t="shared" si="110"/>
        <v>9.7087378640781097E-4</v>
      </c>
      <c r="AL666" s="55">
        <f t="shared" si="113"/>
        <v>27.373163944050049</v>
      </c>
      <c r="AM666" s="56">
        <v>25</v>
      </c>
      <c r="AN666" s="57">
        <f t="shared" si="111"/>
        <v>-2.3731639440500487</v>
      </c>
      <c r="AO666" s="76">
        <f t="shared" si="114"/>
        <v>-2.5375263076605612</v>
      </c>
      <c r="AP666" s="63" t="str">
        <f t="shared" si="115"/>
        <v/>
      </c>
      <c r="AQ666" s="63" t="str">
        <f t="shared" si="116"/>
        <v>Sell Stocks</v>
      </c>
      <c r="AR666" s="63" t="str">
        <f t="shared" si="117"/>
        <v/>
      </c>
      <c r="AS666" s="63" t="str">
        <f t="shared" si="118"/>
        <v/>
      </c>
      <c r="AT666" s="78" t="str">
        <f t="shared" si="119"/>
        <v/>
      </c>
      <c r="AU666" s="78" t="str">
        <f t="shared" si="120"/>
        <v/>
      </c>
      <c r="AV666" s="64" t="str">
        <f ca="1">IFERROR(__xludf.DUMMYFUNCTION("IF(TRIM(AU666)="""","""",AU666/INDEX(FILTER(AT$3:AT666,TRIM(AT$3:AT666)&lt;&gt;""""),ROWS(FILTER(AT$3:AT666,TRIM(AT$3:AT666)&lt;&gt;"""")))-1)"),"")</f>
        <v/>
      </c>
      <c r="AW666" s="65" t="e">
        <f t="shared" ca="1" si="112"/>
        <v>#VALUE!</v>
      </c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</row>
    <row r="667" spans="1:68" ht="19" x14ac:dyDescent="0.25">
      <c r="A667" s="5"/>
      <c r="B667" s="5"/>
      <c r="C667" s="5"/>
      <c r="D667" s="5"/>
      <c r="E667" s="5"/>
      <c r="F667" s="5"/>
      <c r="G667" s="5"/>
      <c r="H667" s="6"/>
      <c r="I667" s="5"/>
      <c r="J667" s="83"/>
      <c r="K667" s="83"/>
      <c r="L667" s="83"/>
      <c r="M667" s="83"/>
      <c r="N667" s="83"/>
      <c r="O667" s="83"/>
      <c r="P667" s="83"/>
      <c r="Q667" s="84"/>
      <c r="R667" s="83"/>
      <c r="S667" s="83"/>
      <c r="T667" s="85"/>
      <c r="U667" s="6"/>
      <c r="V667" s="44">
        <v>44881</v>
      </c>
      <c r="W667" s="45">
        <v>144.52000000000001</v>
      </c>
      <c r="X667" s="46"/>
      <c r="Y667" s="61"/>
      <c r="Z667" s="5"/>
      <c r="AA667" s="5"/>
      <c r="AB667" s="5"/>
      <c r="AC667" s="5"/>
      <c r="AD667" s="5"/>
      <c r="AE667" s="5"/>
      <c r="AF667" s="5"/>
      <c r="AG667" s="5"/>
      <c r="AH667" s="6"/>
      <c r="AI667" s="44">
        <v>44881</v>
      </c>
      <c r="AJ667" s="53">
        <v>144.52000000000001</v>
      </c>
      <c r="AK667" s="54">
        <f t="shared" si="110"/>
        <v>1.2470555632535518E-3</v>
      </c>
      <c r="AL667" s="55">
        <f t="shared" si="113"/>
        <v>17.782294081145121</v>
      </c>
      <c r="AM667" s="56">
        <v>25</v>
      </c>
      <c r="AN667" s="57">
        <f t="shared" si="111"/>
        <v>7.2177059188548789</v>
      </c>
      <c r="AO667" s="76">
        <f t="shared" si="114"/>
        <v>-0.48925390707115712</v>
      </c>
      <c r="AP667" s="63" t="str">
        <f t="shared" si="115"/>
        <v/>
      </c>
      <c r="AQ667" s="63" t="str">
        <f t="shared" si="116"/>
        <v>Sell Stocks</v>
      </c>
      <c r="AR667" s="63" t="str">
        <f t="shared" si="117"/>
        <v/>
      </c>
      <c r="AS667" s="63" t="str">
        <f t="shared" si="118"/>
        <v/>
      </c>
      <c r="AT667" s="78" t="str">
        <f t="shared" si="119"/>
        <v/>
      </c>
      <c r="AU667" s="78" t="str">
        <f t="shared" si="120"/>
        <v/>
      </c>
      <c r="AV667" s="64" t="str">
        <f ca="1">IFERROR(__xludf.DUMMYFUNCTION("IF(TRIM(AU667)="""","""",AU667/INDEX(FILTER(AT$3:AT667,TRIM(AT$3:AT667)&lt;&gt;""""),ROWS(FILTER(AT$3:AT667,TRIM(AT$3:AT667)&lt;&gt;"""")))-1)"),"")</f>
        <v/>
      </c>
      <c r="AW667" s="65" t="e">
        <f t="shared" ca="1" si="112"/>
        <v>#VALUE!</v>
      </c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</row>
    <row r="668" spans="1:68" ht="19" x14ac:dyDescent="0.25">
      <c r="A668" s="5"/>
      <c r="B668" s="5"/>
      <c r="C668" s="5"/>
      <c r="D668" s="5"/>
      <c r="E668" s="5"/>
      <c r="F668" s="5"/>
      <c r="G668" s="5"/>
      <c r="H668" s="6"/>
      <c r="I668" s="5"/>
      <c r="J668" s="83"/>
      <c r="K668" s="83"/>
      <c r="L668" s="83"/>
      <c r="M668" s="83"/>
      <c r="N668" s="83"/>
      <c r="O668" s="83"/>
      <c r="P668" s="83"/>
      <c r="Q668" s="84"/>
      <c r="R668" s="83"/>
      <c r="S668" s="83"/>
      <c r="T668" s="85"/>
      <c r="U668" s="6"/>
      <c r="V668" s="44">
        <v>44882</v>
      </c>
      <c r="W668" s="45">
        <v>146.09</v>
      </c>
      <c r="X668" s="46"/>
      <c r="Y668" s="61"/>
      <c r="Z668" s="5"/>
      <c r="AA668" s="5"/>
      <c r="AB668" s="5"/>
      <c r="AC668" s="5"/>
      <c r="AD668" s="5"/>
      <c r="AE668" s="5"/>
      <c r="AF668" s="5"/>
      <c r="AG668" s="5"/>
      <c r="AH668" s="6"/>
      <c r="AI668" s="44">
        <v>44882</v>
      </c>
      <c r="AJ668" s="53">
        <v>146.09</v>
      </c>
      <c r="AK668" s="54">
        <f t="shared" si="110"/>
        <v>1.0863548297813441E-2</v>
      </c>
      <c r="AL668" s="55">
        <f t="shared" si="113"/>
        <v>9.0357951667772678</v>
      </c>
      <c r="AM668" s="56">
        <v>25</v>
      </c>
      <c r="AN668" s="57">
        <f t="shared" si="111"/>
        <v>15.964204833222732</v>
      </c>
      <c r="AO668" s="76">
        <f t="shared" si="114"/>
        <v>3.2857332531384826</v>
      </c>
      <c r="AP668" s="63" t="str">
        <f t="shared" si="115"/>
        <v>Buy Stocks</v>
      </c>
      <c r="AQ668" s="63" t="str">
        <f t="shared" si="116"/>
        <v/>
      </c>
      <c r="AR668" s="63" t="str">
        <f t="shared" si="117"/>
        <v>Buy Stocks</v>
      </c>
      <c r="AS668" s="63" t="str">
        <f t="shared" si="118"/>
        <v/>
      </c>
      <c r="AT668" s="77">
        <f t="shared" si="119"/>
        <v>146.09</v>
      </c>
      <c r="AU668" s="78" t="str">
        <f t="shared" si="120"/>
        <v/>
      </c>
      <c r="AV668" s="64" t="str">
        <f ca="1">IFERROR(__xludf.DUMMYFUNCTION("IF(TRIM(AU668)="""","""",AU668/INDEX(FILTER(AT$3:AT668,TRIM(AT$3:AT668)&lt;&gt;""""),ROWS(FILTER(AT$3:AT668,TRIM(AT$3:AT668)&lt;&gt;"""")))-1)"),"")</f>
        <v/>
      </c>
      <c r="AW668" s="65" t="e">
        <f t="shared" ca="1" si="112"/>
        <v>#VALUE!</v>
      </c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</row>
    <row r="669" spans="1:68" ht="19" x14ac:dyDescent="0.25">
      <c r="A669" s="5"/>
      <c r="B669" s="5"/>
      <c r="C669" s="5"/>
      <c r="D669" s="5"/>
      <c r="E669" s="5"/>
      <c r="F669" s="5"/>
      <c r="G669" s="5"/>
      <c r="H669" s="6"/>
      <c r="I669" s="5"/>
      <c r="J669" s="83"/>
      <c r="K669" s="83"/>
      <c r="L669" s="83"/>
      <c r="M669" s="83"/>
      <c r="N669" s="83"/>
      <c r="O669" s="83"/>
      <c r="P669" s="83"/>
      <c r="Q669" s="84"/>
      <c r="R669" s="83"/>
      <c r="S669" s="83"/>
      <c r="T669" s="85"/>
      <c r="U669" s="6"/>
      <c r="V669" s="44">
        <v>44883</v>
      </c>
      <c r="W669" s="45">
        <v>147.63999999999999</v>
      </c>
      <c r="X669" s="46"/>
      <c r="Y669" s="61"/>
      <c r="Z669" s="5"/>
      <c r="AA669" s="5"/>
      <c r="AB669" s="5"/>
      <c r="AC669" s="5"/>
      <c r="AD669" s="5"/>
      <c r="AE669" s="5"/>
      <c r="AF669" s="5"/>
      <c r="AG669" s="5"/>
      <c r="AH669" s="6"/>
      <c r="AI669" s="44">
        <v>44883</v>
      </c>
      <c r="AJ669" s="53">
        <v>147.63999999999999</v>
      </c>
      <c r="AK669" s="54">
        <f t="shared" si="110"/>
        <v>1.0609898008077101E-2</v>
      </c>
      <c r="AL669" s="55">
        <f t="shared" si="113"/>
        <v>7.6977945776344843</v>
      </c>
      <c r="AM669" s="56">
        <v>25</v>
      </c>
      <c r="AN669" s="57">
        <f t="shared" si="111"/>
        <v>17.302205422365518</v>
      </c>
      <c r="AO669" s="76">
        <f t="shared" si="114"/>
        <v>7.1834998316548688</v>
      </c>
      <c r="AP669" s="63" t="str">
        <f t="shared" si="115"/>
        <v>Buy Stocks</v>
      </c>
      <c r="AQ669" s="63" t="str">
        <f t="shared" si="116"/>
        <v/>
      </c>
      <c r="AR669" s="63" t="str">
        <f t="shared" si="117"/>
        <v/>
      </c>
      <c r="AS669" s="63" t="str">
        <f t="shared" si="118"/>
        <v/>
      </c>
      <c r="AT669" s="78" t="str">
        <f t="shared" si="119"/>
        <v/>
      </c>
      <c r="AU669" s="78" t="str">
        <f t="shared" si="120"/>
        <v/>
      </c>
      <c r="AV669" s="64" t="str">
        <f ca="1">IFERROR(__xludf.DUMMYFUNCTION("IF(TRIM(AU669)="""","""",AU669/INDEX(FILTER(AT$3:AT669,TRIM(AT$3:AT669)&lt;&gt;""""),ROWS(FILTER(AT$3:AT669,TRIM(AT$3:AT669)&lt;&gt;"""")))-1)"),"")</f>
        <v/>
      </c>
      <c r="AW669" s="65" t="e">
        <f t="shared" ca="1" si="112"/>
        <v>#VALUE!</v>
      </c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</row>
    <row r="670" spans="1:68" ht="19" x14ac:dyDescent="0.25">
      <c r="A670" s="5"/>
      <c r="B670" s="5"/>
      <c r="C670" s="5"/>
      <c r="D670" s="5"/>
      <c r="E670" s="5"/>
      <c r="F670" s="5"/>
      <c r="G670" s="5"/>
      <c r="H670" s="6"/>
      <c r="I670" s="5"/>
      <c r="J670" s="83"/>
      <c r="K670" s="83"/>
      <c r="L670" s="83"/>
      <c r="M670" s="83"/>
      <c r="N670" s="83"/>
      <c r="O670" s="83"/>
      <c r="P670" s="83"/>
      <c r="Q670" s="84"/>
      <c r="R670" s="83"/>
      <c r="S670" s="83"/>
      <c r="T670" s="85"/>
      <c r="U670" s="6"/>
      <c r="V670" s="44">
        <v>44886</v>
      </c>
      <c r="W670" s="45">
        <v>146.68</v>
      </c>
      <c r="X670" s="46"/>
      <c r="Y670" s="61"/>
      <c r="Z670" s="5"/>
      <c r="AA670" s="5"/>
      <c r="AB670" s="5"/>
      <c r="AC670" s="5"/>
      <c r="AD670" s="5"/>
      <c r="AE670" s="5"/>
      <c r="AF670" s="5"/>
      <c r="AG670" s="5"/>
      <c r="AH670" s="6"/>
      <c r="AI670" s="44">
        <v>44886</v>
      </c>
      <c r="AJ670" s="53">
        <v>146.68</v>
      </c>
      <c r="AK670" s="54">
        <f t="shared" si="110"/>
        <v>-6.5023028989432685E-3</v>
      </c>
      <c r="AL670" s="55">
        <f t="shared" si="113"/>
        <v>11.672661196842483</v>
      </c>
      <c r="AM670" s="56">
        <v>25</v>
      </c>
      <c r="AN670" s="57">
        <f t="shared" si="111"/>
        <v>13.327338803157517</v>
      </c>
      <c r="AO670" s="76">
        <f t="shared" si="114"/>
        <v>10.28765820671012</v>
      </c>
      <c r="AP670" s="63" t="str">
        <f t="shared" si="115"/>
        <v>Buy Stocks</v>
      </c>
      <c r="AQ670" s="63" t="str">
        <f t="shared" si="116"/>
        <v/>
      </c>
      <c r="AR670" s="63" t="str">
        <f t="shared" si="117"/>
        <v/>
      </c>
      <c r="AS670" s="63" t="str">
        <f t="shared" si="118"/>
        <v/>
      </c>
      <c r="AT670" s="78" t="str">
        <f t="shared" si="119"/>
        <v/>
      </c>
      <c r="AU670" s="78" t="str">
        <f t="shared" si="120"/>
        <v/>
      </c>
      <c r="AV670" s="64" t="str">
        <f ca="1">IFERROR(__xludf.DUMMYFUNCTION("IF(TRIM(AU670)="""","""",AU670/INDEX(FILTER(AT$3:AT670,TRIM(AT$3:AT670)&lt;&gt;""""),ROWS(FILTER(AT$3:AT670,TRIM(AT$3:AT670)&lt;&gt;"""")))-1)"),"")</f>
        <v/>
      </c>
      <c r="AW670" s="65" t="e">
        <f t="shared" ca="1" si="112"/>
        <v>#VALUE!</v>
      </c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</row>
    <row r="671" spans="1:68" ht="19" x14ac:dyDescent="0.25">
      <c r="A671" s="5"/>
      <c r="B671" s="5"/>
      <c r="C671" s="5"/>
      <c r="D671" s="5"/>
      <c r="E671" s="5"/>
      <c r="F671" s="5"/>
      <c r="G671" s="5"/>
      <c r="H671" s="6"/>
      <c r="I671" s="5"/>
      <c r="J671" s="83"/>
      <c r="K671" s="83"/>
      <c r="L671" s="83"/>
      <c r="M671" s="83"/>
      <c r="N671" s="83"/>
      <c r="O671" s="83"/>
      <c r="P671" s="83"/>
      <c r="Q671" s="84"/>
      <c r="R671" s="83"/>
      <c r="S671" s="83"/>
      <c r="T671" s="85"/>
      <c r="U671" s="6"/>
      <c r="V671" s="44">
        <v>44887</v>
      </c>
      <c r="W671" s="45">
        <v>149.1</v>
      </c>
      <c r="X671" s="46"/>
      <c r="Y671" s="61"/>
      <c r="Z671" s="5"/>
      <c r="AA671" s="5"/>
      <c r="AB671" s="5"/>
      <c r="AC671" s="5"/>
      <c r="AD671" s="5"/>
      <c r="AE671" s="5"/>
      <c r="AF671" s="5"/>
      <c r="AG671" s="5"/>
      <c r="AH671" s="6"/>
      <c r="AI671" s="44">
        <v>44887</v>
      </c>
      <c r="AJ671" s="53">
        <v>149.1</v>
      </c>
      <c r="AK671" s="54">
        <f t="shared" si="110"/>
        <v>1.6498500136351124E-2</v>
      </c>
      <c r="AL671" s="55">
        <f t="shared" si="113"/>
        <v>14.474246536269838</v>
      </c>
      <c r="AM671" s="56">
        <v>25</v>
      </c>
      <c r="AN671" s="57">
        <f t="shared" si="111"/>
        <v>10.525753463730162</v>
      </c>
      <c r="AO671" s="76">
        <f t="shared" si="114"/>
        <v>12.86744168826616</v>
      </c>
      <c r="AP671" s="63" t="str">
        <f t="shared" si="115"/>
        <v>Buy Stocks</v>
      </c>
      <c r="AQ671" s="63" t="str">
        <f t="shared" si="116"/>
        <v/>
      </c>
      <c r="AR671" s="63" t="str">
        <f t="shared" si="117"/>
        <v/>
      </c>
      <c r="AS671" s="63" t="str">
        <f t="shared" si="118"/>
        <v/>
      </c>
      <c r="AT671" s="78" t="str">
        <f t="shared" si="119"/>
        <v/>
      </c>
      <c r="AU671" s="78" t="str">
        <f t="shared" si="120"/>
        <v/>
      </c>
      <c r="AV671" s="64" t="str">
        <f ca="1">IFERROR(__xludf.DUMMYFUNCTION("IF(TRIM(AU671)="""","""",AU671/INDEX(FILTER(AT$3:AT671,TRIM(AT$3:AT671)&lt;&gt;""""),ROWS(FILTER(AT$3:AT671,TRIM(AT$3:AT671)&lt;&gt;"""")))-1)"),"")</f>
        <v/>
      </c>
      <c r="AW671" s="65" t="e">
        <f t="shared" ca="1" si="112"/>
        <v>#VALUE!</v>
      </c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</row>
    <row r="672" spans="1:68" ht="19" x14ac:dyDescent="0.25">
      <c r="A672" s="5"/>
      <c r="B672" s="5"/>
      <c r="C672" s="5"/>
      <c r="D672" s="5"/>
      <c r="E672" s="5"/>
      <c r="F672" s="5"/>
      <c r="G672" s="5"/>
      <c r="H672" s="6"/>
      <c r="I672" s="5"/>
      <c r="J672" s="83"/>
      <c r="K672" s="83"/>
      <c r="L672" s="83"/>
      <c r="M672" s="83"/>
      <c r="N672" s="83"/>
      <c r="O672" s="83"/>
      <c r="P672" s="83"/>
      <c r="Q672" s="84"/>
      <c r="R672" s="83"/>
      <c r="S672" s="83"/>
      <c r="T672" s="85"/>
      <c r="U672" s="6"/>
      <c r="V672" s="44">
        <v>44888</v>
      </c>
      <c r="W672" s="45">
        <v>148.75</v>
      </c>
      <c r="X672" s="46"/>
      <c r="Y672" s="61"/>
      <c r="Z672" s="5"/>
      <c r="AA672" s="5"/>
      <c r="AB672" s="5"/>
      <c r="AC672" s="5"/>
      <c r="AD672" s="5"/>
      <c r="AE672" s="5"/>
      <c r="AF672" s="5"/>
      <c r="AG672" s="5"/>
      <c r="AH672" s="6"/>
      <c r="AI672" s="44">
        <v>44888</v>
      </c>
      <c r="AJ672" s="53">
        <v>148.75</v>
      </c>
      <c r="AK672" s="54">
        <f t="shared" si="110"/>
        <v>-2.3474178403755097E-3</v>
      </c>
      <c r="AL672" s="55">
        <f t="shared" si="113"/>
        <v>15.492019814478923</v>
      </c>
      <c r="AM672" s="56">
        <v>25</v>
      </c>
      <c r="AN672" s="57">
        <f t="shared" si="111"/>
        <v>9.5079801855210775</v>
      </c>
      <c r="AO672" s="76">
        <f t="shared" si="114"/>
        <v>13.325496541599401</v>
      </c>
      <c r="AP672" s="63" t="str">
        <f t="shared" si="115"/>
        <v>Buy Stocks</v>
      </c>
      <c r="AQ672" s="63" t="str">
        <f t="shared" si="116"/>
        <v/>
      </c>
      <c r="AR672" s="63" t="str">
        <f t="shared" si="117"/>
        <v/>
      </c>
      <c r="AS672" s="63" t="str">
        <f t="shared" si="118"/>
        <v/>
      </c>
      <c r="AT672" s="78" t="str">
        <f t="shared" si="119"/>
        <v/>
      </c>
      <c r="AU672" s="78" t="str">
        <f t="shared" si="120"/>
        <v/>
      </c>
      <c r="AV672" s="64" t="str">
        <f ca="1">IFERROR(__xludf.DUMMYFUNCTION("IF(TRIM(AU672)="""","""",AU672/INDEX(FILTER(AT$3:AT672,TRIM(AT$3:AT672)&lt;&gt;""""),ROWS(FILTER(AT$3:AT672,TRIM(AT$3:AT672)&lt;&gt;"""")))-1)"),"")</f>
        <v/>
      </c>
      <c r="AW672" s="65" t="e">
        <f t="shared" ca="1" si="112"/>
        <v>#VALUE!</v>
      </c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</row>
    <row r="673" spans="1:68" ht="19" x14ac:dyDescent="0.25">
      <c r="A673" s="5"/>
      <c r="B673" s="5"/>
      <c r="C673" s="5"/>
      <c r="D673" s="5"/>
      <c r="E673" s="5"/>
      <c r="F673" s="5"/>
      <c r="G673" s="5"/>
      <c r="H673" s="6"/>
      <c r="I673" s="5"/>
      <c r="J673" s="83"/>
      <c r="K673" s="83"/>
      <c r="L673" s="83"/>
      <c r="M673" s="83"/>
      <c r="N673" s="83"/>
      <c r="O673" s="83"/>
      <c r="P673" s="83"/>
      <c r="Q673" s="84"/>
      <c r="R673" s="83"/>
      <c r="S673" s="83"/>
      <c r="T673" s="85"/>
      <c r="U673" s="6"/>
      <c r="V673" s="44">
        <v>44890</v>
      </c>
      <c r="W673" s="45">
        <v>148.37</v>
      </c>
      <c r="X673" s="46"/>
      <c r="Y673" s="61"/>
      <c r="Z673" s="5"/>
      <c r="AA673" s="5"/>
      <c r="AB673" s="5"/>
      <c r="AC673" s="5"/>
      <c r="AD673" s="5"/>
      <c r="AE673" s="5"/>
      <c r="AF673" s="5"/>
      <c r="AG673" s="5"/>
      <c r="AH673" s="6"/>
      <c r="AI673" s="44">
        <v>44890</v>
      </c>
      <c r="AJ673" s="53">
        <v>148.37</v>
      </c>
      <c r="AK673" s="54">
        <f t="shared" si="110"/>
        <v>-2.5546218487394468E-3</v>
      </c>
      <c r="AL673" s="55">
        <f t="shared" si="113"/>
        <v>15.670064685916207</v>
      </c>
      <c r="AM673" s="56">
        <v>25</v>
      </c>
      <c r="AN673" s="57">
        <f t="shared" si="111"/>
        <v>9.3299353140837926</v>
      </c>
      <c r="AO673" s="76">
        <f t="shared" si="114"/>
        <v>11.998642637771614</v>
      </c>
      <c r="AP673" s="63" t="str">
        <f t="shared" si="115"/>
        <v>Buy Stocks</v>
      </c>
      <c r="AQ673" s="63" t="str">
        <f t="shared" si="116"/>
        <v/>
      </c>
      <c r="AR673" s="63" t="str">
        <f t="shared" si="117"/>
        <v/>
      </c>
      <c r="AS673" s="63" t="str">
        <f t="shared" si="118"/>
        <v/>
      </c>
      <c r="AT673" s="78" t="str">
        <f t="shared" si="119"/>
        <v/>
      </c>
      <c r="AU673" s="78" t="str">
        <f t="shared" si="120"/>
        <v/>
      </c>
      <c r="AV673" s="64" t="str">
        <f ca="1">IFERROR(__xludf.DUMMYFUNCTION("IF(TRIM(AU673)="""","""",AU673/INDEX(FILTER(AT$3:AT673,TRIM(AT$3:AT673)&lt;&gt;""""),ROWS(FILTER(AT$3:AT673,TRIM(AT$3:AT673)&lt;&gt;"""")))-1)"),"")</f>
        <v/>
      </c>
      <c r="AW673" s="65" t="e">
        <f t="shared" ca="1" si="112"/>
        <v>#VALUE!</v>
      </c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</row>
    <row r="674" spans="1:68" ht="19" x14ac:dyDescent="0.25">
      <c r="A674" s="5"/>
      <c r="B674" s="5"/>
      <c r="C674" s="5"/>
      <c r="D674" s="5"/>
      <c r="E674" s="5"/>
      <c r="F674" s="5"/>
      <c r="G674" s="5"/>
      <c r="H674" s="6"/>
      <c r="I674" s="5"/>
      <c r="J674" s="83"/>
      <c r="K674" s="83"/>
      <c r="L674" s="83"/>
      <c r="M674" s="83"/>
      <c r="N674" s="83"/>
      <c r="O674" s="83"/>
      <c r="P674" s="83"/>
      <c r="Q674" s="84"/>
      <c r="R674" s="83"/>
      <c r="S674" s="83"/>
      <c r="T674" s="85"/>
      <c r="U674" s="6"/>
      <c r="V674" s="44">
        <v>44893</v>
      </c>
      <c r="W674" s="45">
        <v>146.18</v>
      </c>
      <c r="X674" s="46"/>
      <c r="Y674" s="61"/>
      <c r="Z674" s="5"/>
      <c r="AA674" s="5"/>
      <c r="AB674" s="5"/>
      <c r="AC674" s="5"/>
      <c r="AD674" s="5"/>
      <c r="AE674" s="5"/>
      <c r="AF674" s="5"/>
      <c r="AG674" s="5"/>
      <c r="AH674" s="6"/>
      <c r="AI674" s="44">
        <v>44893</v>
      </c>
      <c r="AJ674" s="53">
        <v>146.18</v>
      </c>
      <c r="AK674" s="54">
        <f t="shared" si="110"/>
        <v>-1.4760396306530921E-2</v>
      </c>
      <c r="AL674" s="55">
        <f t="shared" si="113"/>
        <v>18.198636103571737</v>
      </c>
      <c r="AM674" s="56">
        <v>25</v>
      </c>
      <c r="AN674" s="57">
        <f t="shared" si="111"/>
        <v>6.8013638964282634</v>
      </c>
      <c r="AO674" s="76">
        <f t="shared" si="114"/>
        <v>9.8984743325841613</v>
      </c>
      <c r="AP674" s="63" t="str">
        <f t="shared" si="115"/>
        <v>Buy Stocks</v>
      </c>
      <c r="AQ674" s="63" t="str">
        <f t="shared" si="116"/>
        <v/>
      </c>
      <c r="AR674" s="63" t="str">
        <f t="shared" si="117"/>
        <v/>
      </c>
      <c r="AS674" s="63" t="str">
        <f t="shared" si="118"/>
        <v/>
      </c>
      <c r="AT674" s="78" t="str">
        <f t="shared" si="119"/>
        <v/>
      </c>
      <c r="AU674" s="78" t="str">
        <f t="shared" si="120"/>
        <v/>
      </c>
      <c r="AV674" s="64" t="str">
        <f ca="1">IFERROR(__xludf.DUMMYFUNCTION("IF(TRIM(AU674)="""","""",AU674/INDEX(FILTER(AT$3:AT674,TRIM(AT$3:AT674)&lt;&gt;""""),ROWS(FILTER(AT$3:AT674,TRIM(AT$3:AT674)&lt;&gt;"""")))-1)"),"")</f>
        <v/>
      </c>
      <c r="AW674" s="65" t="e">
        <f t="shared" ca="1" si="112"/>
        <v>#VALUE!</v>
      </c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</row>
    <row r="675" spans="1:68" ht="19" x14ac:dyDescent="0.25">
      <c r="A675" s="5"/>
      <c r="B675" s="5"/>
      <c r="C675" s="5"/>
      <c r="D675" s="5"/>
      <c r="E675" s="5"/>
      <c r="F675" s="5"/>
      <c r="G675" s="5"/>
      <c r="H675" s="6"/>
      <c r="I675" s="5"/>
      <c r="J675" s="83"/>
      <c r="K675" s="83"/>
      <c r="L675" s="83"/>
      <c r="M675" s="83"/>
      <c r="N675" s="83"/>
      <c r="O675" s="83"/>
      <c r="P675" s="83"/>
      <c r="Q675" s="84"/>
      <c r="R675" s="83"/>
      <c r="S675" s="83"/>
      <c r="T675" s="85"/>
      <c r="U675" s="6"/>
      <c r="V675" s="44">
        <v>44894</v>
      </c>
      <c r="W675" s="45">
        <v>146.49</v>
      </c>
      <c r="X675" s="46"/>
      <c r="Y675" s="61"/>
      <c r="Z675" s="5"/>
      <c r="AA675" s="5"/>
      <c r="AB675" s="5"/>
      <c r="AC675" s="5"/>
      <c r="AD675" s="5"/>
      <c r="AE675" s="5"/>
      <c r="AF675" s="5"/>
      <c r="AG675" s="5"/>
      <c r="AH675" s="6"/>
      <c r="AI675" s="44">
        <v>44894</v>
      </c>
      <c r="AJ675" s="53">
        <v>146.49</v>
      </c>
      <c r="AK675" s="54">
        <f t="shared" si="110"/>
        <v>2.120673142700813E-3</v>
      </c>
      <c r="AL675" s="55">
        <f t="shared" si="113"/>
        <v>17.861217257933049</v>
      </c>
      <c r="AM675" s="56">
        <v>25</v>
      </c>
      <c r="AN675" s="57">
        <f t="shared" si="111"/>
        <v>7.138782742066951</v>
      </c>
      <c r="AO675" s="76">
        <f t="shared" si="114"/>
        <v>8.6607631203660489</v>
      </c>
      <c r="AP675" s="63" t="str">
        <f t="shared" si="115"/>
        <v>Buy Stocks</v>
      </c>
      <c r="AQ675" s="63" t="str">
        <f t="shared" si="116"/>
        <v/>
      </c>
      <c r="AR675" s="63" t="str">
        <f t="shared" si="117"/>
        <v/>
      </c>
      <c r="AS675" s="63" t="str">
        <f t="shared" si="118"/>
        <v/>
      </c>
      <c r="AT675" s="78" t="str">
        <f t="shared" si="119"/>
        <v/>
      </c>
      <c r="AU675" s="78" t="str">
        <f t="shared" si="120"/>
        <v/>
      </c>
      <c r="AV675" s="64" t="str">
        <f ca="1">IFERROR(__xludf.DUMMYFUNCTION("IF(TRIM(AU675)="""","""",AU675/INDEX(FILTER(AT$3:AT675,TRIM(AT$3:AT675)&lt;&gt;""""),ROWS(FILTER(AT$3:AT675,TRIM(AT$3:AT675)&lt;&gt;"""")))-1)"),"")</f>
        <v/>
      </c>
      <c r="AW675" s="65" t="e">
        <f t="shared" ca="1" si="112"/>
        <v>#VALUE!</v>
      </c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</row>
    <row r="676" spans="1:68" ht="19" x14ac:dyDescent="0.25">
      <c r="A676" s="5"/>
      <c r="B676" s="5"/>
      <c r="C676" s="5"/>
      <c r="D676" s="5"/>
      <c r="E676" s="5"/>
      <c r="F676" s="5"/>
      <c r="G676" s="5"/>
      <c r="H676" s="6"/>
      <c r="I676" s="5"/>
      <c r="J676" s="83"/>
      <c r="K676" s="83"/>
      <c r="L676" s="83"/>
      <c r="M676" s="83"/>
      <c r="N676" s="83"/>
      <c r="O676" s="83"/>
      <c r="P676" s="83"/>
      <c r="Q676" s="84"/>
      <c r="R676" s="83"/>
      <c r="S676" s="83"/>
      <c r="T676" s="85"/>
      <c r="U676" s="6"/>
      <c r="V676" s="44">
        <v>44895</v>
      </c>
      <c r="W676" s="45">
        <v>148.9</v>
      </c>
      <c r="X676" s="46"/>
      <c r="Y676" s="61"/>
      <c r="Z676" s="5"/>
      <c r="AA676" s="5"/>
      <c r="AB676" s="5"/>
      <c r="AC676" s="5"/>
      <c r="AD676" s="5"/>
      <c r="AE676" s="5"/>
      <c r="AF676" s="5"/>
      <c r="AG676" s="5"/>
      <c r="AH676" s="6"/>
      <c r="AI676" s="44">
        <v>44895</v>
      </c>
      <c r="AJ676" s="53">
        <v>148.9</v>
      </c>
      <c r="AK676" s="54">
        <f t="shared" si="110"/>
        <v>1.6451634923885461E-2</v>
      </c>
      <c r="AL676" s="55">
        <f t="shared" si="113"/>
        <v>17.833609526030092</v>
      </c>
      <c r="AM676" s="56">
        <v>25</v>
      </c>
      <c r="AN676" s="57">
        <f t="shared" si="111"/>
        <v>7.1663904739699085</v>
      </c>
      <c r="AO676" s="76">
        <f t="shared" si="114"/>
        <v>7.9888905224139988</v>
      </c>
      <c r="AP676" s="63" t="str">
        <f t="shared" si="115"/>
        <v>Buy Stocks</v>
      </c>
      <c r="AQ676" s="63" t="str">
        <f t="shared" si="116"/>
        <v/>
      </c>
      <c r="AR676" s="63" t="str">
        <f t="shared" si="117"/>
        <v/>
      </c>
      <c r="AS676" s="63" t="str">
        <f t="shared" si="118"/>
        <v/>
      </c>
      <c r="AT676" s="78" t="str">
        <f t="shared" si="119"/>
        <v/>
      </c>
      <c r="AU676" s="78" t="str">
        <f t="shared" si="120"/>
        <v/>
      </c>
      <c r="AV676" s="64" t="str">
        <f ca="1">IFERROR(__xludf.DUMMYFUNCTION("IF(TRIM(AU676)="""","""",AU676/INDEX(FILTER(AT$3:AT676,TRIM(AT$3:AT676)&lt;&gt;""""),ROWS(FILTER(AT$3:AT676,TRIM(AT$3:AT676)&lt;&gt;"""")))-1)"),"")</f>
        <v/>
      </c>
      <c r="AW676" s="65" t="e">
        <f t="shared" ca="1" si="112"/>
        <v>#VALUE!</v>
      </c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</row>
    <row r="677" spans="1:68" ht="19" x14ac:dyDescent="0.25">
      <c r="A677" s="5"/>
      <c r="B677" s="5"/>
      <c r="C677" s="5"/>
      <c r="D677" s="5"/>
      <c r="E677" s="5"/>
      <c r="F677" s="5"/>
      <c r="G677" s="5"/>
      <c r="H677" s="6"/>
      <c r="I677" s="5"/>
      <c r="J677" s="83"/>
      <c r="K677" s="83"/>
      <c r="L677" s="83"/>
      <c r="M677" s="83"/>
      <c r="N677" s="83"/>
      <c r="O677" s="83"/>
      <c r="P677" s="83"/>
      <c r="Q677" s="84"/>
      <c r="R677" s="83"/>
      <c r="S677" s="83"/>
      <c r="T677" s="85"/>
      <c r="U677" s="6"/>
      <c r="V677" s="44">
        <v>44896</v>
      </c>
      <c r="W677" s="45">
        <v>149.16</v>
      </c>
      <c r="X677" s="46"/>
      <c r="Y677" s="61"/>
      <c r="Z677" s="5"/>
      <c r="AA677" s="5"/>
      <c r="AB677" s="5"/>
      <c r="AC677" s="5"/>
      <c r="AD677" s="5"/>
      <c r="AE677" s="5"/>
      <c r="AF677" s="5"/>
      <c r="AG677" s="5"/>
      <c r="AH677" s="6"/>
      <c r="AI677" s="44">
        <v>44896</v>
      </c>
      <c r="AJ677" s="53">
        <v>149.16</v>
      </c>
      <c r="AK677" s="54">
        <f t="shared" si="110"/>
        <v>1.7461383478845072E-3</v>
      </c>
      <c r="AL677" s="55">
        <f t="shared" si="113"/>
        <v>17.762322687353187</v>
      </c>
      <c r="AM677" s="56">
        <v>25</v>
      </c>
      <c r="AN677" s="57">
        <f t="shared" si="111"/>
        <v>7.237677312646813</v>
      </c>
      <c r="AO677" s="76">
        <f t="shared" si="114"/>
        <v>7.5348299478391452</v>
      </c>
      <c r="AP677" s="63" t="str">
        <f t="shared" si="115"/>
        <v>Buy Stocks</v>
      </c>
      <c r="AQ677" s="63" t="str">
        <f t="shared" si="116"/>
        <v/>
      </c>
      <c r="AR677" s="63" t="str">
        <f t="shared" si="117"/>
        <v/>
      </c>
      <c r="AS677" s="63" t="str">
        <f t="shared" si="118"/>
        <v/>
      </c>
      <c r="AT677" s="78" t="str">
        <f t="shared" si="119"/>
        <v/>
      </c>
      <c r="AU677" s="78" t="str">
        <f t="shared" si="120"/>
        <v/>
      </c>
      <c r="AV677" s="64" t="str">
        <f ca="1">IFERROR(__xludf.DUMMYFUNCTION("IF(TRIM(AU677)="""","""",AU677/INDEX(FILTER(AT$3:AT677,TRIM(AT$3:AT677)&lt;&gt;""""),ROWS(FILTER(AT$3:AT677,TRIM(AT$3:AT677)&lt;&gt;"""")))-1)"),"")</f>
        <v/>
      </c>
      <c r="AW677" s="65" t="e">
        <f t="shared" ca="1" si="112"/>
        <v>#VALUE!</v>
      </c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</row>
    <row r="678" spans="1:68" ht="19" x14ac:dyDescent="0.25">
      <c r="A678" s="5"/>
      <c r="B678" s="5"/>
      <c r="C678" s="5"/>
      <c r="D678" s="5"/>
      <c r="E678" s="5"/>
      <c r="F678" s="5"/>
      <c r="G678" s="5"/>
      <c r="H678" s="6"/>
      <c r="I678" s="5"/>
      <c r="J678" s="83"/>
      <c r="K678" s="83"/>
      <c r="L678" s="83"/>
      <c r="M678" s="83"/>
      <c r="N678" s="83"/>
      <c r="O678" s="83"/>
      <c r="P678" s="83"/>
      <c r="Q678" s="84"/>
      <c r="R678" s="83"/>
      <c r="S678" s="83"/>
      <c r="T678" s="85"/>
      <c r="U678" s="6"/>
      <c r="V678" s="44">
        <v>44897</v>
      </c>
      <c r="W678" s="45">
        <v>148.66999999999999</v>
      </c>
      <c r="X678" s="46"/>
      <c r="Y678" s="61"/>
      <c r="Z678" s="5"/>
      <c r="AA678" s="5"/>
      <c r="AB678" s="5"/>
      <c r="AC678" s="5"/>
      <c r="AD678" s="5"/>
      <c r="AE678" s="5"/>
      <c r="AF678" s="5"/>
      <c r="AG678" s="5"/>
      <c r="AH678" s="6"/>
      <c r="AI678" s="44">
        <v>44897</v>
      </c>
      <c r="AJ678" s="53">
        <v>148.66999999999999</v>
      </c>
      <c r="AK678" s="54">
        <f t="shared" si="110"/>
        <v>-3.2850630195763175E-3</v>
      </c>
      <c r="AL678" s="55">
        <f t="shared" si="113"/>
        <v>17.851415052462862</v>
      </c>
      <c r="AM678" s="56">
        <v>25</v>
      </c>
      <c r="AN678" s="57">
        <f t="shared" si="111"/>
        <v>7.1485849475371381</v>
      </c>
      <c r="AO678" s="76">
        <f t="shared" si="114"/>
        <v>7.0985598745298146</v>
      </c>
      <c r="AP678" s="63" t="str">
        <f t="shared" si="115"/>
        <v>Buy Stocks</v>
      </c>
      <c r="AQ678" s="63" t="str">
        <f t="shared" si="116"/>
        <v/>
      </c>
      <c r="AR678" s="63" t="str">
        <f t="shared" si="117"/>
        <v/>
      </c>
      <c r="AS678" s="63" t="str">
        <f t="shared" si="118"/>
        <v/>
      </c>
      <c r="AT678" s="78" t="str">
        <f t="shared" si="119"/>
        <v/>
      </c>
      <c r="AU678" s="78" t="str">
        <f t="shared" si="120"/>
        <v/>
      </c>
      <c r="AV678" s="64" t="str">
        <f ca="1">IFERROR(__xludf.DUMMYFUNCTION("IF(TRIM(AU678)="""","""",AU678/INDEX(FILTER(AT$3:AT678,TRIM(AT$3:AT678)&lt;&gt;""""),ROWS(FILTER(AT$3:AT678,TRIM(AT$3:AT678)&lt;&gt;"""")))-1)"),"")</f>
        <v/>
      </c>
      <c r="AW678" s="65" t="e">
        <f t="shared" ca="1" si="112"/>
        <v>#VALUE!</v>
      </c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</row>
    <row r="679" spans="1:68" ht="19" x14ac:dyDescent="0.25">
      <c r="A679" s="5"/>
      <c r="B679" s="5"/>
      <c r="C679" s="5"/>
      <c r="D679" s="5"/>
      <c r="E679" s="5"/>
      <c r="F679" s="5"/>
      <c r="G679" s="5"/>
      <c r="H679" s="6"/>
      <c r="I679" s="5"/>
      <c r="J679" s="83"/>
      <c r="K679" s="83"/>
      <c r="L679" s="83"/>
      <c r="M679" s="83"/>
      <c r="N679" s="83"/>
      <c r="O679" s="83"/>
      <c r="P679" s="83"/>
      <c r="Q679" s="84"/>
      <c r="R679" s="83"/>
      <c r="S679" s="83"/>
      <c r="T679" s="85"/>
      <c r="U679" s="6"/>
      <c r="V679" s="44">
        <v>44900</v>
      </c>
      <c r="W679" s="45">
        <v>147.41</v>
      </c>
      <c r="X679" s="46"/>
      <c r="Y679" s="61"/>
      <c r="Z679" s="5"/>
      <c r="AA679" s="5"/>
      <c r="AB679" s="5"/>
      <c r="AC679" s="5"/>
      <c r="AD679" s="5"/>
      <c r="AE679" s="5"/>
      <c r="AF679" s="5"/>
      <c r="AG679" s="5"/>
      <c r="AH679" s="6"/>
      <c r="AI679" s="44">
        <v>44900</v>
      </c>
      <c r="AJ679" s="53">
        <v>147.41</v>
      </c>
      <c r="AK679" s="54">
        <f t="shared" si="110"/>
        <v>-8.4751462971681679E-3</v>
      </c>
      <c r="AL679" s="55">
        <f t="shared" si="113"/>
        <v>14.767849233461828</v>
      </c>
      <c r="AM679" s="56">
        <v>25</v>
      </c>
      <c r="AN679" s="57">
        <f t="shared" si="111"/>
        <v>10.232150766538172</v>
      </c>
      <c r="AO679" s="76">
        <f t="shared" si="114"/>
        <v>7.7847172485517975</v>
      </c>
      <c r="AP679" s="63" t="str">
        <f t="shared" si="115"/>
        <v>Buy Stocks</v>
      </c>
      <c r="AQ679" s="63" t="str">
        <f t="shared" si="116"/>
        <v/>
      </c>
      <c r="AR679" s="63" t="str">
        <f t="shared" si="117"/>
        <v/>
      </c>
      <c r="AS679" s="63" t="str">
        <f t="shared" si="118"/>
        <v/>
      </c>
      <c r="AT679" s="78" t="str">
        <f t="shared" si="119"/>
        <v/>
      </c>
      <c r="AU679" s="78" t="str">
        <f t="shared" si="120"/>
        <v/>
      </c>
      <c r="AV679" s="64" t="str">
        <f ca="1">IFERROR(__xludf.DUMMYFUNCTION("IF(TRIM(AU679)="""","""",AU679/INDEX(FILTER(AT$3:AT679,TRIM(AT$3:AT679)&lt;&gt;""""),ROWS(FILTER(AT$3:AT679,TRIM(AT$3:AT679)&lt;&gt;"""")))-1)"),"")</f>
        <v/>
      </c>
      <c r="AW679" s="65" t="e">
        <f t="shared" ca="1" si="112"/>
        <v>#VALUE!</v>
      </c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</row>
    <row r="680" spans="1:68" ht="19" x14ac:dyDescent="0.25">
      <c r="A680" s="5"/>
      <c r="B680" s="5"/>
      <c r="C680" s="5"/>
      <c r="D680" s="5"/>
      <c r="E680" s="5"/>
      <c r="F680" s="5"/>
      <c r="G680" s="5"/>
      <c r="H680" s="6"/>
      <c r="I680" s="5"/>
      <c r="J680" s="83"/>
      <c r="K680" s="83"/>
      <c r="L680" s="83"/>
      <c r="M680" s="83"/>
      <c r="N680" s="83"/>
      <c r="O680" s="83"/>
      <c r="P680" s="83"/>
      <c r="Q680" s="84"/>
      <c r="R680" s="83"/>
      <c r="S680" s="83"/>
      <c r="T680" s="85"/>
      <c r="U680" s="6"/>
      <c r="V680" s="44">
        <v>44901</v>
      </c>
      <c r="W680" s="45">
        <v>147.5</v>
      </c>
      <c r="X680" s="46"/>
      <c r="Y680" s="61"/>
      <c r="Z680" s="5"/>
      <c r="AA680" s="5"/>
      <c r="AB680" s="5"/>
      <c r="AC680" s="5"/>
      <c r="AD680" s="5"/>
      <c r="AE680" s="5"/>
      <c r="AF680" s="5"/>
      <c r="AG680" s="5"/>
      <c r="AH680" s="6"/>
      <c r="AI680" s="44">
        <v>44901</v>
      </c>
      <c r="AJ680" s="53">
        <v>147.5</v>
      </c>
      <c r="AK680" s="54">
        <f t="shared" si="110"/>
        <v>6.105420256428129E-4</v>
      </c>
      <c r="AL680" s="55">
        <f t="shared" si="113"/>
        <v>14.780408013535528</v>
      </c>
      <c r="AM680" s="56">
        <v>25</v>
      </c>
      <c r="AN680" s="57">
        <f t="shared" si="111"/>
        <v>10.219591986464472</v>
      </c>
      <c r="AO680" s="76">
        <f t="shared" si="114"/>
        <v>8.4008790974313001</v>
      </c>
      <c r="AP680" s="63" t="str">
        <f t="shared" si="115"/>
        <v>Buy Stocks</v>
      </c>
      <c r="AQ680" s="63" t="str">
        <f t="shared" si="116"/>
        <v/>
      </c>
      <c r="AR680" s="63" t="str">
        <f t="shared" si="117"/>
        <v/>
      </c>
      <c r="AS680" s="63" t="str">
        <f t="shared" si="118"/>
        <v/>
      </c>
      <c r="AT680" s="78" t="str">
        <f t="shared" si="119"/>
        <v/>
      </c>
      <c r="AU680" s="78" t="str">
        <f t="shared" si="120"/>
        <v/>
      </c>
      <c r="AV680" s="64" t="str">
        <f ca="1">IFERROR(__xludf.DUMMYFUNCTION("IF(TRIM(AU680)="""","""",AU680/INDEX(FILTER(AT$3:AT680,TRIM(AT$3:AT680)&lt;&gt;""""),ROWS(FILTER(AT$3:AT680,TRIM(AT$3:AT680)&lt;&gt;"""")))-1)"),"")</f>
        <v/>
      </c>
      <c r="AW680" s="65" t="e">
        <f t="shared" ca="1" si="112"/>
        <v>#VALUE!</v>
      </c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</row>
    <row r="681" spans="1:68" ht="19" x14ac:dyDescent="0.25">
      <c r="A681" s="5"/>
      <c r="B681" s="5"/>
      <c r="C681" s="5"/>
      <c r="D681" s="5"/>
      <c r="E681" s="5"/>
      <c r="F681" s="5"/>
      <c r="G681" s="5"/>
      <c r="H681" s="6"/>
      <c r="I681" s="5"/>
      <c r="J681" s="83"/>
      <c r="K681" s="83"/>
      <c r="L681" s="83"/>
      <c r="M681" s="83"/>
      <c r="N681" s="83"/>
      <c r="O681" s="83"/>
      <c r="P681" s="83"/>
      <c r="Q681" s="84"/>
      <c r="R681" s="83"/>
      <c r="S681" s="83"/>
      <c r="T681" s="85"/>
      <c r="U681" s="6"/>
      <c r="V681" s="44">
        <v>44902</v>
      </c>
      <c r="W681" s="45">
        <v>147.27000000000001</v>
      </c>
      <c r="X681" s="46"/>
      <c r="Y681" s="61"/>
      <c r="Z681" s="5"/>
      <c r="AA681" s="5"/>
      <c r="AB681" s="5"/>
      <c r="AC681" s="5"/>
      <c r="AD681" s="5"/>
      <c r="AE681" s="5"/>
      <c r="AF681" s="5"/>
      <c r="AG681" s="5"/>
      <c r="AH681" s="6"/>
      <c r="AI681" s="44">
        <v>44902</v>
      </c>
      <c r="AJ681" s="53">
        <v>147.27000000000001</v>
      </c>
      <c r="AK681" s="54">
        <f t="shared" si="110"/>
        <v>-1.5593220338981917E-3</v>
      </c>
      <c r="AL681" s="55">
        <f t="shared" si="113"/>
        <v>6.3714038262414006</v>
      </c>
      <c r="AM681" s="56">
        <v>25</v>
      </c>
      <c r="AN681" s="57">
        <f t="shared" si="111"/>
        <v>18.628596173758599</v>
      </c>
      <c r="AO681" s="76">
        <f t="shared" si="114"/>
        <v>10.69332023738904</v>
      </c>
      <c r="AP681" s="63" t="str">
        <f t="shared" si="115"/>
        <v>Buy Stocks</v>
      </c>
      <c r="AQ681" s="63" t="str">
        <f t="shared" si="116"/>
        <v/>
      </c>
      <c r="AR681" s="63" t="str">
        <f t="shared" si="117"/>
        <v/>
      </c>
      <c r="AS681" s="63" t="str">
        <f t="shared" si="118"/>
        <v/>
      </c>
      <c r="AT681" s="78" t="str">
        <f t="shared" si="119"/>
        <v/>
      </c>
      <c r="AU681" s="78" t="str">
        <f t="shared" si="120"/>
        <v/>
      </c>
      <c r="AV681" s="64" t="str">
        <f ca="1">IFERROR(__xludf.DUMMYFUNCTION("IF(TRIM(AU681)="""","""",AU681/INDEX(FILTER(AT$3:AT681,TRIM(AT$3:AT681)&lt;&gt;""""),ROWS(FILTER(AT$3:AT681,TRIM(AT$3:AT681)&lt;&gt;"""")))-1)"),"")</f>
        <v/>
      </c>
      <c r="AW681" s="65" t="e">
        <f t="shared" ca="1" si="112"/>
        <v>#VALUE!</v>
      </c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</row>
    <row r="682" spans="1:68" ht="19" x14ac:dyDescent="0.25">
      <c r="A682" s="5"/>
      <c r="B682" s="5"/>
      <c r="C682" s="5"/>
      <c r="D682" s="5"/>
      <c r="E682" s="5"/>
      <c r="F682" s="5"/>
      <c r="G682" s="5"/>
      <c r="H682" s="6"/>
      <c r="I682" s="5"/>
      <c r="J682" s="83"/>
      <c r="K682" s="83"/>
      <c r="L682" s="83"/>
      <c r="M682" s="83"/>
      <c r="N682" s="83"/>
      <c r="O682" s="83"/>
      <c r="P682" s="83"/>
      <c r="Q682" s="84"/>
      <c r="R682" s="83"/>
      <c r="S682" s="83"/>
      <c r="T682" s="85"/>
      <c r="U682" s="6"/>
      <c r="V682" s="44">
        <v>44903</v>
      </c>
      <c r="W682" s="45">
        <v>147.78</v>
      </c>
      <c r="X682" s="46"/>
      <c r="Y682" s="61"/>
      <c r="Z682" s="5"/>
      <c r="AA682" s="5"/>
      <c r="AB682" s="5"/>
      <c r="AC682" s="5"/>
      <c r="AD682" s="5"/>
      <c r="AE682" s="5"/>
      <c r="AF682" s="5"/>
      <c r="AG682" s="5"/>
      <c r="AH682" s="6"/>
      <c r="AI682" s="44">
        <v>44903</v>
      </c>
      <c r="AJ682" s="53">
        <v>147.78</v>
      </c>
      <c r="AK682" s="54">
        <f t="shared" si="110"/>
        <v>3.4630270930942064E-3</v>
      </c>
      <c r="AL682" s="55">
        <f t="shared" si="113"/>
        <v>7.1134351568795768</v>
      </c>
      <c r="AM682" s="56">
        <v>25</v>
      </c>
      <c r="AN682" s="57">
        <f t="shared" si="111"/>
        <v>17.886564843120425</v>
      </c>
      <c r="AO682" s="76">
        <f t="shared" si="114"/>
        <v>12.823097743483761</v>
      </c>
      <c r="AP682" s="63" t="str">
        <f t="shared" si="115"/>
        <v>Buy Stocks</v>
      </c>
      <c r="AQ682" s="63" t="str">
        <f t="shared" si="116"/>
        <v/>
      </c>
      <c r="AR682" s="63" t="str">
        <f t="shared" si="117"/>
        <v/>
      </c>
      <c r="AS682" s="63" t="str">
        <f t="shared" si="118"/>
        <v/>
      </c>
      <c r="AT682" s="78" t="str">
        <f t="shared" si="119"/>
        <v/>
      </c>
      <c r="AU682" s="78" t="str">
        <f t="shared" si="120"/>
        <v/>
      </c>
      <c r="AV682" s="64" t="str">
        <f ca="1">IFERROR(__xludf.DUMMYFUNCTION("IF(TRIM(AU682)="""","""",AU682/INDEX(FILTER(AT$3:AT682,TRIM(AT$3:AT682)&lt;&gt;""""),ROWS(FILTER(AT$3:AT682,TRIM(AT$3:AT682)&lt;&gt;"""")))-1)"),"")</f>
        <v/>
      </c>
      <c r="AW682" s="65" t="e">
        <f t="shared" ca="1" si="112"/>
        <v>#VALUE!</v>
      </c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</row>
    <row r="683" spans="1:68" ht="19" x14ac:dyDescent="0.25">
      <c r="A683" s="5"/>
      <c r="B683" s="5"/>
      <c r="C683" s="5"/>
      <c r="D683" s="5"/>
      <c r="E683" s="5"/>
      <c r="F683" s="5"/>
      <c r="G683" s="5"/>
      <c r="H683" s="6"/>
      <c r="I683" s="5"/>
      <c r="J683" s="83"/>
      <c r="K683" s="83"/>
      <c r="L683" s="83"/>
      <c r="M683" s="83"/>
      <c r="N683" s="83"/>
      <c r="O683" s="83"/>
      <c r="P683" s="83"/>
      <c r="Q683" s="84"/>
      <c r="R683" s="83"/>
      <c r="S683" s="83"/>
      <c r="T683" s="85"/>
      <c r="U683" s="6"/>
      <c r="V683" s="44">
        <v>44904</v>
      </c>
      <c r="W683" s="45">
        <v>147.05000000000001</v>
      </c>
      <c r="X683" s="46"/>
      <c r="Y683" s="61"/>
      <c r="Z683" s="5"/>
      <c r="AA683" s="5"/>
      <c r="AB683" s="5"/>
      <c r="AC683" s="5"/>
      <c r="AD683" s="5"/>
      <c r="AE683" s="5"/>
      <c r="AF683" s="5"/>
      <c r="AG683" s="5"/>
      <c r="AH683" s="6"/>
      <c r="AI683" s="44">
        <v>44904</v>
      </c>
      <c r="AJ683" s="53">
        <v>147.05000000000001</v>
      </c>
      <c r="AK683" s="54">
        <f t="shared" si="110"/>
        <v>-4.9397753417240731E-3</v>
      </c>
      <c r="AL683" s="55">
        <f t="shared" si="113"/>
        <v>7.4144891191193691</v>
      </c>
      <c r="AM683" s="56">
        <v>25</v>
      </c>
      <c r="AN683" s="57">
        <f t="shared" si="111"/>
        <v>17.58551088088063</v>
      </c>
      <c r="AO683" s="76">
        <f t="shared" si="114"/>
        <v>14.91048293015246</v>
      </c>
      <c r="AP683" s="63" t="str">
        <f t="shared" si="115"/>
        <v>Buy Stocks</v>
      </c>
      <c r="AQ683" s="63" t="str">
        <f t="shared" si="116"/>
        <v/>
      </c>
      <c r="AR683" s="63" t="str">
        <f t="shared" si="117"/>
        <v/>
      </c>
      <c r="AS683" s="63" t="str">
        <f t="shared" si="118"/>
        <v/>
      </c>
      <c r="AT683" s="78" t="str">
        <f t="shared" si="119"/>
        <v/>
      </c>
      <c r="AU683" s="78" t="str">
        <f t="shared" si="120"/>
        <v/>
      </c>
      <c r="AV683" s="64" t="str">
        <f ca="1">IFERROR(__xludf.DUMMYFUNCTION("IF(TRIM(AU683)="""","""",AU683/INDEX(FILTER(AT$3:AT683,TRIM(AT$3:AT683)&lt;&gt;""""),ROWS(FILTER(AT$3:AT683,TRIM(AT$3:AT683)&lt;&gt;"""")))-1)"),"")</f>
        <v/>
      </c>
      <c r="AW683" s="65" t="e">
        <f t="shared" ca="1" si="112"/>
        <v>#VALUE!</v>
      </c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</row>
    <row r="684" spans="1:68" ht="19" x14ac:dyDescent="0.25">
      <c r="A684" s="5"/>
      <c r="B684" s="5"/>
      <c r="C684" s="5"/>
      <c r="D684" s="5"/>
      <c r="E684" s="5"/>
      <c r="F684" s="5"/>
      <c r="G684" s="5"/>
      <c r="H684" s="6"/>
      <c r="I684" s="5"/>
      <c r="J684" s="83"/>
      <c r="K684" s="83"/>
      <c r="L684" s="83"/>
      <c r="M684" s="83"/>
      <c r="N684" s="83"/>
      <c r="O684" s="83"/>
      <c r="P684" s="83"/>
      <c r="Q684" s="84"/>
      <c r="R684" s="83"/>
      <c r="S684" s="83"/>
      <c r="T684" s="85"/>
      <c r="U684" s="6"/>
      <c r="V684" s="44">
        <v>44907</v>
      </c>
      <c r="W684" s="45">
        <v>149.21</v>
      </c>
      <c r="X684" s="46"/>
      <c r="Y684" s="61"/>
      <c r="Z684" s="5"/>
      <c r="AA684" s="5"/>
      <c r="AB684" s="5"/>
      <c r="AC684" s="5"/>
      <c r="AD684" s="5"/>
      <c r="AE684" s="5"/>
      <c r="AF684" s="5"/>
      <c r="AG684" s="5"/>
      <c r="AH684" s="6"/>
      <c r="AI684" s="44">
        <v>44907</v>
      </c>
      <c r="AJ684" s="53">
        <v>149.21</v>
      </c>
      <c r="AK684" s="54">
        <f t="shared" si="110"/>
        <v>1.4688881332880044E-2</v>
      </c>
      <c r="AL684" s="55">
        <f t="shared" si="113"/>
        <v>11.902796954555425</v>
      </c>
      <c r="AM684" s="56">
        <v>25</v>
      </c>
      <c r="AN684" s="57">
        <f t="shared" si="111"/>
        <v>13.097203045444575</v>
      </c>
      <c r="AO684" s="76">
        <f t="shared" si="114"/>
        <v>15.483493385933741</v>
      </c>
      <c r="AP684" s="63" t="str">
        <f t="shared" si="115"/>
        <v>Buy Stocks</v>
      </c>
      <c r="AQ684" s="63" t="str">
        <f t="shared" si="116"/>
        <v/>
      </c>
      <c r="AR684" s="63" t="str">
        <f t="shared" si="117"/>
        <v/>
      </c>
      <c r="AS684" s="63" t="str">
        <f t="shared" si="118"/>
        <v/>
      </c>
      <c r="AT684" s="78" t="str">
        <f t="shared" si="119"/>
        <v/>
      </c>
      <c r="AU684" s="78" t="str">
        <f t="shared" si="120"/>
        <v/>
      </c>
      <c r="AV684" s="64" t="str">
        <f ca="1">IFERROR(__xludf.DUMMYFUNCTION("IF(TRIM(AU684)="""","""",AU684/INDEX(FILTER(AT$3:AT684,TRIM(AT$3:AT684)&lt;&gt;""""),ROWS(FILTER(AT$3:AT684,TRIM(AT$3:AT684)&lt;&gt;"""")))-1)"),"")</f>
        <v/>
      </c>
      <c r="AW684" s="65" t="e">
        <f t="shared" ca="1" si="112"/>
        <v>#VALUE!</v>
      </c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</row>
    <row r="685" spans="1:68" ht="19" x14ac:dyDescent="0.25">
      <c r="A685" s="5"/>
      <c r="B685" s="5"/>
      <c r="C685" s="5"/>
      <c r="D685" s="5"/>
      <c r="E685" s="5"/>
      <c r="F685" s="5"/>
      <c r="G685" s="5"/>
      <c r="H685" s="6"/>
      <c r="I685" s="5"/>
      <c r="J685" s="83"/>
      <c r="K685" s="83"/>
      <c r="L685" s="83"/>
      <c r="M685" s="83"/>
      <c r="N685" s="83"/>
      <c r="O685" s="83"/>
      <c r="P685" s="83"/>
      <c r="Q685" s="84"/>
      <c r="R685" s="83"/>
      <c r="S685" s="83"/>
      <c r="T685" s="85"/>
      <c r="U685" s="6"/>
      <c r="V685" s="44">
        <v>44908</v>
      </c>
      <c r="W685" s="45">
        <v>150.57</v>
      </c>
      <c r="X685" s="46"/>
      <c r="Y685" s="61"/>
      <c r="Z685" s="5"/>
      <c r="AA685" s="5"/>
      <c r="AB685" s="5"/>
      <c r="AC685" s="5"/>
      <c r="AD685" s="5"/>
      <c r="AE685" s="5"/>
      <c r="AF685" s="5"/>
      <c r="AG685" s="5"/>
      <c r="AH685" s="6"/>
      <c r="AI685" s="44">
        <v>44908</v>
      </c>
      <c r="AJ685" s="53">
        <v>150.57</v>
      </c>
      <c r="AK685" s="54">
        <f t="shared" si="110"/>
        <v>9.1146705984852527E-3</v>
      </c>
      <c r="AL685" s="55">
        <f t="shared" si="113"/>
        <v>12.585196764209702</v>
      </c>
      <c r="AM685" s="56">
        <v>25</v>
      </c>
      <c r="AN685" s="57">
        <f t="shared" si="111"/>
        <v>12.414803235790298</v>
      </c>
      <c r="AO685" s="76">
        <f t="shared" si="114"/>
        <v>15.922535635798905</v>
      </c>
      <c r="AP685" s="63" t="str">
        <f t="shared" si="115"/>
        <v>Buy Stocks</v>
      </c>
      <c r="AQ685" s="63" t="str">
        <f t="shared" si="116"/>
        <v/>
      </c>
      <c r="AR685" s="63" t="str">
        <f t="shared" si="117"/>
        <v/>
      </c>
      <c r="AS685" s="63" t="str">
        <f t="shared" si="118"/>
        <v/>
      </c>
      <c r="AT685" s="78" t="str">
        <f t="shared" si="119"/>
        <v/>
      </c>
      <c r="AU685" s="78" t="str">
        <f t="shared" si="120"/>
        <v/>
      </c>
      <c r="AV685" s="64" t="str">
        <f ca="1">IFERROR(__xludf.DUMMYFUNCTION("IF(TRIM(AU685)="""","""",AU685/INDEX(FILTER(AT$3:AT685,TRIM(AT$3:AT685)&lt;&gt;""""),ROWS(FILTER(AT$3:AT685,TRIM(AT$3:AT685)&lt;&gt;"""")))-1)"),"")</f>
        <v/>
      </c>
      <c r="AW685" s="65" t="e">
        <f t="shared" ca="1" si="112"/>
        <v>#VALUE!</v>
      </c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</row>
    <row r="686" spans="1:68" ht="19" x14ac:dyDescent="0.25">
      <c r="A686" s="5"/>
      <c r="B686" s="5"/>
      <c r="C686" s="5"/>
      <c r="D686" s="5"/>
      <c r="E686" s="5"/>
      <c r="F686" s="5"/>
      <c r="G686" s="5"/>
      <c r="H686" s="6"/>
      <c r="I686" s="5"/>
      <c r="J686" s="83"/>
      <c r="K686" s="83"/>
      <c r="L686" s="83"/>
      <c r="M686" s="83"/>
      <c r="N686" s="83"/>
      <c r="O686" s="83"/>
      <c r="P686" s="83"/>
      <c r="Q686" s="84"/>
      <c r="R686" s="83"/>
      <c r="S686" s="83"/>
      <c r="T686" s="85"/>
      <c r="U686" s="6"/>
      <c r="V686" s="44">
        <v>44909</v>
      </c>
      <c r="W686" s="45">
        <v>149.86000000000001</v>
      </c>
      <c r="X686" s="46"/>
      <c r="Y686" s="61"/>
      <c r="Z686" s="5"/>
      <c r="AA686" s="5"/>
      <c r="AB686" s="5"/>
      <c r="AC686" s="5"/>
      <c r="AD686" s="5"/>
      <c r="AE686" s="5"/>
      <c r="AF686" s="5"/>
      <c r="AG686" s="5"/>
      <c r="AH686" s="6"/>
      <c r="AI686" s="44">
        <v>44909</v>
      </c>
      <c r="AJ686" s="53">
        <v>149.86000000000001</v>
      </c>
      <c r="AK686" s="54">
        <f t="shared" si="110"/>
        <v>-4.7154147572556759E-3</v>
      </c>
      <c r="AL686" s="55">
        <f t="shared" si="113"/>
        <v>13.642782500177979</v>
      </c>
      <c r="AM686" s="56">
        <v>25</v>
      </c>
      <c r="AN686" s="57">
        <f t="shared" si="111"/>
        <v>11.357217499822021</v>
      </c>
      <c r="AO686" s="76">
        <f t="shared" si="114"/>
        <v>14.468259901011589</v>
      </c>
      <c r="AP686" s="63" t="str">
        <f t="shared" si="115"/>
        <v>Buy Stocks</v>
      </c>
      <c r="AQ686" s="63" t="str">
        <f t="shared" si="116"/>
        <v/>
      </c>
      <c r="AR686" s="63" t="str">
        <f t="shared" si="117"/>
        <v/>
      </c>
      <c r="AS686" s="63" t="str">
        <f t="shared" si="118"/>
        <v/>
      </c>
      <c r="AT686" s="78" t="str">
        <f t="shared" si="119"/>
        <v/>
      </c>
      <c r="AU686" s="78" t="str">
        <f t="shared" si="120"/>
        <v/>
      </c>
      <c r="AV686" s="64" t="str">
        <f ca="1">IFERROR(__xludf.DUMMYFUNCTION("IF(TRIM(AU686)="""","""",AU686/INDEX(FILTER(AT$3:AT686,TRIM(AT$3:AT686)&lt;&gt;""""),ROWS(FILTER(AT$3:AT686,TRIM(AT$3:AT686)&lt;&gt;"""")))-1)"),"")</f>
        <v/>
      </c>
      <c r="AW686" s="65" t="e">
        <f t="shared" ca="1" si="112"/>
        <v>#VALUE!</v>
      </c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</row>
    <row r="687" spans="1:68" ht="19" x14ac:dyDescent="0.25">
      <c r="A687" s="5"/>
      <c r="B687" s="5"/>
      <c r="C687" s="5"/>
      <c r="D687" s="5"/>
      <c r="E687" s="5"/>
      <c r="F687" s="5"/>
      <c r="G687" s="5"/>
      <c r="H687" s="6"/>
      <c r="I687" s="5"/>
      <c r="J687" s="83"/>
      <c r="K687" s="83"/>
      <c r="L687" s="83"/>
      <c r="M687" s="83"/>
      <c r="N687" s="83"/>
      <c r="O687" s="83"/>
      <c r="P687" s="83"/>
      <c r="Q687" s="84"/>
      <c r="R687" s="83"/>
      <c r="S687" s="83"/>
      <c r="T687" s="85"/>
      <c r="U687" s="6"/>
      <c r="V687" s="44">
        <v>44910</v>
      </c>
      <c r="W687" s="45">
        <v>142.36000000000001</v>
      </c>
      <c r="X687" s="46"/>
      <c r="Y687" s="61"/>
      <c r="Z687" s="5"/>
      <c r="AA687" s="5"/>
      <c r="AB687" s="5"/>
      <c r="AC687" s="5"/>
      <c r="AD687" s="5"/>
      <c r="AE687" s="5"/>
      <c r="AF687" s="5"/>
      <c r="AG687" s="5"/>
      <c r="AH687" s="6"/>
      <c r="AI687" s="44">
        <v>44910</v>
      </c>
      <c r="AJ687" s="53">
        <v>142.36000000000001</v>
      </c>
      <c r="AK687" s="54">
        <f t="shared" si="110"/>
        <v>-5.0046710262912075E-2</v>
      </c>
      <c r="AL687" s="55">
        <f t="shared" si="113"/>
        <v>40.413110426788798</v>
      </c>
      <c r="AM687" s="56">
        <v>25</v>
      </c>
      <c r="AN687" s="57">
        <f t="shared" si="111"/>
        <v>-15.413110426788798</v>
      </c>
      <c r="AO687" s="76">
        <f t="shared" si="114"/>
        <v>7.8083248470297466</v>
      </c>
      <c r="AP687" s="63" t="str">
        <f t="shared" si="115"/>
        <v>Buy Stocks</v>
      </c>
      <c r="AQ687" s="63" t="str">
        <f t="shared" si="116"/>
        <v/>
      </c>
      <c r="AR687" s="63" t="str">
        <f t="shared" si="117"/>
        <v/>
      </c>
      <c r="AS687" s="63" t="str">
        <f t="shared" si="118"/>
        <v/>
      </c>
      <c r="AT687" s="78" t="str">
        <f t="shared" si="119"/>
        <v/>
      </c>
      <c r="AU687" s="78" t="str">
        <f t="shared" si="120"/>
        <v/>
      </c>
      <c r="AV687" s="64" t="str">
        <f ca="1">IFERROR(__xludf.DUMMYFUNCTION("IF(TRIM(AU687)="""","""",AU687/INDEX(FILTER(AT$3:AT687,TRIM(AT$3:AT687)&lt;&gt;""""),ROWS(FILTER(AT$3:AT687,TRIM(AT$3:AT687)&lt;&gt;"""")))-1)"),"")</f>
        <v/>
      </c>
      <c r="AW687" s="65" t="e">
        <f t="shared" ca="1" si="112"/>
        <v>#VALUE!</v>
      </c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</row>
    <row r="688" spans="1:68" ht="19" x14ac:dyDescent="0.25">
      <c r="A688" s="5"/>
      <c r="B688" s="5"/>
      <c r="C688" s="5"/>
      <c r="D688" s="5"/>
      <c r="E688" s="5"/>
      <c r="F688" s="5"/>
      <c r="G688" s="5"/>
      <c r="H688" s="6"/>
      <c r="I688" s="5"/>
      <c r="J688" s="83"/>
      <c r="K688" s="83"/>
      <c r="L688" s="83"/>
      <c r="M688" s="83"/>
      <c r="N688" s="83"/>
      <c r="O688" s="83"/>
      <c r="P688" s="83"/>
      <c r="Q688" s="84"/>
      <c r="R688" s="83"/>
      <c r="S688" s="83"/>
      <c r="T688" s="85"/>
      <c r="U688" s="6"/>
      <c r="V688" s="44">
        <v>44911</v>
      </c>
      <c r="W688" s="45">
        <v>140.16</v>
      </c>
      <c r="X688" s="46"/>
      <c r="Y688" s="61"/>
      <c r="Z688" s="5"/>
      <c r="AA688" s="5"/>
      <c r="AB688" s="5"/>
      <c r="AC688" s="5"/>
      <c r="AD688" s="5"/>
      <c r="AE688" s="5"/>
      <c r="AF688" s="5"/>
      <c r="AG688" s="5"/>
      <c r="AH688" s="6"/>
      <c r="AI688" s="44">
        <v>44911</v>
      </c>
      <c r="AJ688" s="53">
        <v>140.16</v>
      </c>
      <c r="AK688" s="54">
        <f t="shared" si="110"/>
        <v>-1.5453779151447189E-2</v>
      </c>
      <c r="AL688" s="55">
        <f t="shared" si="113"/>
        <v>40.734021221372821</v>
      </c>
      <c r="AM688" s="56">
        <v>25</v>
      </c>
      <c r="AN688" s="57">
        <f t="shared" si="111"/>
        <v>-15.734021221372821</v>
      </c>
      <c r="AO688" s="76">
        <f t="shared" si="114"/>
        <v>1.1444184265790553</v>
      </c>
      <c r="AP688" s="63" t="str">
        <f t="shared" si="115"/>
        <v>Buy Stocks</v>
      </c>
      <c r="AQ688" s="63" t="str">
        <f t="shared" si="116"/>
        <v/>
      </c>
      <c r="AR688" s="63" t="str">
        <f t="shared" si="117"/>
        <v/>
      </c>
      <c r="AS688" s="63" t="str">
        <f t="shared" si="118"/>
        <v/>
      </c>
      <c r="AT688" s="78" t="str">
        <f t="shared" si="119"/>
        <v/>
      </c>
      <c r="AU688" s="78" t="str">
        <f t="shared" si="120"/>
        <v/>
      </c>
      <c r="AV688" s="64" t="str">
        <f ca="1">IFERROR(__xludf.DUMMYFUNCTION("IF(TRIM(AU688)="""","""",AU688/INDEX(FILTER(AT$3:AT688,TRIM(AT$3:AT688)&lt;&gt;""""),ROWS(FILTER(AT$3:AT688,TRIM(AT$3:AT688)&lt;&gt;"""")))-1)"),"")</f>
        <v/>
      </c>
      <c r="AW688" s="65" t="e">
        <f t="shared" ca="1" si="112"/>
        <v>#VALUE!</v>
      </c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</row>
    <row r="689" spans="1:68" ht="19" x14ac:dyDescent="0.25">
      <c r="A689" s="5"/>
      <c r="B689" s="5"/>
      <c r="C689" s="5"/>
      <c r="D689" s="5"/>
      <c r="E689" s="5"/>
      <c r="F689" s="5"/>
      <c r="G689" s="5"/>
      <c r="H689" s="6"/>
      <c r="I689" s="5"/>
      <c r="J689" s="83"/>
      <c r="K689" s="83"/>
      <c r="L689" s="83"/>
      <c r="M689" s="83"/>
      <c r="N689" s="83"/>
      <c r="O689" s="83"/>
      <c r="P689" s="83"/>
      <c r="Q689" s="84"/>
      <c r="R689" s="83"/>
      <c r="S689" s="83"/>
      <c r="T689" s="85"/>
      <c r="U689" s="6"/>
      <c r="V689" s="44">
        <v>44914</v>
      </c>
      <c r="W689" s="45">
        <v>138.87</v>
      </c>
      <c r="X689" s="46"/>
      <c r="Y689" s="61"/>
      <c r="Z689" s="5"/>
      <c r="AA689" s="5"/>
      <c r="AB689" s="5"/>
      <c r="AC689" s="5"/>
      <c r="AD689" s="5"/>
      <c r="AE689" s="5"/>
      <c r="AF689" s="5"/>
      <c r="AG689" s="5"/>
      <c r="AH689" s="6"/>
      <c r="AI689" s="44">
        <v>44914</v>
      </c>
      <c r="AJ689" s="53">
        <v>138.87</v>
      </c>
      <c r="AK689" s="54">
        <f t="shared" si="110"/>
        <v>-9.2037671232876317E-3</v>
      </c>
      <c r="AL689" s="55">
        <f t="shared" si="113"/>
        <v>35.004599731705788</v>
      </c>
      <c r="AM689" s="56">
        <v>25</v>
      </c>
      <c r="AN689" s="57">
        <f t="shared" si="111"/>
        <v>-10.004599731705788</v>
      </c>
      <c r="AO689" s="76">
        <f t="shared" si="114"/>
        <v>-3.4759421288510177</v>
      </c>
      <c r="AP689" s="63" t="str">
        <f t="shared" si="115"/>
        <v/>
      </c>
      <c r="AQ689" s="63" t="str">
        <f t="shared" si="116"/>
        <v>Sell Stocks</v>
      </c>
      <c r="AR689" s="63" t="str">
        <f t="shared" si="117"/>
        <v/>
      </c>
      <c r="AS689" s="63" t="str">
        <f t="shared" si="118"/>
        <v>Sell Stocks</v>
      </c>
      <c r="AT689" s="78" t="str">
        <f t="shared" si="119"/>
        <v/>
      </c>
      <c r="AU689" s="77">
        <f t="shared" si="120"/>
        <v>138.87</v>
      </c>
      <c r="AV689" s="64">
        <f ca="1">IFERROR(__xludf.DUMMYFUNCTION("IF(TRIM(AU689)="""","""",AU689/INDEX(FILTER(AT$3:AT689,TRIM(AT$3:AT689)&lt;&gt;""""),ROWS(FILTER(AT$3:AT689,TRIM(AT$3:AT689)&lt;&gt;"""")))-1)"),-0.0494215894311725)</f>
        <v>-4.9421589431172502E-2</v>
      </c>
      <c r="AW689" s="65" t="e">
        <f t="shared" ca="1" si="112"/>
        <v>#VALUE!</v>
      </c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</row>
    <row r="690" spans="1:68" ht="19" x14ac:dyDescent="0.25">
      <c r="A690" s="5"/>
      <c r="B690" s="5"/>
      <c r="C690" s="5"/>
      <c r="D690" s="5"/>
      <c r="E690" s="5"/>
      <c r="F690" s="5"/>
      <c r="G690" s="5"/>
      <c r="H690" s="6"/>
      <c r="I690" s="5"/>
      <c r="J690" s="83"/>
      <c r="K690" s="83"/>
      <c r="L690" s="83"/>
      <c r="M690" s="83"/>
      <c r="N690" s="83"/>
      <c r="O690" s="83"/>
      <c r="P690" s="83"/>
      <c r="Q690" s="84"/>
      <c r="R690" s="83"/>
      <c r="S690" s="83"/>
      <c r="T690" s="85"/>
      <c r="U690" s="6"/>
      <c r="V690" s="44">
        <v>44915</v>
      </c>
      <c r="W690" s="45">
        <v>141.28</v>
      </c>
      <c r="X690" s="46"/>
      <c r="Y690" s="61"/>
      <c r="Z690" s="5"/>
      <c r="AA690" s="5"/>
      <c r="AB690" s="5"/>
      <c r="AC690" s="5"/>
      <c r="AD690" s="5"/>
      <c r="AE690" s="5"/>
      <c r="AF690" s="5"/>
      <c r="AG690" s="5"/>
      <c r="AH690" s="6"/>
      <c r="AI690" s="44">
        <v>44915</v>
      </c>
      <c r="AJ690" s="53">
        <v>141.28</v>
      </c>
      <c r="AK690" s="54">
        <f t="shared" si="110"/>
        <v>1.7354360192986196E-2</v>
      </c>
      <c r="AL690" s="55">
        <f t="shared" si="113"/>
        <v>38.731767765388106</v>
      </c>
      <c r="AM690" s="56">
        <v>25</v>
      </c>
      <c r="AN690" s="57">
        <f t="shared" si="111"/>
        <v>-13.731767765388106</v>
      </c>
      <c r="AO690" s="76">
        <f t="shared" si="114"/>
        <v>-8.7052563290866978</v>
      </c>
      <c r="AP690" s="63" t="str">
        <f t="shared" si="115"/>
        <v/>
      </c>
      <c r="AQ690" s="63" t="str">
        <f t="shared" si="116"/>
        <v>Sell Stocks</v>
      </c>
      <c r="AR690" s="63" t="str">
        <f t="shared" si="117"/>
        <v/>
      </c>
      <c r="AS690" s="63" t="str">
        <f t="shared" si="118"/>
        <v/>
      </c>
      <c r="AT690" s="78" t="str">
        <f t="shared" si="119"/>
        <v/>
      </c>
      <c r="AU690" s="78" t="str">
        <f t="shared" si="120"/>
        <v/>
      </c>
      <c r="AV690" s="64" t="str">
        <f ca="1">IFERROR(__xludf.DUMMYFUNCTION("IF(TRIM(AU690)="""","""",AU690/INDEX(FILTER(AT$3:AT690,TRIM(AT$3:AT690)&lt;&gt;""""),ROWS(FILTER(AT$3:AT690,TRIM(AT$3:AT690)&lt;&gt;"""")))-1)"),"")</f>
        <v/>
      </c>
      <c r="AW690" s="65" t="e">
        <f t="shared" ca="1" si="112"/>
        <v>#VALUE!</v>
      </c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</row>
    <row r="691" spans="1:68" ht="19" x14ac:dyDescent="0.25">
      <c r="A691" s="5"/>
      <c r="B691" s="5"/>
      <c r="C691" s="5"/>
      <c r="D691" s="5"/>
      <c r="E691" s="5"/>
      <c r="F691" s="5"/>
      <c r="G691" s="5"/>
      <c r="H691" s="6"/>
      <c r="I691" s="5"/>
      <c r="J691" s="83"/>
      <c r="K691" s="83"/>
      <c r="L691" s="83"/>
      <c r="M691" s="83"/>
      <c r="N691" s="83"/>
      <c r="O691" s="83"/>
      <c r="P691" s="83"/>
      <c r="Q691" s="84"/>
      <c r="R691" s="83"/>
      <c r="S691" s="83"/>
      <c r="T691" s="85"/>
      <c r="U691" s="6"/>
      <c r="V691" s="44">
        <v>44916</v>
      </c>
      <c r="W691" s="45">
        <v>142.13999999999999</v>
      </c>
      <c r="X691" s="46"/>
      <c r="Y691" s="61"/>
      <c r="Z691" s="5"/>
      <c r="AA691" s="5"/>
      <c r="AB691" s="5"/>
      <c r="AC691" s="5"/>
      <c r="AD691" s="5"/>
      <c r="AE691" s="5"/>
      <c r="AF691" s="5"/>
      <c r="AG691" s="5"/>
      <c r="AH691" s="6"/>
      <c r="AI691" s="44">
        <v>44916</v>
      </c>
      <c r="AJ691" s="53">
        <v>142.13999999999999</v>
      </c>
      <c r="AK691" s="54">
        <f t="shared" si="110"/>
        <v>6.0872027180067789E-3</v>
      </c>
      <c r="AL691" s="55">
        <f t="shared" si="113"/>
        <v>40.788967457293808</v>
      </c>
      <c r="AM691" s="56">
        <v>25</v>
      </c>
      <c r="AN691" s="57">
        <f t="shared" si="111"/>
        <v>-15.788967457293808</v>
      </c>
      <c r="AO691" s="76">
        <f t="shared" si="114"/>
        <v>-14.134493320509865</v>
      </c>
      <c r="AP691" s="63" t="str">
        <f t="shared" si="115"/>
        <v/>
      </c>
      <c r="AQ691" s="63" t="str">
        <f t="shared" si="116"/>
        <v>Sell Stocks</v>
      </c>
      <c r="AR691" s="63" t="str">
        <f t="shared" si="117"/>
        <v/>
      </c>
      <c r="AS691" s="63" t="str">
        <f t="shared" si="118"/>
        <v/>
      </c>
      <c r="AT691" s="78" t="str">
        <f t="shared" si="119"/>
        <v/>
      </c>
      <c r="AU691" s="78" t="str">
        <f t="shared" si="120"/>
        <v/>
      </c>
      <c r="AV691" s="64" t="str">
        <f ca="1">IFERROR(__xludf.DUMMYFUNCTION("IF(TRIM(AU691)="""","""",AU691/INDEX(FILTER(AT$3:AT691,TRIM(AT$3:AT691)&lt;&gt;""""),ROWS(FILTER(AT$3:AT691,TRIM(AT$3:AT691)&lt;&gt;"""")))-1)"),"")</f>
        <v/>
      </c>
      <c r="AW691" s="65" t="e">
        <f t="shared" ca="1" si="112"/>
        <v>#VALUE!</v>
      </c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</row>
    <row r="692" spans="1:68" ht="19" x14ac:dyDescent="0.25">
      <c r="A692" s="5"/>
      <c r="B692" s="5"/>
      <c r="C692" s="5"/>
      <c r="D692" s="5"/>
      <c r="E692" s="5"/>
      <c r="F692" s="5"/>
      <c r="G692" s="5"/>
      <c r="H692" s="6"/>
      <c r="I692" s="5"/>
      <c r="J692" s="83"/>
      <c r="K692" s="83"/>
      <c r="L692" s="83"/>
      <c r="M692" s="83"/>
      <c r="N692" s="83"/>
      <c r="O692" s="83"/>
      <c r="P692" s="83"/>
      <c r="Q692" s="84"/>
      <c r="R692" s="83"/>
      <c r="S692" s="83"/>
      <c r="T692" s="85"/>
      <c r="U692" s="6"/>
      <c r="V692" s="44">
        <v>44917</v>
      </c>
      <c r="W692" s="45">
        <v>140.88</v>
      </c>
      <c r="X692" s="46"/>
      <c r="Y692" s="61"/>
      <c r="Z692" s="5"/>
      <c r="AA692" s="5"/>
      <c r="AB692" s="5"/>
      <c r="AC692" s="5"/>
      <c r="AD692" s="5"/>
      <c r="AE692" s="5"/>
      <c r="AF692" s="5"/>
      <c r="AG692" s="5"/>
      <c r="AH692" s="6"/>
      <c r="AI692" s="44">
        <v>44917</v>
      </c>
      <c r="AJ692" s="53">
        <v>140.88</v>
      </c>
      <c r="AK692" s="54">
        <f t="shared" si="110"/>
        <v>-8.8644997889404387E-3</v>
      </c>
      <c r="AL692" s="55">
        <f t="shared" si="113"/>
        <v>21.298073609602053</v>
      </c>
      <c r="AM692" s="56">
        <v>25</v>
      </c>
      <c r="AN692" s="57">
        <f t="shared" si="111"/>
        <v>3.7019263903979471</v>
      </c>
      <c r="AO692" s="76">
        <f t="shared" si="114"/>
        <v>-10.311485957072515</v>
      </c>
      <c r="AP692" s="63" t="str">
        <f t="shared" si="115"/>
        <v/>
      </c>
      <c r="AQ692" s="63" t="str">
        <f t="shared" si="116"/>
        <v>Sell Stocks</v>
      </c>
      <c r="AR692" s="63" t="str">
        <f t="shared" si="117"/>
        <v/>
      </c>
      <c r="AS692" s="63" t="str">
        <f t="shared" si="118"/>
        <v/>
      </c>
      <c r="AT692" s="78" t="str">
        <f t="shared" si="119"/>
        <v/>
      </c>
      <c r="AU692" s="78" t="str">
        <f t="shared" si="120"/>
        <v/>
      </c>
      <c r="AV692" s="64" t="str">
        <f ca="1">IFERROR(__xludf.DUMMYFUNCTION("IF(TRIM(AU692)="""","""",AU692/INDEX(FILTER(AT$3:AT692,TRIM(AT$3:AT692)&lt;&gt;""""),ROWS(FILTER(AT$3:AT692,TRIM(AT$3:AT692)&lt;&gt;"""")))-1)"),"")</f>
        <v/>
      </c>
      <c r="AW692" s="65" t="e">
        <f t="shared" ca="1" si="112"/>
        <v>#VALUE!</v>
      </c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</row>
    <row r="693" spans="1:68" ht="19" x14ac:dyDescent="0.25">
      <c r="A693" s="5"/>
      <c r="B693" s="5"/>
      <c r="C693" s="5"/>
      <c r="D693" s="5"/>
      <c r="E693" s="5"/>
      <c r="F693" s="5"/>
      <c r="G693" s="5"/>
      <c r="H693" s="6"/>
      <c r="I693" s="5"/>
      <c r="J693" s="83"/>
      <c r="K693" s="83"/>
      <c r="L693" s="83"/>
      <c r="M693" s="83"/>
      <c r="N693" s="83"/>
      <c r="O693" s="83"/>
      <c r="P693" s="83"/>
      <c r="Q693" s="84"/>
      <c r="R693" s="83"/>
      <c r="S693" s="83"/>
      <c r="T693" s="85"/>
      <c r="U693" s="6"/>
      <c r="V693" s="44">
        <v>44918</v>
      </c>
      <c r="W693" s="45">
        <v>141.65</v>
      </c>
      <c r="X693" s="46"/>
      <c r="Y693" s="61"/>
      <c r="Z693" s="5"/>
      <c r="AA693" s="5"/>
      <c r="AB693" s="5"/>
      <c r="AC693" s="5"/>
      <c r="AD693" s="5"/>
      <c r="AE693" s="5"/>
      <c r="AF693" s="5"/>
      <c r="AG693" s="5"/>
      <c r="AH693" s="6"/>
      <c r="AI693" s="44">
        <v>44918</v>
      </c>
      <c r="AJ693" s="53">
        <v>141.65</v>
      </c>
      <c r="AK693" s="54">
        <f t="shared" si="110"/>
        <v>5.4656445201590742E-3</v>
      </c>
      <c r="AL693" s="55">
        <f t="shared" si="113"/>
        <v>17.887782673953318</v>
      </c>
      <c r="AM693" s="56">
        <v>25</v>
      </c>
      <c r="AN693" s="57">
        <f t="shared" si="111"/>
        <v>7.1122173260466823</v>
      </c>
      <c r="AO693" s="76">
        <f t="shared" si="114"/>
        <v>-5.7422382475886149</v>
      </c>
      <c r="AP693" s="63" t="str">
        <f t="shared" si="115"/>
        <v/>
      </c>
      <c r="AQ693" s="63" t="str">
        <f t="shared" si="116"/>
        <v>Sell Stocks</v>
      </c>
      <c r="AR693" s="63" t="str">
        <f t="shared" si="117"/>
        <v/>
      </c>
      <c r="AS693" s="63" t="str">
        <f t="shared" si="118"/>
        <v/>
      </c>
      <c r="AT693" s="78" t="str">
        <f t="shared" si="119"/>
        <v/>
      </c>
      <c r="AU693" s="78" t="str">
        <f t="shared" si="120"/>
        <v/>
      </c>
      <c r="AV693" s="64" t="str">
        <f ca="1">IFERROR(__xludf.DUMMYFUNCTION("IF(TRIM(AU693)="""","""",AU693/INDEX(FILTER(AT$3:AT693,TRIM(AT$3:AT693)&lt;&gt;""""),ROWS(FILTER(AT$3:AT693,TRIM(AT$3:AT693)&lt;&gt;"""")))-1)"),"")</f>
        <v/>
      </c>
      <c r="AW693" s="65" t="e">
        <f t="shared" ca="1" si="112"/>
        <v>#VALUE!</v>
      </c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</row>
    <row r="694" spans="1:68" ht="19" x14ac:dyDescent="0.25">
      <c r="A694" s="5"/>
      <c r="B694" s="5"/>
      <c r="C694" s="5"/>
      <c r="D694" s="5"/>
      <c r="E694" s="5"/>
      <c r="F694" s="5"/>
      <c r="G694" s="5"/>
      <c r="H694" s="6"/>
      <c r="I694" s="5"/>
      <c r="J694" s="83"/>
      <c r="K694" s="83"/>
      <c r="L694" s="83"/>
      <c r="M694" s="83"/>
      <c r="N694" s="83"/>
      <c r="O694" s="83"/>
      <c r="P694" s="83"/>
      <c r="Q694" s="84"/>
      <c r="R694" s="83"/>
      <c r="S694" s="83"/>
      <c r="T694" s="85"/>
      <c r="U694" s="6"/>
      <c r="V694" s="44">
        <v>44922</v>
      </c>
      <c r="W694" s="45">
        <v>142.41999999999999</v>
      </c>
      <c r="X694" s="46"/>
      <c r="Y694" s="61"/>
      <c r="Z694" s="5"/>
      <c r="AA694" s="5"/>
      <c r="AB694" s="5"/>
      <c r="AC694" s="5"/>
      <c r="AD694" s="5"/>
      <c r="AE694" s="5"/>
      <c r="AF694" s="5"/>
      <c r="AG694" s="5"/>
      <c r="AH694" s="6"/>
      <c r="AI694" s="44">
        <v>44922</v>
      </c>
      <c r="AJ694" s="53">
        <v>142.41999999999999</v>
      </c>
      <c r="AK694" s="54">
        <f t="shared" si="110"/>
        <v>5.4359336392515445E-3</v>
      </c>
      <c r="AL694" s="55">
        <f t="shared" si="113"/>
        <v>14.772626805481154</v>
      </c>
      <c r="AM694" s="56">
        <v>25</v>
      </c>
      <c r="AN694" s="57">
        <f t="shared" si="111"/>
        <v>10.227373194518846</v>
      </c>
      <c r="AO694" s="76">
        <f t="shared" si="114"/>
        <v>-1.6958436623436879</v>
      </c>
      <c r="AP694" s="63" t="str">
        <f t="shared" si="115"/>
        <v/>
      </c>
      <c r="AQ694" s="63" t="str">
        <f t="shared" si="116"/>
        <v>Sell Stocks</v>
      </c>
      <c r="AR694" s="63" t="str">
        <f t="shared" si="117"/>
        <v/>
      </c>
      <c r="AS694" s="63" t="str">
        <f t="shared" si="118"/>
        <v/>
      </c>
      <c r="AT694" s="78" t="str">
        <f t="shared" si="119"/>
        <v/>
      </c>
      <c r="AU694" s="78" t="str">
        <f t="shared" si="120"/>
        <v/>
      </c>
      <c r="AV694" s="64" t="str">
        <f ca="1">IFERROR(__xludf.DUMMYFUNCTION("IF(TRIM(AU694)="""","""",AU694/INDEX(FILTER(AT$3:AT694,TRIM(AT$3:AT694)&lt;&gt;""""),ROWS(FILTER(AT$3:AT694,TRIM(AT$3:AT694)&lt;&gt;"""")))-1)"),"")</f>
        <v/>
      </c>
      <c r="AW694" s="65" t="e">
        <f t="shared" ca="1" si="112"/>
        <v>#VALUE!</v>
      </c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</row>
    <row r="695" spans="1:68" ht="19" x14ac:dyDescent="0.25">
      <c r="A695" s="5"/>
      <c r="B695" s="5"/>
      <c r="C695" s="5"/>
      <c r="D695" s="5"/>
      <c r="E695" s="5"/>
      <c r="F695" s="5"/>
      <c r="G695" s="5"/>
      <c r="H695" s="6"/>
      <c r="I695" s="5"/>
      <c r="J695" s="83"/>
      <c r="K695" s="83"/>
      <c r="L695" s="83"/>
      <c r="M695" s="83"/>
      <c r="N695" s="83"/>
      <c r="O695" s="83"/>
      <c r="P695" s="83"/>
      <c r="Q695" s="84"/>
      <c r="R695" s="83"/>
      <c r="S695" s="83"/>
      <c r="T695" s="85"/>
      <c r="U695" s="6"/>
      <c r="V695" s="44">
        <v>44923</v>
      </c>
      <c r="W695" s="45">
        <v>140.02000000000001</v>
      </c>
      <c r="X695" s="46"/>
      <c r="Y695" s="61"/>
      <c r="Z695" s="5"/>
      <c r="AA695" s="5"/>
      <c r="AB695" s="5"/>
      <c r="AC695" s="5"/>
      <c r="AD695" s="5"/>
      <c r="AE695" s="5"/>
      <c r="AF695" s="5"/>
      <c r="AG695" s="5"/>
      <c r="AH695" s="6"/>
      <c r="AI695" s="44">
        <v>44923</v>
      </c>
      <c r="AJ695" s="53">
        <v>140.02000000000001</v>
      </c>
      <c r="AK695" s="54">
        <f t="shared" si="110"/>
        <v>-1.6851565791321299E-2</v>
      </c>
      <c r="AL695" s="55">
        <f t="shared" si="113"/>
        <v>16.721030799850322</v>
      </c>
      <c r="AM695" s="56">
        <v>25</v>
      </c>
      <c r="AN695" s="57">
        <f t="shared" si="111"/>
        <v>8.2789692001496782</v>
      </c>
      <c r="AO695" s="76">
        <f t="shared" si="114"/>
        <v>2.7063037307638691</v>
      </c>
      <c r="AP695" s="63" t="str">
        <f t="shared" si="115"/>
        <v>Buy Stocks</v>
      </c>
      <c r="AQ695" s="63" t="str">
        <f t="shared" si="116"/>
        <v/>
      </c>
      <c r="AR695" s="63" t="str">
        <f t="shared" si="117"/>
        <v>Buy Stocks</v>
      </c>
      <c r="AS695" s="63" t="str">
        <f t="shared" si="118"/>
        <v/>
      </c>
      <c r="AT695" s="77">
        <f t="shared" si="119"/>
        <v>140.02000000000001</v>
      </c>
      <c r="AU695" s="78" t="str">
        <f t="shared" si="120"/>
        <v/>
      </c>
      <c r="AV695" s="64" t="str">
        <f ca="1">IFERROR(__xludf.DUMMYFUNCTION("IF(TRIM(AU695)="""","""",AU695/INDEX(FILTER(AT$3:AT695,TRIM(AT$3:AT695)&lt;&gt;""""),ROWS(FILTER(AT$3:AT695,TRIM(AT$3:AT695)&lt;&gt;"""")))-1)"),"")</f>
        <v/>
      </c>
      <c r="AW695" s="65" t="e">
        <f t="shared" ca="1" si="112"/>
        <v>#VALUE!</v>
      </c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</row>
    <row r="696" spans="1:68" ht="19" x14ac:dyDescent="0.25">
      <c r="A696" s="5"/>
      <c r="B696" s="5"/>
      <c r="C696" s="5"/>
      <c r="D696" s="5"/>
      <c r="E696" s="5"/>
      <c r="F696" s="5"/>
      <c r="G696" s="5"/>
      <c r="H696" s="6"/>
      <c r="I696" s="5"/>
      <c r="J696" s="83"/>
      <c r="K696" s="83"/>
      <c r="L696" s="83"/>
      <c r="M696" s="83"/>
      <c r="N696" s="83"/>
      <c r="O696" s="83"/>
      <c r="P696" s="83"/>
      <c r="Q696" s="84"/>
      <c r="R696" s="83"/>
      <c r="S696" s="83"/>
      <c r="T696" s="85"/>
      <c r="U696" s="6"/>
      <c r="V696" s="44">
        <v>44924</v>
      </c>
      <c r="W696" s="45">
        <v>141.06</v>
      </c>
      <c r="X696" s="46"/>
      <c r="Y696" s="61"/>
      <c r="Z696" s="5"/>
      <c r="AA696" s="5"/>
      <c r="AB696" s="5"/>
      <c r="AC696" s="5"/>
      <c r="AD696" s="5"/>
      <c r="AE696" s="5"/>
      <c r="AF696" s="5"/>
      <c r="AG696" s="5"/>
      <c r="AH696" s="6"/>
      <c r="AI696" s="44">
        <v>44924</v>
      </c>
      <c r="AJ696" s="53">
        <v>141.06</v>
      </c>
      <c r="AK696" s="54">
        <f t="shared" si="110"/>
        <v>7.4275103556633582E-3</v>
      </c>
      <c r="AL696" s="55">
        <f t="shared" si="113"/>
        <v>17.138435391821947</v>
      </c>
      <c r="AM696" s="56">
        <v>25</v>
      </c>
      <c r="AN696" s="57">
        <f t="shared" si="111"/>
        <v>7.8615646081780532</v>
      </c>
      <c r="AO696" s="76">
        <f t="shared" si="114"/>
        <v>7.4364101438582413</v>
      </c>
      <c r="AP696" s="63" t="str">
        <f t="shared" si="115"/>
        <v>Buy Stocks</v>
      </c>
      <c r="AQ696" s="63" t="str">
        <f t="shared" si="116"/>
        <v/>
      </c>
      <c r="AR696" s="63" t="str">
        <f t="shared" si="117"/>
        <v/>
      </c>
      <c r="AS696" s="63" t="str">
        <f t="shared" si="118"/>
        <v/>
      </c>
      <c r="AT696" s="78" t="str">
        <f t="shared" si="119"/>
        <v/>
      </c>
      <c r="AU696" s="78" t="str">
        <f t="shared" si="120"/>
        <v/>
      </c>
      <c r="AV696" s="64" t="str">
        <f ca="1">IFERROR(__xludf.DUMMYFUNCTION("IF(TRIM(AU696)="""","""",AU696/INDEX(FILTER(AT$3:AT696,TRIM(AT$3:AT696)&lt;&gt;""""),ROWS(FILTER(AT$3:AT696,TRIM(AT$3:AT696)&lt;&gt;"""")))-1)"),"")</f>
        <v/>
      </c>
      <c r="AW696" s="65" t="e">
        <f t="shared" ca="1" si="112"/>
        <v>#VALUE!</v>
      </c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</row>
    <row r="697" spans="1:68" ht="19" x14ac:dyDescent="0.25">
      <c r="A697" s="5"/>
      <c r="B697" s="5"/>
      <c r="C697" s="5"/>
      <c r="D697" s="5"/>
      <c r="E697" s="5"/>
      <c r="F697" s="5"/>
      <c r="G697" s="5"/>
      <c r="H697" s="6"/>
      <c r="I697" s="5"/>
      <c r="J697" s="83"/>
      <c r="K697" s="83"/>
      <c r="L697" s="83"/>
      <c r="M697" s="83"/>
      <c r="N697" s="83"/>
      <c r="O697" s="83"/>
      <c r="P697" s="83"/>
      <c r="Q697" s="84"/>
      <c r="R697" s="83"/>
      <c r="S697" s="83"/>
      <c r="T697" s="85"/>
      <c r="U697" s="6"/>
      <c r="V697" s="44">
        <v>44925</v>
      </c>
      <c r="W697" s="45">
        <v>140.88999999999999</v>
      </c>
      <c r="X697" s="46"/>
      <c r="Y697" s="61"/>
      <c r="Z697" s="5"/>
      <c r="AA697" s="5"/>
      <c r="AB697" s="5"/>
      <c r="AC697" s="5"/>
      <c r="AD697" s="5"/>
      <c r="AE697" s="5"/>
      <c r="AF697" s="5"/>
      <c r="AG697" s="5"/>
      <c r="AH697" s="6"/>
      <c r="AI697" s="44">
        <v>44925</v>
      </c>
      <c r="AJ697" s="53">
        <v>140.88999999999999</v>
      </c>
      <c r="AK697" s="54">
        <f t="shared" si="110"/>
        <v>-1.2051609244294603E-3</v>
      </c>
      <c r="AL697" s="55">
        <f t="shared" si="113"/>
        <v>15.874575351111261</v>
      </c>
      <c r="AM697" s="56">
        <v>25</v>
      </c>
      <c r="AN697" s="57">
        <f t="shared" si="111"/>
        <v>9.1254246488887389</v>
      </c>
      <c r="AO697" s="76">
        <f t="shared" si="114"/>
        <v>8.5211097955564004</v>
      </c>
      <c r="AP697" s="63" t="str">
        <f t="shared" si="115"/>
        <v>Buy Stocks</v>
      </c>
      <c r="AQ697" s="63" t="str">
        <f t="shared" si="116"/>
        <v/>
      </c>
      <c r="AR697" s="63" t="str">
        <f t="shared" si="117"/>
        <v/>
      </c>
      <c r="AS697" s="63" t="str">
        <f t="shared" si="118"/>
        <v/>
      </c>
      <c r="AT697" s="78" t="str">
        <f t="shared" si="119"/>
        <v/>
      </c>
      <c r="AU697" s="78" t="str">
        <f t="shared" si="120"/>
        <v/>
      </c>
      <c r="AV697" s="64" t="str">
        <f ca="1">IFERROR(__xludf.DUMMYFUNCTION("IF(TRIM(AU697)="""","""",AU697/INDEX(FILTER(AT$3:AT697,TRIM(AT$3:AT697)&lt;&gt;""""),ROWS(FILTER(AT$3:AT697,TRIM(AT$3:AT697)&lt;&gt;"""")))-1)"),"")</f>
        <v/>
      </c>
      <c r="AW697" s="65" t="e">
        <f t="shared" ca="1" si="112"/>
        <v>#VALUE!</v>
      </c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</row>
    <row r="698" spans="1:68" ht="19" x14ac:dyDescent="0.25">
      <c r="A698" s="5"/>
      <c r="B698" s="5"/>
      <c r="C698" s="5"/>
      <c r="D698" s="5"/>
      <c r="E698" s="5"/>
      <c r="F698" s="5"/>
      <c r="G698" s="5"/>
      <c r="H698" s="6"/>
      <c r="I698" s="5"/>
      <c r="J698" s="83"/>
      <c r="K698" s="83"/>
      <c r="L698" s="83"/>
      <c r="M698" s="83"/>
      <c r="N698" s="83"/>
      <c r="O698" s="83"/>
      <c r="P698" s="83"/>
      <c r="Q698" s="84"/>
      <c r="R698" s="83"/>
      <c r="S698" s="83"/>
      <c r="T698" s="85"/>
      <c r="U698" s="6"/>
      <c r="V698" s="44">
        <v>44929</v>
      </c>
      <c r="W698" s="45">
        <v>141.55000000000001</v>
      </c>
      <c r="X698" s="46"/>
      <c r="Y698" s="61"/>
      <c r="Z698" s="5"/>
      <c r="AA698" s="5"/>
      <c r="AB698" s="5"/>
      <c r="AC698" s="5"/>
      <c r="AD698" s="5"/>
      <c r="AE698" s="5"/>
      <c r="AF698" s="5"/>
      <c r="AG698" s="5"/>
      <c r="AH698" s="6"/>
      <c r="AI698" s="44">
        <v>44929</v>
      </c>
      <c r="AJ698" s="53">
        <v>141.55000000000001</v>
      </c>
      <c r="AK698" s="54">
        <f t="shared" si="110"/>
        <v>4.6845056427000653E-3</v>
      </c>
      <c r="AL698" s="55">
        <f t="shared" si="113"/>
        <v>15.715718478948846</v>
      </c>
      <c r="AM698" s="56">
        <v>25</v>
      </c>
      <c r="AN698" s="57">
        <f t="shared" si="111"/>
        <v>9.2842815210511542</v>
      </c>
      <c r="AO698" s="76">
        <f t="shared" si="114"/>
        <v>8.955522634557294</v>
      </c>
      <c r="AP698" s="63" t="str">
        <f t="shared" si="115"/>
        <v>Buy Stocks</v>
      </c>
      <c r="AQ698" s="63" t="str">
        <f t="shared" si="116"/>
        <v/>
      </c>
      <c r="AR698" s="63" t="str">
        <f t="shared" si="117"/>
        <v/>
      </c>
      <c r="AS698" s="63" t="str">
        <f t="shared" si="118"/>
        <v/>
      </c>
      <c r="AT698" s="78" t="str">
        <f t="shared" si="119"/>
        <v/>
      </c>
      <c r="AU698" s="78" t="str">
        <f t="shared" si="120"/>
        <v/>
      </c>
      <c r="AV698" s="64" t="str">
        <f ca="1">IFERROR(__xludf.DUMMYFUNCTION("IF(TRIM(AU698)="""","""",AU698/INDEX(FILTER(AT$3:AT698,TRIM(AT$3:AT698)&lt;&gt;""""),ROWS(FILTER(AT$3:AT698,TRIM(AT$3:AT698)&lt;&gt;"""")))-1)"),"")</f>
        <v/>
      </c>
      <c r="AW698" s="65" t="e">
        <f t="shared" ca="1" si="112"/>
        <v>#VALUE!</v>
      </c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</row>
    <row r="699" spans="1:68" ht="19" x14ac:dyDescent="0.25">
      <c r="A699" s="5"/>
      <c r="B699" s="5"/>
      <c r="C699" s="5"/>
      <c r="D699" s="5"/>
      <c r="E699" s="5"/>
      <c r="F699" s="5"/>
      <c r="G699" s="5"/>
      <c r="H699" s="6"/>
      <c r="I699" s="5"/>
      <c r="J699" s="83"/>
      <c r="K699" s="83"/>
      <c r="L699" s="83"/>
      <c r="M699" s="83"/>
      <c r="N699" s="83"/>
      <c r="O699" s="83"/>
      <c r="P699" s="83"/>
      <c r="Q699" s="84"/>
      <c r="R699" s="83"/>
      <c r="S699" s="83"/>
      <c r="T699" s="85"/>
      <c r="U699" s="6"/>
      <c r="V699" s="44">
        <v>44930</v>
      </c>
      <c r="W699" s="45">
        <v>142.6</v>
      </c>
      <c r="X699" s="46"/>
      <c r="Y699" s="61"/>
      <c r="Z699" s="5"/>
      <c r="AA699" s="5"/>
      <c r="AB699" s="5"/>
      <c r="AC699" s="5"/>
      <c r="AD699" s="5"/>
      <c r="AE699" s="5"/>
      <c r="AF699" s="5"/>
      <c r="AG699" s="5"/>
      <c r="AH699" s="6"/>
      <c r="AI699" s="44">
        <v>44930</v>
      </c>
      <c r="AJ699" s="53">
        <v>142.6</v>
      </c>
      <c r="AK699" s="54">
        <f t="shared" si="110"/>
        <v>7.4178735429175635E-3</v>
      </c>
      <c r="AL699" s="55">
        <f t="shared" si="113"/>
        <v>16.2108767453411</v>
      </c>
      <c r="AM699" s="56">
        <v>25</v>
      </c>
      <c r="AN699" s="57">
        <f t="shared" si="111"/>
        <v>8.7891232546589002</v>
      </c>
      <c r="AO699" s="76">
        <f t="shared" si="114"/>
        <v>8.6678726465853053</v>
      </c>
      <c r="AP699" s="63" t="str">
        <f t="shared" si="115"/>
        <v>Buy Stocks</v>
      </c>
      <c r="AQ699" s="63" t="str">
        <f t="shared" si="116"/>
        <v/>
      </c>
      <c r="AR699" s="63" t="str">
        <f t="shared" si="117"/>
        <v/>
      </c>
      <c r="AS699" s="63" t="str">
        <f t="shared" si="118"/>
        <v/>
      </c>
      <c r="AT699" s="78" t="str">
        <f t="shared" si="119"/>
        <v/>
      </c>
      <c r="AU699" s="78" t="str">
        <f t="shared" si="120"/>
        <v/>
      </c>
      <c r="AV699" s="64" t="str">
        <f ca="1">IFERROR(__xludf.DUMMYFUNCTION("IF(TRIM(AU699)="""","""",AU699/INDEX(FILTER(AT$3:AT699,TRIM(AT$3:AT699)&lt;&gt;""""),ROWS(FILTER(AT$3:AT699,TRIM(AT$3:AT699)&lt;&gt;"""")))-1)"),"")</f>
        <v/>
      </c>
      <c r="AW699" s="65" t="e">
        <f t="shared" ca="1" si="112"/>
        <v>#VALUE!</v>
      </c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</row>
    <row r="700" spans="1:68" ht="19" x14ac:dyDescent="0.25">
      <c r="A700" s="5"/>
      <c r="B700" s="5"/>
      <c r="C700" s="5"/>
      <c r="D700" s="5"/>
      <c r="E700" s="5"/>
      <c r="F700" s="5"/>
      <c r="G700" s="5"/>
      <c r="H700" s="6"/>
      <c r="I700" s="5"/>
      <c r="J700" s="83"/>
      <c r="K700" s="83"/>
      <c r="L700" s="83"/>
      <c r="M700" s="83"/>
      <c r="N700" s="83"/>
      <c r="O700" s="83"/>
      <c r="P700" s="83"/>
      <c r="Q700" s="84"/>
      <c r="R700" s="83"/>
      <c r="S700" s="83"/>
      <c r="T700" s="85"/>
      <c r="U700" s="6"/>
      <c r="V700" s="44">
        <v>44931</v>
      </c>
      <c r="W700" s="45">
        <v>141.11000000000001</v>
      </c>
      <c r="X700" s="46"/>
      <c r="Y700" s="61"/>
      <c r="Z700" s="5"/>
      <c r="AA700" s="5"/>
      <c r="AB700" s="5"/>
      <c r="AC700" s="5"/>
      <c r="AD700" s="5"/>
      <c r="AE700" s="5"/>
      <c r="AF700" s="5"/>
      <c r="AG700" s="5"/>
      <c r="AH700" s="6"/>
      <c r="AI700" s="44">
        <v>44931</v>
      </c>
      <c r="AJ700" s="53">
        <v>141.11000000000001</v>
      </c>
      <c r="AK700" s="54">
        <f t="shared" si="110"/>
        <v>-1.0448807854137265E-2</v>
      </c>
      <c r="AL700" s="55">
        <f t="shared" si="113"/>
        <v>12.046893130197962</v>
      </c>
      <c r="AM700" s="56">
        <v>25</v>
      </c>
      <c r="AN700" s="57">
        <f t="shared" si="111"/>
        <v>12.953106869802038</v>
      </c>
      <c r="AO700" s="76">
        <f t="shared" si="114"/>
        <v>9.602700180515777</v>
      </c>
      <c r="AP700" s="63" t="str">
        <f t="shared" si="115"/>
        <v>Buy Stocks</v>
      </c>
      <c r="AQ700" s="63" t="str">
        <f t="shared" si="116"/>
        <v/>
      </c>
      <c r="AR700" s="63" t="str">
        <f t="shared" si="117"/>
        <v/>
      </c>
      <c r="AS700" s="63" t="str">
        <f t="shared" si="118"/>
        <v/>
      </c>
      <c r="AT700" s="78" t="str">
        <f t="shared" si="119"/>
        <v/>
      </c>
      <c r="AU700" s="78" t="str">
        <f t="shared" si="120"/>
        <v/>
      </c>
      <c r="AV700" s="64" t="str">
        <f ca="1">IFERROR(__xludf.DUMMYFUNCTION("IF(TRIM(AU700)="""","""",AU700/INDEX(FILTER(AT$3:AT700,TRIM(AT$3:AT700)&lt;&gt;""""),ROWS(FILTER(AT$3:AT700,TRIM(AT$3:AT700)&lt;&gt;"""")))-1)"),"")</f>
        <v/>
      </c>
      <c r="AW700" s="65" t="e">
        <f t="shared" ca="1" si="112"/>
        <v>#VALUE!</v>
      </c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</row>
    <row r="701" spans="1:68" ht="19" x14ac:dyDescent="0.25">
      <c r="A701" s="5"/>
      <c r="B701" s="5"/>
      <c r="C701" s="5"/>
      <c r="D701" s="5"/>
      <c r="E701" s="5"/>
      <c r="F701" s="5"/>
      <c r="G701" s="5"/>
      <c r="H701" s="6"/>
      <c r="I701" s="5"/>
      <c r="J701" s="83"/>
      <c r="K701" s="83"/>
      <c r="L701" s="83"/>
      <c r="M701" s="83"/>
      <c r="N701" s="83"/>
      <c r="O701" s="83"/>
      <c r="P701" s="83"/>
      <c r="Q701" s="84"/>
      <c r="R701" s="83"/>
      <c r="S701" s="83"/>
      <c r="T701" s="85"/>
      <c r="U701" s="6"/>
      <c r="V701" s="44">
        <v>44932</v>
      </c>
      <c r="W701" s="45">
        <v>143.69999999999999</v>
      </c>
      <c r="X701" s="46"/>
      <c r="Y701" s="61"/>
      <c r="Z701" s="5"/>
      <c r="AA701" s="5"/>
      <c r="AB701" s="5"/>
      <c r="AC701" s="5"/>
      <c r="AD701" s="5"/>
      <c r="AE701" s="5"/>
      <c r="AF701" s="5"/>
      <c r="AG701" s="5"/>
      <c r="AH701" s="6"/>
      <c r="AI701" s="44">
        <v>44932</v>
      </c>
      <c r="AJ701" s="53">
        <v>143.69999999999999</v>
      </c>
      <c r="AK701" s="54">
        <f t="shared" si="110"/>
        <v>1.835447523208833E-2</v>
      </c>
      <c r="AL701" s="55">
        <f t="shared" si="113"/>
        <v>16.907962451272294</v>
      </c>
      <c r="AM701" s="56">
        <v>25</v>
      </c>
      <c r="AN701" s="57">
        <f t="shared" si="111"/>
        <v>8.0920375487277063</v>
      </c>
      <c r="AO701" s="76">
        <f t="shared" si="114"/>
        <v>9.6487947686257094</v>
      </c>
      <c r="AP701" s="63" t="str">
        <f t="shared" si="115"/>
        <v>Buy Stocks</v>
      </c>
      <c r="AQ701" s="63" t="str">
        <f t="shared" si="116"/>
        <v/>
      </c>
      <c r="AR701" s="63" t="str">
        <f t="shared" si="117"/>
        <v/>
      </c>
      <c r="AS701" s="63" t="str">
        <f t="shared" si="118"/>
        <v/>
      </c>
      <c r="AT701" s="78" t="str">
        <f t="shared" si="119"/>
        <v/>
      </c>
      <c r="AU701" s="78" t="str">
        <f t="shared" si="120"/>
        <v/>
      </c>
      <c r="AV701" s="64" t="str">
        <f ca="1">IFERROR(__xludf.DUMMYFUNCTION("IF(TRIM(AU701)="""","""",AU701/INDEX(FILTER(AT$3:AT701,TRIM(AT$3:AT701)&lt;&gt;""""),ROWS(FILTER(AT$3:AT701,TRIM(AT$3:AT701)&lt;&gt;"""")))-1)"),"")</f>
        <v/>
      </c>
      <c r="AW701" s="65" t="e">
        <f t="shared" ca="1" si="112"/>
        <v>#VALUE!</v>
      </c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</row>
    <row r="702" spans="1:68" ht="19" x14ac:dyDescent="0.25">
      <c r="A702" s="5"/>
      <c r="B702" s="5"/>
      <c r="C702" s="5"/>
      <c r="D702" s="5"/>
      <c r="E702" s="5"/>
      <c r="F702" s="5"/>
      <c r="G702" s="5"/>
      <c r="H702" s="6"/>
      <c r="I702" s="5"/>
      <c r="J702" s="83"/>
      <c r="K702" s="83"/>
      <c r="L702" s="83"/>
      <c r="M702" s="83"/>
      <c r="N702" s="83"/>
      <c r="O702" s="83"/>
      <c r="P702" s="83"/>
      <c r="Q702" s="84"/>
      <c r="R702" s="83"/>
      <c r="S702" s="83"/>
      <c r="T702" s="85"/>
      <c r="U702" s="6"/>
      <c r="V702" s="44">
        <v>44935</v>
      </c>
      <c r="W702" s="45">
        <v>143.55000000000001</v>
      </c>
      <c r="X702" s="46"/>
      <c r="Y702" s="61"/>
      <c r="Z702" s="5"/>
      <c r="AA702" s="5"/>
      <c r="AB702" s="5"/>
      <c r="AC702" s="5"/>
      <c r="AD702" s="5"/>
      <c r="AE702" s="5"/>
      <c r="AF702" s="5"/>
      <c r="AG702" s="5"/>
      <c r="AH702" s="6"/>
      <c r="AI702" s="44">
        <v>44935</v>
      </c>
      <c r="AJ702" s="53">
        <v>143.55000000000001</v>
      </c>
      <c r="AK702" s="54">
        <f t="shared" si="110"/>
        <v>-1.0438413361167909E-3</v>
      </c>
      <c r="AL702" s="55">
        <f t="shared" si="113"/>
        <v>16.878476267822659</v>
      </c>
      <c r="AM702" s="56">
        <v>25</v>
      </c>
      <c r="AN702" s="57">
        <f t="shared" si="111"/>
        <v>8.1215237321773408</v>
      </c>
      <c r="AO702" s="76">
        <f t="shared" si="114"/>
        <v>9.4480145852834276</v>
      </c>
      <c r="AP702" s="63" t="str">
        <f t="shared" si="115"/>
        <v>Buy Stocks</v>
      </c>
      <c r="AQ702" s="63" t="str">
        <f t="shared" si="116"/>
        <v/>
      </c>
      <c r="AR702" s="63" t="str">
        <f t="shared" si="117"/>
        <v/>
      </c>
      <c r="AS702" s="63" t="str">
        <f t="shared" si="118"/>
        <v/>
      </c>
      <c r="AT702" s="78" t="str">
        <f t="shared" si="119"/>
        <v/>
      </c>
      <c r="AU702" s="78" t="str">
        <f t="shared" si="120"/>
        <v/>
      </c>
      <c r="AV702" s="64" t="str">
        <f ca="1">IFERROR(__xludf.DUMMYFUNCTION("IF(TRIM(AU702)="""","""",AU702/INDEX(FILTER(AT$3:AT702,TRIM(AT$3:AT702)&lt;&gt;""""),ROWS(FILTER(AT$3:AT702,TRIM(AT$3:AT702)&lt;&gt;"""")))-1)"),"")</f>
        <v/>
      </c>
      <c r="AW702" s="65" t="e">
        <f t="shared" ca="1" si="112"/>
        <v>#VALUE!</v>
      </c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</row>
    <row r="703" spans="1:68" ht="19" x14ac:dyDescent="0.25">
      <c r="A703" s="5"/>
      <c r="B703" s="5"/>
      <c r="C703" s="5"/>
      <c r="D703" s="5"/>
      <c r="E703" s="5"/>
      <c r="F703" s="5"/>
      <c r="G703" s="5"/>
      <c r="H703" s="6"/>
      <c r="I703" s="5"/>
      <c r="J703" s="83"/>
      <c r="K703" s="83"/>
      <c r="L703" s="83"/>
      <c r="M703" s="83"/>
      <c r="N703" s="83"/>
      <c r="O703" s="83"/>
      <c r="P703" s="83"/>
      <c r="Q703" s="84"/>
      <c r="R703" s="83"/>
      <c r="S703" s="83"/>
      <c r="T703" s="85"/>
      <c r="U703" s="6"/>
      <c r="V703" s="44">
        <v>44936</v>
      </c>
      <c r="W703" s="45">
        <v>144.80000000000001</v>
      </c>
      <c r="X703" s="46"/>
      <c r="Y703" s="61"/>
      <c r="Z703" s="5"/>
      <c r="AA703" s="5"/>
      <c r="AB703" s="5"/>
      <c r="AC703" s="5"/>
      <c r="AD703" s="5"/>
      <c r="AE703" s="5"/>
      <c r="AF703" s="5"/>
      <c r="AG703" s="5"/>
      <c r="AH703" s="6"/>
      <c r="AI703" s="44">
        <v>44936</v>
      </c>
      <c r="AJ703" s="53">
        <v>144.80000000000001</v>
      </c>
      <c r="AK703" s="54">
        <f t="shared" si="110"/>
        <v>8.7077673284570167E-3</v>
      </c>
      <c r="AL703" s="55">
        <f t="shared" si="113"/>
        <v>17.249960839697305</v>
      </c>
      <c r="AM703" s="56">
        <v>25</v>
      </c>
      <c r="AN703" s="57">
        <f t="shared" si="111"/>
        <v>7.7500391603026948</v>
      </c>
      <c r="AO703" s="76">
        <f t="shared" si="114"/>
        <v>9.1411661131337354</v>
      </c>
      <c r="AP703" s="63" t="str">
        <f t="shared" si="115"/>
        <v>Buy Stocks</v>
      </c>
      <c r="AQ703" s="63" t="str">
        <f t="shared" si="116"/>
        <v/>
      </c>
      <c r="AR703" s="63" t="str">
        <f t="shared" si="117"/>
        <v/>
      </c>
      <c r="AS703" s="63" t="str">
        <f t="shared" si="118"/>
        <v/>
      </c>
      <c r="AT703" s="78" t="str">
        <f t="shared" si="119"/>
        <v/>
      </c>
      <c r="AU703" s="78" t="str">
        <f t="shared" si="120"/>
        <v/>
      </c>
      <c r="AV703" s="64" t="str">
        <f ca="1">IFERROR(__xludf.DUMMYFUNCTION("IF(TRIM(AU703)="""","""",AU703/INDEX(FILTER(AT$3:AT703,TRIM(AT$3:AT703)&lt;&gt;""""),ROWS(FILTER(AT$3:AT703,TRIM(AT$3:AT703)&lt;&gt;"""")))-1)"),"")</f>
        <v/>
      </c>
      <c r="AW703" s="65" t="e">
        <f t="shared" ca="1" si="112"/>
        <v>#VALUE!</v>
      </c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</row>
    <row r="704" spans="1:68" ht="19" x14ac:dyDescent="0.25">
      <c r="A704" s="5"/>
      <c r="B704" s="5"/>
      <c r="C704" s="5"/>
      <c r="D704" s="5"/>
      <c r="E704" s="5"/>
      <c r="F704" s="5"/>
      <c r="G704" s="5"/>
      <c r="H704" s="6"/>
      <c r="I704" s="5"/>
      <c r="J704" s="83"/>
      <c r="K704" s="83"/>
      <c r="L704" s="83"/>
      <c r="M704" s="83"/>
      <c r="N704" s="83"/>
      <c r="O704" s="83"/>
      <c r="P704" s="83"/>
      <c r="Q704" s="84"/>
      <c r="R704" s="83"/>
      <c r="S704" s="83"/>
      <c r="T704" s="85"/>
      <c r="U704" s="6"/>
      <c r="V704" s="44">
        <v>44937</v>
      </c>
      <c r="W704" s="45">
        <v>145.26</v>
      </c>
      <c r="X704" s="46"/>
      <c r="Y704" s="61"/>
      <c r="Z704" s="5"/>
      <c r="AA704" s="5"/>
      <c r="AB704" s="5"/>
      <c r="AC704" s="5"/>
      <c r="AD704" s="5"/>
      <c r="AE704" s="5"/>
      <c r="AF704" s="5"/>
      <c r="AG704" s="5"/>
      <c r="AH704" s="6"/>
      <c r="AI704" s="44">
        <v>44937</v>
      </c>
      <c r="AJ704" s="53">
        <v>145.26</v>
      </c>
      <c r="AK704" s="54">
        <f t="shared" si="110"/>
        <v>3.1767955801103032E-3</v>
      </c>
      <c r="AL704" s="55">
        <f t="shared" si="113"/>
        <v>17.07498279300718</v>
      </c>
      <c r="AM704" s="56">
        <v>25</v>
      </c>
      <c r="AN704" s="57">
        <f t="shared" si="111"/>
        <v>7.9250172069928198</v>
      </c>
      <c r="AO704" s="76">
        <f t="shared" si="114"/>
        <v>8.9683449036005207</v>
      </c>
      <c r="AP704" s="63" t="str">
        <f t="shared" si="115"/>
        <v>Buy Stocks</v>
      </c>
      <c r="AQ704" s="63" t="str">
        <f t="shared" si="116"/>
        <v/>
      </c>
      <c r="AR704" s="63" t="str">
        <f t="shared" si="117"/>
        <v/>
      </c>
      <c r="AS704" s="63" t="str">
        <f t="shared" si="118"/>
        <v/>
      </c>
      <c r="AT704" s="78" t="str">
        <f t="shared" si="119"/>
        <v/>
      </c>
      <c r="AU704" s="78" t="str">
        <f t="shared" si="120"/>
        <v/>
      </c>
      <c r="AV704" s="64" t="str">
        <f ca="1">IFERROR(__xludf.DUMMYFUNCTION("IF(TRIM(AU704)="""","""",AU704/INDEX(FILTER(AT$3:AT704,TRIM(AT$3:AT704)&lt;&gt;""""),ROWS(FILTER(AT$3:AT704,TRIM(AT$3:AT704)&lt;&gt;"""")))-1)"),"")</f>
        <v/>
      </c>
      <c r="AW704" s="65" t="e">
        <f t="shared" ca="1" si="112"/>
        <v>#VALUE!</v>
      </c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</row>
    <row r="705" spans="1:68" ht="19" x14ac:dyDescent="0.25">
      <c r="A705" s="5"/>
      <c r="B705" s="5"/>
      <c r="C705" s="5"/>
      <c r="D705" s="5"/>
      <c r="E705" s="5"/>
      <c r="F705" s="5"/>
      <c r="G705" s="5"/>
      <c r="H705" s="6"/>
      <c r="I705" s="5"/>
      <c r="J705" s="83"/>
      <c r="K705" s="83"/>
      <c r="L705" s="83"/>
      <c r="M705" s="83"/>
      <c r="N705" s="83"/>
      <c r="O705" s="83"/>
      <c r="P705" s="83"/>
      <c r="Q705" s="84"/>
      <c r="R705" s="83"/>
      <c r="S705" s="83"/>
      <c r="T705" s="85"/>
      <c r="U705" s="6"/>
      <c r="V705" s="44">
        <v>44938</v>
      </c>
      <c r="W705" s="45">
        <v>145.55000000000001</v>
      </c>
      <c r="X705" s="46"/>
      <c r="Y705" s="61"/>
      <c r="Z705" s="5"/>
      <c r="AA705" s="5"/>
      <c r="AB705" s="5"/>
      <c r="AC705" s="5"/>
      <c r="AD705" s="5"/>
      <c r="AE705" s="5"/>
      <c r="AF705" s="5"/>
      <c r="AG705" s="5"/>
      <c r="AH705" s="6"/>
      <c r="AI705" s="44">
        <v>44938</v>
      </c>
      <c r="AJ705" s="53">
        <v>145.55000000000001</v>
      </c>
      <c r="AK705" s="54">
        <f t="shared" si="110"/>
        <v>1.9964202120337227E-3</v>
      </c>
      <c r="AL705" s="55">
        <f t="shared" si="113"/>
        <v>12.12338324999973</v>
      </c>
      <c r="AM705" s="56">
        <v>25</v>
      </c>
      <c r="AN705" s="57">
        <f t="shared" si="111"/>
        <v>12.87661675000027</v>
      </c>
      <c r="AO705" s="76">
        <f t="shared" si="114"/>
        <v>8.9530468796401657</v>
      </c>
      <c r="AP705" s="63" t="str">
        <f t="shared" si="115"/>
        <v>Buy Stocks</v>
      </c>
      <c r="AQ705" s="63" t="str">
        <f t="shared" si="116"/>
        <v/>
      </c>
      <c r="AR705" s="63" t="str">
        <f t="shared" si="117"/>
        <v/>
      </c>
      <c r="AS705" s="63" t="str">
        <f t="shared" si="118"/>
        <v/>
      </c>
      <c r="AT705" s="78" t="str">
        <f t="shared" si="119"/>
        <v/>
      </c>
      <c r="AU705" s="78" t="str">
        <f t="shared" si="120"/>
        <v/>
      </c>
      <c r="AV705" s="64" t="str">
        <f ca="1">IFERROR(__xludf.DUMMYFUNCTION("IF(TRIM(AU705)="""","""",AU705/INDEX(FILTER(AT$3:AT705,TRIM(AT$3:AT705)&lt;&gt;""""),ROWS(FILTER(AT$3:AT705,TRIM(AT$3:AT705)&lt;&gt;"""")))-1)"),"")</f>
        <v/>
      </c>
      <c r="AW705" s="65" t="e">
        <f t="shared" ca="1" si="112"/>
        <v>#VALUE!</v>
      </c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</row>
    <row r="706" spans="1:68" ht="19" x14ac:dyDescent="0.25">
      <c r="A706" s="5"/>
      <c r="B706" s="5"/>
      <c r="C706" s="5"/>
      <c r="D706" s="5"/>
      <c r="E706" s="5"/>
      <c r="F706" s="5"/>
      <c r="G706" s="5"/>
      <c r="H706" s="6"/>
      <c r="I706" s="5"/>
      <c r="J706" s="83"/>
      <c r="K706" s="83"/>
      <c r="L706" s="83"/>
      <c r="M706" s="83"/>
      <c r="N706" s="83"/>
      <c r="O706" s="83"/>
      <c r="P706" s="83"/>
      <c r="Q706" s="84"/>
      <c r="R706" s="83"/>
      <c r="S706" s="83"/>
      <c r="T706" s="85"/>
      <c r="U706" s="6"/>
      <c r="V706" s="44">
        <v>44939</v>
      </c>
      <c r="W706" s="45">
        <v>145.88999999999999</v>
      </c>
      <c r="X706" s="46"/>
      <c r="Y706" s="61"/>
      <c r="Z706" s="5"/>
      <c r="AA706" s="5"/>
      <c r="AB706" s="5"/>
      <c r="AC706" s="5"/>
      <c r="AD706" s="5"/>
      <c r="AE706" s="5"/>
      <c r="AF706" s="5"/>
      <c r="AG706" s="5"/>
      <c r="AH706" s="6"/>
      <c r="AI706" s="44">
        <v>44939</v>
      </c>
      <c r="AJ706" s="53">
        <v>145.88999999999999</v>
      </c>
      <c r="AK706" s="54">
        <f t="shared" si="110"/>
        <v>2.3359670216418493E-3</v>
      </c>
      <c r="AL706" s="55">
        <f t="shared" si="113"/>
        <v>5.6351504665650376</v>
      </c>
      <c r="AM706" s="56">
        <v>25</v>
      </c>
      <c r="AN706" s="57">
        <f t="shared" si="111"/>
        <v>19.364849533434963</v>
      </c>
      <c r="AO706" s="76">
        <f t="shared" si="114"/>
        <v>11.207609276581618</v>
      </c>
      <c r="AP706" s="63" t="str">
        <f t="shared" si="115"/>
        <v>Buy Stocks</v>
      </c>
      <c r="AQ706" s="63" t="str">
        <f t="shared" si="116"/>
        <v/>
      </c>
      <c r="AR706" s="63" t="str">
        <f t="shared" si="117"/>
        <v/>
      </c>
      <c r="AS706" s="63" t="str">
        <f t="shared" si="118"/>
        <v/>
      </c>
      <c r="AT706" s="78" t="str">
        <f t="shared" si="119"/>
        <v/>
      </c>
      <c r="AU706" s="78" t="str">
        <f t="shared" si="120"/>
        <v/>
      </c>
      <c r="AV706" s="64" t="str">
        <f ca="1">IFERROR(__xludf.DUMMYFUNCTION("IF(TRIM(AU706)="""","""",AU706/INDEX(FILTER(AT$3:AT706,TRIM(AT$3:AT706)&lt;&gt;""""),ROWS(FILTER(AT$3:AT706,TRIM(AT$3:AT706)&lt;&gt;"""")))-1)"),"")</f>
        <v/>
      </c>
      <c r="AW706" s="65" t="e">
        <f t="shared" ca="1" si="112"/>
        <v>#VALUE!</v>
      </c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</row>
    <row r="707" spans="1:68" ht="19" x14ac:dyDescent="0.25">
      <c r="A707" s="5"/>
      <c r="B707" s="5"/>
      <c r="C707" s="5"/>
      <c r="D707" s="5"/>
      <c r="E707" s="5"/>
      <c r="F707" s="5"/>
      <c r="G707" s="5"/>
      <c r="H707" s="6"/>
      <c r="I707" s="5"/>
      <c r="J707" s="83"/>
      <c r="K707" s="83"/>
      <c r="L707" s="83"/>
      <c r="M707" s="83"/>
      <c r="N707" s="83"/>
      <c r="O707" s="83"/>
      <c r="P707" s="83"/>
      <c r="Q707" s="84"/>
      <c r="R707" s="83"/>
      <c r="S707" s="83"/>
      <c r="T707" s="85"/>
      <c r="U707" s="6"/>
      <c r="V707" s="44">
        <v>44943</v>
      </c>
      <c r="W707" s="45">
        <v>145.19</v>
      </c>
      <c r="X707" s="46"/>
      <c r="Y707" s="61"/>
      <c r="Z707" s="5"/>
      <c r="AA707" s="5"/>
      <c r="AB707" s="5"/>
      <c r="AC707" s="5"/>
      <c r="AD707" s="5"/>
      <c r="AE707" s="5"/>
      <c r="AF707" s="5"/>
      <c r="AG707" s="5"/>
      <c r="AH707" s="6"/>
      <c r="AI707" s="44">
        <v>44943</v>
      </c>
      <c r="AJ707" s="53">
        <v>145.19</v>
      </c>
      <c r="AK707" s="54">
        <f t="shared" ref="AK707:AK770" si="121">AJ707/AJ706-1</f>
        <v>-4.7981355816024696E-3</v>
      </c>
      <c r="AL707" s="55">
        <f t="shared" si="113"/>
        <v>7.6257109831895109</v>
      </c>
      <c r="AM707" s="56">
        <v>25</v>
      </c>
      <c r="AN707" s="57">
        <f t="shared" ref="AN707:AN770" si="122">AM707-AL707</f>
        <v>17.37428901681049</v>
      </c>
      <c r="AO707" s="76">
        <f t="shared" si="114"/>
        <v>13.058162333508246</v>
      </c>
      <c r="AP707" s="63" t="str">
        <f t="shared" si="115"/>
        <v>Buy Stocks</v>
      </c>
      <c r="AQ707" s="63" t="str">
        <f t="shared" si="116"/>
        <v/>
      </c>
      <c r="AR707" s="63" t="str">
        <f t="shared" si="117"/>
        <v/>
      </c>
      <c r="AS707" s="63" t="str">
        <f t="shared" si="118"/>
        <v/>
      </c>
      <c r="AT707" s="78" t="str">
        <f t="shared" si="119"/>
        <v/>
      </c>
      <c r="AU707" s="78" t="str">
        <f t="shared" si="120"/>
        <v/>
      </c>
      <c r="AV707" s="64" t="str">
        <f ca="1">IFERROR(__xludf.DUMMYFUNCTION("IF(TRIM(AU707)="""","""",AU707/INDEX(FILTER(AT$3:AT707,TRIM(AT$3:AT707)&lt;&gt;""""),ROWS(FILTER(AT$3:AT707,TRIM(AT$3:AT707)&lt;&gt;"""")))-1)"),"")</f>
        <v/>
      </c>
      <c r="AW707" s="65" t="e">
        <f t="shared" ref="AW707:AW770" ca="1" si="123">AW706*(1+AV707)</f>
        <v>#VALUE!</v>
      </c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</row>
    <row r="708" spans="1:68" ht="19" x14ac:dyDescent="0.25">
      <c r="A708" s="5"/>
      <c r="B708" s="5"/>
      <c r="C708" s="5"/>
      <c r="D708" s="5"/>
      <c r="E708" s="5"/>
      <c r="F708" s="5"/>
      <c r="G708" s="5"/>
      <c r="H708" s="6"/>
      <c r="I708" s="5"/>
      <c r="J708" s="83"/>
      <c r="K708" s="83"/>
      <c r="L708" s="83"/>
      <c r="M708" s="83"/>
      <c r="N708" s="83"/>
      <c r="O708" s="83"/>
      <c r="P708" s="83"/>
      <c r="Q708" s="84"/>
      <c r="R708" s="83"/>
      <c r="S708" s="83"/>
      <c r="T708" s="85"/>
      <c r="U708" s="6"/>
      <c r="V708" s="44">
        <v>44944</v>
      </c>
      <c r="W708" s="45">
        <v>140.41</v>
      </c>
      <c r="X708" s="46"/>
      <c r="Y708" s="61"/>
      <c r="Z708" s="5"/>
      <c r="AA708" s="5"/>
      <c r="AB708" s="5"/>
      <c r="AC708" s="5"/>
      <c r="AD708" s="5"/>
      <c r="AE708" s="5"/>
      <c r="AF708" s="5"/>
      <c r="AG708" s="5"/>
      <c r="AH708" s="6"/>
      <c r="AI708" s="44">
        <v>44944</v>
      </c>
      <c r="AJ708" s="53">
        <v>140.41</v>
      </c>
      <c r="AK708" s="54">
        <f t="shared" si="121"/>
        <v>-3.2922377574213124E-2</v>
      </c>
      <c r="AL708" s="55">
        <f t="shared" si="113"/>
        <v>24.385520507777418</v>
      </c>
      <c r="AM708" s="56">
        <v>25</v>
      </c>
      <c r="AN708" s="57">
        <f t="shared" si="122"/>
        <v>0.61447949222258202</v>
      </c>
      <c r="AO708" s="76">
        <f t="shared" si="114"/>
        <v>11.631050399892226</v>
      </c>
      <c r="AP708" s="63" t="str">
        <f t="shared" si="115"/>
        <v>Buy Stocks</v>
      </c>
      <c r="AQ708" s="63" t="str">
        <f t="shared" si="116"/>
        <v/>
      </c>
      <c r="AR708" s="63" t="str">
        <f t="shared" si="117"/>
        <v/>
      </c>
      <c r="AS708" s="63" t="str">
        <f t="shared" si="118"/>
        <v/>
      </c>
      <c r="AT708" s="78" t="str">
        <f t="shared" si="119"/>
        <v/>
      </c>
      <c r="AU708" s="78" t="str">
        <f t="shared" si="120"/>
        <v/>
      </c>
      <c r="AV708" s="64" t="str">
        <f ca="1">IFERROR(__xludf.DUMMYFUNCTION("IF(TRIM(AU708)="""","""",AU708/INDEX(FILTER(AT$3:AT708,TRIM(AT$3:AT708)&lt;&gt;""""),ROWS(FILTER(AT$3:AT708,TRIM(AT$3:AT708)&lt;&gt;"""")))-1)"),"")</f>
        <v/>
      </c>
      <c r="AW708" s="65" t="e">
        <f t="shared" ca="1" si="123"/>
        <v>#VALUE!</v>
      </c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</row>
    <row r="709" spans="1:68" ht="19" x14ac:dyDescent="0.25">
      <c r="A709" s="5"/>
      <c r="B709" s="5"/>
      <c r="C709" s="5"/>
      <c r="D709" s="5"/>
      <c r="E709" s="5"/>
      <c r="F709" s="5"/>
      <c r="G709" s="5"/>
      <c r="H709" s="6"/>
      <c r="I709" s="5"/>
      <c r="J709" s="83"/>
      <c r="K709" s="83"/>
      <c r="L709" s="83"/>
      <c r="M709" s="83"/>
      <c r="N709" s="83"/>
      <c r="O709" s="83"/>
      <c r="P709" s="83"/>
      <c r="Q709" s="84"/>
      <c r="R709" s="83"/>
      <c r="S709" s="83"/>
      <c r="T709" s="85"/>
      <c r="U709" s="6"/>
      <c r="V709" s="44">
        <v>44945</v>
      </c>
      <c r="W709" s="45">
        <v>140.62</v>
      </c>
      <c r="X709" s="46"/>
      <c r="Y709" s="61"/>
      <c r="Z709" s="5"/>
      <c r="AA709" s="5"/>
      <c r="AB709" s="5"/>
      <c r="AC709" s="5"/>
      <c r="AD709" s="5"/>
      <c r="AE709" s="5"/>
      <c r="AF709" s="5"/>
      <c r="AG709" s="5"/>
      <c r="AH709" s="6"/>
      <c r="AI709" s="44">
        <v>44945</v>
      </c>
      <c r="AJ709" s="53">
        <v>140.62</v>
      </c>
      <c r="AK709" s="54">
        <f t="shared" si="121"/>
        <v>1.495619970087736E-3</v>
      </c>
      <c r="AL709" s="55">
        <f t="shared" si="113"/>
        <v>24.011445728078197</v>
      </c>
      <c r="AM709" s="56">
        <v>25</v>
      </c>
      <c r="AN709" s="57">
        <f t="shared" si="122"/>
        <v>0.98855427192180301</v>
      </c>
      <c r="AO709" s="76">
        <f t="shared" si="114"/>
        <v>10.243757812878021</v>
      </c>
      <c r="AP709" s="63" t="str">
        <f t="shared" si="115"/>
        <v>Buy Stocks</v>
      </c>
      <c r="AQ709" s="63" t="str">
        <f t="shared" si="116"/>
        <v/>
      </c>
      <c r="AR709" s="63" t="str">
        <f t="shared" si="117"/>
        <v/>
      </c>
      <c r="AS709" s="63" t="str">
        <f t="shared" si="118"/>
        <v/>
      </c>
      <c r="AT709" s="78" t="str">
        <f t="shared" si="119"/>
        <v/>
      </c>
      <c r="AU709" s="78" t="str">
        <f t="shared" si="120"/>
        <v/>
      </c>
      <c r="AV709" s="64" t="str">
        <f ca="1">IFERROR(__xludf.DUMMYFUNCTION("IF(TRIM(AU709)="""","""",AU709/INDEX(FILTER(AT$3:AT709,TRIM(AT$3:AT709)&lt;&gt;""""),ROWS(FILTER(AT$3:AT709,TRIM(AT$3:AT709)&lt;&gt;"""")))-1)"),"")</f>
        <v/>
      </c>
      <c r="AW709" s="65" t="e">
        <f t="shared" ca="1" si="123"/>
        <v>#VALUE!</v>
      </c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</row>
    <row r="710" spans="1:68" ht="19" x14ac:dyDescent="0.25">
      <c r="A710" s="5"/>
      <c r="B710" s="5"/>
      <c r="C710" s="5"/>
      <c r="D710" s="5"/>
      <c r="E710" s="5"/>
      <c r="F710" s="5"/>
      <c r="G710" s="5"/>
      <c r="H710" s="6"/>
      <c r="I710" s="5"/>
      <c r="J710" s="83"/>
      <c r="K710" s="83"/>
      <c r="L710" s="83"/>
      <c r="M710" s="83"/>
      <c r="N710" s="83"/>
      <c r="O710" s="83"/>
      <c r="P710" s="83"/>
      <c r="Q710" s="84"/>
      <c r="R710" s="83"/>
      <c r="S710" s="83"/>
      <c r="T710" s="85"/>
      <c r="U710" s="6"/>
      <c r="V710" s="44">
        <v>44946</v>
      </c>
      <c r="W710" s="45">
        <v>141.19999999999999</v>
      </c>
      <c r="X710" s="46"/>
      <c r="Y710" s="61"/>
      <c r="Z710" s="5"/>
      <c r="AA710" s="5"/>
      <c r="AB710" s="5"/>
      <c r="AC710" s="5"/>
      <c r="AD710" s="5"/>
      <c r="AE710" s="5"/>
      <c r="AF710" s="5"/>
      <c r="AG710" s="5"/>
      <c r="AH710" s="6"/>
      <c r="AI710" s="44">
        <v>44946</v>
      </c>
      <c r="AJ710" s="53">
        <v>141.19999999999999</v>
      </c>
      <c r="AK710" s="54">
        <f t="shared" si="121"/>
        <v>4.12459109657215E-3</v>
      </c>
      <c r="AL710" s="55">
        <f t="shared" si="113"/>
        <v>24.521205324263988</v>
      </c>
      <c r="AM710" s="56">
        <v>25</v>
      </c>
      <c r="AN710" s="57">
        <f t="shared" si="122"/>
        <v>0.47879467573601175</v>
      </c>
      <c r="AO710" s="76">
        <f t="shared" si="114"/>
        <v>7.7641933980251707</v>
      </c>
      <c r="AP710" s="63" t="str">
        <f t="shared" si="115"/>
        <v>Buy Stocks</v>
      </c>
      <c r="AQ710" s="63" t="str">
        <f t="shared" si="116"/>
        <v/>
      </c>
      <c r="AR710" s="63" t="str">
        <f t="shared" si="117"/>
        <v/>
      </c>
      <c r="AS710" s="63" t="str">
        <f t="shared" si="118"/>
        <v/>
      </c>
      <c r="AT710" s="78" t="str">
        <f t="shared" si="119"/>
        <v/>
      </c>
      <c r="AU710" s="78" t="str">
        <f t="shared" si="120"/>
        <v/>
      </c>
      <c r="AV710" s="64" t="str">
        <f ca="1">IFERROR(__xludf.DUMMYFUNCTION("IF(TRIM(AU710)="""","""",AU710/INDEX(FILTER(AT$3:AT710,TRIM(AT$3:AT710)&lt;&gt;""""),ROWS(FILTER(AT$3:AT710,TRIM(AT$3:AT710)&lt;&gt;"""")))-1)"),"")</f>
        <v/>
      </c>
      <c r="AW710" s="65" t="e">
        <f t="shared" ca="1" si="123"/>
        <v>#VALUE!</v>
      </c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</row>
    <row r="711" spans="1:68" ht="19" x14ac:dyDescent="0.25">
      <c r="A711" s="5"/>
      <c r="B711" s="5"/>
      <c r="C711" s="5"/>
      <c r="D711" s="5"/>
      <c r="E711" s="5"/>
      <c r="F711" s="5"/>
      <c r="G711" s="5"/>
      <c r="H711" s="6"/>
      <c r="I711" s="5"/>
      <c r="J711" s="83"/>
      <c r="K711" s="83"/>
      <c r="L711" s="83"/>
      <c r="M711" s="83"/>
      <c r="N711" s="83"/>
      <c r="O711" s="83"/>
      <c r="P711" s="83"/>
      <c r="Q711" s="84"/>
      <c r="R711" s="83"/>
      <c r="S711" s="83"/>
      <c r="T711" s="85"/>
      <c r="U711" s="6"/>
      <c r="V711" s="44">
        <v>44949</v>
      </c>
      <c r="W711" s="45">
        <v>141.86000000000001</v>
      </c>
      <c r="X711" s="46"/>
      <c r="Y711" s="61"/>
      <c r="Z711" s="5"/>
      <c r="AA711" s="5"/>
      <c r="AB711" s="5"/>
      <c r="AC711" s="5"/>
      <c r="AD711" s="5"/>
      <c r="AE711" s="5"/>
      <c r="AF711" s="5"/>
      <c r="AG711" s="5"/>
      <c r="AH711" s="6"/>
      <c r="AI711" s="44">
        <v>44949</v>
      </c>
      <c r="AJ711" s="53">
        <v>141.86000000000001</v>
      </c>
      <c r="AK711" s="54">
        <f t="shared" si="121"/>
        <v>4.674220963172937E-3</v>
      </c>
      <c r="AL711" s="55">
        <f t="shared" ref="AL711:AL774" si="124">_xlfn.STDEV.S(AK707:AK711)*SQRT(252)*100</f>
        <v>25.069217350836599</v>
      </c>
      <c r="AM711" s="56">
        <v>25</v>
      </c>
      <c r="AN711" s="57">
        <f t="shared" si="122"/>
        <v>-6.9217350836598968E-2</v>
      </c>
      <c r="AO711" s="76">
        <f t="shared" ref="AO711:AO774" si="125">AVERAGE(AN707:AN711)</f>
        <v>3.8773800211708576</v>
      </c>
      <c r="AP711" s="63" t="str">
        <f t="shared" ref="AP711:AP774" si="126">IF(AO711&gt;0,"Buy Stocks","")</f>
        <v>Buy Stocks</v>
      </c>
      <c r="AQ711" s="63" t="str">
        <f t="shared" ref="AQ711:AQ774" si="127">IF(AO711&lt;0,"Sell Stocks","")</f>
        <v/>
      </c>
      <c r="AR711" s="63" t="str">
        <f t="shared" ref="AR711:AR774" si="128">IF(AND(AP711="Buy Stocks",AP710=""),"Buy Stocks","")</f>
        <v/>
      </c>
      <c r="AS711" s="63" t="str">
        <f t="shared" ref="AS711:AS774" si="129">IF(AND(AQ711="Sell Stocks",AQ710=""),"Sell Stocks","")</f>
        <v/>
      </c>
      <c r="AT711" s="78" t="str">
        <f t="shared" ref="AT711:AT774" si="130">IF(AR711="Buy Stocks",AJ711,"")</f>
        <v/>
      </c>
      <c r="AU711" s="78" t="str">
        <f t="shared" ref="AU711:AU774" si="131">IF(AS711="Sell Stocks",AJ711,"")</f>
        <v/>
      </c>
      <c r="AV711" s="64" t="str">
        <f ca="1">IFERROR(__xludf.DUMMYFUNCTION("IF(TRIM(AU711)="""","""",AU711/INDEX(FILTER(AT$3:AT711,TRIM(AT$3:AT711)&lt;&gt;""""),ROWS(FILTER(AT$3:AT711,TRIM(AT$3:AT711)&lt;&gt;"""")))-1)"),"")</f>
        <v/>
      </c>
      <c r="AW711" s="65" t="e">
        <f t="shared" ca="1" si="123"/>
        <v>#VALUE!</v>
      </c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</row>
    <row r="712" spans="1:68" ht="19" x14ac:dyDescent="0.25">
      <c r="A712" s="5"/>
      <c r="B712" s="5"/>
      <c r="C712" s="5"/>
      <c r="D712" s="5"/>
      <c r="E712" s="5"/>
      <c r="F712" s="5"/>
      <c r="G712" s="5"/>
      <c r="H712" s="6"/>
      <c r="I712" s="5"/>
      <c r="J712" s="83"/>
      <c r="K712" s="83"/>
      <c r="L712" s="83"/>
      <c r="M712" s="83"/>
      <c r="N712" s="83"/>
      <c r="O712" s="83"/>
      <c r="P712" s="83"/>
      <c r="Q712" s="84"/>
      <c r="R712" s="83"/>
      <c r="S712" s="83"/>
      <c r="T712" s="85"/>
      <c r="U712" s="6"/>
      <c r="V712" s="44">
        <v>44950</v>
      </c>
      <c r="W712" s="45">
        <v>141.49</v>
      </c>
      <c r="X712" s="46"/>
      <c r="Y712" s="61"/>
      <c r="Z712" s="5"/>
      <c r="AA712" s="5"/>
      <c r="AB712" s="5"/>
      <c r="AC712" s="5"/>
      <c r="AD712" s="5"/>
      <c r="AE712" s="5"/>
      <c r="AF712" s="5"/>
      <c r="AG712" s="5"/>
      <c r="AH712" s="6"/>
      <c r="AI712" s="44">
        <v>44950</v>
      </c>
      <c r="AJ712" s="53">
        <v>141.49</v>
      </c>
      <c r="AK712" s="54">
        <f t="shared" si="121"/>
        <v>-2.6082052728042537E-3</v>
      </c>
      <c r="AL712" s="55">
        <f t="shared" si="124"/>
        <v>25.155091117624028</v>
      </c>
      <c r="AM712" s="56">
        <v>25</v>
      </c>
      <c r="AN712" s="57">
        <f t="shared" si="122"/>
        <v>-0.15509111762402839</v>
      </c>
      <c r="AO712" s="76">
        <f t="shared" si="125"/>
        <v>0.37150399428395386</v>
      </c>
      <c r="AP712" s="63" t="str">
        <f t="shared" si="126"/>
        <v>Buy Stocks</v>
      </c>
      <c r="AQ712" s="63" t="str">
        <f t="shared" si="127"/>
        <v/>
      </c>
      <c r="AR712" s="63" t="str">
        <f t="shared" si="128"/>
        <v/>
      </c>
      <c r="AS712" s="63" t="str">
        <f t="shared" si="129"/>
        <v/>
      </c>
      <c r="AT712" s="78" t="str">
        <f t="shared" si="130"/>
        <v/>
      </c>
      <c r="AU712" s="78" t="str">
        <f t="shared" si="131"/>
        <v/>
      </c>
      <c r="AV712" s="64" t="str">
        <f ca="1">IFERROR(__xludf.DUMMYFUNCTION("IF(TRIM(AU712)="""","""",AU712/INDEX(FILTER(AT$3:AT712,TRIM(AT$3:AT712)&lt;&gt;""""),ROWS(FILTER(AT$3:AT712,TRIM(AT$3:AT712)&lt;&gt;"""")))-1)"),"")</f>
        <v/>
      </c>
      <c r="AW712" s="65" t="e">
        <f t="shared" ca="1" si="123"/>
        <v>#VALUE!</v>
      </c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</row>
    <row r="713" spans="1:68" ht="19" x14ac:dyDescent="0.25">
      <c r="A713" s="5"/>
      <c r="B713" s="5"/>
      <c r="C713" s="5"/>
      <c r="D713" s="5"/>
      <c r="E713" s="5"/>
      <c r="F713" s="5"/>
      <c r="G713" s="5"/>
      <c r="H713" s="6"/>
      <c r="I713" s="5"/>
      <c r="J713" s="83"/>
      <c r="K713" s="83"/>
      <c r="L713" s="83"/>
      <c r="M713" s="83"/>
      <c r="N713" s="83"/>
      <c r="O713" s="83"/>
      <c r="P713" s="83"/>
      <c r="Q713" s="84"/>
      <c r="R713" s="83"/>
      <c r="S713" s="83"/>
      <c r="T713" s="85"/>
      <c r="U713" s="6"/>
      <c r="V713" s="44">
        <v>44951</v>
      </c>
      <c r="W713" s="45">
        <v>140.76</v>
      </c>
      <c r="X713" s="46"/>
      <c r="Y713" s="61"/>
      <c r="Z713" s="5"/>
      <c r="AA713" s="5"/>
      <c r="AB713" s="5"/>
      <c r="AC713" s="5"/>
      <c r="AD713" s="5"/>
      <c r="AE713" s="5"/>
      <c r="AF713" s="5"/>
      <c r="AG713" s="5"/>
      <c r="AH713" s="6"/>
      <c r="AI713" s="44">
        <v>44951</v>
      </c>
      <c r="AJ713" s="53">
        <v>140.76</v>
      </c>
      <c r="AK713" s="54">
        <f t="shared" si="121"/>
        <v>-5.1593752208638488E-3</v>
      </c>
      <c r="AL713" s="55">
        <f t="shared" si="124"/>
        <v>6.7928410390916794</v>
      </c>
      <c r="AM713" s="56">
        <v>25</v>
      </c>
      <c r="AN713" s="57">
        <f t="shared" si="122"/>
        <v>18.20715896090832</v>
      </c>
      <c r="AO713" s="76">
        <f t="shared" si="125"/>
        <v>3.8900398880211013</v>
      </c>
      <c r="AP713" s="63" t="str">
        <f t="shared" si="126"/>
        <v>Buy Stocks</v>
      </c>
      <c r="AQ713" s="63" t="str">
        <f t="shared" si="127"/>
        <v/>
      </c>
      <c r="AR713" s="63" t="str">
        <f t="shared" si="128"/>
        <v/>
      </c>
      <c r="AS713" s="63" t="str">
        <f t="shared" si="129"/>
        <v/>
      </c>
      <c r="AT713" s="78" t="str">
        <f t="shared" si="130"/>
        <v/>
      </c>
      <c r="AU713" s="78" t="str">
        <f t="shared" si="131"/>
        <v/>
      </c>
      <c r="AV713" s="64" t="str">
        <f ca="1">IFERROR(__xludf.DUMMYFUNCTION("IF(TRIM(AU713)="""","""",AU713/INDEX(FILTER(AT$3:AT713,TRIM(AT$3:AT713)&lt;&gt;""""),ROWS(FILTER(AT$3:AT713,TRIM(AT$3:AT713)&lt;&gt;"""")))-1)"),"")</f>
        <v/>
      </c>
      <c r="AW713" s="65" t="e">
        <f t="shared" ca="1" si="123"/>
        <v>#VALUE!</v>
      </c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</row>
    <row r="714" spans="1:68" ht="19" x14ac:dyDescent="0.25">
      <c r="A714" s="5"/>
      <c r="B714" s="5"/>
      <c r="C714" s="5"/>
      <c r="D714" s="5"/>
      <c r="E714" s="5"/>
      <c r="F714" s="5"/>
      <c r="G714" s="5"/>
      <c r="H714" s="6"/>
      <c r="I714" s="5"/>
      <c r="J714" s="83"/>
      <c r="K714" s="83"/>
      <c r="L714" s="83"/>
      <c r="M714" s="83"/>
      <c r="N714" s="83"/>
      <c r="O714" s="83"/>
      <c r="P714" s="83"/>
      <c r="Q714" s="84"/>
      <c r="R714" s="83"/>
      <c r="S714" s="83"/>
      <c r="T714" s="85"/>
      <c r="U714" s="6"/>
      <c r="V714" s="44">
        <v>44952</v>
      </c>
      <c r="W714" s="45">
        <v>134.44999999999999</v>
      </c>
      <c r="X714" s="46"/>
      <c r="Y714" s="61"/>
      <c r="Z714" s="5"/>
      <c r="AA714" s="5"/>
      <c r="AB714" s="5"/>
      <c r="AC714" s="5"/>
      <c r="AD714" s="5"/>
      <c r="AE714" s="5"/>
      <c r="AF714" s="5"/>
      <c r="AG714" s="5"/>
      <c r="AH714" s="6"/>
      <c r="AI714" s="44">
        <v>44952</v>
      </c>
      <c r="AJ714" s="53">
        <v>134.44999999999999</v>
      </c>
      <c r="AK714" s="54">
        <f t="shared" si="121"/>
        <v>-4.4828076157999441E-2</v>
      </c>
      <c r="AL714" s="55">
        <f t="shared" si="124"/>
        <v>32.708865607383942</v>
      </c>
      <c r="AM714" s="56">
        <v>25</v>
      </c>
      <c r="AN714" s="57">
        <f t="shared" si="122"/>
        <v>-7.7088656073839417</v>
      </c>
      <c r="AO714" s="76">
        <f t="shared" si="125"/>
        <v>2.1505559121599527</v>
      </c>
      <c r="AP714" s="63" t="str">
        <f t="shared" si="126"/>
        <v>Buy Stocks</v>
      </c>
      <c r="AQ714" s="63" t="str">
        <f t="shared" si="127"/>
        <v/>
      </c>
      <c r="AR714" s="63" t="str">
        <f t="shared" si="128"/>
        <v/>
      </c>
      <c r="AS714" s="63" t="str">
        <f t="shared" si="129"/>
        <v/>
      </c>
      <c r="AT714" s="78" t="str">
        <f t="shared" si="130"/>
        <v/>
      </c>
      <c r="AU714" s="78" t="str">
        <f t="shared" si="131"/>
        <v/>
      </c>
      <c r="AV714" s="64" t="str">
        <f ca="1">IFERROR(__xludf.DUMMYFUNCTION("IF(TRIM(AU714)="""","""",AU714/INDEX(FILTER(AT$3:AT714,TRIM(AT$3:AT714)&lt;&gt;""""),ROWS(FILTER(AT$3:AT714,TRIM(AT$3:AT714)&lt;&gt;"""")))-1)"),"")</f>
        <v/>
      </c>
      <c r="AW714" s="65" t="e">
        <f t="shared" ca="1" si="123"/>
        <v>#VALUE!</v>
      </c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</row>
    <row r="715" spans="1:68" ht="19" x14ac:dyDescent="0.25">
      <c r="A715" s="5"/>
      <c r="B715" s="5"/>
      <c r="C715" s="5"/>
      <c r="D715" s="5"/>
      <c r="E715" s="5"/>
      <c r="F715" s="5"/>
      <c r="G715" s="5"/>
      <c r="H715" s="6"/>
      <c r="I715" s="5"/>
      <c r="J715" s="83"/>
      <c r="K715" s="83"/>
      <c r="L715" s="83"/>
      <c r="M715" s="83"/>
      <c r="N715" s="83"/>
      <c r="O715" s="83"/>
      <c r="P715" s="83"/>
      <c r="Q715" s="84"/>
      <c r="R715" s="83"/>
      <c r="S715" s="83"/>
      <c r="T715" s="85"/>
      <c r="U715" s="6"/>
      <c r="V715" s="44">
        <v>44953</v>
      </c>
      <c r="W715" s="45">
        <v>134.38999999999999</v>
      </c>
      <c r="X715" s="46"/>
      <c r="Y715" s="61"/>
      <c r="Z715" s="5"/>
      <c r="AA715" s="5"/>
      <c r="AB715" s="5"/>
      <c r="AC715" s="5"/>
      <c r="AD715" s="5"/>
      <c r="AE715" s="5"/>
      <c r="AF715" s="5"/>
      <c r="AG715" s="5"/>
      <c r="AH715" s="6"/>
      <c r="AI715" s="44">
        <v>44953</v>
      </c>
      <c r="AJ715" s="53">
        <v>134.38999999999999</v>
      </c>
      <c r="AK715" s="54">
        <f t="shared" si="121"/>
        <v>-4.4626255113422442E-4</v>
      </c>
      <c r="AL715" s="55">
        <f t="shared" si="124"/>
        <v>31.720616878824369</v>
      </c>
      <c r="AM715" s="56">
        <v>25</v>
      </c>
      <c r="AN715" s="57">
        <f t="shared" si="122"/>
        <v>-6.7206168788243694</v>
      </c>
      <c r="AO715" s="76">
        <f t="shared" si="125"/>
        <v>0.71067360124787626</v>
      </c>
      <c r="AP715" s="63" t="str">
        <f t="shared" si="126"/>
        <v>Buy Stocks</v>
      </c>
      <c r="AQ715" s="63" t="str">
        <f t="shared" si="127"/>
        <v/>
      </c>
      <c r="AR715" s="63" t="str">
        <f t="shared" si="128"/>
        <v/>
      </c>
      <c r="AS715" s="63" t="str">
        <f t="shared" si="129"/>
        <v/>
      </c>
      <c r="AT715" s="78" t="str">
        <f t="shared" si="130"/>
        <v/>
      </c>
      <c r="AU715" s="78" t="str">
        <f t="shared" si="131"/>
        <v/>
      </c>
      <c r="AV715" s="64" t="str">
        <f ca="1">IFERROR(__xludf.DUMMYFUNCTION("IF(TRIM(AU715)="""","""",AU715/INDEX(FILTER(AT$3:AT715,TRIM(AT$3:AT715)&lt;&gt;""""),ROWS(FILTER(AT$3:AT715,TRIM(AT$3:AT715)&lt;&gt;"""")))-1)"),"")</f>
        <v/>
      </c>
      <c r="AW715" s="65" t="e">
        <f t="shared" ca="1" si="123"/>
        <v>#VALUE!</v>
      </c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</row>
    <row r="716" spans="1:68" ht="19" x14ac:dyDescent="0.25">
      <c r="A716" s="5"/>
      <c r="B716" s="5"/>
      <c r="C716" s="5"/>
      <c r="D716" s="5"/>
      <c r="E716" s="5"/>
      <c r="F716" s="5"/>
      <c r="G716" s="5"/>
      <c r="H716" s="6"/>
      <c r="I716" s="5"/>
      <c r="J716" s="83"/>
      <c r="K716" s="83"/>
      <c r="L716" s="83"/>
      <c r="M716" s="83"/>
      <c r="N716" s="83"/>
      <c r="O716" s="83"/>
      <c r="P716" s="83"/>
      <c r="Q716" s="84"/>
      <c r="R716" s="83"/>
      <c r="S716" s="83"/>
      <c r="T716" s="85"/>
      <c r="U716" s="6"/>
      <c r="V716" s="44">
        <v>44956</v>
      </c>
      <c r="W716" s="45">
        <v>135.30000000000001</v>
      </c>
      <c r="X716" s="46"/>
      <c r="Y716" s="61"/>
      <c r="Z716" s="5"/>
      <c r="AA716" s="5"/>
      <c r="AB716" s="5"/>
      <c r="AC716" s="5"/>
      <c r="AD716" s="5"/>
      <c r="AE716" s="5"/>
      <c r="AF716" s="5"/>
      <c r="AG716" s="5"/>
      <c r="AH716" s="6"/>
      <c r="AI716" s="44">
        <v>44956</v>
      </c>
      <c r="AJ716" s="53">
        <v>135.30000000000001</v>
      </c>
      <c r="AK716" s="54">
        <f t="shared" si="121"/>
        <v>6.771337153062218E-3</v>
      </c>
      <c r="AL716" s="55">
        <f t="shared" si="124"/>
        <v>32.34696454783294</v>
      </c>
      <c r="AM716" s="56">
        <v>25</v>
      </c>
      <c r="AN716" s="57">
        <f t="shared" si="122"/>
        <v>-7.3469645478329397</v>
      </c>
      <c r="AO716" s="76">
        <f t="shared" si="125"/>
        <v>-0.74487583815139191</v>
      </c>
      <c r="AP716" s="63" t="str">
        <f t="shared" si="126"/>
        <v/>
      </c>
      <c r="AQ716" s="63" t="str">
        <f t="shared" si="127"/>
        <v>Sell Stocks</v>
      </c>
      <c r="AR716" s="63" t="str">
        <f t="shared" si="128"/>
        <v/>
      </c>
      <c r="AS716" s="63" t="str">
        <f t="shared" si="129"/>
        <v>Sell Stocks</v>
      </c>
      <c r="AT716" s="78" t="str">
        <f t="shared" si="130"/>
        <v/>
      </c>
      <c r="AU716" s="77">
        <f t="shared" si="131"/>
        <v>135.30000000000001</v>
      </c>
      <c r="AV716" s="64">
        <f ca="1">IFERROR(__xludf.DUMMYFUNCTION("IF(TRIM(AU716)="""","""",AU716/INDEX(FILTER(AT$3:AT716,TRIM(AT$3:AT716)&lt;&gt;""""),ROWS(FILTER(AT$3:AT716,TRIM(AT$3:AT716)&lt;&gt;"""")))-1)"),-0.0337094700757034)</f>
        <v>-3.37094700757034E-2</v>
      </c>
      <c r="AW716" s="65" t="e">
        <f t="shared" ca="1" si="123"/>
        <v>#VALUE!</v>
      </c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</row>
    <row r="717" spans="1:68" ht="19" x14ac:dyDescent="0.25">
      <c r="A717" s="5"/>
      <c r="B717" s="5"/>
      <c r="C717" s="5"/>
      <c r="D717" s="5"/>
      <c r="E717" s="5"/>
      <c r="F717" s="5"/>
      <c r="G717" s="5"/>
      <c r="H717" s="6"/>
      <c r="I717" s="5"/>
      <c r="J717" s="83"/>
      <c r="K717" s="83"/>
      <c r="L717" s="83"/>
      <c r="M717" s="83"/>
      <c r="N717" s="83"/>
      <c r="O717" s="83"/>
      <c r="P717" s="83"/>
      <c r="Q717" s="84"/>
      <c r="R717" s="83"/>
      <c r="S717" s="83"/>
      <c r="T717" s="85"/>
      <c r="U717" s="6"/>
      <c r="V717" s="44">
        <v>44957</v>
      </c>
      <c r="W717" s="45">
        <v>134.72999999999999</v>
      </c>
      <c r="X717" s="46"/>
      <c r="Y717" s="61"/>
      <c r="Z717" s="5"/>
      <c r="AA717" s="5"/>
      <c r="AB717" s="5"/>
      <c r="AC717" s="5"/>
      <c r="AD717" s="5"/>
      <c r="AE717" s="5"/>
      <c r="AF717" s="5"/>
      <c r="AG717" s="5"/>
      <c r="AH717" s="6"/>
      <c r="AI717" s="44">
        <v>44957</v>
      </c>
      <c r="AJ717" s="53">
        <v>134.72999999999999</v>
      </c>
      <c r="AK717" s="54">
        <f t="shared" si="121"/>
        <v>-4.2128603104214513E-3</v>
      </c>
      <c r="AL717" s="55">
        <f t="shared" si="124"/>
        <v>32.158773866469481</v>
      </c>
      <c r="AM717" s="56">
        <v>25</v>
      </c>
      <c r="AN717" s="57">
        <f t="shared" si="122"/>
        <v>-7.1587738664694811</v>
      </c>
      <c r="AO717" s="76">
        <f t="shared" si="125"/>
        <v>-2.1456123879204823</v>
      </c>
      <c r="AP717" s="63" t="str">
        <f t="shared" si="126"/>
        <v/>
      </c>
      <c r="AQ717" s="63" t="str">
        <f t="shared" si="127"/>
        <v>Sell Stocks</v>
      </c>
      <c r="AR717" s="63" t="str">
        <f t="shared" si="128"/>
        <v/>
      </c>
      <c r="AS717" s="63" t="str">
        <f t="shared" si="129"/>
        <v/>
      </c>
      <c r="AT717" s="78" t="str">
        <f t="shared" si="130"/>
        <v/>
      </c>
      <c r="AU717" s="78" t="str">
        <f t="shared" si="131"/>
        <v/>
      </c>
      <c r="AV717" s="64" t="str">
        <f ca="1">IFERROR(__xludf.DUMMYFUNCTION("IF(TRIM(AU717)="""","""",AU717/INDEX(FILTER(AT$3:AT717,TRIM(AT$3:AT717)&lt;&gt;""""),ROWS(FILTER(AT$3:AT717,TRIM(AT$3:AT717)&lt;&gt;"""")))-1)"),"")</f>
        <v/>
      </c>
      <c r="AW717" s="65" t="e">
        <f t="shared" ca="1" si="123"/>
        <v>#VALUE!</v>
      </c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</row>
    <row r="718" spans="1:68" ht="19" x14ac:dyDescent="0.25">
      <c r="A718" s="5"/>
      <c r="B718" s="5"/>
      <c r="C718" s="5"/>
      <c r="D718" s="5"/>
      <c r="E718" s="5"/>
      <c r="F718" s="5"/>
      <c r="G718" s="5"/>
      <c r="H718" s="6"/>
      <c r="I718" s="5"/>
      <c r="J718" s="83"/>
      <c r="K718" s="83"/>
      <c r="L718" s="83"/>
      <c r="M718" s="83"/>
      <c r="N718" s="83"/>
      <c r="O718" s="83"/>
      <c r="P718" s="83"/>
      <c r="Q718" s="84"/>
      <c r="R718" s="83"/>
      <c r="S718" s="83"/>
      <c r="T718" s="85"/>
      <c r="U718" s="6"/>
      <c r="V718" s="44">
        <v>44958</v>
      </c>
      <c r="W718" s="45">
        <v>135.09</v>
      </c>
      <c r="X718" s="46"/>
      <c r="Y718" s="61"/>
      <c r="Z718" s="5"/>
      <c r="AA718" s="5"/>
      <c r="AB718" s="5"/>
      <c r="AC718" s="5"/>
      <c r="AD718" s="5"/>
      <c r="AE718" s="5"/>
      <c r="AF718" s="5"/>
      <c r="AG718" s="5"/>
      <c r="AH718" s="6"/>
      <c r="AI718" s="44">
        <v>44958</v>
      </c>
      <c r="AJ718" s="53">
        <v>135.09</v>
      </c>
      <c r="AK718" s="54">
        <f t="shared" si="121"/>
        <v>2.6720106880429029E-3</v>
      </c>
      <c r="AL718" s="55">
        <f t="shared" si="124"/>
        <v>33.296684688518411</v>
      </c>
      <c r="AM718" s="56">
        <v>25</v>
      </c>
      <c r="AN718" s="57">
        <f t="shared" si="122"/>
        <v>-8.2966846885184111</v>
      </c>
      <c r="AO718" s="76">
        <f t="shared" si="125"/>
        <v>-7.4463811178058279</v>
      </c>
      <c r="AP718" s="63" t="str">
        <f t="shared" si="126"/>
        <v/>
      </c>
      <c r="AQ718" s="63" t="str">
        <f t="shared" si="127"/>
        <v>Sell Stocks</v>
      </c>
      <c r="AR718" s="63" t="str">
        <f t="shared" si="128"/>
        <v/>
      </c>
      <c r="AS718" s="63" t="str">
        <f t="shared" si="129"/>
        <v/>
      </c>
      <c r="AT718" s="78" t="str">
        <f t="shared" si="130"/>
        <v/>
      </c>
      <c r="AU718" s="78" t="str">
        <f t="shared" si="131"/>
        <v/>
      </c>
      <c r="AV718" s="64" t="str">
        <f ca="1">IFERROR(__xludf.DUMMYFUNCTION("IF(TRIM(AU718)="""","""",AU718/INDEX(FILTER(AT$3:AT718,TRIM(AT$3:AT718)&lt;&gt;""""),ROWS(FILTER(AT$3:AT718,TRIM(AT$3:AT718)&lt;&gt;"""")))-1)"),"")</f>
        <v/>
      </c>
      <c r="AW718" s="65" t="e">
        <f t="shared" ca="1" si="123"/>
        <v>#VALUE!</v>
      </c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</row>
    <row r="719" spans="1:68" ht="19" x14ac:dyDescent="0.25">
      <c r="A719" s="5"/>
      <c r="B719" s="5"/>
      <c r="C719" s="5"/>
      <c r="D719" s="5"/>
      <c r="E719" s="5"/>
      <c r="F719" s="5"/>
      <c r="G719" s="5"/>
      <c r="H719" s="6"/>
      <c r="I719" s="5"/>
      <c r="J719" s="83"/>
      <c r="K719" s="83"/>
      <c r="L719" s="83"/>
      <c r="M719" s="83"/>
      <c r="N719" s="83"/>
      <c r="O719" s="83"/>
      <c r="P719" s="83"/>
      <c r="Q719" s="84"/>
      <c r="R719" s="83"/>
      <c r="S719" s="83"/>
      <c r="T719" s="85"/>
      <c r="U719" s="6"/>
      <c r="V719" s="44">
        <v>44959</v>
      </c>
      <c r="W719" s="45">
        <v>136.38999999999999</v>
      </c>
      <c r="X719" s="46"/>
      <c r="Y719" s="61"/>
      <c r="Z719" s="5"/>
      <c r="AA719" s="5"/>
      <c r="AB719" s="5"/>
      <c r="AC719" s="5"/>
      <c r="AD719" s="5"/>
      <c r="AE719" s="5"/>
      <c r="AF719" s="5"/>
      <c r="AG719" s="5"/>
      <c r="AH719" s="6"/>
      <c r="AI719" s="44">
        <v>44959</v>
      </c>
      <c r="AJ719" s="53">
        <v>136.38999999999999</v>
      </c>
      <c r="AK719" s="54">
        <f t="shared" si="121"/>
        <v>9.623214153527071E-3</v>
      </c>
      <c r="AL719" s="55">
        <f t="shared" si="124"/>
        <v>8.7680390991303288</v>
      </c>
      <c r="AM719" s="56">
        <v>25</v>
      </c>
      <c r="AN719" s="57">
        <f t="shared" si="122"/>
        <v>16.231960900869673</v>
      </c>
      <c r="AO719" s="76">
        <f t="shared" si="125"/>
        <v>-2.6582158161551055</v>
      </c>
      <c r="AP719" s="63" t="str">
        <f t="shared" si="126"/>
        <v/>
      </c>
      <c r="AQ719" s="63" t="str">
        <f t="shared" si="127"/>
        <v>Sell Stocks</v>
      </c>
      <c r="AR719" s="63" t="str">
        <f t="shared" si="128"/>
        <v/>
      </c>
      <c r="AS719" s="63" t="str">
        <f t="shared" si="129"/>
        <v/>
      </c>
      <c r="AT719" s="78" t="str">
        <f t="shared" si="130"/>
        <v/>
      </c>
      <c r="AU719" s="78" t="str">
        <f t="shared" si="131"/>
        <v/>
      </c>
      <c r="AV719" s="64" t="str">
        <f ca="1">IFERROR(__xludf.DUMMYFUNCTION("IF(TRIM(AU719)="""","""",AU719/INDEX(FILTER(AT$3:AT719,TRIM(AT$3:AT719)&lt;&gt;""""),ROWS(FILTER(AT$3:AT719,TRIM(AT$3:AT719)&lt;&gt;"""")))-1)"),"")</f>
        <v/>
      </c>
      <c r="AW719" s="65" t="e">
        <f t="shared" ca="1" si="123"/>
        <v>#VALUE!</v>
      </c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</row>
    <row r="720" spans="1:68" ht="19" x14ac:dyDescent="0.25">
      <c r="A720" s="5"/>
      <c r="B720" s="5"/>
      <c r="C720" s="5"/>
      <c r="D720" s="5"/>
      <c r="E720" s="5"/>
      <c r="F720" s="5"/>
      <c r="G720" s="5"/>
      <c r="H720" s="6"/>
      <c r="I720" s="5"/>
      <c r="J720" s="83"/>
      <c r="K720" s="83"/>
      <c r="L720" s="83"/>
      <c r="M720" s="83"/>
      <c r="N720" s="83"/>
      <c r="O720" s="83"/>
      <c r="P720" s="83"/>
      <c r="Q720" s="84"/>
      <c r="R720" s="83"/>
      <c r="S720" s="83"/>
      <c r="T720" s="85"/>
      <c r="U720" s="6"/>
      <c r="V720" s="44">
        <v>44960</v>
      </c>
      <c r="W720" s="45">
        <v>136.94</v>
      </c>
      <c r="X720" s="46"/>
      <c r="Y720" s="61"/>
      <c r="Z720" s="5"/>
      <c r="AA720" s="5"/>
      <c r="AB720" s="5"/>
      <c r="AC720" s="5"/>
      <c r="AD720" s="5"/>
      <c r="AE720" s="5"/>
      <c r="AF720" s="5"/>
      <c r="AG720" s="5"/>
      <c r="AH720" s="6"/>
      <c r="AI720" s="44">
        <v>44960</v>
      </c>
      <c r="AJ720" s="53">
        <v>136.94</v>
      </c>
      <c r="AK720" s="54">
        <f t="shared" si="121"/>
        <v>4.0325537062835259E-3</v>
      </c>
      <c r="AL720" s="55">
        <f t="shared" si="124"/>
        <v>8.2588815476106117</v>
      </c>
      <c r="AM720" s="56">
        <v>25</v>
      </c>
      <c r="AN720" s="57">
        <f t="shared" si="122"/>
        <v>16.741118452389387</v>
      </c>
      <c r="AO720" s="76">
        <f t="shared" si="125"/>
        <v>2.0341312500876456</v>
      </c>
      <c r="AP720" s="63" t="str">
        <f t="shared" si="126"/>
        <v>Buy Stocks</v>
      </c>
      <c r="AQ720" s="63" t="str">
        <f t="shared" si="127"/>
        <v/>
      </c>
      <c r="AR720" s="63" t="str">
        <f t="shared" si="128"/>
        <v>Buy Stocks</v>
      </c>
      <c r="AS720" s="63" t="str">
        <f t="shared" si="129"/>
        <v/>
      </c>
      <c r="AT720" s="77">
        <f t="shared" si="130"/>
        <v>136.94</v>
      </c>
      <c r="AU720" s="78" t="str">
        <f t="shared" si="131"/>
        <v/>
      </c>
      <c r="AV720" s="64" t="str">
        <f ca="1">IFERROR(__xludf.DUMMYFUNCTION("IF(TRIM(AU720)="""","""",AU720/INDEX(FILTER(AT$3:AT720,TRIM(AT$3:AT720)&lt;&gt;""""),ROWS(FILTER(AT$3:AT720,TRIM(AT$3:AT720)&lt;&gt;"""")))-1)"),"")</f>
        <v/>
      </c>
      <c r="AW720" s="65" t="e">
        <f t="shared" ca="1" si="123"/>
        <v>#VALUE!</v>
      </c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</row>
    <row r="721" spans="1:68" ht="19" x14ac:dyDescent="0.25">
      <c r="A721" s="5"/>
      <c r="B721" s="5"/>
      <c r="C721" s="5"/>
      <c r="D721" s="5"/>
      <c r="E721" s="5"/>
      <c r="F721" s="5"/>
      <c r="G721" s="5"/>
      <c r="H721" s="6"/>
      <c r="I721" s="5"/>
      <c r="J721" s="83"/>
      <c r="K721" s="83"/>
      <c r="L721" s="83"/>
      <c r="M721" s="83"/>
      <c r="N721" s="83"/>
      <c r="O721" s="83"/>
      <c r="P721" s="83"/>
      <c r="Q721" s="84"/>
      <c r="R721" s="83"/>
      <c r="S721" s="83"/>
      <c r="T721" s="85"/>
      <c r="U721" s="6"/>
      <c r="V721" s="44">
        <v>44963</v>
      </c>
      <c r="W721" s="45">
        <v>136.18</v>
      </c>
      <c r="X721" s="46"/>
      <c r="Y721" s="61"/>
      <c r="Z721" s="5"/>
      <c r="AA721" s="5"/>
      <c r="AB721" s="5"/>
      <c r="AC721" s="5"/>
      <c r="AD721" s="5"/>
      <c r="AE721" s="5"/>
      <c r="AF721" s="5"/>
      <c r="AG721" s="5"/>
      <c r="AH721" s="6"/>
      <c r="AI721" s="44">
        <v>44963</v>
      </c>
      <c r="AJ721" s="53">
        <v>136.18</v>
      </c>
      <c r="AK721" s="54">
        <f t="shared" si="121"/>
        <v>-5.5498758580398988E-3</v>
      </c>
      <c r="AL721" s="55">
        <f t="shared" si="124"/>
        <v>9.9116166949781253</v>
      </c>
      <c r="AM721" s="56">
        <v>25</v>
      </c>
      <c r="AN721" s="57">
        <f t="shared" si="122"/>
        <v>15.088383305021875</v>
      </c>
      <c r="AO721" s="76">
        <f t="shared" si="125"/>
        <v>6.521200820658609</v>
      </c>
      <c r="AP721" s="63" t="str">
        <f t="shared" si="126"/>
        <v>Buy Stocks</v>
      </c>
      <c r="AQ721" s="63" t="str">
        <f t="shared" si="127"/>
        <v/>
      </c>
      <c r="AR721" s="63" t="str">
        <f t="shared" si="128"/>
        <v/>
      </c>
      <c r="AS721" s="63" t="str">
        <f t="shared" si="129"/>
        <v/>
      </c>
      <c r="AT721" s="78" t="str">
        <f t="shared" si="130"/>
        <v/>
      </c>
      <c r="AU721" s="78" t="str">
        <f t="shared" si="131"/>
        <v/>
      </c>
      <c r="AV721" s="64" t="str">
        <f ca="1">IFERROR(__xludf.DUMMYFUNCTION("IF(TRIM(AU721)="""","""",AU721/INDEX(FILTER(AT$3:AT721,TRIM(AT$3:AT721)&lt;&gt;""""),ROWS(FILTER(AT$3:AT721,TRIM(AT$3:AT721)&lt;&gt;"""")))-1)"),"")</f>
        <v/>
      </c>
      <c r="AW721" s="65" t="e">
        <f t="shared" ca="1" si="123"/>
        <v>#VALUE!</v>
      </c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</row>
    <row r="722" spans="1:68" ht="19" x14ac:dyDescent="0.25">
      <c r="A722" s="5"/>
      <c r="B722" s="5"/>
      <c r="C722" s="5"/>
      <c r="D722" s="5"/>
      <c r="E722" s="5"/>
      <c r="F722" s="5"/>
      <c r="G722" s="5"/>
      <c r="H722" s="6"/>
      <c r="I722" s="5"/>
      <c r="J722" s="83"/>
      <c r="K722" s="83"/>
      <c r="L722" s="83"/>
      <c r="M722" s="83"/>
      <c r="N722" s="83"/>
      <c r="O722" s="83"/>
      <c r="P722" s="83"/>
      <c r="Q722" s="84"/>
      <c r="R722" s="83"/>
      <c r="S722" s="83"/>
      <c r="T722" s="85"/>
      <c r="U722" s="6"/>
      <c r="V722" s="44">
        <v>44964</v>
      </c>
      <c r="W722" s="45">
        <v>135.84</v>
      </c>
      <c r="X722" s="46"/>
      <c r="Y722" s="61"/>
      <c r="Z722" s="5"/>
      <c r="AA722" s="5"/>
      <c r="AB722" s="5"/>
      <c r="AC722" s="5"/>
      <c r="AD722" s="5"/>
      <c r="AE722" s="5"/>
      <c r="AF722" s="5"/>
      <c r="AG722" s="5"/>
      <c r="AH722" s="6"/>
      <c r="AI722" s="44">
        <v>44964</v>
      </c>
      <c r="AJ722" s="53">
        <v>135.84</v>
      </c>
      <c r="AK722" s="54">
        <f t="shared" si="121"/>
        <v>-2.4966955500074217E-3</v>
      </c>
      <c r="AL722" s="55">
        <f t="shared" si="124"/>
        <v>9.3688621252308586</v>
      </c>
      <c r="AM722" s="56">
        <v>25</v>
      </c>
      <c r="AN722" s="57">
        <f t="shared" si="122"/>
        <v>15.631137874769141</v>
      </c>
      <c r="AO722" s="76">
        <f t="shared" si="125"/>
        <v>11.079183168906331</v>
      </c>
      <c r="AP722" s="63" t="str">
        <f t="shared" si="126"/>
        <v>Buy Stocks</v>
      </c>
      <c r="AQ722" s="63" t="str">
        <f t="shared" si="127"/>
        <v/>
      </c>
      <c r="AR722" s="63" t="str">
        <f t="shared" si="128"/>
        <v/>
      </c>
      <c r="AS722" s="63" t="str">
        <f t="shared" si="129"/>
        <v/>
      </c>
      <c r="AT722" s="78" t="str">
        <f t="shared" si="130"/>
        <v/>
      </c>
      <c r="AU722" s="78" t="str">
        <f t="shared" si="131"/>
        <v/>
      </c>
      <c r="AV722" s="64" t="str">
        <f ca="1">IFERROR(__xludf.DUMMYFUNCTION("IF(TRIM(AU722)="""","""",AU722/INDEX(FILTER(AT$3:AT722,TRIM(AT$3:AT722)&lt;&gt;""""),ROWS(FILTER(AT$3:AT722,TRIM(AT$3:AT722)&lt;&gt;"""")))-1)"),"")</f>
        <v/>
      </c>
      <c r="AW722" s="65" t="e">
        <f t="shared" ca="1" si="123"/>
        <v>#VALUE!</v>
      </c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</row>
    <row r="723" spans="1:68" ht="19" x14ac:dyDescent="0.25">
      <c r="A723" s="5"/>
      <c r="B723" s="5"/>
      <c r="C723" s="5"/>
      <c r="D723" s="5"/>
      <c r="E723" s="5"/>
      <c r="F723" s="5"/>
      <c r="G723" s="5"/>
      <c r="H723" s="6"/>
      <c r="I723" s="5"/>
      <c r="J723" s="83"/>
      <c r="K723" s="83"/>
      <c r="L723" s="83"/>
      <c r="M723" s="83"/>
      <c r="N723" s="83"/>
      <c r="O723" s="83"/>
      <c r="P723" s="83"/>
      <c r="Q723" s="84"/>
      <c r="R723" s="83"/>
      <c r="S723" s="83"/>
      <c r="T723" s="85"/>
      <c r="U723" s="6"/>
      <c r="V723" s="44">
        <v>44965</v>
      </c>
      <c r="W723" s="45">
        <v>135.97999999999999</v>
      </c>
      <c r="X723" s="46"/>
      <c r="Y723" s="61"/>
      <c r="Z723" s="5"/>
      <c r="AA723" s="5"/>
      <c r="AB723" s="5"/>
      <c r="AC723" s="5"/>
      <c r="AD723" s="5"/>
      <c r="AE723" s="5"/>
      <c r="AF723" s="5"/>
      <c r="AG723" s="5"/>
      <c r="AH723" s="6"/>
      <c r="AI723" s="44">
        <v>44965</v>
      </c>
      <c r="AJ723" s="53">
        <v>135.97999999999999</v>
      </c>
      <c r="AK723" s="54">
        <f t="shared" si="121"/>
        <v>1.0306242638398189E-3</v>
      </c>
      <c r="AL723" s="55">
        <f t="shared" si="124"/>
        <v>9.3291301188897737</v>
      </c>
      <c r="AM723" s="56">
        <v>25</v>
      </c>
      <c r="AN723" s="57">
        <f t="shared" si="122"/>
        <v>15.670869881110226</v>
      </c>
      <c r="AO723" s="76">
        <f t="shared" si="125"/>
        <v>15.872694082832059</v>
      </c>
      <c r="AP723" s="63" t="str">
        <f t="shared" si="126"/>
        <v>Buy Stocks</v>
      </c>
      <c r="AQ723" s="63" t="str">
        <f t="shared" si="127"/>
        <v/>
      </c>
      <c r="AR723" s="63" t="str">
        <f t="shared" si="128"/>
        <v/>
      </c>
      <c r="AS723" s="63" t="str">
        <f t="shared" si="129"/>
        <v/>
      </c>
      <c r="AT723" s="78" t="str">
        <f t="shared" si="130"/>
        <v/>
      </c>
      <c r="AU723" s="78" t="str">
        <f t="shared" si="131"/>
        <v/>
      </c>
      <c r="AV723" s="64" t="str">
        <f ca="1">IFERROR(__xludf.DUMMYFUNCTION("IF(TRIM(AU723)="""","""",AU723/INDEX(FILTER(AT$3:AT723,TRIM(AT$3:AT723)&lt;&gt;""""),ROWS(FILTER(AT$3:AT723,TRIM(AT$3:AT723)&lt;&gt;"""")))-1)"),"")</f>
        <v/>
      </c>
      <c r="AW723" s="65" t="e">
        <f t="shared" ca="1" si="123"/>
        <v>#VALUE!</v>
      </c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</row>
    <row r="724" spans="1:68" ht="19" x14ac:dyDescent="0.25">
      <c r="A724" s="5"/>
      <c r="B724" s="5"/>
      <c r="C724" s="5"/>
      <c r="D724" s="5"/>
      <c r="E724" s="5"/>
      <c r="F724" s="5"/>
      <c r="G724" s="5"/>
      <c r="H724" s="6"/>
      <c r="I724" s="5"/>
      <c r="J724" s="83"/>
      <c r="K724" s="83"/>
      <c r="L724" s="83"/>
      <c r="M724" s="83"/>
      <c r="N724" s="83"/>
      <c r="O724" s="83"/>
      <c r="P724" s="83"/>
      <c r="Q724" s="84"/>
      <c r="R724" s="83"/>
      <c r="S724" s="83"/>
      <c r="T724" s="85"/>
      <c r="U724" s="6"/>
      <c r="V724" s="44">
        <v>44966</v>
      </c>
      <c r="W724" s="45">
        <v>133.75</v>
      </c>
      <c r="X724" s="46"/>
      <c r="Y724" s="61"/>
      <c r="Z724" s="5"/>
      <c r="AA724" s="5"/>
      <c r="AB724" s="5"/>
      <c r="AC724" s="5"/>
      <c r="AD724" s="5"/>
      <c r="AE724" s="5"/>
      <c r="AF724" s="5"/>
      <c r="AG724" s="5"/>
      <c r="AH724" s="6"/>
      <c r="AI724" s="44">
        <v>44966</v>
      </c>
      <c r="AJ724" s="53">
        <v>133.75</v>
      </c>
      <c r="AK724" s="54">
        <f t="shared" si="121"/>
        <v>-1.6399470510369052E-2</v>
      </c>
      <c r="AL724" s="55">
        <f t="shared" si="124"/>
        <v>12.503677739505481</v>
      </c>
      <c r="AM724" s="56">
        <v>25</v>
      </c>
      <c r="AN724" s="57">
        <f t="shared" si="122"/>
        <v>12.496322260494519</v>
      </c>
      <c r="AO724" s="76">
        <f t="shared" si="125"/>
        <v>15.12556635475703</v>
      </c>
      <c r="AP724" s="63" t="str">
        <f t="shared" si="126"/>
        <v>Buy Stocks</v>
      </c>
      <c r="AQ724" s="63" t="str">
        <f t="shared" si="127"/>
        <v/>
      </c>
      <c r="AR724" s="63" t="str">
        <f t="shared" si="128"/>
        <v/>
      </c>
      <c r="AS724" s="63" t="str">
        <f t="shared" si="129"/>
        <v/>
      </c>
      <c r="AT724" s="78" t="str">
        <f t="shared" si="130"/>
        <v/>
      </c>
      <c r="AU724" s="78" t="str">
        <f t="shared" si="131"/>
        <v/>
      </c>
      <c r="AV724" s="64" t="str">
        <f ca="1">IFERROR(__xludf.DUMMYFUNCTION("IF(TRIM(AU724)="""","""",AU724/INDEX(FILTER(AT$3:AT724,TRIM(AT$3:AT724)&lt;&gt;""""),ROWS(FILTER(AT$3:AT724,TRIM(AT$3:AT724)&lt;&gt;"""")))-1)"),"")</f>
        <v/>
      </c>
      <c r="AW724" s="65" t="e">
        <f t="shared" ca="1" si="123"/>
        <v>#VALUE!</v>
      </c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</row>
    <row r="725" spans="1:68" ht="19" x14ac:dyDescent="0.25">
      <c r="A725" s="5"/>
      <c r="B725" s="5"/>
      <c r="C725" s="5"/>
      <c r="D725" s="5"/>
      <c r="E725" s="5"/>
      <c r="F725" s="5"/>
      <c r="G725" s="5"/>
      <c r="H725" s="6"/>
      <c r="I725" s="5"/>
      <c r="J725" s="83"/>
      <c r="K725" s="83"/>
      <c r="L725" s="83"/>
      <c r="M725" s="83"/>
      <c r="N725" s="83"/>
      <c r="O725" s="83"/>
      <c r="P725" s="83"/>
      <c r="Q725" s="84"/>
      <c r="R725" s="83"/>
      <c r="S725" s="83"/>
      <c r="T725" s="85"/>
      <c r="U725" s="6"/>
      <c r="V725" s="44">
        <v>44967</v>
      </c>
      <c r="W725" s="45">
        <v>135.6</v>
      </c>
      <c r="X725" s="46"/>
      <c r="Y725" s="61"/>
      <c r="Z725" s="5"/>
      <c r="AA725" s="5"/>
      <c r="AB725" s="5"/>
      <c r="AC725" s="5"/>
      <c r="AD725" s="5"/>
      <c r="AE725" s="5"/>
      <c r="AF725" s="5"/>
      <c r="AG725" s="5"/>
      <c r="AH725" s="6"/>
      <c r="AI725" s="44">
        <v>44967</v>
      </c>
      <c r="AJ725" s="53">
        <v>135.6</v>
      </c>
      <c r="AK725" s="54">
        <f t="shared" si="121"/>
        <v>1.3831775700934523E-2</v>
      </c>
      <c r="AL725" s="55">
        <f t="shared" si="124"/>
        <v>17.389438536953946</v>
      </c>
      <c r="AM725" s="56">
        <v>25</v>
      </c>
      <c r="AN725" s="57">
        <f t="shared" si="122"/>
        <v>7.6105614630460536</v>
      </c>
      <c r="AO725" s="76">
        <f t="shared" si="125"/>
        <v>13.299454956888363</v>
      </c>
      <c r="AP725" s="63" t="str">
        <f t="shared" si="126"/>
        <v>Buy Stocks</v>
      </c>
      <c r="AQ725" s="63" t="str">
        <f t="shared" si="127"/>
        <v/>
      </c>
      <c r="AR725" s="63" t="str">
        <f t="shared" si="128"/>
        <v/>
      </c>
      <c r="AS725" s="63" t="str">
        <f t="shared" si="129"/>
        <v/>
      </c>
      <c r="AT725" s="78" t="str">
        <f t="shared" si="130"/>
        <v/>
      </c>
      <c r="AU725" s="78" t="str">
        <f t="shared" si="131"/>
        <v/>
      </c>
      <c r="AV725" s="64" t="str">
        <f ca="1">IFERROR(__xludf.DUMMYFUNCTION("IF(TRIM(AU725)="""","""",AU725/INDEX(FILTER(AT$3:AT725,TRIM(AT$3:AT725)&lt;&gt;""""),ROWS(FILTER(AT$3:AT725,TRIM(AT$3:AT725)&lt;&gt;"""")))-1)"),"")</f>
        <v/>
      </c>
      <c r="AW725" s="65" t="e">
        <f t="shared" ca="1" si="123"/>
        <v>#VALUE!</v>
      </c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</row>
    <row r="726" spans="1:68" ht="19" x14ac:dyDescent="0.25">
      <c r="A726" s="5"/>
      <c r="B726" s="5"/>
      <c r="C726" s="5"/>
      <c r="D726" s="5"/>
      <c r="E726" s="5"/>
      <c r="F726" s="5"/>
      <c r="G726" s="5"/>
      <c r="H726" s="6"/>
      <c r="I726" s="5"/>
      <c r="J726" s="83"/>
      <c r="K726" s="83"/>
      <c r="L726" s="83"/>
      <c r="M726" s="83"/>
      <c r="N726" s="83"/>
      <c r="O726" s="83"/>
      <c r="P726" s="83"/>
      <c r="Q726" s="84"/>
      <c r="R726" s="83"/>
      <c r="S726" s="83"/>
      <c r="T726" s="85"/>
      <c r="U726" s="6"/>
      <c r="V726" s="44">
        <v>44970</v>
      </c>
      <c r="W726" s="45">
        <v>137.35</v>
      </c>
      <c r="X726" s="46"/>
      <c r="Y726" s="61"/>
      <c r="Z726" s="5"/>
      <c r="AA726" s="5"/>
      <c r="AB726" s="5"/>
      <c r="AC726" s="5"/>
      <c r="AD726" s="5"/>
      <c r="AE726" s="5"/>
      <c r="AF726" s="5"/>
      <c r="AG726" s="5"/>
      <c r="AH726" s="6"/>
      <c r="AI726" s="44">
        <v>44970</v>
      </c>
      <c r="AJ726" s="53">
        <v>137.35</v>
      </c>
      <c r="AK726" s="54">
        <f t="shared" si="121"/>
        <v>1.2905604719763986E-2</v>
      </c>
      <c r="AL726" s="55">
        <f t="shared" si="124"/>
        <v>19.737591174925694</v>
      </c>
      <c r="AM726" s="56">
        <v>25</v>
      </c>
      <c r="AN726" s="57">
        <f t="shared" si="122"/>
        <v>5.2624088250743064</v>
      </c>
      <c r="AO726" s="76">
        <f t="shared" si="125"/>
        <v>11.334260060898847</v>
      </c>
      <c r="AP726" s="63" t="str">
        <f t="shared" si="126"/>
        <v>Buy Stocks</v>
      </c>
      <c r="AQ726" s="63" t="str">
        <f t="shared" si="127"/>
        <v/>
      </c>
      <c r="AR726" s="63" t="str">
        <f t="shared" si="128"/>
        <v/>
      </c>
      <c r="AS726" s="63" t="str">
        <f t="shared" si="129"/>
        <v/>
      </c>
      <c r="AT726" s="78" t="str">
        <f t="shared" si="130"/>
        <v/>
      </c>
      <c r="AU726" s="78" t="str">
        <f t="shared" si="131"/>
        <v/>
      </c>
      <c r="AV726" s="64" t="str">
        <f ca="1">IFERROR(__xludf.DUMMYFUNCTION("IF(TRIM(AU726)="""","""",AU726/INDEX(FILTER(AT$3:AT726,TRIM(AT$3:AT726)&lt;&gt;""""),ROWS(FILTER(AT$3:AT726,TRIM(AT$3:AT726)&lt;&gt;"""")))-1)"),"")</f>
        <v/>
      </c>
      <c r="AW726" s="65" t="e">
        <f t="shared" ca="1" si="123"/>
        <v>#VALUE!</v>
      </c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</row>
    <row r="727" spans="1:68" ht="19" x14ac:dyDescent="0.25">
      <c r="A727" s="5"/>
      <c r="B727" s="5"/>
      <c r="C727" s="5"/>
      <c r="D727" s="5"/>
      <c r="E727" s="5"/>
      <c r="F727" s="5"/>
      <c r="G727" s="5"/>
      <c r="H727" s="6"/>
      <c r="I727" s="5"/>
      <c r="J727" s="83"/>
      <c r="K727" s="83"/>
      <c r="L727" s="83"/>
      <c r="M727" s="83"/>
      <c r="N727" s="83"/>
      <c r="O727" s="83"/>
      <c r="P727" s="83"/>
      <c r="Q727" s="84"/>
      <c r="R727" s="83"/>
      <c r="S727" s="83"/>
      <c r="T727" s="85"/>
      <c r="U727" s="6"/>
      <c r="V727" s="44">
        <v>44971</v>
      </c>
      <c r="W727" s="45">
        <v>136.01</v>
      </c>
      <c r="X727" s="46"/>
      <c r="Y727" s="61"/>
      <c r="Z727" s="5"/>
      <c r="AA727" s="5"/>
      <c r="AB727" s="5"/>
      <c r="AC727" s="5"/>
      <c r="AD727" s="5"/>
      <c r="AE727" s="5"/>
      <c r="AF727" s="5"/>
      <c r="AG727" s="5"/>
      <c r="AH727" s="6"/>
      <c r="AI727" s="44">
        <v>44971</v>
      </c>
      <c r="AJ727" s="53">
        <v>136.01</v>
      </c>
      <c r="AK727" s="54">
        <f t="shared" si="121"/>
        <v>-9.7560975609756184E-3</v>
      </c>
      <c r="AL727" s="55">
        <f t="shared" si="124"/>
        <v>21.335405319523474</v>
      </c>
      <c r="AM727" s="56">
        <v>25</v>
      </c>
      <c r="AN727" s="57">
        <f t="shared" si="122"/>
        <v>3.6645946804765259</v>
      </c>
      <c r="AO727" s="76">
        <f t="shared" si="125"/>
        <v>8.9409514220403246</v>
      </c>
      <c r="AP727" s="63" t="str">
        <f t="shared" si="126"/>
        <v>Buy Stocks</v>
      </c>
      <c r="AQ727" s="63" t="str">
        <f t="shared" si="127"/>
        <v/>
      </c>
      <c r="AR727" s="63" t="str">
        <f t="shared" si="128"/>
        <v/>
      </c>
      <c r="AS727" s="63" t="str">
        <f t="shared" si="129"/>
        <v/>
      </c>
      <c r="AT727" s="78" t="str">
        <f t="shared" si="130"/>
        <v/>
      </c>
      <c r="AU727" s="78" t="str">
        <f t="shared" si="131"/>
        <v/>
      </c>
      <c r="AV727" s="64" t="str">
        <f ca="1">IFERROR(__xludf.DUMMYFUNCTION("IF(TRIM(AU727)="""","""",AU727/INDEX(FILTER(AT$3:AT727,TRIM(AT$3:AT727)&lt;&gt;""""),ROWS(FILTER(AT$3:AT727,TRIM(AT$3:AT727)&lt;&gt;"""")))-1)"),"")</f>
        <v/>
      </c>
      <c r="AW727" s="65" t="e">
        <f t="shared" ca="1" si="123"/>
        <v>#VALUE!</v>
      </c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</row>
    <row r="728" spans="1:68" ht="19" x14ac:dyDescent="0.25">
      <c r="A728" s="5"/>
      <c r="B728" s="5"/>
      <c r="C728" s="5"/>
      <c r="D728" s="5"/>
      <c r="E728" s="5"/>
      <c r="F728" s="5"/>
      <c r="G728" s="5"/>
      <c r="H728" s="6"/>
      <c r="I728" s="5"/>
      <c r="J728" s="83"/>
      <c r="K728" s="83"/>
      <c r="L728" s="83"/>
      <c r="M728" s="83"/>
      <c r="N728" s="83"/>
      <c r="O728" s="83"/>
      <c r="P728" s="83"/>
      <c r="Q728" s="84"/>
      <c r="R728" s="83"/>
      <c r="S728" s="83"/>
      <c r="T728" s="85"/>
      <c r="U728" s="6"/>
      <c r="V728" s="44">
        <v>44972</v>
      </c>
      <c r="W728" s="45">
        <v>136.4</v>
      </c>
      <c r="X728" s="46"/>
      <c r="Y728" s="61"/>
      <c r="Z728" s="5"/>
      <c r="AA728" s="5"/>
      <c r="AB728" s="5"/>
      <c r="AC728" s="5"/>
      <c r="AD728" s="5"/>
      <c r="AE728" s="5"/>
      <c r="AF728" s="5"/>
      <c r="AG728" s="5"/>
      <c r="AH728" s="6"/>
      <c r="AI728" s="44">
        <v>44972</v>
      </c>
      <c r="AJ728" s="53">
        <v>136.4</v>
      </c>
      <c r="AK728" s="54">
        <f t="shared" si="121"/>
        <v>2.8674362179252899E-3</v>
      </c>
      <c r="AL728" s="55">
        <f t="shared" si="124"/>
        <v>21.413520375704266</v>
      </c>
      <c r="AM728" s="56">
        <v>25</v>
      </c>
      <c r="AN728" s="57">
        <f t="shared" si="122"/>
        <v>3.586479624295734</v>
      </c>
      <c r="AO728" s="76">
        <f t="shared" si="125"/>
        <v>6.5240733706774279</v>
      </c>
      <c r="AP728" s="63" t="str">
        <f t="shared" si="126"/>
        <v>Buy Stocks</v>
      </c>
      <c r="AQ728" s="63" t="str">
        <f t="shared" si="127"/>
        <v/>
      </c>
      <c r="AR728" s="63" t="str">
        <f t="shared" si="128"/>
        <v/>
      </c>
      <c r="AS728" s="63" t="str">
        <f t="shared" si="129"/>
        <v/>
      </c>
      <c r="AT728" s="78" t="str">
        <f t="shared" si="130"/>
        <v/>
      </c>
      <c r="AU728" s="78" t="str">
        <f t="shared" si="131"/>
        <v/>
      </c>
      <c r="AV728" s="64" t="str">
        <f ca="1">IFERROR(__xludf.DUMMYFUNCTION("IF(TRIM(AU728)="""","""",AU728/INDEX(FILTER(AT$3:AT728,TRIM(AT$3:AT728)&lt;&gt;""""),ROWS(FILTER(AT$3:AT728,TRIM(AT$3:AT728)&lt;&gt;"""")))-1)"),"")</f>
        <v/>
      </c>
      <c r="AW728" s="65" t="e">
        <f t="shared" ca="1" si="123"/>
        <v>#VALUE!</v>
      </c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</row>
    <row r="729" spans="1:68" ht="19" x14ac:dyDescent="0.25">
      <c r="A729" s="5"/>
      <c r="B729" s="5"/>
      <c r="C729" s="5"/>
      <c r="D729" s="5"/>
      <c r="E729" s="5"/>
      <c r="F729" s="5"/>
      <c r="G729" s="5"/>
      <c r="H729" s="6"/>
      <c r="I729" s="5"/>
      <c r="J729" s="83"/>
      <c r="K729" s="83"/>
      <c r="L729" s="83"/>
      <c r="M729" s="83"/>
      <c r="N729" s="83"/>
      <c r="O729" s="83"/>
      <c r="P729" s="83"/>
      <c r="Q729" s="84"/>
      <c r="R729" s="83"/>
      <c r="S729" s="83"/>
      <c r="T729" s="85"/>
      <c r="U729" s="6"/>
      <c r="V729" s="44">
        <v>44973</v>
      </c>
      <c r="W729" s="45">
        <v>135</v>
      </c>
      <c r="X729" s="46"/>
      <c r="Y729" s="61"/>
      <c r="Z729" s="5"/>
      <c r="AA729" s="5"/>
      <c r="AB729" s="5"/>
      <c r="AC729" s="5"/>
      <c r="AD729" s="5"/>
      <c r="AE729" s="5"/>
      <c r="AF729" s="5"/>
      <c r="AG729" s="5"/>
      <c r="AH729" s="6"/>
      <c r="AI729" s="44">
        <v>44973</v>
      </c>
      <c r="AJ729" s="53">
        <v>135</v>
      </c>
      <c r="AK729" s="54">
        <f t="shared" si="121"/>
        <v>-1.0263929618768319E-2</v>
      </c>
      <c r="AL729" s="55">
        <f t="shared" si="124"/>
        <v>18.584888062912395</v>
      </c>
      <c r="AM729" s="56">
        <v>25</v>
      </c>
      <c r="AN729" s="57">
        <f t="shared" si="122"/>
        <v>6.4151119370876053</v>
      </c>
      <c r="AO729" s="76">
        <f t="shared" si="125"/>
        <v>5.3078313059960447</v>
      </c>
      <c r="AP729" s="63" t="str">
        <f t="shared" si="126"/>
        <v>Buy Stocks</v>
      </c>
      <c r="AQ729" s="63" t="str">
        <f t="shared" si="127"/>
        <v/>
      </c>
      <c r="AR729" s="63" t="str">
        <f t="shared" si="128"/>
        <v/>
      </c>
      <c r="AS729" s="63" t="str">
        <f t="shared" si="129"/>
        <v/>
      </c>
      <c r="AT729" s="78" t="str">
        <f t="shared" si="130"/>
        <v/>
      </c>
      <c r="AU729" s="78" t="str">
        <f t="shared" si="131"/>
        <v/>
      </c>
      <c r="AV729" s="64" t="str">
        <f ca="1">IFERROR(__xludf.DUMMYFUNCTION("IF(TRIM(AU729)="""","""",AU729/INDEX(FILTER(AT$3:AT729,TRIM(AT$3:AT729)&lt;&gt;""""),ROWS(FILTER(AT$3:AT729,TRIM(AT$3:AT729)&lt;&gt;"""")))-1)"),"")</f>
        <v/>
      </c>
      <c r="AW729" s="65" t="e">
        <f t="shared" ca="1" si="123"/>
        <v>#VALUE!</v>
      </c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</row>
    <row r="730" spans="1:68" ht="19" x14ac:dyDescent="0.25">
      <c r="A730" s="5"/>
      <c r="B730" s="5"/>
      <c r="C730" s="5"/>
      <c r="D730" s="5"/>
      <c r="E730" s="5"/>
      <c r="F730" s="5"/>
      <c r="G730" s="5"/>
      <c r="H730" s="6"/>
      <c r="I730" s="5"/>
      <c r="J730" s="83"/>
      <c r="K730" s="83"/>
      <c r="L730" s="83"/>
      <c r="M730" s="83"/>
      <c r="N730" s="83"/>
      <c r="O730" s="83"/>
      <c r="P730" s="83"/>
      <c r="Q730" s="84"/>
      <c r="R730" s="83"/>
      <c r="S730" s="83"/>
      <c r="T730" s="85"/>
      <c r="U730" s="6"/>
      <c r="V730" s="44">
        <v>44974</v>
      </c>
      <c r="W730" s="45">
        <v>135.02000000000001</v>
      </c>
      <c r="X730" s="46"/>
      <c r="Y730" s="61"/>
      <c r="Z730" s="5"/>
      <c r="AA730" s="5"/>
      <c r="AB730" s="5"/>
      <c r="AC730" s="5"/>
      <c r="AD730" s="5"/>
      <c r="AE730" s="5"/>
      <c r="AF730" s="5"/>
      <c r="AG730" s="5"/>
      <c r="AH730" s="6"/>
      <c r="AI730" s="44">
        <v>44974</v>
      </c>
      <c r="AJ730" s="53">
        <v>135.02000000000001</v>
      </c>
      <c r="AK730" s="54">
        <f t="shared" si="121"/>
        <v>1.4814814814823052E-4</v>
      </c>
      <c r="AL730" s="55">
        <f t="shared" si="124"/>
        <v>15.308170093035173</v>
      </c>
      <c r="AM730" s="56">
        <v>25</v>
      </c>
      <c r="AN730" s="57">
        <f t="shared" si="122"/>
        <v>9.691829906964827</v>
      </c>
      <c r="AO730" s="76">
        <f t="shared" si="125"/>
        <v>5.7240849947797994</v>
      </c>
      <c r="AP730" s="63" t="str">
        <f t="shared" si="126"/>
        <v>Buy Stocks</v>
      </c>
      <c r="AQ730" s="63" t="str">
        <f t="shared" si="127"/>
        <v/>
      </c>
      <c r="AR730" s="63" t="str">
        <f t="shared" si="128"/>
        <v/>
      </c>
      <c r="AS730" s="63" t="str">
        <f t="shared" si="129"/>
        <v/>
      </c>
      <c r="AT730" s="78" t="str">
        <f t="shared" si="130"/>
        <v/>
      </c>
      <c r="AU730" s="78" t="str">
        <f t="shared" si="131"/>
        <v/>
      </c>
      <c r="AV730" s="64" t="str">
        <f ca="1">IFERROR(__xludf.DUMMYFUNCTION("IF(TRIM(AU730)="""","""",AU730/INDEX(FILTER(AT$3:AT730,TRIM(AT$3:AT730)&lt;&gt;""""),ROWS(FILTER(AT$3:AT730,TRIM(AT$3:AT730)&lt;&gt;"""")))-1)"),"")</f>
        <v/>
      </c>
      <c r="AW730" s="65" t="e">
        <f t="shared" ca="1" si="123"/>
        <v>#VALUE!</v>
      </c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</row>
    <row r="731" spans="1:68" ht="19" x14ac:dyDescent="0.25">
      <c r="A731" s="5"/>
      <c r="B731" s="5"/>
      <c r="C731" s="5"/>
      <c r="D731" s="5"/>
      <c r="E731" s="5"/>
      <c r="F731" s="5"/>
      <c r="G731" s="5"/>
      <c r="H731" s="6"/>
      <c r="I731" s="5"/>
      <c r="J731" s="83"/>
      <c r="K731" s="83"/>
      <c r="L731" s="83"/>
      <c r="M731" s="83"/>
      <c r="N731" s="83"/>
      <c r="O731" s="83"/>
      <c r="P731" s="83"/>
      <c r="Q731" s="84"/>
      <c r="R731" s="83"/>
      <c r="S731" s="83"/>
      <c r="T731" s="85"/>
      <c r="U731" s="6"/>
      <c r="V731" s="44">
        <v>44978</v>
      </c>
      <c r="W731" s="45">
        <v>131.71</v>
      </c>
      <c r="X731" s="46"/>
      <c r="Y731" s="61"/>
      <c r="Z731" s="5"/>
      <c r="AA731" s="5"/>
      <c r="AB731" s="5"/>
      <c r="AC731" s="5"/>
      <c r="AD731" s="5"/>
      <c r="AE731" s="5"/>
      <c r="AF731" s="5"/>
      <c r="AG731" s="5"/>
      <c r="AH731" s="6"/>
      <c r="AI731" s="44">
        <v>44978</v>
      </c>
      <c r="AJ731" s="53">
        <v>131.71</v>
      </c>
      <c r="AK731" s="54">
        <f t="shared" si="121"/>
        <v>-2.4514886683454362E-2</v>
      </c>
      <c r="AL731" s="55">
        <f t="shared" si="124"/>
        <v>17.115461108520083</v>
      </c>
      <c r="AM731" s="56">
        <v>25</v>
      </c>
      <c r="AN731" s="57">
        <f t="shared" si="122"/>
        <v>7.8845388914799166</v>
      </c>
      <c r="AO731" s="76">
        <f t="shared" si="125"/>
        <v>6.2485110080609214</v>
      </c>
      <c r="AP731" s="63" t="str">
        <f t="shared" si="126"/>
        <v>Buy Stocks</v>
      </c>
      <c r="AQ731" s="63" t="str">
        <f t="shared" si="127"/>
        <v/>
      </c>
      <c r="AR731" s="63" t="str">
        <f t="shared" si="128"/>
        <v/>
      </c>
      <c r="AS731" s="63" t="str">
        <f t="shared" si="129"/>
        <v/>
      </c>
      <c r="AT731" s="78" t="str">
        <f t="shared" si="130"/>
        <v/>
      </c>
      <c r="AU731" s="78" t="str">
        <f t="shared" si="131"/>
        <v/>
      </c>
      <c r="AV731" s="64" t="str">
        <f ca="1">IFERROR(__xludf.DUMMYFUNCTION("IF(TRIM(AU731)="""","""",AU731/INDEX(FILTER(AT$3:AT731,TRIM(AT$3:AT731)&lt;&gt;""""),ROWS(FILTER(AT$3:AT731,TRIM(AT$3:AT731)&lt;&gt;"""")))-1)"),"")</f>
        <v/>
      </c>
      <c r="AW731" s="65" t="e">
        <f t="shared" ca="1" si="123"/>
        <v>#VALUE!</v>
      </c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</row>
    <row r="732" spans="1:68" ht="19" x14ac:dyDescent="0.25">
      <c r="A732" s="5"/>
      <c r="B732" s="5"/>
      <c r="C732" s="5"/>
      <c r="D732" s="5"/>
      <c r="E732" s="5"/>
      <c r="F732" s="5"/>
      <c r="G732" s="5"/>
      <c r="H732" s="6"/>
      <c r="I732" s="5"/>
      <c r="J732" s="83"/>
      <c r="K732" s="83"/>
      <c r="L732" s="83"/>
      <c r="M732" s="83"/>
      <c r="N732" s="83"/>
      <c r="O732" s="83"/>
      <c r="P732" s="83"/>
      <c r="Q732" s="84"/>
      <c r="R732" s="83"/>
      <c r="S732" s="83"/>
      <c r="T732" s="85"/>
      <c r="U732" s="6"/>
      <c r="V732" s="44">
        <v>44979</v>
      </c>
      <c r="W732" s="45">
        <v>130.97</v>
      </c>
      <c r="X732" s="46"/>
      <c r="Y732" s="61"/>
      <c r="Z732" s="5"/>
      <c r="AA732" s="5"/>
      <c r="AB732" s="5"/>
      <c r="AC732" s="5"/>
      <c r="AD732" s="5"/>
      <c r="AE732" s="5"/>
      <c r="AF732" s="5"/>
      <c r="AG732" s="5"/>
      <c r="AH732" s="6"/>
      <c r="AI732" s="44">
        <v>44979</v>
      </c>
      <c r="AJ732" s="53">
        <v>130.97</v>
      </c>
      <c r="AK732" s="54">
        <f t="shared" si="121"/>
        <v>-5.618404069546834E-3</v>
      </c>
      <c r="AL732" s="55">
        <f t="shared" si="124"/>
        <v>17.146327418400389</v>
      </c>
      <c r="AM732" s="56">
        <v>25</v>
      </c>
      <c r="AN732" s="57">
        <f t="shared" si="122"/>
        <v>7.8536725815996107</v>
      </c>
      <c r="AO732" s="76">
        <f t="shared" si="125"/>
        <v>7.0863265882855391</v>
      </c>
      <c r="AP732" s="63" t="str">
        <f t="shared" si="126"/>
        <v>Buy Stocks</v>
      </c>
      <c r="AQ732" s="63" t="str">
        <f t="shared" si="127"/>
        <v/>
      </c>
      <c r="AR732" s="63" t="str">
        <f t="shared" si="128"/>
        <v/>
      </c>
      <c r="AS732" s="63" t="str">
        <f t="shared" si="129"/>
        <v/>
      </c>
      <c r="AT732" s="78" t="str">
        <f t="shared" si="130"/>
        <v/>
      </c>
      <c r="AU732" s="78" t="str">
        <f t="shared" si="131"/>
        <v/>
      </c>
      <c r="AV732" s="64" t="str">
        <f ca="1">IFERROR(__xludf.DUMMYFUNCTION("IF(TRIM(AU732)="""","""",AU732/INDEX(FILTER(AT$3:AT732,TRIM(AT$3:AT732)&lt;&gt;""""),ROWS(FILTER(AT$3:AT732,TRIM(AT$3:AT732)&lt;&gt;"""")))-1)"),"")</f>
        <v/>
      </c>
      <c r="AW732" s="65" t="e">
        <f t="shared" ca="1" si="123"/>
        <v>#VALUE!</v>
      </c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</row>
    <row r="733" spans="1:68" ht="19" x14ac:dyDescent="0.25">
      <c r="A733" s="5"/>
      <c r="B733" s="5"/>
      <c r="C733" s="5"/>
      <c r="D733" s="5"/>
      <c r="E733" s="5"/>
      <c r="F733" s="5"/>
      <c r="G733" s="5"/>
      <c r="H733" s="6"/>
      <c r="I733" s="5"/>
      <c r="J733" s="83"/>
      <c r="K733" s="83"/>
      <c r="L733" s="83"/>
      <c r="M733" s="83"/>
      <c r="N733" s="83"/>
      <c r="O733" s="83"/>
      <c r="P733" s="83"/>
      <c r="Q733" s="84"/>
      <c r="R733" s="83"/>
      <c r="S733" s="83"/>
      <c r="T733" s="85"/>
      <c r="U733" s="6"/>
      <c r="V733" s="44">
        <v>44980</v>
      </c>
      <c r="W733" s="45">
        <v>130.79</v>
      </c>
      <c r="X733" s="46"/>
      <c r="Y733" s="61"/>
      <c r="Z733" s="5"/>
      <c r="AA733" s="5"/>
      <c r="AB733" s="5"/>
      <c r="AC733" s="5"/>
      <c r="AD733" s="5"/>
      <c r="AE733" s="5"/>
      <c r="AF733" s="5"/>
      <c r="AG733" s="5"/>
      <c r="AH733" s="6"/>
      <c r="AI733" s="44">
        <v>44980</v>
      </c>
      <c r="AJ733" s="53">
        <v>130.79</v>
      </c>
      <c r="AK733" s="54">
        <f t="shared" si="121"/>
        <v>-1.3743605405818204E-3</v>
      </c>
      <c r="AL733" s="55">
        <f t="shared" si="124"/>
        <v>15.741060830502621</v>
      </c>
      <c r="AM733" s="56">
        <v>25</v>
      </c>
      <c r="AN733" s="57">
        <f t="shared" si="122"/>
        <v>9.2589391694973795</v>
      </c>
      <c r="AO733" s="76">
        <f t="shared" si="125"/>
        <v>8.2208184973258689</v>
      </c>
      <c r="AP733" s="63" t="str">
        <f t="shared" si="126"/>
        <v>Buy Stocks</v>
      </c>
      <c r="AQ733" s="63" t="str">
        <f t="shared" si="127"/>
        <v/>
      </c>
      <c r="AR733" s="63" t="str">
        <f t="shared" si="128"/>
        <v/>
      </c>
      <c r="AS733" s="63" t="str">
        <f t="shared" si="129"/>
        <v/>
      </c>
      <c r="AT733" s="78" t="str">
        <f t="shared" si="130"/>
        <v/>
      </c>
      <c r="AU733" s="78" t="str">
        <f t="shared" si="131"/>
        <v/>
      </c>
      <c r="AV733" s="64" t="str">
        <f ca="1">IFERROR(__xludf.DUMMYFUNCTION("IF(TRIM(AU733)="""","""",AU733/INDEX(FILTER(AT$3:AT733,TRIM(AT$3:AT733)&lt;&gt;""""),ROWS(FILTER(AT$3:AT733,TRIM(AT$3:AT733)&lt;&gt;"""")))-1)"),"")</f>
        <v/>
      </c>
      <c r="AW733" s="65" t="e">
        <f t="shared" ca="1" si="123"/>
        <v>#VALUE!</v>
      </c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</row>
    <row r="734" spans="1:68" ht="19" x14ac:dyDescent="0.25">
      <c r="A734" s="5"/>
      <c r="B734" s="5"/>
      <c r="C734" s="5"/>
      <c r="D734" s="5"/>
      <c r="E734" s="5"/>
      <c r="F734" s="5"/>
      <c r="G734" s="5"/>
      <c r="H734" s="6"/>
      <c r="I734" s="5"/>
      <c r="J734" s="83"/>
      <c r="K734" s="83"/>
      <c r="L734" s="83"/>
      <c r="M734" s="83"/>
      <c r="N734" s="83"/>
      <c r="O734" s="83"/>
      <c r="P734" s="83"/>
      <c r="Q734" s="84"/>
      <c r="R734" s="83"/>
      <c r="S734" s="83"/>
      <c r="T734" s="85"/>
      <c r="U734" s="6"/>
      <c r="V734" s="44">
        <v>44981</v>
      </c>
      <c r="W734" s="45">
        <v>130.57</v>
      </c>
      <c r="X734" s="46"/>
      <c r="Y734" s="61"/>
      <c r="Z734" s="5"/>
      <c r="AA734" s="5"/>
      <c r="AB734" s="5"/>
      <c r="AC734" s="5"/>
      <c r="AD734" s="5"/>
      <c r="AE734" s="5"/>
      <c r="AF734" s="5"/>
      <c r="AG734" s="5"/>
      <c r="AH734" s="6"/>
      <c r="AI734" s="44">
        <v>44981</v>
      </c>
      <c r="AJ734" s="53">
        <v>130.57</v>
      </c>
      <c r="AK734" s="54">
        <f t="shared" si="121"/>
        <v>-1.682085786375076E-3</v>
      </c>
      <c r="AL734" s="55">
        <f t="shared" si="124"/>
        <v>16.24593289974845</v>
      </c>
      <c r="AM734" s="56">
        <v>25</v>
      </c>
      <c r="AN734" s="57">
        <f t="shared" si="122"/>
        <v>8.7540671002515502</v>
      </c>
      <c r="AO734" s="76">
        <f t="shared" si="125"/>
        <v>8.6886095299586579</v>
      </c>
      <c r="AP734" s="63" t="str">
        <f t="shared" si="126"/>
        <v>Buy Stocks</v>
      </c>
      <c r="AQ734" s="63" t="str">
        <f t="shared" si="127"/>
        <v/>
      </c>
      <c r="AR734" s="63" t="str">
        <f t="shared" si="128"/>
        <v/>
      </c>
      <c r="AS734" s="63" t="str">
        <f t="shared" si="129"/>
        <v/>
      </c>
      <c r="AT734" s="78" t="str">
        <f t="shared" si="130"/>
        <v/>
      </c>
      <c r="AU734" s="78" t="str">
        <f t="shared" si="131"/>
        <v/>
      </c>
      <c r="AV734" s="64" t="str">
        <f ca="1">IFERROR(__xludf.DUMMYFUNCTION("IF(TRIM(AU734)="""","""",AU734/INDEX(FILTER(AT$3:AT734,TRIM(AT$3:AT734)&lt;&gt;""""),ROWS(FILTER(AT$3:AT734,TRIM(AT$3:AT734)&lt;&gt;"""")))-1)"),"")</f>
        <v/>
      </c>
      <c r="AW734" s="65" t="e">
        <f t="shared" ca="1" si="123"/>
        <v>#VALUE!</v>
      </c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</row>
    <row r="735" spans="1:68" ht="19" x14ac:dyDescent="0.25">
      <c r="A735" s="5"/>
      <c r="B735" s="5"/>
      <c r="C735" s="5"/>
      <c r="D735" s="5"/>
      <c r="E735" s="5"/>
      <c r="F735" s="5"/>
      <c r="G735" s="5"/>
      <c r="H735" s="6"/>
      <c r="I735" s="5"/>
      <c r="J735" s="83"/>
      <c r="K735" s="83"/>
      <c r="L735" s="83"/>
      <c r="M735" s="83"/>
      <c r="N735" s="83"/>
      <c r="O735" s="83"/>
      <c r="P735" s="83"/>
      <c r="Q735" s="84"/>
      <c r="R735" s="83"/>
      <c r="S735" s="83"/>
      <c r="T735" s="85"/>
      <c r="U735" s="6"/>
      <c r="V735" s="44">
        <v>44984</v>
      </c>
      <c r="W735" s="45">
        <v>130.49</v>
      </c>
      <c r="X735" s="46"/>
      <c r="Y735" s="61"/>
      <c r="Z735" s="5"/>
      <c r="AA735" s="5"/>
      <c r="AB735" s="5"/>
      <c r="AC735" s="5"/>
      <c r="AD735" s="5"/>
      <c r="AE735" s="5"/>
      <c r="AF735" s="5"/>
      <c r="AG735" s="5"/>
      <c r="AH735" s="6"/>
      <c r="AI735" s="44">
        <v>44984</v>
      </c>
      <c r="AJ735" s="53">
        <v>130.49</v>
      </c>
      <c r="AK735" s="54">
        <f t="shared" si="121"/>
        <v>-6.1269816956410761E-4</v>
      </c>
      <c r="AL735" s="55">
        <f t="shared" si="124"/>
        <v>16.054435470770919</v>
      </c>
      <c r="AM735" s="56">
        <v>25</v>
      </c>
      <c r="AN735" s="57">
        <f t="shared" si="122"/>
        <v>8.9455645292290811</v>
      </c>
      <c r="AO735" s="76">
        <f t="shared" si="125"/>
        <v>8.5393564544115073</v>
      </c>
      <c r="AP735" s="63" t="str">
        <f t="shared" si="126"/>
        <v>Buy Stocks</v>
      </c>
      <c r="AQ735" s="63" t="str">
        <f t="shared" si="127"/>
        <v/>
      </c>
      <c r="AR735" s="63" t="str">
        <f t="shared" si="128"/>
        <v/>
      </c>
      <c r="AS735" s="63" t="str">
        <f t="shared" si="129"/>
        <v/>
      </c>
      <c r="AT735" s="78" t="str">
        <f t="shared" si="130"/>
        <v/>
      </c>
      <c r="AU735" s="78" t="str">
        <f t="shared" si="131"/>
        <v/>
      </c>
      <c r="AV735" s="64" t="str">
        <f ca="1">IFERROR(__xludf.DUMMYFUNCTION("IF(TRIM(AU735)="""","""",AU735/INDEX(FILTER(AT$3:AT735,TRIM(AT$3:AT735)&lt;&gt;""""),ROWS(FILTER(AT$3:AT735,TRIM(AT$3:AT735)&lt;&gt;"""")))-1)"),"")</f>
        <v/>
      </c>
      <c r="AW735" s="65" t="e">
        <f t="shared" ca="1" si="123"/>
        <v>#VALUE!</v>
      </c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</row>
    <row r="736" spans="1:68" ht="19" x14ac:dyDescent="0.25">
      <c r="A736" s="5"/>
      <c r="B736" s="5"/>
      <c r="C736" s="5"/>
      <c r="D736" s="5"/>
      <c r="E736" s="5"/>
      <c r="F736" s="5"/>
      <c r="G736" s="5"/>
      <c r="H736" s="6"/>
      <c r="I736" s="5"/>
      <c r="J736" s="83"/>
      <c r="K736" s="83"/>
      <c r="L736" s="83"/>
      <c r="M736" s="83"/>
      <c r="N736" s="83"/>
      <c r="O736" s="83"/>
      <c r="P736" s="83"/>
      <c r="Q736" s="84"/>
      <c r="R736" s="83"/>
      <c r="S736" s="83"/>
      <c r="T736" s="85"/>
      <c r="U736" s="6"/>
      <c r="V736" s="44">
        <v>44985</v>
      </c>
      <c r="W736" s="45">
        <v>129.30000000000001</v>
      </c>
      <c r="X736" s="46"/>
      <c r="Y736" s="61"/>
      <c r="Z736" s="5"/>
      <c r="AA736" s="5"/>
      <c r="AB736" s="5"/>
      <c r="AC736" s="5"/>
      <c r="AD736" s="5"/>
      <c r="AE736" s="5"/>
      <c r="AF736" s="5"/>
      <c r="AG736" s="5"/>
      <c r="AH736" s="6"/>
      <c r="AI736" s="44">
        <v>44985</v>
      </c>
      <c r="AJ736" s="53">
        <v>129.30000000000001</v>
      </c>
      <c r="AK736" s="54">
        <f t="shared" si="121"/>
        <v>-9.1194727565330203E-3</v>
      </c>
      <c r="AL736" s="55">
        <f t="shared" si="124"/>
        <v>5.7270045236377687</v>
      </c>
      <c r="AM736" s="56">
        <v>25</v>
      </c>
      <c r="AN736" s="57">
        <f t="shared" si="122"/>
        <v>19.272995476362233</v>
      </c>
      <c r="AO736" s="76">
        <f t="shared" si="125"/>
        <v>10.817047771387973</v>
      </c>
      <c r="AP736" s="63" t="str">
        <f t="shared" si="126"/>
        <v>Buy Stocks</v>
      </c>
      <c r="AQ736" s="63" t="str">
        <f t="shared" si="127"/>
        <v/>
      </c>
      <c r="AR736" s="63" t="str">
        <f t="shared" si="128"/>
        <v/>
      </c>
      <c r="AS736" s="63" t="str">
        <f t="shared" si="129"/>
        <v/>
      </c>
      <c r="AT736" s="78" t="str">
        <f t="shared" si="130"/>
        <v/>
      </c>
      <c r="AU736" s="78" t="str">
        <f t="shared" si="131"/>
        <v/>
      </c>
      <c r="AV736" s="64" t="str">
        <f ca="1">IFERROR(__xludf.DUMMYFUNCTION("IF(TRIM(AU736)="""","""",AU736/INDEX(FILTER(AT$3:AT736,TRIM(AT$3:AT736)&lt;&gt;""""),ROWS(FILTER(AT$3:AT736,TRIM(AT$3:AT736)&lt;&gt;"""")))-1)"),"")</f>
        <v/>
      </c>
      <c r="AW736" s="65" t="e">
        <f t="shared" ca="1" si="123"/>
        <v>#VALUE!</v>
      </c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</row>
    <row r="737" spans="1:68" ht="19" x14ac:dyDescent="0.25">
      <c r="A737" s="5"/>
      <c r="B737" s="5"/>
      <c r="C737" s="5"/>
      <c r="D737" s="5"/>
      <c r="E737" s="5"/>
      <c r="F737" s="5"/>
      <c r="G737" s="5"/>
      <c r="H737" s="6"/>
      <c r="I737" s="5"/>
      <c r="J737" s="83"/>
      <c r="K737" s="83"/>
      <c r="L737" s="83"/>
      <c r="M737" s="83"/>
      <c r="N737" s="83"/>
      <c r="O737" s="83"/>
      <c r="P737" s="83"/>
      <c r="Q737" s="84"/>
      <c r="R737" s="83"/>
      <c r="S737" s="83"/>
      <c r="T737" s="85"/>
      <c r="U737" s="6"/>
      <c r="V737" s="44">
        <v>44986</v>
      </c>
      <c r="W737" s="45">
        <v>128.19</v>
      </c>
      <c r="X737" s="46"/>
      <c r="Y737" s="61"/>
      <c r="Z737" s="5"/>
      <c r="AA737" s="5"/>
      <c r="AB737" s="5"/>
      <c r="AC737" s="5"/>
      <c r="AD737" s="5"/>
      <c r="AE737" s="5"/>
      <c r="AF737" s="5"/>
      <c r="AG737" s="5"/>
      <c r="AH737" s="6"/>
      <c r="AI737" s="44">
        <v>44986</v>
      </c>
      <c r="AJ737" s="53">
        <v>128.19</v>
      </c>
      <c r="AK737" s="54">
        <f t="shared" si="121"/>
        <v>-8.584686774942063E-3</v>
      </c>
      <c r="AL737" s="55">
        <f t="shared" si="124"/>
        <v>6.6687900595242819</v>
      </c>
      <c r="AM737" s="56">
        <v>25</v>
      </c>
      <c r="AN737" s="57">
        <f t="shared" si="122"/>
        <v>18.331209940475716</v>
      </c>
      <c r="AO737" s="76">
        <f t="shared" si="125"/>
        <v>12.912555243163192</v>
      </c>
      <c r="AP737" s="63" t="str">
        <f t="shared" si="126"/>
        <v>Buy Stocks</v>
      </c>
      <c r="AQ737" s="63" t="str">
        <f t="shared" si="127"/>
        <v/>
      </c>
      <c r="AR737" s="63" t="str">
        <f t="shared" si="128"/>
        <v/>
      </c>
      <c r="AS737" s="63" t="str">
        <f t="shared" si="129"/>
        <v/>
      </c>
      <c r="AT737" s="78" t="str">
        <f t="shared" si="130"/>
        <v/>
      </c>
      <c r="AU737" s="78" t="str">
        <f t="shared" si="131"/>
        <v/>
      </c>
      <c r="AV737" s="64" t="str">
        <f ca="1">IFERROR(__xludf.DUMMYFUNCTION("IF(TRIM(AU737)="""","""",AU737/INDEX(FILTER(AT$3:AT737,TRIM(AT$3:AT737)&lt;&gt;""""),ROWS(FILTER(AT$3:AT737,TRIM(AT$3:AT737)&lt;&gt;"""")))-1)"),"")</f>
        <v/>
      </c>
      <c r="AW737" s="65" t="e">
        <f t="shared" ca="1" si="123"/>
        <v>#VALUE!</v>
      </c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</row>
    <row r="738" spans="1:68" ht="19" x14ac:dyDescent="0.25">
      <c r="A738" s="5"/>
      <c r="B738" s="5"/>
      <c r="C738" s="5"/>
      <c r="D738" s="5"/>
      <c r="E738" s="5"/>
      <c r="F738" s="5"/>
      <c r="G738" s="5"/>
      <c r="H738" s="6"/>
      <c r="I738" s="5"/>
      <c r="J738" s="83"/>
      <c r="K738" s="83"/>
      <c r="L738" s="83"/>
      <c r="M738" s="83"/>
      <c r="N738" s="83"/>
      <c r="O738" s="83"/>
      <c r="P738" s="83"/>
      <c r="Q738" s="84"/>
      <c r="R738" s="83"/>
      <c r="S738" s="83"/>
      <c r="T738" s="85"/>
      <c r="U738" s="6"/>
      <c r="V738" s="44">
        <v>44987</v>
      </c>
      <c r="W738" s="45">
        <v>128.93</v>
      </c>
      <c r="X738" s="46"/>
      <c r="Y738" s="61"/>
      <c r="Z738" s="5"/>
      <c r="AA738" s="5"/>
      <c r="AB738" s="5"/>
      <c r="AC738" s="5"/>
      <c r="AD738" s="5"/>
      <c r="AE738" s="5"/>
      <c r="AF738" s="5"/>
      <c r="AG738" s="5"/>
      <c r="AH738" s="6"/>
      <c r="AI738" s="44">
        <v>44987</v>
      </c>
      <c r="AJ738" s="53">
        <v>128.93</v>
      </c>
      <c r="AK738" s="54">
        <f t="shared" si="121"/>
        <v>5.7726811763789687E-3</v>
      </c>
      <c r="AL738" s="55">
        <f t="shared" si="124"/>
        <v>9.8150485853770668</v>
      </c>
      <c r="AM738" s="56">
        <v>25</v>
      </c>
      <c r="AN738" s="57">
        <f t="shared" si="122"/>
        <v>15.184951414622933</v>
      </c>
      <c r="AO738" s="76">
        <f t="shared" si="125"/>
        <v>14.097757692188301</v>
      </c>
      <c r="AP738" s="63" t="str">
        <f t="shared" si="126"/>
        <v>Buy Stocks</v>
      </c>
      <c r="AQ738" s="63" t="str">
        <f t="shared" si="127"/>
        <v/>
      </c>
      <c r="AR738" s="63" t="str">
        <f t="shared" si="128"/>
        <v/>
      </c>
      <c r="AS738" s="63" t="str">
        <f t="shared" si="129"/>
        <v/>
      </c>
      <c r="AT738" s="78" t="str">
        <f t="shared" si="130"/>
        <v/>
      </c>
      <c r="AU738" s="78" t="str">
        <f t="shared" si="131"/>
        <v/>
      </c>
      <c r="AV738" s="64" t="str">
        <f ca="1">IFERROR(__xludf.DUMMYFUNCTION("IF(TRIM(AU738)="""","""",AU738/INDEX(FILTER(AT$3:AT738,TRIM(AT$3:AT738)&lt;&gt;""""),ROWS(FILTER(AT$3:AT738,TRIM(AT$3:AT738)&lt;&gt;"""")))-1)"),"")</f>
        <v/>
      </c>
      <c r="AW738" s="65" t="e">
        <f t="shared" ca="1" si="123"/>
        <v>#VALUE!</v>
      </c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</row>
    <row r="739" spans="1:68" ht="19" x14ac:dyDescent="0.25">
      <c r="A739" s="5"/>
      <c r="B739" s="5"/>
      <c r="C739" s="5"/>
      <c r="D739" s="5"/>
      <c r="E739" s="5"/>
      <c r="F739" s="5"/>
      <c r="G739" s="5"/>
      <c r="H739" s="6"/>
      <c r="I739" s="5"/>
      <c r="J739" s="83"/>
      <c r="K739" s="83"/>
      <c r="L739" s="83"/>
      <c r="M739" s="83"/>
      <c r="N739" s="83"/>
      <c r="O739" s="83"/>
      <c r="P739" s="83"/>
      <c r="Q739" s="84"/>
      <c r="R739" s="83"/>
      <c r="S739" s="83"/>
      <c r="T739" s="85"/>
      <c r="U739" s="6"/>
      <c r="V739" s="44">
        <v>44988</v>
      </c>
      <c r="W739" s="45">
        <v>129.63999999999999</v>
      </c>
      <c r="X739" s="46"/>
      <c r="Y739" s="61"/>
      <c r="Z739" s="5"/>
      <c r="AA739" s="5"/>
      <c r="AB739" s="5"/>
      <c r="AC739" s="5"/>
      <c r="AD739" s="5"/>
      <c r="AE739" s="5"/>
      <c r="AF739" s="5"/>
      <c r="AG739" s="5"/>
      <c r="AH739" s="6"/>
      <c r="AI739" s="44">
        <v>44988</v>
      </c>
      <c r="AJ739" s="53">
        <v>129.63999999999999</v>
      </c>
      <c r="AK739" s="54">
        <f t="shared" si="121"/>
        <v>5.5068641898703419E-3</v>
      </c>
      <c r="AL739" s="55">
        <f t="shared" si="124"/>
        <v>11.529026710852106</v>
      </c>
      <c r="AM739" s="56">
        <v>25</v>
      </c>
      <c r="AN739" s="57">
        <f t="shared" si="122"/>
        <v>13.470973289147894</v>
      </c>
      <c r="AO739" s="76">
        <f t="shared" si="125"/>
        <v>15.04113892996757</v>
      </c>
      <c r="AP739" s="63" t="str">
        <f t="shared" si="126"/>
        <v>Buy Stocks</v>
      </c>
      <c r="AQ739" s="63" t="str">
        <f t="shared" si="127"/>
        <v/>
      </c>
      <c r="AR739" s="63" t="str">
        <f t="shared" si="128"/>
        <v/>
      </c>
      <c r="AS739" s="63" t="str">
        <f t="shared" si="129"/>
        <v/>
      </c>
      <c r="AT739" s="78" t="str">
        <f t="shared" si="130"/>
        <v/>
      </c>
      <c r="AU739" s="78" t="str">
        <f t="shared" si="131"/>
        <v/>
      </c>
      <c r="AV739" s="64" t="str">
        <f ca="1">IFERROR(__xludf.DUMMYFUNCTION("IF(TRIM(AU739)="""","""",AU739/INDEX(FILTER(AT$3:AT739,TRIM(AT$3:AT739)&lt;&gt;""""),ROWS(FILTER(AT$3:AT739,TRIM(AT$3:AT739)&lt;&gt;"""")))-1)"),"")</f>
        <v/>
      </c>
      <c r="AW739" s="65" t="e">
        <f t="shared" ca="1" si="123"/>
        <v>#VALUE!</v>
      </c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</row>
    <row r="740" spans="1:68" ht="19" x14ac:dyDescent="0.25">
      <c r="A740" s="5"/>
      <c r="B740" s="5"/>
      <c r="C740" s="5"/>
      <c r="D740" s="5"/>
      <c r="E740" s="5"/>
      <c r="F740" s="5"/>
      <c r="G740" s="5"/>
      <c r="H740" s="6"/>
      <c r="I740" s="5"/>
      <c r="J740" s="83"/>
      <c r="K740" s="83"/>
      <c r="L740" s="83"/>
      <c r="M740" s="83"/>
      <c r="N740" s="83"/>
      <c r="O740" s="83"/>
      <c r="P740" s="83"/>
      <c r="Q740" s="84"/>
      <c r="R740" s="83"/>
      <c r="S740" s="83"/>
      <c r="T740" s="85"/>
      <c r="U740" s="6"/>
      <c r="V740" s="44">
        <v>44991</v>
      </c>
      <c r="W740" s="45">
        <v>130.19</v>
      </c>
      <c r="X740" s="46"/>
      <c r="Y740" s="61"/>
      <c r="Z740" s="5"/>
      <c r="AA740" s="5"/>
      <c r="AB740" s="5"/>
      <c r="AC740" s="5"/>
      <c r="AD740" s="5"/>
      <c r="AE740" s="5"/>
      <c r="AF740" s="5"/>
      <c r="AG740" s="5"/>
      <c r="AH740" s="6"/>
      <c r="AI740" s="44">
        <v>44991</v>
      </c>
      <c r="AJ740" s="53">
        <v>130.19</v>
      </c>
      <c r="AK740" s="54">
        <f t="shared" si="121"/>
        <v>4.2425177414380233E-3</v>
      </c>
      <c r="AL740" s="55">
        <f t="shared" si="124"/>
        <v>12.23361508333948</v>
      </c>
      <c r="AM740" s="56">
        <v>25</v>
      </c>
      <c r="AN740" s="57">
        <f t="shared" si="122"/>
        <v>12.76638491666052</v>
      </c>
      <c r="AO740" s="76">
        <f t="shared" si="125"/>
        <v>15.805303007453858</v>
      </c>
      <c r="AP740" s="63" t="str">
        <f t="shared" si="126"/>
        <v>Buy Stocks</v>
      </c>
      <c r="AQ740" s="63" t="str">
        <f t="shared" si="127"/>
        <v/>
      </c>
      <c r="AR740" s="63" t="str">
        <f t="shared" si="128"/>
        <v/>
      </c>
      <c r="AS740" s="63" t="str">
        <f t="shared" si="129"/>
        <v/>
      </c>
      <c r="AT740" s="78" t="str">
        <f t="shared" si="130"/>
        <v/>
      </c>
      <c r="AU740" s="78" t="str">
        <f t="shared" si="131"/>
        <v/>
      </c>
      <c r="AV740" s="64" t="str">
        <f ca="1">IFERROR(__xludf.DUMMYFUNCTION("IF(TRIM(AU740)="""","""",AU740/INDEX(FILTER(AT$3:AT740,TRIM(AT$3:AT740)&lt;&gt;""""),ROWS(FILTER(AT$3:AT740,TRIM(AT$3:AT740)&lt;&gt;"""")))-1)"),"")</f>
        <v/>
      </c>
      <c r="AW740" s="65" t="e">
        <f t="shared" ca="1" si="123"/>
        <v>#VALUE!</v>
      </c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</row>
    <row r="741" spans="1:68" ht="19" x14ac:dyDescent="0.25">
      <c r="A741" s="5"/>
      <c r="B741" s="5"/>
      <c r="C741" s="5"/>
      <c r="D741" s="5"/>
      <c r="E741" s="5"/>
      <c r="F741" s="5"/>
      <c r="G741" s="5"/>
      <c r="H741" s="6"/>
      <c r="I741" s="5"/>
      <c r="J741" s="83"/>
      <c r="K741" s="83"/>
      <c r="L741" s="83"/>
      <c r="M741" s="83"/>
      <c r="N741" s="83"/>
      <c r="O741" s="83"/>
      <c r="P741" s="83"/>
      <c r="Q741" s="84"/>
      <c r="R741" s="83"/>
      <c r="S741" s="83"/>
      <c r="T741" s="85"/>
      <c r="U741" s="6"/>
      <c r="V741" s="44">
        <v>44992</v>
      </c>
      <c r="W741" s="45">
        <v>128.25</v>
      </c>
      <c r="X741" s="46"/>
      <c r="Y741" s="61"/>
      <c r="Z741" s="5"/>
      <c r="AA741" s="5"/>
      <c r="AB741" s="5"/>
      <c r="AC741" s="5"/>
      <c r="AD741" s="5"/>
      <c r="AE741" s="5"/>
      <c r="AF741" s="5"/>
      <c r="AG741" s="5"/>
      <c r="AH741" s="6"/>
      <c r="AI741" s="44">
        <v>44992</v>
      </c>
      <c r="AJ741" s="53">
        <v>128.25</v>
      </c>
      <c r="AK741" s="54">
        <f t="shared" si="121"/>
        <v>-1.4901298102772853E-2</v>
      </c>
      <c r="AL741" s="55">
        <f t="shared" si="124"/>
        <v>15.158057939117805</v>
      </c>
      <c r="AM741" s="56">
        <v>25</v>
      </c>
      <c r="AN741" s="57">
        <f t="shared" si="122"/>
        <v>9.8419420608821948</v>
      </c>
      <c r="AO741" s="76">
        <f t="shared" si="125"/>
        <v>13.919092324357852</v>
      </c>
      <c r="AP741" s="63" t="str">
        <f t="shared" si="126"/>
        <v>Buy Stocks</v>
      </c>
      <c r="AQ741" s="63" t="str">
        <f t="shared" si="127"/>
        <v/>
      </c>
      <c r="AR741" s="63" t="str">
        <f t="shared" si="128"/>
        <v/>
      </c>
      <c r="AS741" s="63" t="str">
        <f t="shared" si="129"/>
        <v/>
      </c>
      <c r="AT741" s="78" t="str">
        <f t="shared" si="130"/>
        <v/>
      </c>
      <c r="AU741" s="78" t="str">
        <f t="shared" si="131"/>
        <v/>
      </c>
      <c r="AV741" s="64" t="str">
        <f ca="1">IFERROR(__xludf.DUMMYFUNCTION("IF(TRIM(AU741)="""","""",AU741/INDEX(FILTER(AT$3:AT741,TRIM(AT$3:AT741)&lt;&gt;""""),ROWS(FILTER(AT$3:AT741,TRIM(AT$3:AT741)&lt;&gt;"""")))-1)"),"")</f>
        <v/>
      </c>
      <c r="AW741" s="65" t="e">
        <f t="shared" ca="1" si="123"/>
        <v>#VALUE!</v>
      </c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</row>
    <row r="742" spans="1:68" ht="19" x14ac:dyDescent="0.25">
      <c r="A742" s="5"/>
      <c r="B742" s="5"/>
      <c r="C742" s="5"/>
      <c r="D742" s="5"/>
      <c r="E742" s="5"/>
      <c r="F742" s="5"/>
      <c r="G742" s="5"/>
      <c r="H742" s="6"/>
      <c r="I742" s="5"/>
      <c r="J742" s="83"/>
      <c r="K742" s="83"/>
      <c r="L742" s="83"/>
      <c r="M742" s="83"/>
      <c r="N742" s="83"/>
      <c r="O742" s="83"/>
      <c r="P742" s="83"/>
      <c r="Q742" s="84"/>
      <c r="R742" s="83"/>
      <c r="S742" s="83"/>
      <c r="T742" s="85"/>
      <c r="U742" s="6"/>
      <c r="V742" s="44">
        <v>44993</v>
      </c>
      <c r="W742" s="45">
        <v>128.05000000000001</v>
      </c>
      <c r="X742" s="46"/>
      <c r="Y742" s="61"/>
      <c r="Z742" s="5"/>
      <c r="AA742" s="5"/>
      <c r="AB742" s="5"/>
      <c r="AC742" s="5"/>
      <c r="AD742" s="5"/>
      <c r="AE742" s="5"/>
      <c r="AF742" s="5"/>
      <c r="AG742" s="5"/>
      <c r="AH742" s="6"/>
      <c r="AI742" s="44">
        <v>44993</v>
      </c>
      <c r="AJ742" s="53">
        <v>128.05000000000001</v>
      </c>
      <c r="AK742" s="54">
        <f t="shared" si="121"/>
        <v>-1.5594541910330939E-3</v>
      </c>
      <c r="AL742" s="55">
        <f t="shared" si="124"/>
        <v>13.883450910711554</v>
      </c>
      <c r="AM742" s="56">
        <v>25</v>
      </c>
      <c r="AN742" s="57">
        <f t="shared" si="122"/>
        <v>11.116549089288446</v>
      </c>
      <c r="AO742" s="76">
        <f t="shared" si="125"/>
        <v>12.476160154120398</v>
      </c>
      <c r="AP742" s="63" t="str">
        <f t="shared" si="126"/>
        <v>Buy Stocks</v>
      </c>
      <c r="AQ742" s="63" t="str">
        <f t="shared" si="127"/>
        <v/>
      </c>
      <c r="AR742" s="63" t="str">
        <f t="shared" si="128"/>
        <v/>
      </c>
      <c r="AS742" s="63" t="str">
        <f t="shared" si="129"/>
        <v/>
      </c>
      <c r="AT742" s="78" t="str">
        <f t="shared" si="130"/>
        <v/>
      </c>
      <c r="AU742" s="78" t="str">
        <f t="shared" si="131"/>
        <v/>
      </c>
      <c r="AV742" s="64" t="str">
        <f ca="1">IFERROR(__xludf.DUMMYFUNCTION("IF(TRIM(AU742)="""","""",AU742/INDEX(FILTER(AT$3:AT742,TRIM(AT$3:AT742)&lt;&gt;""""),ROWS(FILTER(AT$3:AT742,TRIM(AT$3:AT742)&lt;&gt;"""")))-1)"),"")</f>
        <v/>
      </c>
      <c r="AW742" s="65" t="e">
        <f t="shared" ca="1" si="123"/>
        <v>#VALUE!</v>
      </c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</row>
    <row r="743" spans="1:68" ht="19" x14ac:dyDescent="0.25">
      <c r="A743" s="5"/>
      <c r="B743" s="5"/>
      <c r="C743" s="5"/>
      <c r="D743" s="5"/>
      <c r="E743" s="5"/>
      <c r="F743" s="5"/>
      <c r="G743" s="5"/>
      <c r="H743" s="6"/>
      <c r="I743" s="5"/>
      <c r="J743" s="83"/>
      <c r="K743" s="83"/>
      <c r="L743" s="83"/>
      <c r="M743" s="83"/>
      <c r="N743" s="83"/>
      <c r="O743" s="83"/>
      <c r="P743" s="83"/>
      <c r="Q743" s="84"/>
      <c r="R743" s="83"/>
      <c r="S743" s="83"/>
      <c r="T743" s="85"/>
      <c r="U743" s="6"/>
      <c r="V743" s="44">
        <v>44994</v>
      </c>
      <c r="W743" s="45">
        <v>126.16</v>
      </c>
      <c r="X743" s="46"/>
      <c r="Y743" s="61"/>
      <c r="Z743" s="5"/>
      <c r="AA743" s="5"/>
      <c r="AB743" s="5"/>
      <c r="AC743" s="5"/>
      <c r="AD743" s="5"/>
      <c r="AE743" s="5"/>
      <c r="AF743" s="5"/>
      <c r="AG743" s="5"/>
      <c r="AH743" s="6"/>
      <c r="AI743" s="44">
        <v>44994</v>
      </c>
      <c r="AJ743" s="53">
        <v>126.16</v>
      </c>
      <c r="AK743" s="54">
        <f t="shared" si="121"/>
        <v>-1.4759859429910316E-2</v>
      </c>
      <c r="AL743" s="55">
        <f t="shared" si="124"/>
        <v>15.843836489979294</v>
      </c>
      <c r="AM743" s="56">
        <v>25</v>
      </c>
      <c r="AN743" s="57">
        <f t="shared" si="122"/>
        <v>9.1561635100207059</v>
      </c>
      <c r="AO743" s="76">
        <f t="shared" si="125"/>
        <v>11.270402573199952</v>
      </c>
      <c r="AP743" s="63" t="str">
        <f t="shared" si="126"/>
        <v>Buy Stocks</v>
      </c>
      <c r="AQ743" s="63" t="str">
        <f t="shared" si="127"/>
        <v/>
      </c>
      <c r="AR743" s="63" t="str">
        <f t="shared" si="128"/>
        <v/>
      </c>
      <c r="AS743" s="63" t="str">
        <f t="shared" si="129"/>
        <v/>
      </c>
      <c r="AT743" s="78" t="str">
        <f t="shared" si="130"/>
        <v/>
      </c>
      <c r="AU743" s="78" t="str">
        <f t="shared" si="131"/>
        <v/>
      </c>
      <c r="AV743" s="64" t="str">
        <f ca="1">IFERROR(__xludf.DUMMYFUNCTION("IF(TRIM(AU743)="""","""",AU743/INDEX(FILTER(AT$3:AT743,TRIM(AT$3:AT743)&lt;&gt;""""),ROWS(FILTER(AT$3:AT743,TRIM(AT$3:AT743)&lt;&gt;"""")))-1)"),"")</f>
        <v/>
      </c>
      <c r="AW743" s="65" t="e">
        <f t="shared" ca="1" si="123"/>
        <v>#VALUE!</v>
      </c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</row>
    <row r="744" spans="1:68" ht="19" x14ac:dyDescent="0.25">
      <c r="A744" s="5"/>
      <c r="B744" s="5"/>
      <c r="C744" s="5"/>
      <c r="D744" s="5"/>
      <c r="E744" s="5"/>
      <c r="F744" s="5"/>
      <c r="G744" s="5"/>
      <c r="H744" s="6"/>
      <c r="I744" s="5"/>
      <c r="J744" s="83"/>
      <c r="K744" s="83"/>
      <c r="L744" s="83"/>
      <c r="M744" s="83"/>
      <c r="N744" s="83"/>
      <c r="O744" s="83"/>
      <c r="P744" s="83"/>
      <c r="Q744" s="84"/>
      <c r="R744" s="83"/>
      <c r="S744" s="83"/>
      <c r="T744" s="85"/>
      <c r="U744" s="6"/>
      <c r="V744" s="44">
        <v>44995</v>
      </c>
      <c r="W744" s="45">
        <v>125.45</v>
      </c>
      <c r="X744" s="46"/>
      <c r="Y744" s="61"/>
      <c r="Z744" s="5"/>
      <c r="AA744" s="5"/>
      <c r="AB744" s="5"/>
      <c r="AC744" s="5"/>
      <c r="AD744" s="5"/>
      <c r="AE744" s="5"/>
      <c r="AF744" s="5"/>
      <c r="AG744" s="5"/>
      <c r="AH744" s="6"/>
      <c r="AI744" s="44">
        <v>44995</v>
      </c>
      <c r="AJ744" s="53">
        <v>125.45</v>
      </c>
      <c r="AK744" s="54">
        <f t="shared" si="121"/>
        <v>-5.6277742549143417E-3</v>
      </c>
      <c r="AL744" s="55">
        <f t="shared" si="124"/>
        <v>13.266765678173687</v>
      </c>
      <c r="AM744" s="56">
        <v>25</v>
      </c>
      <c r="AN744" s="57">
        <f t="shared" si="122"/>
        <v>11.733234321826313</v>
      </c>
      <c r="AO744" s="76">
        <f t="shared" si="125"/>
        <v>10.922854779735635</v>
      </c>
      <c r="AP744" s="63" t="str">
        <f t="shared" si="126"/>
        <v>Buy Stocks</v>
      </c>
      <c r="AQ744" s="63" t="str">
        <f t="shared" si="127"/>
        <v/>
      </c>
      <c r="AR744" s="63" t="str">
        <f t="shared" si="128"/>
        <v/>
      </c>
      <c r="AS744" s="63" t="str">
        <f t="shared" si="129"/>
        <v/>
      </c>
      <c r="AT744" s="78" t="str">
        <f t="shared" si="130"/>
        <v/>
      </c>
      <c r="AU744" s="78" t="str">
        <f t="shared" si="131"/>
        <v/>
      </c>
      <c r="AV744" s="64" t="str">
        <f ca="1">IFERROR(__xludf.DUMMYFUNCTION("IF(TRIM(AU744)="""","""",AU744/INDEX(FILTER(AT$3:AT744,TRIM(AT$3:AT744)&lt;&gt;""""),ROWS(FILTER(AT$3:AT744,TRIM(AT$3:AT744)&lt;&gt;"""")))-1)"),"")</f>
        <v/>
      </c>
      <c r="AW744" s="65" t="e">
        <f t="shared" ca="1" si="123"/>
        <v>#VALUE!</v>
      </c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</row>
    <row r="745" spans="1:68" ht="19" x14ac:dyDescent="0.25">
      <c r="A745" s="5"/>
      <c r="B745" s="5"/>
      <c r="C745" s="5"/>
      <c r="D745" s="5"/>
      <c r="E745" s="5"/>
      <c r="F745" s="5"/>
      <c r="G745" s="5"/>
      <c r="H745" s="6"/>
      <c r="I745" s="5"/>
      <c r="J745" s="83"/>
      <c r="K745" s="83"/>
      <c r="L745" s="83"/>
      <c r="M745" s="83"/>
      <c r="N745" s="83"/>
      <c r="O745" s="83"/>
      <c r="P745" s="83"/>
      <c r="Q745" s="84"/>
      <c r="R745" s="83"/>
      <c r="S745" s="83"/>
      <c r="T745" s="85"/>
      <c r="U745" s="6"/>
      <c r="V745" s="44">
        <v>44998</v>
      </c>
      <c r="W745" s="45">
        <v>125.58</v>
      </c>
      <c r="X745" s="46"/>
      <c r="Y745" s="61"/>
      <c r="Z745" s="5"/>
      <c r="AA745" s="5"/>
      <c r="AB745" s="5"/>
      <c r="AC745" s="5"/>
      <c r="AD745" s="5"/>
      <c r="AE745" s="5"/>
      <c r="AF745" s="5"/>
      <c r="AG745" s="5"/>
      <c r="AH745" s="6"/>
      <c r="AI745" s="44">
        <v>44998</v>
      </c>
      <c r="AJ745" s="53">
        <v>125.58</v>
      </c>
      <c r="AK745" s="54">
        <f t="shared" si="121"/>
        <v>1.0362694300518616E-3</v>
      </c>
      <c r="AL745" s="55">
        <f t="shared" si="124"/>
        <v>11.734745883120139</v>
      </c>
      <c r="AM745" s="56">
        <v>25</v>
      </c>
      <c r="AN745" s="57">
        <f t="shared" si="122"/>
        <v>13.265254116879861</v>
      </c>
      <c r="AO745" s="76">
        <f t="shared" si="125"/>
        <v>11.022628619779505</v>
      </c>
      <c r="AP745" s="63" t="str">
        <f t="shared" si="126"/>
        <v>Buy Stocks</v>
      </c>
      <c r="AQ745" s="63" t="str">
        <f t="shared" si="127"/>
        <v/>
      </c>
      <c r="AR745" s="63" t="str">
        <f t="shared" si="128"/>
        <v/>
      </c>
      <c r="AS745" s="63" t="str">
        <f t="shared" si="129"/>
        <v/>
      </c>
      <c r="AT745" s="78" t="str">
        <f t="shared" si="130"/>
        <v/>
      </c>
      <c r="AU745" s="78" t="str">
        <f t="shared" si="131"/>
        <v/>
      </c>
      <c r="AV745" s="64" t="str">
        <f ca="1">IFERROR(__xludf.DUMMYFUNCTION("IF(TRIM(AU745)="""","""",AU745/INDEX(FILTER(AT$3:AT745,TRIM(AT$3:AT745)&lt;&gt;""""),ROWS(FILTER(AT$3:AT745,TRIM(AT$3:AT745)&lt;&gt;"""")))-1)"),"")</f>
        <v/>
      </c>
      <c r="AW745" s="65" t="e">
        <f t="shared" ca="1" si="123"/>
        <v>#VALUE!</v>
      </c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</row>
    <row r="746" spans="1:68" ht="19" x14ac:dyDescent="0.25">
      <c r="A746" s="5"/>
      <c r="B746" s="5"/>
      <c r="C746" s="5"/>
      <c r="D746" s="5"/>
      <c r="E746" s="5"/>
      <c r="F746" s="5"/>
      <c r="G746" s="5"/>
      <c r="H746" s="6"/>
      <c r="I746" s="5"/>
      <c r="J746" s="83"/>
      <c r="K746" s="83"/>
      <c r="L746" s="83"/>
      <c r="M746" s="83"/>
      <c r="N746" s="83"/>
      <c r="O746" s="83"/>
      <c r="P746" s="83"/>
      <c r="Q746" s="84"/>
      <c r="R746" s="83"/>
      <c r="S746" s="83"/>
      <c r="T746" s="85"/>
      <c r="U746" s="6"/>
      <c r="V746" s="44">
        <v>44999</v>
      </c>
      <c r="W746" s="45">
        <v>124.65</v>
      </c>
      <c r="X746" s="46"/>
      <c r="Y746" s="61"/>
      <c r="Z746" s="5"/>
      <c r="AA746" s="5"/>
      <c r="AB746" s="5"/>
      <c r="AC746" s="5"/>
      <c r="AD746" s="5"/>
      <c r="AE746" s="5"/>
      <c r="AF746" s="5"/>
      <c r="AG746" s="5"/>
      <c r="AH746" s="6"/>
      <c r="AI746" s="44">
        <v>44999</v>
      </c>
      <c r="AJ746" s="53">
        <v>124.65</v>
      </c>
      <c r="AK746" s="54">
        <f t="shared" si="121"/>
        <v>-7.4056378404203649E-3</v>
      </c>
      <c r="AL746" s="55">
        <f t="shared" si="124"/>
        <v>9.6400939791642486</v>
      </c>
      <c r="AM746" s="56">
        <v>25</v>
      </c>
      <c r="AN746" s="57">
        <f t="shared" si="122"/>
        <v>15.359906020835751</v>
      </c>
      <c r="AO746" s="76">
        <f t="shared" si="125"/>
        <v>12.126221411770214</v>
      </c>
      <c r="AP746" s="63" t="str">
        <f t="shared" si="126"/>
        <v>Buy Stocks</v>
      </c>
      <c r="AQ746" s="63" t="str">
        <f t="shared" si="127"/>
        <v/>
      </c>
      <c r="AR746" s="63" t="str">
        <f t="shared" si="128"/>
        <v/>
      </c>
      <c r="AS746" s="63" t="str">
        <f t="shared" si="129"/>
        <v/>
      </c>
      <c r="AT746" s="78" t="str">
        <f t="shared" si="130"/>
        <v/>
      </c>
      <c r="AU746" s="78" t="str">
        <f t="shared" si="131"/>
        <v/>
      </c>
      <c r="AV746" s="64" t="str">
        <f ca="1">IFERROR(__xludf.DUMMYFUNCTION("IF(TRIM(AU746)="""","""",AU746/INDEX(FILTER(AT$3:AT746,TRIM(AT$3:AT746)&lt;&gt;""""),ROWS(FILTER(AT$3:AT746,TRIM(AT$3:AT746)&lt;&gt;"""")))-1)"),"")</f>
        <v/>
      </c>
      <c r="AW746" s="65" t="e">
        <f t="shared" ca="1" si="123"/>
        <v>#VALUE!</v>
      </c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</row>
    <row r="747" spans="1:68" ht="19" x14ac:dyDescent="0.25">
      <c r="A747" s="5"/>
      <c r="B747" s="5"/>
      <c r="C747" s="5"/>
      <c r="D747" s="5"/>
      <c r="E747" s="5"/>
      <c r="F747" s="5"/>
      <c r="G747" s="5"/>
      <c r="H747" s="6"/>
      <c r="I747" s="5"/>
      <c r="J747" s="83"/>
      <c r="K747" s="83"/>
      <c r="L747" s="83"/>
      <c r="M747" s="83"/>
      <c r="N747" s="83"/>
      <c r="O747" s="83"/>
      <c r="P747" s="83"/>
      <c r="Q747" s="84"/>
      <c r="R747" s="83"/>
      <c r="S747" s="83"/>
      <c r="T747" s="85"/>
      <c r="U747" s="6"/>
      <c r="V747" s="44">
        <v>45000</v>
      </c>
      <c r="W747" s="45">
        <v>123.28</v>
      </c>
      <c r="X747" s="46"/>
      <c r="Y747" s="61"/>
      <c r="Z747" s="5"/>
      <c r="AA747" s="5"/>
      <c r="AB747" s="5"/>
      <c r="AC747" s="5"/>
      <c r="AD747" s="5"/>
      <c r="AE747" s="5"/>
      <c r="AF747" s="5"/>
      <c r="AG747" s="5"/>
      <c r="AH747" s="6"/>
      <c r="AI747" s="44">
        <v>45000</v>
      </c>
      <c r="AJ747" s="53">
        <v>123.28</v>
      </c>
      <c r="AK747" s="54">
        <f t="shared" si="121"/>
        <v>-1.099077416766947E-2</v>
      </c>
      <c r="AL747" s="55">
        <f t="shared" si="124"/>
        <v>9.4336797025157235</v>
      </c>
      <c r="AM747" s="56">
        <v>25</v>
      </c>
      <c r="AN747" s="57">
        <f t="shared" si="122"/>
        <v>15.566320297484276</v>
      </c>
      <c r="AO747" s="76">
        <f t="shared" si="125"/>
        <v>13.016175653409382</v>
      </c>
      <c r="AP747" s="63" t="str">
        <f t="shared" si="126"/>
        <v>Buy Stocks</v>
      </c>
      <c r="AQ747" s="63" t="str">
        <f t="shared" si="127"/>
        <v/>
      </c>
      <c r="AR747" s="63" t="str">
        <f t="shared" si="128"/>
        <v/>
      </c>
      <c r="AS747" s="63" t="str">
        <f t="shared" si="129"/>
        <v/>
      </c>
      <c r="AT747" s="78" t="str">
        <f t="shared" si="130"/>
        <v/>
      </c>
      <c r="AU747" s="78" t="str">
        <f t="shared" si="131"/>
        <v/>
      </c>
      <c r="AV747" s="64" t="str">
        <f ca="1">IFERROR(__xludf.DUMMYFUNCTION("IF(TRIM(AU747)="""","""",AU747/INDEX(FILTER(AT$3:AT747,TRIM(AT$3:AT747)&lt;&gt;""""),ROWS(FILTER(AT$3:AT747,TRIM(AT$3:AT747)&lt;&gt;"""")))-1)"),"")</f>
        <v/>
      </c>
      <c r="AW747" s="65" t="e">
        <f t="shared" ca="1" si="123"/>
        <v>#VALUE!</v>
      </c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</row>
    <row r="748" spans="1:68" ht="19" x14ac:dyDescent="0.25">
      <c r="A748" s="5"/>
      <c r="B748" s="5"/>
      <c r="C748" s="5"/>
      <c r="D748" s="5"/>
      <c r="E748" s="5"/>
      <c r="F748" s="5"/>
      <c r="G748" s="5"/>
      <c r="H748" s="6"/>
      <c r="I748" s="5"/>
      <c r="J748" s="83"/>
      <c r="K748" s="83"/>
      <c r="L748" s="83"/>
      <c r="M748" s="83"/>
      <c r="N748" s="83"/>
      <c r="O748" s="83"/>
      <c r="P748" s="83"/>
      <c r="Q748" s="84"/>
      <c r="R748" s="83"/>
      <c r="S748" s="83"/>
      <c r="T748" s="85"/>
      <c r="U748" s="6"/>
      <c r="V748" s="44">
        <v>45001</v>
      </c>
      <c r="W748" s="45">
        <v>124.7</v>
      </c>
      <c r="X748" s="46"/>
      <c r="Y748" s="61"/>
      <c r="Z748" s="5"/>
      <c r="AA748" s="5"/>
      <c r="AB748" s="5"/>
      <c r="AC748" s="5"/>
      <c r="AD748" s="5"/>
      <c r="AE748" s="5"/>
      <c r="AF748" s="5"/>
      <c r="AG748" s="5"/>
      <c r="AH748" s="6"/>
      <c r="AI748" s="44">
        <v>45001</v>
      </c>
      <c r="AJ748" s="53">
        <v>124.7</v>
      </c>
      <c r="AK748" s="54">
        <f t="shared" si="121"/>
        <v>1.1518494484101138E-2</v>
      </c>
      <c r="AL748" s="55">
        <f t="shared" si="124"/>
        <v>14.081692262746806</v>
      </c>
      <c r="AM748" s="56">
        <v>25</v>
      </c>
      <c r="AN748" s="57">
        <f t="shared" si="122"/>
        <v>10.918307737253194</v>
      </c>
      <c r="AO748" s="76">
        <f t="shared" si="125"/>
        <v>13.368604498855879</v>
      </c>
      <c r="AP748" s="63" t="str">
        <f t="shared" si="126"/>
        <v>Buy Stocks</v>
      </c>
      <c r="AQ748" s="63" t="str">
        <f t="shared" si="127"/>
        <v/>
      </c>
      <c r="AR748" s="63" t="str">
        <f t="shared" si="128"/>
        <v/>
      </c>
      <c r="AS748" s="63" t="str">
        <f t="shared" si="129"/>
        <v/>
      </c>
      <c r="AT748" s="78" t="str">
        <f t="shared" si="130"/>
        <v/>
      </c>
      <c r="AU748" s="78" t="str">
        <f t="shared" si="131"/>
        <v/>
      </c>
      <c r="AV748" s="64" t="str">
        <f ca="1">IFERROR(__xludf.DUMMYFUNCTION("IF(TRIM(AU748)="""","""",AU748/INDEX(FILTER(AT$3:AT748,TRIM(AT$3:AT748)&lt;&gt;""""),ROWS(FILTER(AT$3:AT748,TRIM(AT$3:AT748)&lt;&gt;"""")))-1)"),"")</f>
        <v/>
      </c>
      <c r="AW748" s="65" t="e">
        <f t="shared" ca="1" si="123"/>
        <v>#VALUE!</v>
      </c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</row>
    <row r="749" spans="1:68" ht="19" x14ac:dyDescent="0.25">
      <c r="A749" s="5"/>
      <c r="B749" s="5"/>
      <c r="C749" s="5"/>
      <c r="D749" s="5"/>
      <c r="E749" s="5"/>
      <c r="F749" s="5"/>
      <c r="G749" s="5"/>
      <c r="H749" s="6"/>
      <c r="I749" s="5"/>
      <c r="J749" s="83"/>
      <c r="K749" s="83"/>
      <c r="L749" s="83"/>
      <c r="M749" s="83"/>
      <c r="N749" s="83"/>
      <c r="O749" s="83"/>
      <c r="P749" s="83"/>
      <c r="Q749" s="84"/>
      <c r="R749" s="83"/>
      <c r="S749" s="83"/>
      <c r="T749" s="85"/>
      <c r="U749" s="6"/>
      <c r="V749" s="44">
        <v>45002</v>
      </c>
      <c r="W749" s="45">
        <v>123.69</v>
      </c>
      <c r="X749" s="46"/>
      <c r="Y749" s="61"/>
      <c r="Z749" s="5"/>
      <c r="AA749" s="5"/>
      <c r="AB749" s="5"/>
      <c r="AC749" s="5"/>
      <c r="AD749" s="5"/>
      <c r="AE749" s="5"/>
      <c r="AF749" s="5"/>
      <c r="AG749" s="5"/>
      <c r="AH749" s="6"/>
      <c r="AI749" s="44">
        <v>45002</v>
      </c>
      <c r="AJ749" s="53">
        <v>123.69</v>
      </c>
      <c r="AK749" s="54">
        <f t="shared" si="121"/>
        <v>-8.0994386527666329E-3</v>
      </c>
      <c r="AL749" s="55">
        <f t="shared" si="124"/>
        <v>14.551830790569072</v>
      </c>
      <c r="AM749" s="56">
        <v>25</v>
      </c>
      <c r="AN749" s="57">
        <f t="shared" si="122"/>
        <v>10.448169209430928</v>
      </c>
      <c r="AO749" s="76">
        <f t="shared" si="125"/>
        <v>13.111591476376802</v>
      </c>
      <c r="AP749" s="63" t="str">
        <f t="shared" si="126"/>
        <v>Buy Stocks</v>
      </c>
      <c r="AQ749" s="63" t="str">
        <f t="shared" si="127"/>
        <v/>
      </c>
      <c r="AR749" s="63" t="str">
        <f t="shared" si="128"/>
        <v/>
      </c>
      <c r="AS749" s="63" t="str">
        <f t="shared" si="129"/>
        <v/>
      </c>
      <c r="AT749" s="78" t="str">
        <f t="shared" si="130"/>
        <v/>
      </c>
      <c r="AU749" s="78" t="str">
        <f t="shared" si="131"/>
        <v/>
      </c>
      <c r="AV749" s="64" t="str">
        <f ca="1">IFERROR(__xludf.DUMMYFUNCTION("IF(TRIM(AU749)="""","""",AU749/INDEX(FILTER(AT$3:AT749,TRIM(AT$3:AT749)&lt;&gt;""""),ROWS(FILTER(AT$3:AT749,TRIM(AT$3:AT749)&lt;&gt;"""")))-1)"),"")</f>
        <v/>
      </c>
      <c r="AW749" s="65" t="e">
        <f t="shared" ca="1" si="123"/>
        <v>#VALUE!</v>
      </c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</row>
    <row r="750" spans="1:68" ht="19" x14ac:dyDescent="0.25">
      <c r="A750" s="5"/>
      <c r="B750" s="5"/>
      <c r="C750" s="5"/>
      <c r="D750" s="5"/>
      <c r="E750" s="5"/>
      <c r="F750" s="5"/>
      <c r="G750" s="5"/>
      <c r="H750" s="6"/>
      <c r="I750" s="5"/>
      <c r="J750" s="83"/>
      <c r="K750" s="83"/>
      <c r="L750" s="83"/>
      <c r="M750" s="83"/>
      <c r="N750" s="83"/>
      <c r="O750" s="83"/>
      <c r="P750" s="83"/>
      <c r="Q750" s="84"/>
      <c r="R750" s="83"/>
      <c r="S750" s="83"/>
      <c r="T750" s="85"/>
      <c r="U750" s="6"/>
      <c r="V750" s="44">
        <v>45005</v>
      </c>
      <c r="W750" s="45">
        <v>125.94</v>
      </c>
      <c r="X750" s="46"/>
      <c r="Y750" s="61"/>
      <c r="Z750" s="5"/>
      <c r="AA750" s="5"/>
      <c r="AB750" s="5"/>
      <c r="AC750" s="5"/>
      <c r="AD750" s="5"/>
      <c r="AE750" s="5"/>
      <c r="AF750" s="5"/>
      <c r="AG750" s="5"/>
      <c r="AH750" s="6"/>
      <c r="AI750" s="44">
        <v>45005</v>
      </c>
      <c r="AJ750" s="53">
        <v>125.94</v>
      </c>
      <c r="AK750" s="54">
        <f t="shared" si="121"/>
        <v>1.8190637885035166E-2</v>
      </c>
      <c r="AL750" s="55">
        <f t="shared" si="124"/>
        <v>21.041231738901693</v>
      </c>
      <c r="AM750" s="56">
        <v>25</v>
      </c>
      <c r="AN750" s="57">
        <f t="shared" si="122"/>
        <v>3.9587682610983066</v>
      </c>
      <c r="AO750" s="76">
        <f t="shared" si="125"/>
        <v>11.250294305220491</v>
      </c>
      <c r="AP750" s="63" t="str">
        <f t="shared" si="126"/>
        <v>Buy Stocks</v>
      </c>
      <c r="AQ750" s="63" t="str">
        <f t="shared" si="127"/>
        <v/>
      </c>
      <c r="AR750" s="63" t="str">
        <f t="shared" si="128"/>
        <v/>
      </c>
      <c r="AS750" s="63" t="str">
        <f t="shared" si="129"/>
        <v/>
      </c>
      <c r="AT750" s="78" t="str">
        <f t="shared" si="130"/>
        <v/>
      </c>
      <c r="AU750" s="78" t="str">
        <f t="shared" si="131"/>
        <v/>
      </c>
      <c r="AV750" s="64" t="str">
        <f ca="1">IFERROR(__xludf.DUMMYFUNCTION("IF(TRIM(AU750)="""","""",AU750/INDEX(FILTER(AT$3:AT750,TRIM(AT$3:AT750)&lt;&gt;""""),ROWS(FILTER(AT$3:AT750,TRIM(AT$3:AT750)&lt;&gt;"""")))-1)"),"")</f>
        <v/>
      </c>
      <c r="AW750" s="65" t="e">
        <f t="shared" ca="1" si="123"/>
        <v>#VALUE!</v>
      </c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</row>
    <row r="751" spans="1:68" ht="19" x14ac:dyDescent="0.25">
      <c r="A751" s="5"/>
      <c r="B751" s="5"/>
      <c r="C751" s="5"/>
      <c r="D751" s="5"/>
      <c r="E751" s="5"/>
      <c r="F751" s="5"/>
      <c r="G751" s="5"/>
      <c r="H751" s="6"/>
      <c r="I751" s="5"/>
      <c r="J751" s="83"/>
      <c r="K751" s="83"/>
      <c r="L751" s="83"/>
      <c r="M751" s="83"/>
      <c r="N751" s="83"/>
      <c r="O751" s="83"/>
      <c r="P751" s="83"/>
      <c r="Q751" s="84"/>
      <c r="R751" s="83"/>
      <c r="S751" s="83"/>
      <c r="T751" s="85"/>
      <c r="U751" s="6"/>
      <c r="V751" s="44">
        <v>45006</v>
      </c>
      <c r="W751" s="45">
        <v>126.57</v>
      </c>
      <c r="X751" s="46"/>
      <c r="Y751" s="61"/>
      <c r="Z751" s="5"/>
      <c r="AA751" s="5"/>
      <c r="AB751" s="5"/>
      <c r="AC751" s="5"/>
      <c r="AD751" s="5"/>
      <c r="AE751" s="5"/>
      <c r="AF751" s="5"/>
      <c r="AG751" s="5"/>
      <c r="AH751" s="6"/>
      <c r="AI751" s="44">
        <v>45006</v>
      </c>
      <c r="AJ751" s="53">
        <v>126.57</v>
      </c>
      <c r="AK751" s="54">
        <f t="shared" si="121"/>
        <v>5.0023820867080016E-3</v>
      </c>
      <c r="AL751" s="55">
        <f t="shared" si="124"/>
        <v>19.862045992195025</v>
      </c>
      <c r="AM751" s="56">
        <v>25</v>
      </c>
      <c r="AN751" s="57">
        <f t="shared" si="122"/>
        <v>5.137954007804975</v>
      </c>
      <c r="AO751" s="76">
        <f t="shared" si="125"/>
        <v>9.2059039026143346</v>
      </c>
      <c r="AP751" s="63" t="str">
        <f t="shared" si="126"/>
        <v>Buy Stocks</v>
      </c>
      <c r="AQ751" s="63" t="str">
        <f t="shared" si="127"/>
        <v/>
      </c>
      <c r="AR751" s="63" t="str">
        <f t="shared" si="128"/>
        <v/>
      </c>
      <c r="AS751" s="63" t="str">
        <f t="shared" si="129"/>
        <v/>
      </c>
      <c r="AT751" s="78" t="str">
        <f t="shared" si="130"/>
        <v/>
      </c>
      <c r="AU751" s="78" t="str">
        <f t="shared" si="131"/>
        <v/>
      </c>
      <c r="AV751" s="64" t="str">
        <f ca="1">IFERROR(__xludf.DUMMYFUNCTION("IF(TRIM(AU751)="""","""",AU751/INDEX(FILTER(AT$3:AT751,TRIM(AT$3:AT751)&lt;&gt;""""),ROWS(FILTER(AT$3:AT751,TRIM(AT$3:AT751)&lt;&gt;"""")))-1)"),"")</f>
        <v/>
      </c>
      <c r="AW751" s="65" t="e">
        <f t="shared" ca="1" si="123"/>
        <v>#VALUE!</v>
      </c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</row>
    <row r="752" spans="1:68" ht="19" x14ac:dyDescent="0.25">
      <c r="A752" s="5"/>
      <c r="B752" s="5"/>
      <c r="C752" s="5"/>
      <c r="D752" s="5"/>
      <c r="E752" s="5"/>
      <c r="F752" s="5"/>
      <c r="G752" s="5"/>
      <c r="H752" s="6"/>
      <c r="I752" s="5"/>
      <c r="J752" s="83"/>
      <c r="K752" s="83"/>
      <c r="L752" s="83"/>
      <c r="M752" s="83"/>
      <c r="N752" s="83"/>
      <c r="O752" s="83"/>
      <c r="P752" s="83"/>
      <c r="Q752" s="84"/>
      <c r="R752" s="83"/>
      <c r="S752" s="83"/>
      <c r="T752" s="85"/>
      <c r="U752" s="6"/>
      <c r="V752" s="44">
        <v>45007</v>
      </c>
      <c r="W752" s="45">
        <v>124.05</v>
      </c>
      <c r="X752" s="46"/>
      <c r="Y752" s="61"/>
      <c r="Z752" s="5"/>
      <c r="AA752" s="5"/>
      <c r="AB752" s="5"/>
      <c r="AC752" s="5"/>
      <c r="AD752" s="5"/>
      <c r="AE752" s="5"/>
      <c r="AF752" s="5"/>
      <c r="AG752" s="5"/>
      <c r="AH752" s="6"/>
      <c r="AI752" s="44">
        <v>45007</v>
      </c>
      <c r="AJ752" s="53">
        <v>124.05</v>
      </c>
      <c r="AK752" s="54">
        <f t="shared" si="121"/>
        <v>-1.9909931263332514E-2</v>
      </c>
      <c r="AL752" s="55">
        <f t="shared" si="124"/>
        <v>24.356138092588616</v>
      </c>
      <c r="AM752" s="56">
        <v>25</v>
      </c>
      <c r="AN752" s="57">
        <f t="shared" si="122"/>
        <v>0.64386190741138449</v>
      </c>
      <c r="AO752" s="76">
        <f t="shared" si="125"/>
        <v>6.2214122245997583</v>
      </c>
      <c r="AP752" s="63" t="str">
        <f t="shared" si="126"/>
        <v>Buy Stocks</v>
      </c>
      <c r="AQ752" s="63" t="str">
        <f t="shared" si="127"/>
        <v/>
      </c>
      <c r="AR752" s="63" t="str">
        <f t="shared" si="128"/>
        <v/>
      </c>
      <c r="AS752" s="63" t="str">
        <f t="shared" si="129"/>
        <v/>
      </c>
      <c r="AT752" s="78" t="str">
        <f t="shared" si="130"/>
        <v/>
      </c>
      <c r="AU752" s="78" t="str">
        <f t="shared" si="131"/>
        <v/>
      </c>
      <c r="AV752" s="64" t="str">
        <f ca="1">IFERROR(__xludf.DUMMYFUNCTION("IF(TRIM(AU752)="""","""",AU752/INDEX(FILTER(AT$3:AT752,TRIM(AT$3:AT752)&lt;&gt;""""),ROWS(FILTER(AT$3:AT752,TRIM(AT$3:AT752)&lt;&gt;"""")))-1)"),"")</f>
        <v/>
      </c>
      <c r="AW752" s="65" t="e">
        <f t="shared" ca="1" si="123"/>
        <v>#VALUE!</v>
      </c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</row>
    <row r="753" spans="1:68" ht="19" x14ac:dyDescent="0.25">
      <c r="A753" s="5"/>
      <c r="B753" s="5"/>
      <c r="C753" s="5"/>
      <c r="D753" s="5"/>
      <c r="E753" s="5"/>
      <c r="F753" s="5"/>
      <c r="G753" s="5"/>
      <c r="H753" s="6"/>
      <c r="I753" s="5"/>
      <c r="J753" s="83"/>
      <c r="K753" s="83"/>
      <c r="L753" s="83"/>
      <c r="M753" s="83"/>
      <c r="N753" s="83"/>
      <c r="O753" s="83"/>
      <c r="P753" s="83"/>
      <c r="Q753" s="84"/>
      <c r="R753" s="83"/>
      <c r="S753" s="83"/>
      <c r="T753" s="85"/>
      <c r="U753" s="6"/>
      <c r="V753" s="44">
        <v>45008</v>
      </c>
      <c r="W753" s="45">
        <v>123.37</v>
      </c>
      <c r="X753" s="46"/>
      <c r="Y753" s="61"/>
      <c r="Z753" s="5"/>
      <c r="AA753" s="5"/>
      <c r="AB753" s="5"/>
      <c r="AC753" s="5"/>
      <c r="AD753" s="5"/>
      <c r="AE753" s="5"/>
      <c r="AF753" s="5"/>
      <c r="AG753" s="5"/>
      <c r="AH753" s="6"/>
      <c r="AI753" s="44">
        <v>45008</v>
      </c>
      <c r="AJ753" s="53">
        <v>123.37</v>
      </c>
      <c r="AK753" s="54">
        <f t="shared" si="121"/>
        <v>-5.4816606207174212E-3</v>
      </c>
      <c r="AL753" s="55">
        <f t="shared" si="124"/>
        <v>22.822444367594056</v>
      </c>
      <c r="AM753" s="56">
        <v>25</v>
      </c>
      <c r="AN753" s="57">
        <f t="shared" si="122"/>
        <v>2.1775556324059444</v>
      </c>
      <c r="AO753" s="76">
        <f t="shared" si="125"/>
        <v>4.4732618036303071</v>
      </c>
      <c r="AP753" s="63" t="str">
        <f t="shared" si="126"/>
        <v>Buy Stocks</v>
      </c>
      <c r="AQ753" s="63" t="str">
        <f t="shared" si="127"/>
        <v/>
      </c>
      <c r="AR753" s="63" t="str">
        <f t="shared" si="128"/>
        <v/>
      </c>
      <c r="AS753" s="63" t="str">
        <f t="shared" si="129"/>
        <v/>
      </c>
      <c r="AT753" s="78" t="str">
        <f t="shared" si="130"/>
        <v/>
      </c>
      <c r="AU753" s="78" t="str">
        <f t="shared" si="131"/>
        <v/>
      </c>
      <c r="AV753" s="64" t="str">
        <f ca="1">IFERROR(__xludf.DUMMYFUNCTION("IF(TRIM(AU753)="""","""",AU753/INDEX(FILTER(AT$3:AT753,TRIM(AT$3:AT753)&lt;&gt;""""),ROWS(FILTER(AT$3:AT753,TRIM(AT$3:AT753)&lt;&gt;"""")))-1)"),"")</f>
        <v/>
      </c>
      <c r="AW753" s="65" t="e">
        <f t="shared" ca="1" si="123"/>
        <v>#VALUE!</v>
      </c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</row>
    <row r="754" spans="1:68" ht="19" x14ac:dyDescent="0.25">
      <c r="A754" s="5"/>
      <c r="B754" s="5"/>
      <c r="C754" s="5"/>
      <c r="D754" s="5"/>
      <c r="E754" s="5"/>
      <c r="F754" s="5"/>
      <c r="G754" s="5"/>
      <c r="H754" s="6"/>
      <c r="I754" s="5"/>
      <c r="J754" s="83"/>
      <c r="K754" s="83"/>
      <c r="L754" s="83"/>
      <c r="M754" s="83"/>
      <c r="N754" s="83"/>
      <c r="O754" s="83"/>
      <c r="P754" s="83"/>
      <c r="Q754" s="84"/>
      <c r="R754" s="83"/>
      <c r="S754" s="83"/>
      <c r="T754" s="85"/>
      <c r="U754" s="6"/>
      <c r="V754" s="44">
        <v>45009</v>
      </c>
      <c r="W754" s="45">
        <v>125.29</v>
      </c>
      <c r="X754" s="46"/>
      <c r="Y754" s="61"/>
      <c r="Z754" s="5"/>
      <c r="AA754" s="5"/>
      <c r="AB754" s="5"/>
      <c r="AC754" s="5"/>
      <c r="AD754" s="5"/>
      <c r="AE754" s="5"/>
      <c r="AF754" s="5"/>
      <c r="AG754" s="5"/>
      <c r="AH754" s="6"/>
      <c r="AI754" s="44">
        <v>45009</v>
      </c>
      <c r="AJ754" s="53">
        <v>125.29</v>
      </c>
      <c r="AK754" s="54">
        <f t="shared" si="121"/>
        <v>1.5562940747345433E-2</v>
      </c>
      <c r="AL754" s="55">
        <f t="shared" si="124"/>
        <v>24.959615390863451</v>
      </c>
      <c r="AM754" s="56">
        <v>25</v>
      </c>
      <c r="AN754" s="57">
        <f t="shared" si="122"/>
        <v>4.0384609136548733E-2</v>
      </c>
      <c r="AO754" s="76">
        <f t="shared" si="125"/>
        <v>2.3917048835714318</v>
      </c>
      <c r="AP754" s="63" t="str">
        <f t="shared" si="126"/>
        <v>Buy Stocks</v>
      </c>
      <c r="AQ754" s="63" t="str">
        <f t="shared" si="127"/>
        <v/>
      </c>
      <c r="AR754" s="63" t="str">
        <f t="shared" si="128"/>
        <v/>
      </c>
      <c r="AS754" s="63" t="str">
        <f t="shared" si="129"/>
        <v/>
      </c>
      <c r="AT754" s="78" t="str">
        <f t="shared" si="130"/>
        <v/>
      </c>
      <c r="AU754" s="78" t="str">
        <f t="shared" si="131"/>
        <v/>
      </c>
      <c r="AV754" s="64" t="str">
        <f ca="1">IFERROR(__xludf.DUMMYFUNCTION("IF(TRIM(AU754)="""","""",AU754/INDEX(FILTER(AT$3:AT754,TRIM(AT$3:AT754)&lt;&gt;""""),ROWS(FILTER(AT$3:AT754,TRIM(AT$3:AT754)&lt;&gt;"""")))-1)"),"")</f>
        <v/>
      </c>
      <c r="AW754" s="65" t="e">
        <f t="shared" ca="1" si="123"/>
        <v>#VALUE!</v>
      </c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</row>
    <row r="755" spans="1:68" ht="19" x14ac:dyDescent="0.25">
      <c r="A755" s="5"/>
      <c r="B755" s="5"/>
      <c r="C755" s="5"/>
      <c r="D755" s="5"/>
      <c r="E755" s="5"/>
      <c r="F755" s="5"/>
      <c r="G755" s="5"/>
      <c r="H755" s="6"/>
      <c r="I755" s="5"/>
      <c r="J755" s="83"/>
      <c r="K755" s="83"/>
      <c r="L755" s="83"/>
      <c r="M755" s="83"/>
      <c r="N755" s="83"/>
      <c r="O755" s="83"/>
      <c r="P755" s="83"/>
      <c r="Q755" s="84"/>
      <c r="R755" s="83"/>
      <c r="S755" s="83"/>
      <c r="T755" s="85"/>
      <c r="U755" s="6"/>
      <c r="V755" s="44">
        <v>45012</v>
      </c>
      <c r="W755" s="45">
        <v>129.31</v>
      </c>
      <c r="X755" s="46"/>
      <c r="Y755" s="61"/>
      <c r="Z755" s="5"/>
      <c r="AA755" s="5"/>
      <c r="AB755" s="5"/>
      <c r="AC755" s="5"/>
      <c r="AD755" s="5"/>
      <c r="AE755" s="5"/>
      <c r="AF755" s="5"/>
      <c r="AG755" s="5"/>
      <c r="AH755" s="6"/>
      <c r="AI755" s="44">
        <v>45012</v>
      </c>
      <c r="AJ755" s="53">
        <v>129.31</v>
      </c>
      <c r="AK755" s="54">
        <f t="shared" si="121"/>
        <v>3.2085561497326109E-2</v>
      </c>
      <c r="AL755" s="55">
        <f t="shared" si="124"/>
        <v>31.495523371611949</v>
      </c>
      <c r="AM755" s="56">
        <v>25</v>
      </c>
      <c r="AN755" s="57">
        <f t="shared" si="122"/>
        <v>-6.4955233716119487</v>
      </c>
      <c r="AO755" s="76">
        <f t="shared" si="125"/>
        <v>0.30084655702938079</v>
      </c>
      <c r="AP755" s="63" t="str">
        <f t="shared" si="126"/>
        <v>Buy Stocks</v>
      </c>
      <c r="AQ755" s="63" t="str">
        <f t="shared" si="127"/>
        <v/>
      </c>
      <c r="AR755" s="63" t="str">
        <f t="shared" si="128"/>
        <v/>
      </c>
      <c r="AS755" s="63" t="str">
        <f t="shared" si="129"/>
        <v/>
      </c>
      <c r="AT755" s="78" t="str">
        <f t="shared" si="130"/>
        <v/>
      </c>
      <c r="AU755" s="78" t="str">
        <f t="shared" si="131"/>
        <v/>
      </c>
      <c r="AV755" s="64" t="str">
        <f ca="1">IFERROR(__xludf.DUMMYFUNCTION("IF(TRIM(AU755)="""","""",AU755/INDEX(FILTER(AT$3:AT755,TRIM(AT$3:AT755)&lt;&gt;""""),ROWS(FILTER(AT$3:AT755,TRIM(AT$3:AT755)&lt;&gt;"""")))-1)"),"")</f>
        <v/>
      </c>
      <c r="AW755" s="65" t="e">
        <f t="shared" ca="1" si="123"/>
        <v>#VALUE!</v>
      </c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</row>
    <row r="756" spans="1:68" ht="19" x14ac:dyDescent="0.25">
      <c r="A756" s="5"/>
      <c r="B756" s="5"/>
      <c r="C756" s="5"/>
      <c r="D756" s="5"/>
      <c r="E756" s="5"/>
      <c r="F756" s="5"/>
      <c r="G756" s="5"/>
      <c r="H756" s="6"/>
      <c r="I756" s="5"/>
      <c r="J756" s="83"/>
      <c r="K756" s="83"/>
      <c r="L756" s="83"/>
      <c r="M756" s="83"/>
      <c r="N756" s="83"/>
      <c r="O756" s="83"/>
      <c r="P756" s="83"/>
      <c r="Q756" s="84"/>
      <c r="R756" s="83"/>
      <c r="S756" s="83"/>
      <c r="T756" s="85"/>
      <c r="U756" s="6"/>
      <c r="V756" s="44">
        <v>45013</v>
      </c>
      <c r="W756" s="45">
        <v>129.34</v>
      </c>
      <c r="X756" s="46"/>
      <c r="Y756" s="61"/>
      <c r="Z756" s="5"/>
      <c r="AA756" s="5"/>
      <c r="AB756" s="5"/>
      <c r="AC756" s="5"/>
      <c r="AD756" s="5"/>
      <c r="AE756" s="5"/>
      <c r="AF756" s="5"/>
      <c r="AG756" s="5"/>
      <c r="AH756" s="6"/>
      <c r="AI756" s="44">
        <v>45013</v>
      </c>
      <c r="AJ756" s="53">
        <v>129.34</v>
      </c>
      <c r="AK756" s="54">
        <f t="shared" si="121"/>
        <v>2.3200061866823773E-4</v>
      </c>
      <c r="AL756" s="55">
        <f t="shared" si="124"/>
        <v>31.719693368647704</v>
      </c>
      <c r="AM756" s="56">
        <v>25</v>
      </c>
      <c r="AN756" s="57">
        <f t="shared" si="122"/>
        <v>-6.7196933686477038</v>
      </c>
      <c r="AO756" s="76">
        <f t="shared" si="125"/>
        <v>-2.0706829182611548</v>
      </c>
      <c r="AP756" s="63" t="str">
        <f t="shared" si="126"/>
        <v/>
      </c>
      <c r="AQ756" s="63" t="str">
        <f t="shared" si="127"/>
        <v>Sell Stocks</v>
      </c>
      <c r="AR756" s="63" t="str">
        <f t="shared" si="128"/>
        <v/>
      </c>
      <c r="AS756" s="63" t="str">
        <f t="shared" si="129"/>
        <v>Sell Stocks</v>
      </c>
      <c r="AT756" s="78" t="str">
        <f t="shared" si="130"/>
        <v/>
      </c>
      <c r="AU756" s="77">
        <f t="shared" si="131"/>
        <v>129.34</v>
      </c>
      <c r="AV756" s="64">
        <f ca="1">IFERROR(__xludf.DUMMYFUNCTION("IF(TRIM(AU756)="""","""",AU756/INDEX(FILTER(AT$3:AT756,TRIM(AT$3:AT756)&lt;&gt;""""),ROWS(FILTER(AT$3:AT756,TRIM(AT$3:AT756)&lt;&gt;"""")))-1)"),-0.0554987585804001)</f>
        <v>-5.5498758580400098E-2</v>
      </c>
      <c r="AW756" s="65" t="e">
        <f t="shared" ca="1" si="123"/>
        <v>#VALUE!</v>
      </c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</row>
    <row r="757" spans="1:68" ht="19" x14ac:dyDescent="0.25">
      <c r="A757" s="5"/>
      <c r="B757" s="5"/>
      <c r="C757" s="5"/>
      <c r="D757" s="5"/>
      <c r="E757" s="5"/>
      <c r="F757" s="5"/>
      <c r="G757" s="5"/>
      <c r="H757" s="6"/>
      <c r="I757" s="5"/>
      <c r="J757" s="83"/>
      <c r="K757" s="83"/>
      <c r="L757" s="83"/>
      <c r="M757" s="83"/>
      <c r="N757" s="83"/>
      <c r="O757" s="83"/>
      <c r="P757" s="83"/>
      <c r="Q757" s="84"/>
      <c r="R757" s="83"/>
      <c r="S757" s="83"/>
      <c r="T757" s="85"/>
      <c r="U757" s="6"/>
      <c r="V757" s="44">
        <v>45014</v>
      </c>
      <c r="W757" s="45">
        <v>129.71</v>
      </c>
      <c r="X757" s="46"/>
      <c r="Y757" s="61"/>
      <c r="Z757" s="5"/>
      <c r="AA757" s="5"/>
      <c r="AB757" s="5"/>
      <c r="AC757" s="5"/>
      <c r="AD757" s="5"/>
      <c r="AE757" s="5"/>
      <c r="AF757" s="5"/>
      <c r="AG757" s="5"/>
      <c r="AH757" s="6"/>
      <c r="AI757" s="44">
        <v>45014</v>
      </c>
      <c r="AJ757" s="53">
        <v>129.71</v>
      </c>
      <c r="AK757" s="54">
        <f t="shared" si="121"/>
        <v>2.8606772846759831E-3</v>
      </c>
      <c r="AL757" s="55">
        <f t="shared" si="124"/>
        <v>23.815590710239494</v>
      </c>
      <c r="AM757" s="56">
        <v>25</v>
      </c>
      <c r="AN757" s="57">
        <f t="shared" si="122"/>
        <v>1.1844092897605059</v>
      </c>
      <c r="AO757" s="76">
        <f t="shared" si="125"/>
        <v>-1.9625734417913308</v>
      </c>
      <c r="AP757" s="63" t="str">
        <f t="shared" si="126"/>
        <v/>
      </c>
      <c r="AQ757" s="63" t="str">
        <f t="shared" si="127"/>
        <v>Sell Stocks</v>
      </c>
      <c r="AR757" s="63" t="str">
        <f t="shared" si="128"/>
        <v/>
      </c>
      <c r="AS757" s="63" t="str">
        <f t="shared" si="129"/>
        <v/>
      </c>
      <c r="AT757" s="78" t="str">
        <f t="shared" si="130"/>
        <v/>
      </c>
      <c r="AU757" s="78" t="str">
        <f t="shared" si="131"/>
        <v/>
      </c>
      <c r="AV757" s="64" t="str">
        <f ca="1">IFERROR(__xludf.DUMMYFUNCTION("IF(TRIM(AU757)="""","""",AU757/INDEX(FILTER(AT$3:AT757,TRIM(AT$3:AT757)&lt;&gt;""""),ROWS(FILTER(AT$3:AT757,TRIM(AT$3:AT757)&lt;&gt;"""")))-1)"),"")</f>
        <v/>
      </c>
      <c r="AW757" s="65" t="e">
        <f t="shared" ca="1" si="123"/>
        <v>#VALUE!</v>
      </c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</row>
    <row r="758" spans="1:68" ht="19" x14ac:dyDescent="0.25">
      <c r="A758" s="5"/>
      <c r="B758" s="5"/>
      <c r="C758" s="5"/>
      <c r="D758" s="5"/>
      <c r="E758" s="5"/>
      <c r="F758" s="5"/>
      <c r="G758" s="5"/>
      <c r="H758" s="6"/>
      <c r="I758" s="5"/>
      <c r="J758" s="83"/>
      <c r="K758" s="83"/>
      <c r="L758" s="83"/>
      <c r="M758" s="83"/>
      <c r="N758" s="83"/>
      <c r="O758" s="83"/>
      <c r="P758" s="83"/>
      <c r="Q758" s="84"/>
      <c r="R758" s="83"/>
      <c r="S758" s="83"/>
      <c r="T758" s="85"/>
      <c r="U758" s="6"/>
      <c r="V758" s="44">
        <v>45015</v>
      </c>
      <c r="W758" s="45">
        <v>129.22</v>
      </c>
      <c r="X758" s="46"/>
      <c r="Y758" s="61"/>
      <c r="Z758" s="5"/>
      <c r="AA758" s="5"/>
      <c r="AB758" s="5"/>
      <c r="AC758" s="5"/>
      <c r="AD758" s="5"/>
      <c r="AE758" s="5"/>
      <c r="AF758" s="5"/>
      <c r="AG758" s="5"/>
      <c r="AH758" s="6"/>
      <c r="AI758" s="44">
        <v>45015</v>
      </c>
      <c r="AJ758" s="53">
        <v>129.22</v>
      </c>
      <c r="AK758" s="54">
        <f t="shared" si="121"/>
        <v>-3.7776578521317994E-3</v>
      </c>
      <c r="AL758" s="55">
        <f t="shared" si="124"/>
        <v>23.182786567141385</v>
      </c>
      <c r="AM758" s="56">
        <v>25</v>
      </c>
      <c r="AN758" s="57">
        <f t="shared" si="122"/>
        <v>1.8172134328586154</v>
      </c>
      <c r="AO758" s="76">
        <f t="shared" si="125"/>
        <v>-2.0346418817007965</v>
      </c>
      <c r="AP758" s="63" t="str">
        <f t="shared" si="126"/>
        <v/>
      </c>
      <c r="AQ758" s="63" t="str">
        <f t="shared" si="127"/>
        <v>Sell Stocks</v>
      </c>
      <c r="AR758" s="63" t="str">
        <f t="shared" si="128"/>
        <v/>
      </c>
      <c r="AS758" s="63" t="str">
        <f t="shared" si="129"/>
        <v/>
      </c>
      <c r="AT758" s="78" t="str">
        <f t="shared" si="130"/>
        <v/>
      </c>
      <c r="AU758" s="78" t="str">
        <f t="shared" si="131"/>
        <v/>
      </c>
      <c r="AV758" s="64" t="str">
        <f ca="1">IFERROR(__xludf.DUMMYFUNCTION("IF(TRIM(AU758)="""","""",AU758/INDEX(FILTER(AT$3:AT758,TRIM(AT$3:AT758)&lt;&gt;""""),ROWS(FILTER(AT$3:AT758,TRIM(AT$3:AT758)&lt;&gt;"""")))-1)"),"")</f>
        <v/>
      </c>
      <c r="AW758" s="65" t="e">
        <f t="shared" ca="1" si="123"/>
        <v>#VALUE!</v>
      </c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</row>
    <row r="759" spans="1:68" ht="19" x14ac:dyDescent="0.25">
      <c r="A759" s="5"/>
      <c r="B759" s="5"/>
      <c r="C759" s="5"/>
      <c r="D759" s="5"/>
      <c r="E759" s="5"/>
      <c r="F759" s="5"/>
      <c r="G759" s="5"/>
      <c r="H759" s="6"/>
      <c r="I759" s="5"/>
      <c r="J759" s="83"/>
      <c r="K759" s="83"/>
      <c r="L759" s="83"/>
      <c r="M759" s="83"/>
      <c r="N759" s="83"/>
      <c r="O759" s="83"/>
      <c r="P759" s="83"/>
      <c r="Q759" s="84"/>
      <c r="R759" s="83"/>
      <c r="S759" s="83"/>
      <c r="T759" s="85"/>
      <c r="U759" s="6"/>
      <c r="V759" s="44">
        <v>45016</v>
      </c>
      <c r="W759" s="45">
        <v>131.09</v>
      </c>
      <c r="X759" s="46"/>
      <c r="Y759" s="61"/>
      <c r="Z759" s="5"/>
      <c r="AA759" s="5"/>
      <c r="AB759" s="5"/>
      <c r="AC759" s="5"/>
      <c r="AD759" s="5"/>
      <c r="AE759" s="5"/>
      <c r="AF759" s="5"/>
      <c r="AG759" s="5"/>
      <c r="AH759" s="6"/>
      <c r="AI759" s="44">
        <v>45016</v>
      </c>
      <c r="AJ759" s="53">
        <v>131.09</v>
      </c>
      <c r="AK759" s="54">
        <f t="shared" si="121"/>
        <v>1.4471444048908877E-2</v>
      </c>
      <c r="AL759" s="55">
        <f t="shared" si="124"/>
        <v>23.012088179963001</v>
      </c>
      <c r="AM759" s="56">
        <v>25</v>
      </c>
      <c r="AN759" s="57">
        <f t="shared" si="122"/>
        <v>1.9879118200369987</v>
      </c>
      <c r="AO759" s="76">
        <f t="shared" si="125"/>
        <v>-1.6451364395207064</v>
      </c>
      <c r="AP759" s="63" t="str">
        <f t="shared" si="126"/>
        <v/>
      </c>
      <c r="AQ759" s="63" t="str">
        <f t="shared" si="127"/>
        <v>Sell Stocks</v>
      </c>
      <c r="AR759" s="63" t="str">
        <f t="shared" si="128"/>
        <v/>
      </c>
      <c r="AS759" s="63" t="str">
        <f t="shared" si="129"/>
        <v/>
      </c>
      <c r="AT759" s="78" t="str">
        <f t="shared" si="130"/>
        <v/>
      </c>
      <c r="AU759" s="78" t="str">
        <f t="shared" si="131"/>
        <v/>
      </c>
      <c r="AV759" s="64" t="str">
        <f ca="1">IFERROR(__xludf.DUMMYFUNCTION("IF(TRIM(AU759)="""","""",AU759/INDEX(FILTER(AT$3:AT759,TRIM(AT$3:AT759)&lt;&gt;""""),ROWS(FILTER(AT$3:AT759,TRIM(AT$3:AT759)&lt;&gt;"""")))-1)"),"")</f>
        <v/>
      </c>
      <c r="AW759" s="65" t="e">
        <f t="shared" ca="1" si="123"/>
        <v>#VALUE!</v>
      </c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</row>
    <row r="760" spans="1:68" ht="19" x14ac:dyDescent="0.25">
      <c r="A760" s="5"/>
      <c r="B760" s="5"/>
      <c r="C760" s="5"/>
      <c r="D760" s="5"/>
      <c r="E760" s="5"/>
      <c r="F760" s="5"/>
      <c r="G760" s="5"/>
      <c r="H760" s="6"/>
      <c r="I760" s="5"/>
      <c r="J760" s="83"/>
      <c r="K760" s="83"/>
      <c r="L760" s="83"/>
      <c r="M760" s="83"/>
      <c r="N760" s="83"/>
      <c r="O760" s="83"/>
      <c r="P760" s="83"/>
      <c r="Q760" s="84"/>
      <c r="R760" s="83"/>
      <c r="S760" s="83"/>
      <c r="T760" s="85"/>
      <c r="U760" s="6"/>
      <c r="V760" s="44">
        <v>45019</v>
      </c>
      <c r="W760" s="45">
        <v>132.06</v>
      </c>
      <c r="X760" s="46"/>
      <c r="Y760" s="61"/>
      <c r="Z760" s="5"/>
      <c r="AA760" s="5"/>
      <c r="AB760" s="5"/>
      <c r="AC760" s="5"/>
      <c r="AD760" s="5"/>
      <c r="AE760" s="5"/>
      <c r="AF760" s="5"/>
      <c r="AG760" s="5"/>
      <c r="AH760" s="6"/>
      <c r="AI760" s="44">
        <v>45019</v>
      </c>
      <c r="AJ760" s="53">
        <v>132.06</v>
      </c>
      <c r="AK760" s="54">
        <f t="shared" si="121"/>
        <v>7.3994965291022119E-3</v>
      </c>
      <c r="AL760" s="55">
        <f t="shared" si="124"/>
        <v>11.138042014897421</v>
      </c>
      <c r="AM760" s="56">
        <v>25</v>
      </c>
      <c r="AN760" s="57">
        <f t="shared" si="122"/>
        <v>13.861957985102579</v>
      </c>
      <c r="AO760" s="76">
        <f t="shared" si="125"/>
        <v>2.4263598318221993</v>
      </c>
      <c r="AP760" s="63" t="str">
        <f t="shared" si="126"/>
        <v>Buy Stocks</v>
      </c>
      <c r="AQ760" s="63" t="str">
        <f t="shared" si="127"/>
        <v/>
      </c>
      <c r="AR760" s="63" t="str">
        <f t="shared" si="128"/>
        <v>Buy Stocks</v>
      </c>
      <c r="AS760" s="63" t="str">
        <f t="shared" si="129"/>
        <v/>
      </c>
      <c r="AT760" s="77">
        <f t="shared" si="130"/>
        <v>132.06</v>
      </c>
      <c r="AU760" s="78" t="str">
        <f t="shared" si="131"/>
        <v/>
      </c>
      <c r="AV760" s="64" t="str">
        <f ca="1">IFERROR(__xludf.DUMMYFUNCTION("IF(TRIM(AU760)="""","""",AU760/INDEX(FILTER(AT$3:AT760,TRIM(AT$3:AT760)&lt;&gt;""""),ROWS(FILTER(AT$3:AT760,TRIM(AT$3:AT760)&lt;&gt;"""")))-1)"),"")</f>
        <v/>
      </c>
      <c r="AW760" s="65" t="e">
        <f t="shared" ca="1" si="123"/>
        <v>#VALUE!</v>
      </c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</row>
    <row r="761" spans="1:68" ht="19" x14ac:dyDescent="0.25">
      <c r="A761" s="5"/>
      <c r="B761" s="5"/>
      <c r="C761" s="5"/>
      <c r="D761" s="5"/>
      <c r="E761" s="5"/>
      <c r="F761" s="5"/>
      <c r="G761" s="5"/>
      <c r="H761" s="6"/>
      <c r="I761" s="5"/>
      <c r="J761" s="83"/>
      <c r="K761" s="83"/>
      <c r="L761" s="83"/>
      <c r="M761" s="83"/>
      <c r="N761" s="83"/>
      <c r="O761" s="83"/>
      <c r="P761" s="83"/>
      <c r="Q761" s="84"/>
      <c r="R761" s="83"/>
      <c r="S761" s="83"/>
      <c r="T761" s="85"/>
      <c r="U761" s="6"/>
      <c r="V761" s="44">
        <v>45020</v>
      </c>
      <c r="W761" s="45">
        <v>131.6</v>
      </c>
      <c r="X761" s="46"/>
      <c r="Y761" s="61"/>
      <c r="Z761" s="5"/>
      <c r="AA761" s="5"/>
      <c r="AB761" s="5"/>
      <c r="AC761" s="5"/>
      <c r="AD761" s="5"/>
      <c r="AE761" s="5"/>
      <c r="AF761" s="5"/>
      <c r="AG761" s="5"/>
      <c r="AH761" s="6"/>
      <c r="AI761" s="44">
        <v>45020</v>
      </c>
      <c r="AJ761" s="53">
        <v>131.6</v>
      </c>
      <c r="AK761" s="54">
        <f t="shared" si="121"/>
        <v>-3.4832651824928673E-3</v>
      </c>
      <c r="AL761" s="55">
        <f t="shared" si="124"/>
        <v>12.237729978007813</v>
      </c>
      <c r="AM761" s="56">
        <v>25</v>
      </c>
      <c r="AN761" s="57">
        <f t="shared" si="122"/>
        <v>12.762270021992187</v>
      </c>
      <c r="AO761" s="76">
        <f t="shared" si="125"/>
        <v>6.3227525099501776</v>
      </c>
      <c r="AP761" s="63" t="str">
        <f t="shared" si="126"/>
        <v>Buy Stocks</v>
      </c>
      <c r="AQ761" s="63" t="str">
        <f t="shared" si="127"/>
        <v/>
      </c>
      <c r="AR761" s="63" t="str">
        <f t="shared" si="128"/>
        <v/>
      </c>
      <c r="AS761" s="63" t="str">
        <f t="shared" si="129"/>
        <v/>
      </c>
      <c r="AT761" s="78" t="str">
        <f t="shared" si="130"/>
        <v/>
      </c>
      <c r="AU761" s="78" t="str">
        <f t="shared" si="131"/>
        <v/>
      </c>
      <c r="AV761" s="64" t="str">
        <f ca="1">IFERROR(__xludf.DUMMYFUNCTION("IF(TRIM(AU761)="""","""",AU761/INDEX(FILTER(AT$3:AT761,TRIM(AT$3:AT761)&lt;&gt;""""),ROWS(FILTER(AT$3:AT761,TRIM(AT$3:AT761)&lt;&gt;"""")))-1)"),"")</f>
        <v/>
      </c>
      <c r="AW761" s="65" t="e">
        <f t="shared" ca="1" si="123"/>
        <v>#VALUE!</v>
      </c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</row>
    <row r="762" spans="1:68" ht="19" x14ac:dyDescent="0.25">
      <c r="A762" s="5"/>
      <c r="B762" s="5"/>
      <c r="C762" s="5"/>
      <c r="D762" s="5"/>
      <c r="E762" s="5"/>
      <c r="F762" s="5"/>
      <c r="G762" s="5"/>
      <c r="H762" s="6"/>
      <c r="I762" s="5"/>
      <c r="J762" s="83"/>
      <c r="K762" s="83"/>
      <c r="L762" s="83"/>
      <c r="M762" s="83"/>
      <c r="N762" s="83"/>
      <c r="O762" s="83"/>
      <c r="P762" s="83"/>
      <c r="Q762" s="84"/>
      <c r="R762" s="83"/>
      <c r="S762" s="83"/>
      <c r="T762" s="85"/>
      <c r="U762" s="6"/>
      <c r="V762" s="44">
        <v>45021</v>
      </c>
      <c r="W762" s="45">
        <v>132.13999999999999</v>
      </c>
      <c r="X762" s="46"/>
      <c r="Y762" s="61"/>
      <c r="Z762" s="5"/>
      <c r="AA762" s="5"/>
      <c r="AB762" s="5"/>
      <c r="AC762" s="5"/>
      <c r="AD762" s="5"/>
      <c r="AE762" s="5"/>
      <c r="AF762" s="5"/>
      <c r="AG762" s="5"/>
      <c r="AH762" s="6"/>
      <c r="AI762" s="44">
        <v>45021</v>
      </c>
      <c r="AJ762" s="53">
        <v>132.13999999999999</v>
      </c>
      <c r="AK762" s="54">
        <f t="shared" si="121"/>
        <v>4.1033434650454836E-3</v>
      </c>
      <c r="AL762" s="55">
        <f t="shared" si="124"/>
        <v>12.229001305752327</v>
      </c>
      <c r="AM762" s="56">
        <v>25</v>
      </c>
      <c r="AN762" s="57">
        <f t="shared" si="122"/>
        <v>12.770998694247673</v>
      </c>
      <c r="AO762" s="76">
        <f t="shared" si="125"/>
        <v>8.64007039084761</v>
      </c>
      <c r="AP762" s="63" t="str">
        <f t="shared" si="126"/>
        <v>Buy Stocks</v>
      </c>
      <c r="AQ762" s="63" t="str">
        <f t="shared" si="127"/>
        <v/>
      </c>
      <c r="AR762" s="63" t="str">
        <f t="shared" si="128"/>
        <v/>
      </c>
      <c r="AS762" s="63" t="str">
        <f t="shared" si="129"/>
        <v/>
      </c>
      <c r="AT762" s="78" t="str">
        <f t="shared" si="130"/>
        <v/>
      </c>
      <c r="AU762" s="78" t="str">
        <f t="shared" si="131"/>
        <v/>
      </c>
      <c r="AV762" s="64" t="str">
        <f ca="1">IFERROR(__xludf.DUMMYFUNCTION("IF(TRIM(AU762)="""","""",AU762/INDEX(FILTER(AT$3:AT762,TRIM(AT$3:AT762)&lt;&gt;""""),ROWS(FILTER(AT$3:AT762,TRIM(AT$3:AT762)&lt;&gt;"""")))-1)"),"")</f>
        <v/>
      </c>
      <c r="AW762" s="65" t="e">
        <f t="shared" ca="1" si="123"/>
        <v>#VALUE!</v>
      </c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</row>
    <row r="763" spans="1:68" ht="19" x14ac:dyDescent="0.25">
      <c r="A763" s="5"/>
      <c r="B763" s="5"/>
      <c r="C763" s="5"/>
      <c r="D763" s="5"/>
      <c r="E763" s="5"/>
      <c r="F763" s="5"/>
      <c r="G763" s="5"/>
      <c r="H763" s="6"/>
      <c r="I763" s="5"/>
      <c r="J763" s="83"/>
      <c r="K763" s="83"/>
      <c r="L763" s="83"/>
      <c r="M763" s="83"/>
      <c r="N763" s="83"/>
      <c r="O763" s="83"/>
      <c r="P763" s="83"/>
      <c r="Q763" s="84"/>
      <c r="R763" s="83"/>
      <c r="S763" s="83"/>
      <c r="T763" s="85"/>
      <c r="U763" s="6"/>
      <c r="V763" s="44">
        <v>45022</v>
      </c>
      <c r="W763" s="45">
        <v>130.5</v>
      </c>
      <c r="X763" s="46"/>
      <c r="Y763" s="61"/>
      <c r="Z763" s="5"/>
      <c r="AA763" s="5"/>
      <c r="AB763" s="5"/>
      <c r="AC763" s="5"/>
      <c r="AD763" s="5"/>
      <c r="AE763" s="5"/>
      <c r="AF763" s="5"/>
      <c r="AG763" s="5"/>
      <c r="AH763" s="6"/>
      <c r="AI763" s="44">
        <v>45022</v>
      </c>
      <c r="AJ763" s="53">
        <v>130.5</v>
      </c>
      <c r="AK763" s="54">
        <f t="shared" si="121"/>
        <v>-1.2411079158468175E-2</v>
      </c>
      <c r="AL763" s="55">
        <f t="shared" si="124"/>
        <v>16.398828691100842</v>
      </c>
      <c r="AM763" s="56">
        <v>25</v>
      </c>
      <c r="AN763" s="57">
        <f t="shared" si="122"/>
        <v>8.6011713088991577</v>
      </c>
      <c r="AO763" s="76">
        <f t="shared" si="125"/>
        <v>9.9968619660557181</v>
      </c>
      <c r="AP763" s="63" t="str">
        <f t="shared" si="126"/>
        <v>Buy Stocks</v>
      </c>
      <c r="AQ763" s="63" t="str">
        <f t="shared" si="127"/>
        <v/>
      </c>
      <c r="AR763" s="63" t="str">
        <f t="shared" si="128"/>
        <v/>
      </c>
      <c r="AS763" s="63" t="str">
        <f t="shared" si="129"/>
        <v/>
      </c>
      <c r="AT763" s="78" t="str">
        <f t="shared" si="130"/>
        <v/>
      </c>
      <c r="AU763" s="78" t="str">
        <f t="shared" si="131"/>
        <v/>
      </c>
      <c r="AV763" s="64" t="str">
        <f ca="1">IFERROR(__xludf.DUMMYFUNCTION("IF(TRIM(AU763)="""","""",AU763/INDEX(FILTER(AT$3:AT763,TRIM(AT$3:AT763)&lt;&gt;""""),ROWS(FILTER(AT$3:AT763,TRIM(AT$3:AT763)&lt;&gt;"""")))-1)"),"")</f>
        <v/>
      </c>
      <c r="AW763" s="65" t="e">
        <f t="shared" ca="1" si="123"/>
        <v>#VALUE!</v>
      </c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</row>
    <row r="764" spans="1:68" ht="19" x14ac:dyDescent="0.25">
      <c r="A764" s="5"/>
      <c r="B764" s="5"/>
      <c r="C764" s="5"/>
      <c r="D764" s="5"/>
      <c r="E764" s="5"/>
      <c r="F764" s="5"/>
      <c r="G764" s="5"/>
      <c r="H764" s="6"/>
      <c r="I764" s="5"/>
      <c r="J764" s="83"/>
      <c r="K764" s="83"/>
      <c r="L764" s="83"/>
      <c r="M764" s="83"/>
      <c r="N764" s="83"/>
      <c r="O764" s="83"/>
      <c r="P764" s="83"/>
      <c r="Q764" s="84"/>
      <c r="R764" s="83"/>
      <c r="S764" s="83"/>
      <c r="T764" s="85"/>
      <c r="U764" s="6"/>
      <c r="V764" s="44">
        <v>45026</v>
      </c>
      <c r="W764" s="45">
        <v>131.03</v>
      </c>
      <c r="X764" s="46"/>
      <c r="Y764" s="61"/>
      <c r="Z764" s="5"/>
      <c r="AA764" s="5"/>
      <c r="AB764" s="5"/>
      <c r="AC764" s="5"/>
      <c r="AD764" s="5"/>
      <c r="AE764" s="5"/>
      <c r="AF764" s="5"/>
      <c r="AG764" s="5"/>
      <c r="AH764" s="6"/>
      <c r="AI764" s="44">
        <v>45026</v>
      </c>
      <c r="AJ764" s="53">
        <v>131.03</v>
      </c>
      <c r="AK764" s="54">
        <f t="shared" si="121"/>
        <v>4.0613026819924514E-3</v>
      </c>
      <c r="AL764" s="55">
        <f t="shared" si="124"/>
        <v>12.655636454382357</v>
      </c>
      <c r="AM764" s="56">
        <v>25</v>
      </c>
      <c r="AN764" s="57">
        <f t="shared" si="122"/>
        <v>12.344363545617643</v>
      </c>
      <c r="AO764" s="76">
        <f t="shared" si="125"/>
        <v>12.068152311171847</v>
      </c>
      <c r="AP764" s="63" t="str">
        <f t="shared" si="126"/>
        <v>Buy Stocks</v>
      </c>
      <c r="AQ764" s="63" t="str">
        <f t="shared" si="127"/>
        <v/>
      </c>
      <c r="AR764" s="63" t="str">
        <f t="shared" si="128"/>
        <v/>
      </c>
      <c r="AS764" s="63" t="str">
        <f t="shared" si="129"/>
        <v/>
      </c>
      <c r="AT764" s="78" t="str">
        <f t="shared" si="130"/>
        <v/>
      </c>
      <c r="AU764" s="78" t="str">
        <f t="shared" si="131"/>
        <v/>
      </c>
      <c r="AV764" s="64" t="str">
        <f ca="1">IFERROR(__xludf.DUMMYFUNCTION("IF(TRIM(AU764)="""","""",AU764/INDEX(FILTER(AT$3:AT764,TRIM(AT$3:AT764)&lt;&gt;""""),ROWS(FILTER(AT$3:AT764,TRIM(AT$3:AT764)&lt;&gt;"""")))-1)"),"")</f>
        <v/>
      </c>
      <c r="AW764" s="65" t="e">
        <f t="shared" ca="1" si="123"/>
        <v>#VALUE!</v>
      </c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</row>
    <row r="765" spans="1:68" ht="19" x14ac:dyDescent="0.25">
      <c r="A765" s="5"/>
      <c r="B765" s="5"/>
      <c r="C765" s="5"/>
      <c r="D765" s="5"/>
      <c r="E765" s="5"/>
      <c r="F765" s="5"/>
      <c r="G765" s="5"/>
      <c r="H765" s="6"/>
      <c r="I765" s="5"/>
      <c r="J765" s="83"/>
      <c r="K765" s="83"/>
      <c r="L765" s="83"/>
      <c r="M765" s="83"/>
      <c r="N765" s="83"/>
      <c r="O765" s="83"/>
      <c r="P765" s="83"/>
      <c r="Q765" s="84"/>
      <c r="R765" s="83"/>
      <c r="S765" s="83"/>
      <c r="T765" s="85"/>
      <c r="U765" s="6"/>
      <c r="V765" s="44">
        <v>45027</v>
      </c>
      <c r="W765" s="45">
        <v>130.41999999999999</v>
      </c>
      <c r="X765" s="46"/>
      <c r="Y765" s="61"/>
      <c r="Z765" s="5"/>
      <c r="AA765" s="5"/>
      <c r="AB765" s="5"/>
      <c r="AC765" s="5"/>
      <c r="AD765" s="5"/>
      <c r="AE765" s="5"/>
      <c r="AF765" s="5"/>
      <c r="AG765" s="5"/>
      <c r="AH765" s="6"/>
      <c r="AI765" s="44">
        <v>45027</v>
      </c>
      <c r="AJ765" s="53">
        <v>130.41999999999999</v>
      </c>
      <c r="AK765" s="54">
        <f t="shared" si="121"/>
        <v>-4.6554224223461782E-3</v>
      </c>
      <c r="AL765" s="55">
        <f t="shared" si="124"/>
        <v>10.95497316941497</v>
      </c>
      <c r="AM765" s="56">
        <v>25</v>
      </c>
      <c r="AN765" s="57">
        <f t="shared" si="122"/>
        <v>14.04502683058503</v>
      </c>
      <c r="AO765" s="76">
        <f t="shared" si="125"/>
        <v>12.104766080268337</v>
      </c>
      <c r="AP765" s="63" t="str">
        <f t="shared" si="126"/>
        <v>Buy Stocks</v>
      </c>
      <c r="AQ765" s="63" t="str">
        <f t="shared" si="127"/>
        <v/>
      </c>
      <c r="AR765" s="63" t="str">
        <f t="shared" si="128"/>
        <v/>
      </c>
      <c r="AS765" s="63" t="str">
        <f t="shared" si="129"/>
        <v/>
      </c>
      <c r="AT765" s="78" t="str">
        <f t="shared" si="130"/>
        <v/>
      </c>
      <c r="AU765" s="78" t="str">
        <f t="shared" si="131"/>
        <v/>
      </c>
      <c r="AV765" s="64" t="str">
        <f ca="1">IFERROR(__xludf.DUMMYFUNCTION("IF(TRIM(AU765)="""","""",AU765/INDEX(FILTER(AT$3:AT765,TRIM(AT$3:AT765)&lt;&gt;""""),ROWS(FILTER(AT$3:AT765,TRIM(AT$3:AT765)&lt;&gt;"""")))-1)"),"")</f>
        <v/>
      </c>
      <c r="AW765" s="65" t="e">
        <f t="shared" ca="1" si="123"/>
        <v>#VALUE!</v>
      </c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</row>
    <row r="766" spans="1:68" ht="19" x14ac:dyDescent="0.25">
      <c r="A766" s="5"/>
      <c r="B766" s="5"/>
      <c r="C766" s="5"/>
      <c r="D766" s="5"/>
      <c r="E766" s="5"/>
      <c r="F766" s="5"/>
      <c r="G766" s="5"/>
      <c r="H766" s="6"/>
      <c r="I766" s="5"/>
      <c r="J766" s="83"/>
      <c r="K766" s="83"/>
      <c r="L766" s="83"/>
      <c r="M766" s="83"/>
      <c r="N766" s="83"/>
      <c r="O766" s="83"/>
      <c r="P766" s="83"/>
      <c r="Q766" s="84"/>
      <c r="R766" s="83"/>
      <c r="S766" s="83"/>
      <c r="T766" s="85"/>
      <c r="U766" s="6"/>
      <c r="V766" s="44">
        <v>45028</v>
      </c>
      <c r="W766" s="45">
        <v>128.54</v>
      </c>
      <c r="X766" s="46"/>
      <c r="Y766" s="61"/>
      <c r="Z766" s="5"/>
      <c r="AA766" s="5"/>
      <c r="AB766" s="5"/>
      <c r="AC766" s="5"/>
      <c r="AD766" s="5"/>
      <c r="AE766" s="5"/>
      <c r="AF766" s="5"/>
      <c r="AG766" s="5"/>
      <c r="AH766" s="6"/>
      <c r="AI766" s="44">
        <v>45028</v>
      </c>
      <c r="AJ766" s="53">
        <v>128.54</v>
      </c>
      <c r="AK766" s="54">
        <f t="shared" si="121"/>
        <v>-1.4414967029596659E-2</v>
      </c>
      <c r="AL766" s="55">
        <f t="shared" si="124"/>
        <v>13.931992195322843</v>
      </c>
      <c r="AM766" s="56">
        <v>25</v>
      </c>
      <c r="AN766" s="57">
        <f t="shared" si="122"/>
        <v>11.068007804677157</v>
      </c>
      <c r="AO766" s="76">
        <f t="shared" si="125"/>
        <v>11.765913636805333</v>
      </c>
      <c r="AP766" s="63" t="str">
        <f t="shared" si="126"/>
        <v>Buy Stocks</v>
      </c>
      <c r="AQ766" s="63" t="str">
        <f t="shared" si="127"/>
        <v/>
      </c>
      <c r="AR766" s="63" t="str">
        <f t="shared" si="128"/>
        <v/>
      </c>
      <c r="AS766" s="63" t="str">
        <f t="shared" si="129"/>
        <v/>
      </c>
      <c r="AT766" s="78" t="str">
        <f t="shared" si="130"/>
        <v/>
      </c>
      <c r="AU766" s="78" t="str">
        <f t="shared" si="131"/>
        <v/>
      </c>
      <c r="AV766" s="64" t="str">
        <f ca="1">IFERROR(__xludf.DUMMYFUNCTION("IF(TRIM(AU766)="""","""",AU766/INDEX(FILTER(AT$3:AT766,TRIM(AT$3:AT766)&lt;&gt;""""),ROWS(FILTER(AT$3:AT766,TRIM(AT$3:AT766)&lt;&gt;"""")))-1)"),"")</f>
        <v/>
      </c>
      <c r="AW766" s="65" t="e">
        <f t="shared" ca="1" si="123"/>
        <v>#VALUE!</v>
      </c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</row>
    <row r="767" spans="1:68" ht="19" x14ac:dyDescent="0.25">
      <c r="A767" s="5"/>
      <c r="B767" s="5"/>
      <c r="C767" s="5"/>
      <c r="D767" s="5"/>
      <c r="E767" s="5"/>
      <c r="F767" s="5"/>
      <c r="G767" s="5"/>
      <c r="H767" s="6"/>
      <c r="I767" s="5"/>
      <c r="J767" s="83"/>
      <c r="K767" s="83"/>
      <c r="L767" s="83"/>
      <c r="M767" s="83"/>
      <c r="N767" s="83"/>
      <c r="O767" s="83"/>
      <c r="P767" s="83"/>
      <c r="Q767" s="84"/>
      <c r="R767" s="83"/>
      <c r="S767" s="83"/>
      <c r="T767" s="85"/>
      <c r="U767" s="6"/>
      <c r="V767" s="44">
        <v>45029</v>
      </c>
      <c r="W767" s="45">
        <v>127.9</v>
      </c>
      <c r="X767" s="46"/>
      <c r="Y767" s="61"/>
      <c r="Z767" s="5"/>
      <c r="AA767" s="5"/>
      <c r="AB767" s="5"/>
      <c r="AC767" s="5"/>
      <c r="AD767" s="5"/>
      <c r="AE767" s="5"/>
      <c r="AF767" s="5"/>
      <c r="AG767" s="5"/>
      <c r="AH767" s="6"/>
      <c r="AI767" s="44">
        <v>45029</v>
      </c>
      <c r="AJ767" s="53">
        <v>127.9</v>
      </c>
      <c r="AK767" s="54">
        <f t="shared" si="121"/>
        <v>-4.9789948654114236E-3</v>
      </c>
      <c r="AL767" s="55">
        <f t="shared" si="124"/>
        <v>11.634036920201375</v>
      </c>
      <c r="AM767" s="56">
        <v>25</v>
      </c>
      <c r="AN767" s="57">
        <f t="shared" si="122"/>
        <v>13.365963079798625</v>
      </c>
      <c r="AO767" s="76">
        <f t="shared" si="125"/>
        <v>11.884906513915523</v>
      </c>
      <c r="AP767" s="63" t="str">
        <f t="shared" si="126"/>
        <v>Buy Stocks</v>
      </c>
      <c r="AQ767" s="63" t="str">
        <f t="shared" si="127"/>
        <v/>
      </c>
      <c r="AR767" s="63" t="str">
        <f t="shared" si="128"/>
        <v/>
      </c>
      <c r="AS767" s="63" t="str">
        <f t="shared" si="129"/>
        <v/>
      </c>
      <c r="AT767" s="78" t="str">
        <f t="shared" si="130"/>
        <v/>
      </c>
      <c r="AU767" s="78" t="str">
        <f t="shared" si="131"/>
        <v/>
      </c>
      <c r="AV767" s="64" t="str">
        <f ca="1">IFERROR(__xludf.DUMMYFUNCTION("IF(TRIM(AU767)="""","""",AU767/INDEX(FILTER(AT$3:AT767,TRIM(AT$3:AT767)&lt;&gt;""""),ROWS(FILTER(AT$3:AT767,TRIM(AT$3:AT767)&lt;&gt;"""")))-1)"),"")</f>
        <v/>
      </c>
      <c r="AW767" s="65" t="e">
        <f t="shared" ca="1" si="123"/>
        <v>#VALUE!</v>
      </c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</row>
    <row r="768" spans="1:68" ht="19" x14ac:dyDescent="0.25">
      <c r="A768" s="5"/>
      <c r="B768" s="5"/>
      <c r="C768" s="5"/>
      <c r="D768" s="5"/>
      <c r="E768" s="5"/>
      <c r="F768" s="5"/>
      <c r="G768" s="5"/>
      <c r="H768" s="6"/>
      <c r="I768" s="5"/>
      <c r="J768" s="83"/>
      <c r="K768" s="83"/>
      <c r="L768" s="83"/>
      <c r="M768" s="83"/>
      <c r="N768" s="83"/>
      <c r="O768" s="83"/>
      <c r="P768" s="83"/>
      <c r="Q768" s="84"/>
      <c r="R768" s="83"/>
      <c r="S768" s="83"/>
      <c r="T768" s="85"/>
      <c r="U768" s="6"/>
      <c r="V768" s="44">
        <v>45030</v>
      </c>
      <c r="W768" s="45">
        <v>128.13999999999999</v>
      </c>
      <c r="X768" s="46"/>
      <c r="Y768" s="61"/>
      <c r="Z768" s="5"/>
      <c r="AA768" s="5"/>
      <c r="AB768" s="5"/>
      <c r="AC768" s="5"/>
      <c r="AD768" s="5"/>
      <c r="AE768" s="5"/>
      <c r="AF768" s="5"/>
      <c r="AG768" s="5"/>
      <c r="AH768" s="6"/>
      <c r="AI768" s="44">
        <v>45030</v>
      </c>
      <c r="AJ768" s="53">
        <v>128.13999999999999</v>
      </c>
      <c r="AK768" s="54">
        <f t="shared" si="121"/>
        <v>1.8764659890537772E-3</v>
      </c>
      <c r="AL768" s="55">
        <f t="shared" si="124"/>
        <v>11.465522025299935</v>
      </c>
      <c r="AM768" s="56">
        <v>25</v>
      </c>
      <c r="AN768" s="57">
        <f t="shared" si="122"/>
        <v>13.534477974700065</v>
      </c>
      <c r="AO768" s="76">
        <f t="shared" si="125"/>
        <v>12.871567847075704</v>
      </c>
      <c r="AP768" s="63" t="str">
        <f t="shared" si="126"/>
        <v>Buy Stocks</v>
      </c>
      <c r="AQ768" s="63" t="str">
        <f t="shared" si="127"/>
        <v/>
      </c>
      <c r="AR768" s="63" t="str">
        <f t="shared" si="128"/>
        <v/>
      </c>
      <c r="AS768" s="63" t="str">
        <f t="shared" si="129"/>
        <v/>
      </c>
      <c r="AT768" s="78" t="str">
        <f t="shared" si="130"/>
        <v/>
      </c>
      <c r="AU768" s="78" t="str">
        <f t="shared" si="131"/>
        <v/>
      </c>
      <c r="AV768" s="64" t="str">
        <f ca="1">IFERROR(__xludf.DUMMYFUNCTION("IF(TRIM(AU768)="""","""",AU768/INDEX(FILTER(AT$3:AT768,TRIM(AT$3:AT768)&lt;&gt;""""),ROWS(FILTER(AT$3:AT768,TRIM(AT$3:AT768)&lt;&gt;"""")))-1)"),"")</f>
        <v/>
      </c>
      <c r="AW768" s="65" t="e">
        <f t="shared" ca="1" si="123"/>
        <v>#VALUE!</v>
      </c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</row>
    <row r="769" spans="1:68" ht="19" x14ac:dyDescent="0.25">
      <c r="A769" s="5"/>
      <c r="B769" s="5"/>
      <c r="C769" s="5"/>
      <c r="D769" s="5"/>
      <c r="E769" s="5"/>
      <c r="F769" s="5"/>
      <c r="G769" s="5"/>
      <c r="H769" s="6"/>
      <c r="I769" s="5"/>
      <c r="J769" s="83"/>
      <c r="K769" s="83"/>
      <c r="L769" s="83"/>
      <c r="M769" s="83"/>
      <c r="N769" s="83"/>
      <c r="O769" s="83"/>
      <c r="P769" s="83"/>
      <c r="Q769" s="84"/>
      <c r="R769" s="83"/>
      <c r="S769" s="83"/>
      <c r="T769" s="85"/>
      <c r="U769" s="6"/>
      <c r="V769" s="44">
        <v>45033</v>
      </c>
      <c r="W769" s="45">
        <v>127.82</v>
      </c>
      <c r="X769" s="46"/>
      <c r="Y769" s="61"/>
      <c r="Z769" s="5"/>
      <c r="AA769" s="5"/>
      <c r="AB769" s="5"/>
      <c r="AC769" s="5"/>
      <c r="AD769" s="5"/>
      <c r="AE769" s="5"/>
      <c r="AF769" s="5"/>
      <c r="AG769" s="5"/>
      <c r="AH769" s="6"/>
      <c r="AI769" s="44">
        <v>45033</v>
      </c>
      <c r="AJ769" s="53">
        <v>127.82</v>
      </c>
      <c r="AK769" s="54">
        <f t="shared" si="121"/>
        <v>-2.4972686124550281E-3</v>
      </c>
      <c r="AL769" s="55">
        <f t="shared" si="124"/>
        <v>9.4679320748499638</v>
      </c>
      <c r="AM769" s="56">
        <v>25</v>
      </c>
      <c r="AN769" s="57">
        <f t="shared" si="122"/>
        <v>15.532067925150036</v>
      </c>
      <c r="AO769" s="76">
        <f t="shared" si="125"/>
        <v>13.509108722982182</v>
      </c>
      <c r="AP769" s="63" t="str">
        <f t="shared" si="126"/>
        <v>Buy Stocks</v>
      </c>
      <c r="AQ769" s="63" t="str">
        <f t="shared" si="127"/>
        <v/>
      </c>
      <c r="AR769" s="63" t="str">
        <f t="shared" si="128"/>
        <v/>
      </c>
      <c r="AS769" s="63" t="str">
        <f t="shared" si="129"/>
        <v/>
      </c>
      <c r="AT769" s="78" t="str">
        <f t="shared" si="130"/>
        <v/>
      </c>
      <c r="AU769" s="78" t="str">
        <f t="shared" si="131"/>
        <v/>
      </c>
      <c r="AV769" s="64" t="str">
        <f ca="1">IFERROR(__xludf.DUMMYFUNCTION("IF(TRIM(AU769)="""","""",AU769/INDEX(FILTER(AT$3:AT769,TRIM(AT$3:AT769)&lt;&gt;""""),ROWS(FILTER(AT$3:AT769,TRIM(AT$3:AT769)&lt;&gt;"""")))-1)"),"")</f>
        <v/>
      </c>
      <c r="AW769" s="65" t="e">
        <f t="shared" ca="1" si="123"/>
        <v>#VALUE!</v>
      </c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</row>
    <row r="770" spans="1:68" ht="19" x14ac:dyDescent="0.25">
      <c r="A770" s="5"/>
      <c r="B770" s="5"/>
      <c r="C770" s="5"/>
      <c r="D770" s="5"/>
      <c r="E770" s="5"/>
      <c r="F770" s="5"/>
      <c r="G770" s="5"/>
      <c r="H770" s="6"/>
      <c r="I770" s="5"/>
      <c r="J770" s="83"/>
      <c r="K770" s="83"/>
      <c r="L770" s="83"/>
      <c r="M770" s="83"/>
      <c r="N770" s="83"/>
      <c r="O770" s="83"/>
      <c r="P770" s="83"/>
      <c r="Q770" s="84"/>
      <c r="R770" s="83"/>
      <c r="S770" s="83"/>
      <c r="T770" s="85"/>
      <c r="U770" s="6"/>
      <c r="V770" s="44">
        <v>45034</v>
      </c>
      <c r="W770" s="45">
        <v>127.78</v>
      </c>
      <c r="X770" s="46"/>
      <c r="Y770" s="61"/>
      <c r="Z770" s="5"/>
      <c r="AA770" s="5"/>
      <c r="AB770" s="5"/>
      <c r="AC770" s="5"/>
      <c r="AD770" s="5"/>
      <c r="AE770" s="5"/>
      <c r="AF770" s="5"/>
      <c r="AG770" s="5"/>
      <c r="AH770" s="6"/>
      <c r="AI770" s="44">
        <v>45034</v>
      </c>
      <c r="AJ770" s="53">
        <v>127.78</v>
      </c>
      <c r="AK770" s="54">
        <f t="shared" si="121"/>
        <v>-3.1294007197613105E-4</v>
      </c>
      <c r="AL770" s="55">
        <f t="shared" si="124"/>
        <v>10.033453662006176</v>
      </c>
      <c r="AM770" s="56">
        <v>25</v>
      </c>
      <c r="AN770" s="57">
        <f t="shared" si="122"/>
        <v>14.966546337993824</v>
      </c>
      <c r="AO770" s="76">
        <f t="shared" si="125"/>
        <v>13.693412624463942</v>
      </c>
      <c r="AP770" s="63" t="str">
        <f t="shared" si="126"/>
        <v>Buy Stocks</v>
      </c>
      <c r="AQ770" s="63" t="str">
        <f t="shared" si="127"/>
        <v/>
      </c>
      <c r="AR770" s="63" t="str">
        <f t="shared" si="128"/>
        <v/>
      </c>
      <c r="AS770" s="63" t="str">
        <f t="shared" si="129"/>
        <v/>
      </c>
      <c r="AT770" s="78" t="str">
        <f t="shared" si="130"/>
        <v/>
      </c>
      <c r="AU770" s="78" t="str">
        <f t="shared" si="131"/>
        <v/>
      </c>
      <c r="AV770" s="64" t="str">
        <f ca="1">IFERROR(__xludf.DUMMYFUNCTION("IF(TRIM(AU770)="""","""",AU770/INDEX(FILTER(AT$3:AT770,TRIM(AT$3:AT770)&lt;&gt;""""),ROWS(FILTER(AT$3:AT770,TRIM(AT$3:AT770)&lt;&gt;"""")))-1)"),"")</f>
        <v/>
      </c>
      <c r="AW770" s="65" t="e">
        <f t="shared" ca="1" si="123"/>
        <v>#VALUE!</v>
      </c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</row>
    <row r="771" spans="1:68" ht="19" x14ac:dyDescent="0.25">
      <c r="A771" s="5"/>
      <c r="B771" s="5"/>
      <c r="C771" s="5"/>
      <c r="D771" s="5"/>
      <c r="E771" s="5"/>
      <c r="F771" s="5"/>
      <c r="G771" s="5"/>
      <c r="H771" s="6"/>
      <c r="I771" s="5"/>
      <c r="J771" s="83"/>
      <c r="K771" s="83"/>
      <c r="L771" s="83"/>
      <c r="M771" s="83"/>
      <c r="N771" s="83"/>
      <c r="O771" s="83"/>
      <c r="P771" s="83"/>
      <c r="Q771" s="84"/>
      <c r="R771" s="83"/>
      <c r="S771" s="83"/>
      <c r="T771" s="85"/>
      <c r="U771" s="6"/>
      <c r="V771" s="44">
        <v>45035</v>
      </c>
      <c r="W771" s="45">
        <v>126.32</v>
      </c>
      <c r="X771" s="46"/>
      <c r="Y771" s="61"/>
      <c r="Z771" s="5"/>
      <c r="AA771" s="5"/>
      <c r="AB771" s="5"/>
      <c r="AC771" s="5"/>
      <c r="AD771" s="5"/>
      <c r="AE771" s="5"/>
      <c r="AF771" s="5"/>
      <c r="AG771" s="5"/>
      <c r="AH771" s="6"/>
      <c r="AI771" s="44">
        <v>45035</v>
      </c>
      <c r="AJ771" s="53">
        <v>126.32</v>
      </c>
      <c r="AK771" s="54">
        <f t="shared" ref="AK771:AK834" si="132">AJ771/AJ770-1</f>
        <v>-1.14258882454219E-2</v>
      </c>
      <c r="AL771" s="55">
        <f t="shared" si="124"/>
        <v>8.1360194027206187</v>
      </c>
      <c r="AM771" s="56">
        <v>25</v>
      </c>
      <c r="AN771" s="57">
        <f t="shared" ref="AN771:AN834" si="133">AM771-AL771</f>
        <v>16.863980597279379</v>
      </c>
      <c r="AO771" s="76">
        <f t="shared" si="125"/>
        <v>14.852607182984389</v>
      </c>
      <c r="AP771" s="63" t="str">
        <f t="shared" si="126"/>
        <v>Buy Stocks</v>
      </c>
      <c r="AQ771" s="63" t="str">
        <f t="shared" si="127"/>
        <v/>
      </c>
      <c r="AR771" s="63" t="str">
        <f t="shared" si="128"/>
        <v/>
      </c>
      <c r="AS771" s="63" t="str">
        <f t="shared" si="129"/>
        <v/>
      </c>
      <c r="AT771" s="78" t="str">
        <f t="shared" si="130"/>
        <v/>
      </c>
      <c r="AU771" s="78" t="str">
        <f t="shared" si="131"/>
        <v/>
      </c>
      <c r="AV771" s="64" t="str">
        <f ca="1">IFERROR(__xludf.DUMMYFUNCTION("IF(TRIM(AU771)="""","""",AU771/INDEX(FILTER(AT$3:AT771,TRIM(AT$3:AT771)&lt;&gt;""""),ROWS(FILTER(AT$3:AT771,TRIM(AT$3:AT771)&lt;&gt;"""")))-1)"),"")</f>
        <v/>
      </c>
      <c r="AW771" s="65" t="e">
        <f t="shared" ref="AW771:AW834" ca="1" si="134">AW770*(1+AV771)</f>
        <v>#VALUE!</v>
      </c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</row>
    <row r="772" spans="1:68" ht="19" x14ac:dyDescent="0.25">
      <c r="A772" s="5"/>
      <c r="B772" s="5"/>
      <c r="C772" s="5"/>
      <c r="D772" s="5"/>
      <c r="E772" s="5"/>
      <c r="F772" s="5"/>
      <c r="G772" s="5"/>
      <c r="H772" s="6"/>
      <c r="I772" s="5"/>
      <c r="J772" s="83"/>
      <c r="K772" s="83"/>
      <c r="L772" s="83"/>
      <c r="M772" s="83"/>
      <c r="N772" s="83"/>
      <c r="O772" s="83"/>
      <c r="P772" s="83"/>
      <c r="Q772" s="84"/>
      <c r="R772" s="83"/>
      <c r="S772" s="83"/>
      <c r="T772" s="85"/>
      <c r="U772" s="6"/>
      <c r="V772" s="44">
        <v>45036</v>
      </c>
      <c r="W772" s="45">
        <v>126.36</v>
      </c>
      <c r="X772" s="46"/>
      <c r="Y772" s="61"/>
      <c r="Z772" s="5"/>
      <c r="AA772" s="5"/>
      <c r="AB772" s="5"/>
      <c r="AC772" s="5"/>
      <c r="AD772" s="5"/>
      <c r="AE772" s="5"/>
      <c r="AF772" s="5"/>
      <c r="AG772" s="5"/>
      <c r="AH772" s="6"/>
      <c r="AI772" s="44">
        <v>45036</v>
      </c>
      <c r="AJ772" s="53">
        <v>126.36</v>
      </c>
      <c r="AK772" s="54">
        <f t="shared" si="132"/>
        <v>3.1665611146292072E-4</v>
      </c>
      <c r="AL772" s="55">
        <f t="shared" si="124"/>
        <v>8.3812271987817564</v>
      </c>
      <c r="AM772" s="56">
        <v>25</v>
      </c>
      <c r="AN772" s="57">
        <f t="shared" si="133"/>
        <v>16.618772801218242</v>
      </c>
      <c r="AO772" s="76">
        <f t="shared" si="125"/>
        <v>15.503169127268308</v>
      </c>
      <c r="AP772" s="63" t="str">
        <f t="shared" si="126"/>
        <v>Buy Stocks</v>
      </c>
      <c r="AQ772" s="63" t="str">
        <f t="shared" si="127"/>
        <v/>
      </c>
      <c r="AR772" s="63" t="str">
        <f t="shared" si="128"/>
        <v/>
      </c>
      <c r="AS772" s="63" t="str">
        <f t="shared" si="129"/>
        <v/>
      </c>
      <c r="AT772" s="78" t="str">
        <f t="shared" si="130"/>
        <v/>
      </c>
      <c r="AU772" s="78" t="str">
        <f t="shared" si="131"/>
        <v/>
      </c>
      <c r="AV772" s="64" t="str">
        <f ca="1">IFERROR(__xludf.DUMMYFUNCTION("IF(TRIM(AU772)="""","""",AU772/INDEX(FILTER(AT$3:AT772,TRIM(AT$3:AT772)&lt;&gt;""""),ROWS(FILTER(AT$3:AT772,TRIM(AT$3:AT772)&lt;&gt;"""")))-1)"),"")</f>
        <v/>
      </c>
      <c r="AW772" s="65" t="e">
        <f t="shared" ca="1" si="134"/>
        <v>#VALUE!</v>
      </c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</row>
    <row r="773" spans="1:68" ht="19" x14ac:dyDescent="0.25">
      <c r="A773" s="5"/>
      <c r="B773" s="5"/>
      <c r="C773" s="5"/>
      <c r="D773" s="5"/>
      <c r="E773" s="5"/>
      <c r="F773" s="5"/>
      <c r="G773" s="5"/>
      <c r="H773" s="6"/>
      <c r="I773" s="5"/>
      <c r="J773" s="83"/>
      <c r="K773" s="83"/>
      <c r="L773" s="83"/>
      <c r="M773" s="83"/>
      <c r="N773" s="83"/>
      <c r="O773" s="83"/>
      <c r="P773" s="83"/>
      <c r="Q773" s="84"/>
      <c r="R773" s="83"/>
      <c r="S773" s="83"/>
      <c r="T773" s="85"/>
      <c r="U773" s="6"/>
      <c r="V773" s="44">
        <v>45037</v>
      </c>
      <c r="W773" s="45">
        <v>125.73</v>
      </c>
      <c r="X773" s="46"/>
      <c r="Y773" s="61"/>
      <c r="Z773" s="5"/>
      <c r="AA773" s="5"/>
      <c r="AB773" s="5"/>
      <c r="AC773" s="5"/>
      <c r="AD773" s="5"/>
      <c r="AE773" s="5"/>
      <c r="AF773" s="5"/>
      <c r="AG773" s="5"/>
      <c r="AH773" s="6"/>
      <c r="AI773" s="44">
        <v>45037</v>
      </c>
      <c r="AJ773" s="53">
        <v>125.73</v>
      </c>
      <c r="AK773" s="54">
        <f t="shared" si="132"/>
        <v>-4.985754985754931E-3</v>
      </c>
      <c r="AL773" s="55">
        <f t="shared" si="124"/>
        <v>7.5450661834311665</v>
      </c>
      <c r="AM773" s="56">
        <v>25</v>
      </c>
      <c r="AN773" s="57">
        <f t="shared" si="133"/>
        <v>17.454933816568833</v>
      </c>
      <c r="AO773" s="76">
        <f t="shared" si="125"/>
        <v>16.287260295642064</v>
      </c>
      <c r="AP773" s="63" t="str">
        <f t="shared" si="126"/>
        <v>Buy Stocks</v>
      </c>
      <c r="AQ773" s="63" t="str">
        <f t="shared" si="127"/>
        <v/>
      </c>
      <c r="AR773" s="63" t="str">
        <f t="shared" si="128"/>
        <v/>
      </c>
      <c r="AS773" s="63" t="str">
        <f t="shared" si="129"/>
        <v/>
      </c>
      <c r="AT773" s="78" t="str">
        <f t="shared" si="130"/>
        <v/>
      </c>
      <c r="AU773" s="78" t="str">
        <f t="shared" si="131"/>
        <v/>
      </c>
      <c r="AV773" s="64" t="str">
        <f ca="1">IFERROR(__xludf.DUMMYFUNCTION("IF(TRIM(AU773)="""","""",AU773/INDEX(FILTER(AT$3:AT773,TRIM(AT$3:AT773)&lt;&gt;""""),ROWS(FILTER(AT$3:AT773,TRIM(AT$3:AT773)&lt;&gt;"""")))-1)"),"")</f>
        <v/>
      </c>
      <c r="AW773" s="65" t="e">
        <f t="shared" ca="1" si="134"/>
        <v>#VALUE!</v>
      </c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</row>
    <row r="774" spans="1:68" ht="19" x14ac:dyDescent="0.25">
      <c r="A774" s="5"/>
      <c r="B774" s="5"/>
      <c r="C774" s="5"/>
      <c r="D774" s="5"/>
      <c r="E774" s="5"/>
      <c r="F774" s="5"/>
      <c r="G774" s="5"/>
      <c r="H774" s="6"/>
      <c r="I774" s="5"/>
      <c r="J774" s="83"/>
      <c r="K774" s="83"/>
      <c r="L774" s="83"/>
      <c r="M774" s="83"/>
      <c r="N774" s="83"/>
      <c r="O774" s="83"/>
      <c r="P774" s="83"/>
      <c r="Q774" s="84"/>
      <c r="R774" s="83"/>
      <c r="S774" s="83"/>
      <c r="T774" s="85"/>
      <c r="U774" s="6"/>
      <c r="V774" s="44">
        <v>45040</v>
      </c>
      <c r="W774" s="45">
        <v>125.4</v>
      </c>
      <c r="X774" s="46"/>
      <c r="Y774" s="61"/>
      <c r="Z774" s="5"/>
      <c r="AA774" s="5"/>
      <c r="AB774" s="5"/>
      <c r="AC774" s="5"/>
      <c r="AD774" s="5"/>
      <c r="AE774" s="5"/>
      <c r="AF774" s="5"/>
      <c r="AG774" s="5"/>
      <c r="AH774" s="6"/>
      <c r="AI774" s="44">
        <v>45040</v>
      </c>
      <c r="AJ774" s="53">
        <v>125.4</v>
      </c>
      <c r="AK774" s="54">
        <f t="shared" si="132"/>
        <v>-2.624671916010457E-3</v>
      </c>
      <c r="AL774" s="55">
        <f t="shared" si="124"/>
        <v>7.5319401957573833</v>
      </c>
      <c r="AM774" s="56">
        <v>25</v>
      </c>
      <c r="AN774" s="57">
        <f t="shared" si="133"/>
        <v>17.468059804242618</v>
      </c>
      <c r="AO774" s="76">
        <f t="shared" si="125"/>
        <v>16.674458671460577</v>
      </c>
      <c r="AP774" s="63" t="str">
        <f t="shared" si="126"/>
        <v>Buy Stocks</v>
      </c>
      <c r="AQ774" s="63" t="str">
        <f t="shared" si="127"/>
        <v/>
      </c>
      <c r="AR774" s="63" t="str">
        <f t="shared" si="128"/>
        <v/>
      </c>
      <c r="AS774" s="63" t="str">
        <f t="shared" si="129"/>
        <v/>
      </c>
      <c r="AT774" s="78" t="str">
        <f t="shared" si="130"/>
        <v/>
      </c>
      <c r="AU774" s="78" t="str">
        <f t="shared" si="131"/>
        <v/>
      </c>
      <c r="AV774" s="64" t="str">
        <f ca="1">IFERROR(__xludf.DUMMYFUNCTION("IF(TRIM(AU774)="""","""",AU774/INDEX(FILTER(AT$3:AT774,TRIM(AT$3:AT774)&lt;&gt;""""),ROWS(FILTER(AT$3:AT774,TRIM(AT$3:AT774)&lt;&gt;"""")))-1)"),"")</f>
        <v/>
      </c>
      <c r="AW774" s="65" t="e">
        <f t="shared" ca="1" si="134"/>
        <v>#VALUE!</v>
      </c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</row>
    <row r="775" spans="1:68" ht="19" x14ac:dyDescent="0.25">
      <c r="A775" s="5"/>
      <c r="B775" s="5"/>
      <c r="C775" s="5"/>
      <c r="D775" s="5"/>
      <c r="E775" s="5"/>
      <c r="F775" s="5"/>
      <c r="G775" s="5"/>
      <c r="H775" s="6"/>
      <c r="I775" s="5"/>
      <c r="J775" s="83"/>
      <c r="K775" s="83"/>
      <c r="L775" s="83"/>
      <c r="M775" s="83"/>
      <c r="N775" s="83"/>
      <c r="O775" s="83"/>
      <c r="P775" s="83"/>
      <c r="Q775" s="84"/>
      <c r="R775" s="83"/>
      <c r="S775" s="83"/>
      <c r="T775" s="85"/>
      <c r="U775" s="6"/>
      <c r="V775" s="44">
        <v>45041</v>
      </c>
      <c r="W775" s="45">
        <v>125.89</v>
      </c>
      <c r="X775" s="46"/>
      <c r="Y775" s="61"/>
      <c r="Z775" s="5"/>
      <c r="AA775" s="5"/>
      <c r="AB775" s="5"/>
      <c r="AC775" s="5"/>
      <c r="AD775" s="5"/>
      <c r="AE775" s="5"/>
      <c r="AF775" s="5"/>
      <c r="AG775" s="5"/>
      <c r="AH775" s="6"/>
      <c r="AI775" s="44">
        <v>45041</v>
      </c>
      <c r="AJ775" s="53">
        <v>125.89</v>
      </c>
      <c r="AK775" s="54">
        <f t="shared" si="132"/>
        <v>3.9074960127591929E-3</v>
      </c>
      <c r="AL775" s="55">
        <f t="shared" ref="AL775:AL838" si="135">_xlfn.STDEV.S(AK771:AK775)*SQRT(252)*100</f>
        <v>9.1807076883247518</v>
      </c>
      <c r="AM775" s="56">
        <v>25</v>
      </c>
      <c r="AN775" s="57">
        <f t="shared" si="133"/>
        <v>15.819292311675248</v>
      </c>
      <c r="AO775" s="76">
        <f t="shared" ref="AO775:AO838" si="136">AVERAGE(AN771:AN775)</f>
        <v>16.845007866196863</v>
      </c>
      <c r="AP775" s="63" t="str">
        <f t="shared" ref="AP775:AP838" si="137">IF(AO775&gt;0,"Buy Stocks","")</f>
        <v>Buy Stocks</v>
      </c>
      <c r="AQ775" s="63" t="str">
        <f t="shared" ref="AQ775:AQ838" si="138">IF(AO775&lt;0,"Sell Stocks","")</f>
        <v/>
      </c>
      <c r="AR775" s="63" t="str">
        <f t="shared" ref="AR775:AR838" si="139">IF(AND(AP775="Buy Stocks",AP774=""),"Buy Stocks","")</f>
        <v/>
      </c>
      <c r="AS775" s="63" t="str">
        <f t="shared" ref="AS775:AS838" si="140">IF(AND(AQ775="Sell Stocks",AQ774=""),"Sell Stocks","")</f>
        <v/>
      </c>
      <c r="AT775" s="78" t="str">
        <f t="shared" ref="AT775:AT838" si="141">IF(AR775="Buy Stocks",AJ775,"")</f>
        <v/>
      </c>
      <c r="AU775" s="78" t="str">
        <f t="shared" ref="AU775:AU838" si="142">IF(AS775="Sell Stocks",AJ775,"")</f>
        <v/>
      </c>
      <c r="AV775" s="64" t="str">
        <f ca="1">IFERROR(__xludf.DUMMYFUNCTION("IF(TRIM(AU775)="""","""",AU775/INDEX(FILTER(AT$3:AT775,TRIM(AT$3:AT775)&lt;&gt;""""),ROWS(FILTER(AT$3:AT775,TRIM(AT$3:AT775)&lt;&gt;"""")))-1)"),"")</f>
        <v/>
      </c>
      <c r="AW775" s="65" t="e">
        <f t="shared" ca="1" si="134"/>
        <v>#VALUE!</v>
      </c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</row>
    <row r="776" spans="1:68" ht="19" x14ac:dyDescent="0.25">
      <c r="A776" s="5"/>
      <c r="B776" s="5"/>
      <c r="C776" s="5"/>
      <c r="D776" s="5"/>
      <c r="E776" s="5"/>
      <c r="F776" s="5"/>
      <c r="G776" s="5"/>
      <c r="H776" s="6"/>
      <c r="I776" s="5"/>
      <c r="J776" s="83"/>
      <c r="K776" s="83"/>
      <c r="L776" s="83"/>
      <c r="M776" s="83"/>
      <c r="N776" s="83"/>
      <c r="O776" s="83"/>
      <c r="P776" s="83"/>
      <c r="Q776" s="84"/>
      <c r="R776" s="83"/>
      <c r="S776" s="83"/>
      <c r="T776" s="85"/>
      <c r="U776" s="6"/>
      <c r="V776" s="44">
        <v>45042</v>
      </c>
      <c r="W776" s="45">
        <v>125.85</v>
      </c>
      <c r="X776" s="46"/>
      <c r="Y776" s="61"/>
      <c r="Z776" s="5"/>
      <c r="AA776" s="5"/>
      <c r="AB776" s="5"/>
      <c r="AC776" s="5"/>
      <c r="AD776" s="5"/>
      <c r="AE776" s="5"/>
      <c r="AF776" s="5"/>
      <c r="AG776" s="5"/>
      <c r="AH776" s="6"/>
      <c r="AI776" s="44">
        <v>45042</v>
      </c>
      <c r="AJ776" s="53">
        <v>125.85</v>
      </c>
      <c r="AK776" s="54">
        <f t="shared" si="132"/>
        <v>-3.1773770752252517E-4</v>
      </c>
      <c r="AL776" s="55">
        <f t="shared" si="135"/>
        <v>5.2931705360332373</v>
      </c>
      <c r="AM776" s="56">
        <v>25</v>
      </c>
      <c r="AN776" s="57">
        <f t="shared" si="133"/>
        <v>19.706829463966763</v>
      </c>
      <c r="AO776" s="76">
        <f t="shared" si="136"/>
        <v>17.413577639534338</v>
      </c>
      <c r="AP776" s="63" t="str">
        <f t="shared" si="137"/>
        <v>Buy Stocks</v>
      </c>
      <c r="AQ776" s="63" t="str">
        <f t="shared" si="138"/>
        <v/>
      </c>
      <c r="AR776" s="63" t="str">
        <f t="shared" si="139"/>
        <v/>
      </c>
      <c r="AS776" s="63" t="str">
        <f t="shared" si="140"/>
        <v/>
      </c>
      <c r="AT776" s="78" t="str">
        <f t="shared" si="141"/>
        <v/>
      </c>
      <c r="AU776" s="78" t="str">
        <f t="shared" si="142"/>
        <v/>
      </c>
      <c r="AV776" s="64" t="str">
        <f ca="1">IFERROR(__xludf.DUMMYFUNCTION("IF(TRIM(AU776)="""","""",AU776/INDEX(FILTER(AT$3:AT776,TRIM(AT$3:AT776)&lt;&gt;""""),ROWS(FILTER(AT$3:AT776,TRIM(AT$3:AT776)&lt;&gt;"""")))-1)"),"")</f>
        <v/>
      </c>
      <c r="AW776" s="65" t="e">
        <f t="shared" ca="1" si="134"/>
        <v>#VALUE!</v>
      </c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</row>
    <row r="777" spans="1:68" ht="19" x14ac:dyDescent="0.25">
      <c r="A777" s="5"/>
      <c r="B777" s="5"/>
      <c r="C777" s="5"/>
      <c r="D777" s="5"/>
      <c r="E777" s="5"/>
      <c r="F777" s="5"/>
      <c r="G777" s="5"/>
      <c r="H777" s="6"/>
      <c r="I777" s="5"/>
      <c r="J777" s="83"/>
      <c r="K777" s="83"/>
      <c r="L777" s="83"/>
      <c r="M777" s="83"/>
      <c r="N777" s="83"/>
      <c r="O777" s="83"/>
      <c r="P777" s="83"/>
      <c r="Q777" s="84"/>
      <c r="R777" s="83"/>
      <c r="S777" s="83"/>
      <c r="T777" s="85"/>
      <c r="U777" s="6"/>
      <c r="V777" s="44">
        <v>45043</v>
      </c>
      <c r="W777" s="45">
        <v>126.97</v>
      </c>
      <c r="X777" s="46"/>
      <c r="Y777" s="61"/>
      <c r="Z777" s="5"/>
      <c r="AA777" s="5"/>
      <c r="AB777" s="5"/>
      <c r="AC777" s="5"/>
      <c r="AD777" s="5"/>
      <c r="AE777" s="5"/>
      <c r="AF777" s="5"/>
      <c r="AG777" s="5"/>
      <c r="AH777" s="6"/>
      <c r="AI777" s="44">
        <v>45043</v>
      </c>
      <c r="AJ777" s="53">
        <v>126.97</v>
      </c>
      <c r="AK777" s="54">
        <f t="shared" si="132"/>
        <v>8.8994835121176674E-3</v>
      </c>
      <c r="AL777" s="55">
        <f t="shared" si="135"/>
        <v>8.751029532007097</v>
      </c>
      <c r="AM777" s="56">
        <v>25</v>
      </c>
      <c r="AN777" s="57">
        <f t="shared" si="133"/>
        <v>16.248970467992905</v>
      </c>
      <c r="AO777" s="76">
        <f t="shared" si="136"/>
        <v>17.339617172889273</v>
      </c>
      <c r="AP777" s="63" t="str">
        <f t="shared" si="137"/>
        <v>Buy Stocks</v>
      </c>
      <c r="AQ777" s="63" t="str">
        <f t="shared" si="138"/>
        <v/>
      </c>
      <c r="AR777" s="63" t="str">
        <f t="shared" si="139"/>
        <v/>
      </c>
      <c r="AS777" s="63" t="str">
        <f t="shared" si="140"/>
        <v/>
      </c>
      <c r="AT777" s="78" t="str">
        <f t="shared" si="141"/>
        <v/>
      </c>
      <c r="AU777" s="78" t="str">
        <f t="shared" si="142"/>
        <v/>
      </c>
      <c r="AV777" s="64" t="str">
        <f ca="1">IFERROR(__xludf.DUMMYFUNCTION("IF(TRIM(AU777)="""","""",AU777/INDEX(FILTER(AT$3:AT777,TRIM(AT$3:AT777)&lt;&gt;""""),ROWS(FILTER(AT$3:AT777,TRIM(AT$3:AT777)&lt;&gt;"""")))-1)"),"")</f>
        <v/>
      </c>
      <c r="AW777" s="65" t="e">
        <f t="shared" ca="1" si="134"/>
        <v>#VALUE!</v>
      </c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</row>
    <row r="778" spans="1:68" ht="19" x14ac:dyDescent="0.25">
      <c r="A778" s="5"/>
      <c r="B778" s="5"/>
      <c r="C778" s="5"/>
      <c r="D778" s="5"/>
      <c r="E778" s="5"/>
      <c r="F778" s="5"/>
      <c r="G778" s="5"/>
      <c r="H778" s="6"/>
      <c r="I778" s="5"/>
      <c r="J778" s="83"/>
      <c r="K778" s="83"/>
      <c r="L778" s="83"/>
      <c r="M778" s="83"/>
      <c r="N778" s="83"/>
      <c r="O778" s="83"/>
      <c r="P778" s="83"/>
      <c r="Q778" s="84"/>
      <c r="R778" s="83"/>
      <c r="S778" s="83"/>
      <c r="T778" s="85"/>
      <c r="U778" s="6"/>
      <c r="V778" s="44">
        <v>45044</v>
      </c>
      <c r="W778" s="45">
        <v>126.41</v>
      </c>
      <c r="X778" s="46"/>
      <c r="Y778" s="61"/>
      <c r="Z778" s="5"/>
      <c r="AA778" s="5"/>
      <c r="AB778" s="5"/>
      <c r="AC778" s="5"/>
      <c r="AD778" s="5"/>
      <c r="AE778" s="5"/>
      <c r="AF778" s="5"/>
      <c r="AG778" s="5"/>
      <c r="AH778" s="6"/>
      <c r="AI778" s="44">
        <v>45044</v>
      </c>
      <c r="AJ778" s="53">
        <v>126.41</v>
      </c>
      <c r="AK778" s="54">
        <f t="shared" si="132"/>
        <v>-4.4104906670867638E-3</v>
      </c>
      <c r="AL778" s="55">
        <f t="shared" si="135"/>
        <v>8.5103584473808542</v>
      </c>
      <c r="AM778" s="56">
        <v>25</v>
      </c>
      <c r="AN778" s="57">
        <f t="shared" si="133"/>
        <v>16.489641552619148</v>
      </c>
      <c r="AO778" s="76">
        <f t="shared" si="136"/>
        <v>17.146558720099339</v>
      </c>
      <c r="AP778" s="63" t="str">
        <f t="shared" si="137"/>
        <v>Buy Stocks</v>
      </c>
      <c r="AQ778" s="63" t="str">
        <f t="shared" si="138"/>
        <v/>
      </c>
      <c r="AR778" s="63" t="str">
        <f t="shared" si="139"/>
        <v/>
      </c>
      <c r="AS778" s="63" t="str">
        <f t="shared" si="140"/>
        <v/>
      </c>
      <c r="AT778" s="78" t="str">
        <f t="shared" si="141"/>
        <v/>
      </c>
      <c r="AU778" s="78" t="str">
        <f t="shared" si="142"/>
        <v/>
      </c>
      <c r="AV778" s="64" t="str">
        <f ca="1">IFERROR(__xludf.DUMMYFUNCTION("IF(TRIM(AU778)="""","""",AU778/INDEX(FILTER(AT$3:AT778,TRIM(AT$3:AT778)&lt;&gt;""""),ROWS(FILTER(AT$3:AT778,TRIM(AT$3:AT778)&lt;&gt;"""")))-1)"),"")</f>
        <v/>
      </c>
      <c r="AW778" s="65" t="e">
        <f t="shared" ca="1" si="134"/>
        <v>#VALUE!</v>
      </c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</row>
    <row r="779" spans="1:68" ht="19" x14ac:dyDescent="0.25">
      <c r="A779" s="5"/>
      <c r="B779" s="5"/>
      <c r="C779" s="5"/>
      <c r="D779" s="5"/>
      <c r="E779" s="5"/>
      <c r="F779" s="5"/>
      <c r="G779" s="5"/>
      <c r="H779" s="6"/>
      <c r="I779" s="5"/>
      <c r="J779" s="83"/>
      <c r="K779" s="83"/>
      <c r="L779" s="83"/>
      <c r="M779" s="83"/>
      <c r="N779" s="83"/>
      <c r="O779" s="83"/>
      <c r="P779" s="83"/>
      <c r="Q779" s="84"/>
      <c r="R779" s="83"/>
      <c r="S779" s="83"/>
      <c r="T779" s="85"/>
      <c r="U779" s="6"/>
      <c r="V779" s="44">
        <v>45047</v>
      </c>
      <c r="W779" s="45">
        <v>126.09</v>
      </c>
      <c r="X779" s="46"/>
      <c r="Y779" s="61"/>
      <c r="Z779" s="5"/>
      <c r="AA779" s="5"/>
      <c r="AB779" s="5"/>
      <c r="AC779" s="5"/>
      <c r="AD779" s="5"/>
      <c r="AE779" s="5"/>
      <c r="AF779" s="5"/>
      <c r="AG779" s="5"/>
      <c r="AH779" s="6"/>
      <c r="AI779" s="44">
        <v>45047</v>
      </c>
      <c r="AJ779" s="53">
        <v>126.09</v>
      </c>
      <c r="AK779" s="54">
        <f t="shared" si="132"/>
        <v>-2.5314452970491841E-3</v>
      </c>
      <c r="AL779" s="55">
        <f t="shared" si="135"/>
        <v>8.4849360335204853</v>
      </c>
      <c r="AM779" s="56">
        <v>25</v>
      </c>
      <c r="AN779" s="57">
        <f t="shared" si="133"/>
        <v>16.515063966479516</v>
      </c>
      <c r="AO779" s="76">
        <f t="shared" si="136"/>
        <v>16.955959552546716</v>
      </c>
      <c r="AP779" s="63" t="str">
        <f t="shared" si="137"/>
        <v>Buy Stocks</v>
      </c>
      <c r="AQ779" s="63" t="str">
        <f t="shared" si="138"/>
        <v/>
      </c>
      <c r="AR779" s="63" t="str">
        <f t="shared" si="139"/>
        <v/>
      </c>
      <c r="AS779" s="63" t="str">
        <f t="shared" si="140"/>
        <v/>
      </c>
      <c r="AT779" s="78" t="str">
        <f t="shared" si="141"/>
        <v/>
      </c>
      <c r="AU779" s="78" t="str">
        <f t="shared" si="142"/>
        <v/>
      </c>
      <c r="AV779" s="64" t="str">
        <f ca="1">IFERROR(__xludf.DUMMYFUNCTION("IF(TRIM(AU779)="""","""",AU779/INDEX(FILTER(AT$3:AT779,TRIM(AT$3:AT779)&lt;&gt;""""),ROWS(FILTER(AT$3:AT779,TRIM(AT$3:AT779)&lt;&gt;"""")))-1)"),"")</f>
        <v/>
      </c>
      <c r="AW779" s="65" t="e">
        <f t="shared" ca="1" si="134"/>
        <v>#VALUE!</v>
      </c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</row>
    <row r="780" spans="1:68" ht="19" x14ac:dyDescent="0.25">
      <c r="A780" s="5"/>
      <c r="B780" s="5"/>
      <c r="C780" s="5"/>
      <c r="D780" s="5"/>
      <c r="E780" s="5"/>
      <c r="F780" s="5"/>
      <c r="G780" s="5"/>
      <c r="H780" s="6"/>
      <c r="I780" s="5"/>
      <c r="J780" s="83"/>
      <c r="K780" s="83"/>
      <c r="L780" s="83"/>
      <c r="M780" s="83"/>
      <c r="N780" s="83"/>
      <c r="O780" s="83"/>
      <c r="P780" s="83"/>
      <c r="Q780" s="84"/>
      <c r="R780" s="83"/>
      <c r="S780" s="83"/>
      <c r="T780" s="85"/>
      <c r="U780" s="6"/>
      <c r="V780" s="44">
        <v>45048</v>
      </c>
      <c r="W780" s="45">
        <v>125.16</v>
      </c>
      <c r="X780" s="46"/>
      <c r="Y780" s="61"/>
      <c r="Z780" s="5"/>
      <c r="AA780" s="5"/>
      <c r="AB780" s="5"/>
      <c r="AC780" s="5"/>
      <c r="AD780" s="5"/>
      <c r="AE780" s="5"/>
      <c r="AF780" s="5"/>
      <c r="AG780" s="5"/>
      <c r="AH780" s="6"/>
      <c r="AI780" s="44">
        <v>45048</v>
      </c>
      <c r="AJ780" s="53">
        <v>125.16</v>
      </c>
      <c r="AK780" s="54">
        <f t="shared" si="132"/>
        <v>-7.3756840352130482E-3</v>
      </c>
      <c r="AL780" s="55">
        <f t="shared" si="135"/>
        <v>9.8172977523981402</v>
      </c>
      <c r="AM780" s="56">
        <v>25</v>
      </c>
      <c r="AN780" s="57">
        <f t="shared" si="133"/>
        <v>15.18270224760186</v>
      </c>
      <c r="AO780" s="76">
        <f t="shared" si="136"/>
        <v>16.82864153973204</v>
      </c>
      <c r="AP780" s="63" t="str">
        <f t="shared" si="137"/>
        <v>Buy Stocks</v>
      </c>
      <c r="AQ780" s="63" t="str">
        <f t="shared" si="138"/>
        <v/>
      </c>
      <c r="AR780" s="63" t="str">
        <f t="shared" si="139"/>
        <v/>
      </c>
      <c r="AS780" s="63" t="str">
        <f t="shared" si="140"/>
        <v/>
      </c>
      <c r="AT780" s="78" t="str">
        <f t="shared" si="141"/>
        <v/>
      </c>
      <c r="AU780" s="78" t="str">
        <f t="shared" si="142"/>
        <v/>
      </c>
      <c r="AV780" s="64" t="str">
        <f ca="1">IFERROR(__xludf.DUMMYFUNCTION("IF(TRIM(AU780)="""","""",AU780/INDEX(FILTER(AT$3:AT780,TRIM(AT$3:AT780)&lt;&gt;""""),ROWS(FILTER(AT$3:AT780,TRIM(AT$3:AT780)&lt;&gt;"""")))-1)"),"")</f>
        <v/>
      </c>
      <c r="AW780" s="65" t="e">
        <f t="shared" ca="1" si="134"/>
        <v>#VALUE!</v>
      </c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</row>
    <row r="781" spans="1:68" ht="19" x14ac:dyDescent="0.25">
      <c r="A781" s="5"/>
      <c r="B781" s="5"/>
      <c r="C781" s="5"/>
      <c r="D781" s="5"/>
      <c r="E781" s="5"/>
      <c r="F781" s="5"/>
      <c r="G781" s="5"/>
      <c r="H781" s="6"/>
      <c r="I781" s="5"/>
      <c r="J781" s="83"/>
      <c r="K781" s="83"/>
      <c r="L781" s="83"/>
      <c r="M781" s="83"/>
      <c r="N781" s="83"/>
      <c r="O781" s="83"/>
      <c r="P781" s="83"/>
      <c r="Q781" s="84"/>
      <c r="R781" s="83"/>
      <c r="S781" s="83"/>
      <c r="T781" s="85"/>
      <c r="U781" s="6"/>
      <c r="V781" s="44">
        <v>45049</v>
      </c>
      <c r="W781" s="45">
        <v>123.45</v>
      </c>
      <c r="X781" s="46"/>
      <c r="Y781" s="61"/>
      <c r="Z781" s="5"/>
      <c r="AA781" s="5"/>
      <c r="AB781" s="5"/>
      <c r="AC781" s="5"/>
      <c r="AD781" s="5"/>
      <c r="AE781" s="5"/>
      <c r="AF781" s="5"/>
      <c r="AG781" s="5"/>
      <c r="AH781" s="6"/>
      <c r="AI781" s="44">
        <v>45049</v>
      </c>
      <c r="AJ781" s="53">
        <v>123.45</v>
      </c>
      <c r="AK781" s="54">
        <f t="shared" si="132"/>
        <v>-1.366251198465962E-2</v>
      </c>
      <c r="AL781" s="55">
        <f t="shared" si="135"/>
        <v>13.121991723141729</v>
      </c>
      <c r="AM781" s="56">
        <v>25</v>
      </c>
      <c r="AN781" s="57">
        <f t="shared" si="133"/>
        <v>11.878008276858271</v>
      </c>
      <c r="AO781" s="76">
        <f t="shared" si="136"/>
        <v>15.262877302310338</v>
      </c>
      <c r="AP781" s="63" t="str">
        <f t="shared" si="137"/>
        <v>Buy Stocks</v>
      </c>
      <c r="AQ781" s="63" t="str">
        <f t="shared" si="138"/>
        <v/>
      </c>
      <c r="AR781" s="63" t="str">
        <f t="shared" si="139"/>
        <v/>
      </c>
      <c r="AS781" s="63" t="str">
        <f t="shared" si="140"/>
        <v/>
      </c>
      <c r="AT781" s="78" t="str">
        <f t="shared" si="141"/>
        <v/>
      </c>
      <c r="AU781" s="78" t="str">
        <f t="shared" si="142"/>
        <v/>
      </c>
      <c r="AV781" s="64" t="str">
        <f ca="1">IFERROR(__xludf.DUMMYFUNCTION("IF(TRIM(AU781)="""","""",AU781/INDEX(FILTER(AT$3:AT781,TRIM(AT$3:AT781)&lt;&gt;""""),ROWS(FILTER(AT$3:AT781,TRIM(AT$3:AT781)&lt;&gt;"""")))-1)"),"")</f>
        <v/>
      </c>
      <c r="AW781" s="65" t="e">
        <f t="shared" ca="1" si="134"/>
        <v>#VALUE!</v>
      </c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</row>
    <row r="782" spans="1:68" ht="19" x14ac:dyDescent="0.25">
      <c r="A782" s="5"/>
      <c r="B782" s="5"/>
      <c r="C782" s="5"/>
      <c r="D782" s="5"/>
      <c r="E782" s="5"/>
      <c r="F782" s="5"/>
      <c r="G782" s="5"/>
      <c r="H782" s="6"/>
      <c r="I782" s="5"/>
      <c r="J782" s="83"/>
      <c r="K782" s="83"/>
      <c r="L782" s="83"/>
      <c r="M782" s="83"/>
      <c r="N782" s="83"/>
      <c r="O782" s="83"/>
      <c r="P782" s="83"/>
      <c r="Q782" s="84"/>
      <c r="R782" s="83"/>
      <c r="S782" s="83"/>
      <c r="T782" s="85"/>
      <c r="U782" s="6"/>
      <c r="V782" s="44">
        <v>45050</v>
      </c>
      <c r="W782" s="45">
        <v>122.57</v>
      </c>
      <c r="X782" s="46"/>
      <c r="Y782" s="61"/>
      <c r="Z782" s="5"/>
      <c r="AA782" s="5"/>
      <c r="AB782" s="5"/>
      <c r="AC782" s="5"/>
      <c r="AD782" s="5"/>
      <c r="AE782" s="5"/>
      <c r="AF782" s="5"/>
      <c r="AG782" s="5"/>
      <c r="AH782" s="6"/>
      <c r="AI782" s="44">
        <v>45050</v>
      </c>
      <c r="AJ782" s="53">
        <v>122.57</v>
      </c>
      <c r="AK782" s="54">
        <f t="shared" si="132"/>
        <v>-7.1283920615634599E-3</v>
      </c>
      <c r="AL782" s="55">
        <f t="shared" si="135"/>
        <v>6.6983027781215521</v>
      </c>
      <c r="AM782" s="56">
        <v>25</v>
      </c>
      <c r="AN782" s="57">
        <f t="shared" si="133"/>
        <v>18.301697221878449</v>
      </c>
      <c r="AO782" s="76">
        <f t="shared" si="136"/>
        <v>15.673422653087448</v>
      </c>
      <c r="AP782" s="63" t="str">
        <f t="shared" si="137"/>
        <v>Buy Stocks</v>
      </c>
      <c r="AQ782" s="63" t="str">
        <f t="shared" si="138"/>
        <v/>
      </c>
      <c r="AR782" s="63" t="str">
        <f t="shared" si="139"/>
        <v/>
      </c>
      <c r="AS782" s="63" t="str">
        <f t="shared" si="140"/>
        <v/>
      </c>
      <c r="AT782" s="78" t="str">
        <f t="shared" si="141"/>
        <v/>
      </c>
      <c r="AU782" s="78" t="str">
        <f t="shared" si="142"/>
        <v/>
      </c>
      <c r="AV782" s="64" t="str">
        <f ca="1">IFERROR(__xludf.DUMMYFUNCTION("IF(TRIM(AU782)="""","""",AU782/INDEX(FILTER(AT$3:AT782,TRIM(AT$3:AT782)&lt;&gt;""""),ROWS(FILTER(AT$3:AT782,TRIM(AT$3:AT782)&lt;&gt;"""")))-1)"),"")</f>
        <v/>
      </c>
      <c r="AW782" s="65" t="e">
        <f t="shared" ca="1" si="134"/>
        <v>#VALUE!</v>
      </c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</row>
    <row r="783" spans="1:68" ht="19" x14ac:dyDescent="0.25">
      <c r="A783" s="5"/>
      <c r="B783" s="5"/>
      <c r="C783" s="5"/>
      <c r="D783" s="5"/>
      <c r="E783" s="5"/>
      <c r="F783" s="5"/>
      <c r="G783" s="5"/>
      <c r="H783" s="6"/>
      <c r="I783" s="5"/>
      <c r="J783" s="83"/>
      <c r="K783" s="83"/>
      <c r="L783" s="83"/>
      <c r="M783" s="83"/>
      <c r="N783" s="83"/>
      <c r="O783" s="83"/>
      <c r="P783" s="83"/>
      <c r="Q783" s="84"/>
      <c r="R783" s="83"/>
      <c r="S783" s="83"/>
      <c r="T783" s="85"/>
      <c r="U783" s="6"/>
      <c r="V783" s="44">
        <v>45051</v>
      </c>
      <c r="W783" s="45">
        <v>123.65</v>
      </c>
      <c r="X783" s="46"/>
      <c r="Y783" s="61"/>
      <c r="Z783" s="5"/>
      <c r="AA783" s="5"/>
      <c r="AB783" s="5"/>
      <c r="AC783" s="5"/>
      <c r="AD783" s="5"/>
      <c r="AE783" s="5"/>
      <c r="AF783" s="5"/>
      <c r="AG783" s="5"/>
      <c r="AH783" s="6"/>
      <c r="AI783" s="44">
        <v>45051</v>
      </c>
      <c r="AJ783" s="53">
        <v>123.65</v>
      </c>
      <c r="AK783" s="54">
        <f t="shared" si="132"/>
        <v>8.8112915068940811E-3</v>
      </c>
      <c r="AL783" s="55">
        <f t="shared" si="135"/>
        <v>13.284414323606983</v>
      </c>
      <c r="AM783" s="56">
        <v>25</v>
      </c>
      <c r="AN783" s="57">
        <f t="shared" si="133"/>
        <v>11.715585676393017</v>
      </c>
      <c r="AO783" s="76">
        <f t="shared" si="136"/>
        <v>14.718611477842222</v>
      </c>
      <c r="AP783" s="63" t="str">
        <f t="shared" si="137"/>
        <v>Buy Stocks</v>
      </c>
      <c r="AQ783" s="63" t="str">
        <f t="shared" si="138"/>
        <v/>
      </c>
      <c r="AR783" s="63" t="str">
        <f t="shared" si="139"/>
        <v/>
      </c>
      <c r="AS783" s="63" t="str">
        <f t="shared" si="140"/>
        <v/>
      </c>
      <c r="AT783" s="78" t="str">
        <f t="shared" si="141"/>
        <v/>
      </c>
      <c r="AU783" s="78" t="str">
        <f t="shared" si="142"/>
        <v/>
      </c>
      <c r="AV783" s="64" t="str">
        <f ca="1">IFERROR(__xludf.DUMMYFUNCTION("IF(TRIM(AU783)="""","""",AU783/INDEX(FILTER(AT$3:AT783,TRIM(AT$3:AT783)&lt;&gt;""""),ROWS(FILTER(AT$3:AT783,TRIM(AT$3:AT783)&lt;&gt;"""")))-1)"),"")</f>
        <v/>
      </c>
      <c r="AW783" s="65" t="e">
        <f t="shared" ca="1" si="134"/>
        <v>#VALUE!</v>
      </c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</row>
    <row r="784" spans="1:68" ht="19" x14ac:dyDescent="0.25">
      <c r="A784" s="5"/>
      <c r="B784" s="5"/>
      <c r="C784" s="5"/>
      <c r="D784" s="5"/>
      <c r="E784" s="5"/>
      <c r="F784" s="5"/>
      <c r="G784" s="5"/>
      <c r="H784" s="6"/>
      <c r="I784" s="5"/>
      <c r="J784" s="83"/>
      <c r="K784" s="83"/>
      <c r="L784" s="83"/>
      <c r="M784" s="83"/>
      <c r="N784" s="83"/>
      <c r="O784" s="83"/>
      <c r="P784" s="83"/>
      <c r="Q784" s="84"/>
      <c r="R784" s="83"/>
      <c r="S784" s="83"/>
      <c r="T784" s="85"/>
      <c r="U784" s="6"/>
      <c r="V784" s="44">
        <v>45054</v>
      </c>
      <c r="W784" s="45">
        <v>123.4</v>
      </c>
      <c r="X784" s="46"/>
      <c r="Y784" s="61"/>
      <c r="Z784" s="5"/>
      <c r="AA784" s="5"/>
      <c r="AB784" s="5"/>
      <c r="AC784" s="5"/>
      <c r="AD784" s="5"/>
      <c r="AE784" s="5"/>
      <c r="AF784" s="5"/>
      <c r="AG784" s="5"/>
      <c r="AH784" s="6"/>
      <c r="AI784" s="44">
        <v>45054</v>
      </c>
      <c r="AJ784" s="53">
        <v>123.4</v>
      </c>
      <c r="AK784" s="54">
        <f t="shared" si="132"/>
        <v>-2.021835826930829E-3</v>
      </c>
      <c r="AL784" s="55">
        <f t="shared" si="135"/>
        <v>13.333860005369107</v>
      </c>
      <c r="AM784" s="56">
        <v>25</v>
      </c>
      <c r="AN784" s="57">
        <f t="shared" si="133"/>
        <v>11.666139994630893</v>
      </c>
      <c r="AO784" s="76">
        <f t="shared" si="136"/>
        <v>13.748826683472497</v>
      </c>
      <c r="AP784" s="63" t="str">
        <f t="shared" si="137"/>
        <v>Buy Stocks</v>
      </c>
      <c r="AQ784" s="63" t="str">
        <f t="shared" si="138"/>
        <v/>
      </c>
      <c r="AR784" s="63" t="str">
        <f t="shared" si="139"/>
        <v/>
      </c>
      <c r="AS784" s="63" t="str">
        <f t="shared" si="140"/>
        <v/>
      </c>
      <c r="AT784" s="78" t="str">
        <f t="shared" si="141"/>
        <v/>
      </c>
      <c r="AU784" s="78" t="str">
        <f t="shared" si="142"/>
        <v/>
      </c>
      <c r="AV784" s="64" t="str">
        <f ca="1">IFERROR(__xludf.DUMMYFUNCTION("IF(TRIM(AU784)="""","""",AU784/INDEX(FILTER(AT$3:AT784,TRIM(AT$3:AT784)&lt;&gt;""""),ROWS(FILTER(AT$3:AT784,TRIM(AT$3:AT784)&lt;&gt;"""")))-1)"),"")</f>
        <v/>
      </c>
      <c r="AW784" s="65" t="e">
        <f t="shared" ca="1" si="134"/>
        <v>#VALUE!</v>
      </c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</row>
    <row r="785" spans="1:68" ht="19" x14ac:dyDescent="0.25">
      <c r="A785" s="5"/>
      <c r="B785" s="5"/>
      <c r="C785" s="5"/>
      <c r="D785" s="5"/>
      <c r="E785" s="5"/>
      <c r="F785" s="5"/>
      <c r="G785" s="5"/>
      <c r="H785" s="6"/>
      <c r="I785" s="5"/>
      <c r="J785" s="83"/>
      <c r="K785" s="83"/>
      <c r="L785" s="83"/>
      <c r="M785" s="83"/>
      <c r="N785" s="83"/>
      <c r="O785" s="83"/>
      <c r="P785" s="83"/>
      <c r="Q785" s="84"/>
      <c r="R785" s="83"/>
      <c r="S785" s="83"/>
      <c r="T785" s="85"/>
      <c r="U785" s="6"/>
      <c r="V785" s="44">
        <v>45055</v>
      </c>
      <c r="W785" s="45">
        <v>121.17</v>
      </c>
      <c r="X785" s="46"/>
      <c r="Y785" s="61"/>
      <c r="Z785" s="5"/>
      <c r="AA785" s="5"/>
      <c r="AB785" s="5"/>
      <c r="AC785" s="5"/>
      <c r="AD785" s="5"/>
      <c r="AE785" s="5"/>
      <c r="AF785" s="5"/>
      <c r="AG785" s="5"/>
      <c r="AH785" s="6"/>
      <c r="AI785" s="44">
        <v>45055</v>
      </c>
      <c r="AJ785" s="53">
        <v>121.17</v>
      </c>
      <c r="AK785" s="54">
        <f t="shared" si="132"/>
        <v>-1.807131280388985E-2</v>
      </c>
      <c r="AL785" s="55">
        <f t="shared" si="135"/>
        <v>16.650172456398117</v>
      </c>
      <c r="AM785" s="56">
        <v>25</v>
      </c>
      <c r="AN785" s="57">
        <f t="shared" si="133"/>
        <v>8.349827543601883</v>
      </c>
      <c r="AO785" s="76">
        <f t="shared" si="136"/>
        <v>12.382251742672501</v>
      </c>
      <c r="AP785" s="63" t="str">
        <f t="shared" si="137"/>
        <v>Buy Stocks</v>
      </c>
      <c r="AQ785" s="63" t="str">
        <f t="shared" si="138"/>
        <v/>
      </c>
      <c r="AR785" s="63" t="str">
        <f t="shared" si="139"/>
        <v/>
      </c>
      <c r="AS785" s="63" t="str">
        <f t="shared" si="140"/>
        <v/>
      </c>
      <c r="AT785" s="78" t="str">
        <f t="shared" si="141"/>
        <v/>
      </c>
      <c r="AU785" s="78" t="str">
        <f t="shared" si="142"/>
        <v/>
      </c>
      <c r="AV785" s="64" t="str">
        <f ca="1">IFERROR(__xludf.DUMMYFUNCTION("IF(TRIM(AU785)="""","""",AU785/INDEX(FILTER(AT$3:AT785,TRIM(AT$3:AT785)&lt;&gt;""""),ROWS(FILTER(AT$3:AT785,TRIM(AT$3:AT785)&lt;&gt;"""")))-1)"),"")</f>
        <v/>
      </c>
      <c r="AW785" s="65" t="e">
        <f t="shared" ca="1" si="134"/>
        <v>#VALUE!</v>
      </c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</row>
    <row r="786" spans="1:68" ht="19" x14ac:dyDescent="0.25">
      <c r="A786" s="5"/>
      <c r="B786" s="5"/>
      <c r="C786" s="5"/>
      <c r="D786" s="5"/>
      <c r="E786" s="5"/>
      <c r="F786" s="5"/>
      <c r="G786" s="5"/>
      <c r="H786" s="6"/>
      <c r="I786" s="5"/>
      <c r="J786" s="83"/>
      <c r="K786" s="83"/>
      <c r="L786" s="83"/>
      <c r="M786" s="83"/>
      <c r="N786" s="83"/>
      <c r="O786" s="83"/>
      <c r="P786" s="83"/>
      <c r="Q786" s="84"/>
      <c r="R786" s="83"/>
      <c r="S786" s="83"/>
      <c r="T786" s="85"/>
      <c r="U786" s="6"/>
      <c r="V786" s="44">
        <v>45056</v>
      </c>
      <c r="W786" s="45">
        <v>122.02</v>
      </c>
      <c r="X786" s="46"/>
      <c r="Y786" s="61"/>
      <c r="Z786" s="5"/>
      <c r="AA786" s="5"/>
      <c r="AB786" s="5"/>
      <c r="AC786" s="5"/>
      <c r="AD786" s="5"/>
      <c r="AE786" s="5"/>
      <c r="AF786" s="5"/>
      <c r="AG786" s="5"/>
      <c r="AH786" s="6"/>
      <c r="AI786" s="44">
        <v>45056</v>
      </c>
      <c r="AJ786" s="53">
        <v>122.02</v>
      </c>
      <c r="AK786" s="54">
        <f t="shared" si="132"/>
        <v>7.0149376908474892E-3</v>
      </c>
      <c r="AL786" s="55">
        <f t="shared" si="135"/>
        <v>17.432199691879831</v>
      </c>
      <c r="AM786" s="56">
        <v>25</v>
      </c>
      <c r="AN786" s="57">
        <f t="shared" si="133"/>
        <v>7.5678003081201695</v>
      </c>
      <c r="AO786" s="76">
        <f t="shared" si="136"/>
        <v>11.520210148924882</v>
      </c>
      <c r="AP786" s="63" t="str">
        <f t="shared" si="137"/>
        <v>Buy Stocks</v>
      </c>
      <c r="AQ786" s="63" t="str">
        <f t="shared" si="138"/>
        <v/>
      </c>
      <c r="AR786" s="63" t="str">
        <f t="shared" si="139"/>
        <v/>
      </c>
      <c r="AS786" s="63" t="str">
        <f t="shared" si="140"/>
        <v/>
      </c>
      <c r="AT786" s="78" t="str">
        <f t="shared" si="141"/>
        <v/>
      </c>
      <c r="AU786" s="78" t="str">
        <f t="shared" si="142"/>
        <v/>
      </c>
      <c r="AV786" s="64" t="str">
        <f ca="1">IFERROR(__xludf.DUMMYFUNCTION("IF(TRIM(AU786)="""","""",AU786/INDEX(FILTER(AT$3:AT786,TRIM(AT$3:AT786)&lt;&gt;""""),ROWS(FILTER(AT$3:AT786,TRIM(AT$3:AT786)&lt;&gt;"""")))-1)"),"")</f>
        <v/>
      </c>
      <c r="AW786" s="65" t="e">
        <f t="shared" ca="1" si="134"/>
        <v>#VALUE!</v>
      </c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</row>
    <row r="787" spans="1:68" ht="19" x14ac:dyDescent="0.25">
      <c r="A787" s="5"/>
      <c r="B787" s="5"/>
      <c r="C787" s="5"/>
      <c r="D787" s="5"/>
      <c r="E787" s="5"/>
      <c r="F787" s="5"/>
      <c r="G787" s="5"/>
      <c r="H787" s="6"/>
      <c r="I787" s="5"/>
      <c r="J787" s="83"/>
      <c r="K787" s="83"/>
      <c r="L787" s="83"/>
      <c r="M787" s="83"/>
      <c r="N787" s="83"/>
      <c r="O787" s="83"/>
      <c r="P787" s="83"/>
      <c r="Q787" s="84"/>
      <c r="R787" s="83"/>
      <c r="S787" s="83"/>
      <c r="T787" s="85"/>
      <c r="U787" s="6"/>
      <c r="V787" s="44">
        <v>45057</v>
      </c>
      <c r="W787" s="45">
        <v>120.9</v>
      </c>
      <c r="X787" s="46"/>
      <c r="Y787" s="61"/>
      <c r="Z787" s="5"/>
      <c r="AA787" s="5"/>
      <c r="AB787" s="5"/>
      <c r="AC787" s="5"/>
      <c r="AD787" s="5"/>
      <c r="AE787" s="5"/>
      <c r="AF787" s="5"/>
      <c r="AG787" s="5"/>
      <c r="AH787" s="6"/>
      <c r="AI787" s="44">
        <v>45057</v>
      </c>
      <c r="AJ787" s="53">
        <v>120.9</v>
      </c>
      <c r="AK787" s="54">
        <f t="shared" si="132"/>
        <v>-9.1788231437468504E-3</v>
      </c>
      <c r="AL787" s="55">
        <f t="shared" si="135"/>
        <v>17.847380472649721</v>
      </c>
      <c r="AM787" s="56">
        <v>25</v>
      </c>
      <c r="AN787" s="57">
        <f t="shared" si="133"/>
        <v>7.1526195273502786</v>
      </c>
      <c r="AO787" s="76">
        <f t="shared" si="136"/>
        <v>9.2903946100192485</v>
      </c>
      <c r="AP787" s="63" t="str">
        <f t="shared" si="137"/>
        <v>Buy Stocks</v>
      </c>
      <c r="AQ787" s="63" t="str">
        <f t="shared" si="138"/>
        <v/>
      </c>
      <c r="AR787" s="63" t="str">
        <f t="shared" si="139"/>
        <v/>
      </c>
      <c r="AS787" s="63" t="str">
        <f t="shared" si="140"/>
        <v/>
      </c>
      <c r="AT787" s="78" t="str">
        <f t="shared" si="141"/>
        <v/>
      </c>
      <c r="AU787" s="78" t="str">
        <f t="shared" si="142"/>
        <v/>
      </c>
      <c r="AV787" s="64" t="str">
        <f ca="1">IFERROR(__xludf.DUMMYFUNCTION("IF(TRIM(AU787)="""","""",AU787/INDEX(FILTER(AT$3:AT787,TRIM(AT$3:AT787)&lt;&gt;""""),ROWS(FILTER(AT$3:AT787,TRIM(AT$3:AT787)&lt;&gt;"""")))-1)"),"")</f>
        <v/>
      </c>
      <c r="AW787" s="65" t="e">
        <f t="shared" ca="1" si="134"/>
        <v>#VALUE!</v>
      </c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</row>
    <row r="788" spans="1:68" ht="19" x14ac:dyDescent="0.25">
      <c r="A788" s="5"/>
      <c r="B788" s="5"/>
      <c r="C788" s="5"/>
      <c r="D788" s="5"/>
      <c r="E788" s="5"/>
      <c r="F788" s="5"/>
      <c r="G788" s="5"/>
      <c r="H788" s="6"/>
      <c r="I788" s="5"/>
      <c r="J788" s="83"/>
      <c r="K788" s="83"/>
      <c r="L788" s="83"/>
      <c r="M788" s="83"/>
      <c r="N788" s="83"/>
      <c r="O788" s="83"/>
      <c r="P788" s="83"/>
      <c r="Q788" s="84"/>
      <c r="R788" s="83"/>
      <c r="S788" s="83"/>
      <c r="T788" s="85"/>
      <c r="U788" s="6"/>
      <c r="V788" s="44">
        <v>45058</v>
      </c>
      <c r="W788" s="45">
        <v>122.84</v>
      </c>
      <c r="X788" s="46"/>
      <c r="Y788" s="61"/>
      <c r="Z788" s="5"/>
      <c r="AA788" s="5"/>
      <c r="AB788" s="5"/>
      <c r="AC788" s="5"/>
      <c r="AD788" s="5"/>
      <c r="AE788" s="5"/>
      <c r="AF788" s="5"/>
      <c r="AG788" s="5"/>
      <c r="AH788" s="6"/>
      <c r="AI788" s="44">
        <v>45058</v>
      </c>
      <c r="AJ788" s="53">
        <v>122.84</v>
      </c>
      <c r="AK788" s="54">
        <f t="shared" si="132"/>
        <v>1.6046319272125631E-2</v>
      </c>
      <c r="AL788" s="55">
        <f t="shared" si="135"/>
        <v>21.207327725220964</v>
      </c>
      <c r="AM788" s="56">
        <v>25</v>
      </c>
      <c r="AN788" s="57">
        <f t="shared" si="133"/>
        <v>3.7926722747790365</v>
      </c>
      <c r="AO788" s="76">
        <f t="shared" si="136"/>
        <v>7.705811929696452</v>
      </c>
      <c r="AP788" s="63" t="str">
        <f t="shared" si="137"/>
        <v>Buy Stocks</v>
      </c>
      <c r="AQ788" s="63" t="str">
        <f t="shared" si="138"/>
        <v/>
      </c>
      <c r="AR788" s="63" t="str">
        <f t="shared" si="139"/>
        <v/>
      </c>
      <c r="AS788" s="63" t="str">
        <f t="shared" si="140"/>
        <v/>
      </c>
      <c r="AT788" s="78" t="str">
        <f t="shared" si="141"/>
        <v/>
      </c>
      <c r="AU788" s="78" t="str">
        <f t="shared" si="142"/>
        <v/>
      </c>
      <c r="AV788" s="64" t="str">
        <f ca="1">IFERROR(__xludf.DUMMYFUNCTION("IF(TRIM(AU788)="""","""",AU788/INDEX(FILTER(AT$3:AT788,TRIM(AT$3:AT788)&lt;&gt;""""),ROWS(FILTER(AT$3:AT788,TRIM(AT$3:AT788)&lt;&gt;"""")))-1)"),"")</f>
        <v/>
      </c>
      <c r="AW788" s="65" t="e">
        <f t="shared" ca="1" si="134"/>
        <v>#VALUE!</v>
      </c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</row>
    <row r="789" spans="1:68" ht="19" x14ac:dyDescent="0.25">
      <c r="A789" s="5"/>
      <c r="B789" s="5"/>
      <c r="C789" s="5"/>
      <c r="D789" s="5"/>
      <c r="E789" s="5"/>
      <c r="F789" s="5"/>
      <c r="G789" s="5"/>
      <c r="H789" s="6"/>
      <c r="I789" s="5"/>
      <c r="J789" s="83"/>
      <c r="K789" s="83"/>
      <c r="L789" s="83"/>
      <c r="M789" s="83"/>
      <c r="N789" s="83"/>
      <c r="O789" s="83"/>
      <c r="P789" s="83"/>
      <c r="Q789" s="84"/>
      <c r="R789" s="83"/>
      <c r="S789" s="83"/>
      <c r="T789" s="85"/>
      <c r="U789" s="6"/>
      <c r="V789" s="44">
        <v>45061</v>
      </c>
      <c r="W789" s="45">
        <v>123.36</v>
      </c>
      <c r="X789" s="46"/>
      <c r="Y789" s="61"/>
      <c r="Z789" s="5"/>
      <c r="AA789" s="5"/>
      <c r="AB789" s="5"/>
      <c r="AC789" s="5"/>
      <c r="AD789" s="5"/>
      <c r="AE789" s="5"/>
      <c r="AF789" s="5"/>
      <c r="AG789" s="5"/>
      <c r="AH789" s="6"/>
      <c r="AI789" s="44">
        <v>45061</v>
      </c>
      <c r="AJ789" s="53">
        <v>123.36</v>
      </c>
      <c r="AK789" s="54">
        <f t="shared" si="132"/>
        <v>4.2331488114619731E-3</v>
      </c>
      <c r="AL789" s="55">
        <f t="shared" si="135"/>
        <v>21.524978204566743</v>
      </c>
      <c r="AM789" s="56">
        <v>25</v>
      </c>
      <c r="AN789" s="57">
        <f t="shared" si="133"/>
        <v>3.475021795433257</v>
      </c>
      <c r="AO789" s="76">
        <f t="shared" si="136"/>
        <v>6.0675882898569249</v>
      </c>
      <c r="AP789" s="63" t="str">
        <f t="shared" si="137"/>
        <v>Buy Stocks</v>
      </c>
      <c r="AQ789" s="63" t="str">
        <f t="shared" si="138"/>
        <v/>
      </c>
      <c r="AR789" s="63" t="str">
        <f t="shared" si="139"/>
        <v/>
      </c>
      <c r="AS789" s="63" t="str">
        <f t="shared" si="140"/>
        <v/>
      </c>
      <c r="AT789" s="78" t="str">
        <f t="shared" si="141"/>
        <v/>
      </c>
      <c r="AU789" s="78" t="str">
        <f t="shared" si="142"/>
        <v/>
      </c>
      <c r="AV789" s="64" t="str">
        <f ca="1">IFERROR(__xludf.DUMMYFUNCTION("IF(TRIM(AU789)="""","""",AU789/INDEX(FILTER(AT$3:AT789,TRIM(AT$3:AT789)&lt;&gt;""""),ROWS(FILTER(AT$3:AT789,TRIM(AT$3:AT789)&lt;&gt;"""")))-1)"),"")</f>
        <v/>
      </c>
      <c r="AW789" s="65" t="e">
        <f t="shared" ca="1" si="134"/>
        <v>#VALUE!</v>
      </c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</row>
    <row r="790" spans="1:68" ht="19" x14ac:dyDescent="0.25">
      <c r="A790" s="5"/>
      <c r="B790" s="5"/>
      <c r="C790" s="5"/>
      <c r="D790" s="5"/>
      <c r="E790" s="5"/>
      <c r="F790" s="5"/>
      <c r="G790" s="5"/>
      <c r="H790" s="6"/>
      <c r="I790" s="5"/>
      <c r="J790" s="83"/>
      <c r="K790" s="83"/>
      <c r="L790" s="83"/>
      <c r="M790" s="83"/>
      <c r="N790" s="83"/>
      <c r="O790" s="83"/>
      <c r="P790" s="83"/>
      <c r="Q790" s="84"/>
      <c r="R790" s="83"/>
      <c r="S790" s="83"/>
      <c r="T790" s="85"/>
      <c r="U790" s="6"/>
      <c r="V790" s="44">
        <v>45062</v>
      </c>
      <c r="W790" s="45">
        <v>123.46</v>
      </c>
      <c r="X790" s="46"/>
      <c r="Y790" s="61"/>
      <c r="Z790" s="5"/>
      <c r="AA790" s="5"/>
      <c r="AB790" s="5"/>
      <c r="AC790" s="5"/>
      <c r="AD790" s="5"/>
      <c r="AE790" s="5"/>
      <c r="AF790" s="5"/>
      <c r="AG790" s="5"/>
      <c r="AH790" s="6"/>
      <c r="AI790" s="44">
        <v>45062</v>
      </c>
      <c r="AJ790" s="53">
        <v>123.46</v>
      </c>
      <c r="AK790" s="54">
        <f t="shared" si="132"/>
        <v>8.1063553826199453E-4</v>
      </c>
      <c r="AL790" s="55">
        <f t="shared" si="135"/>
        <v>14.589891320879739</v>
      </c>
      <c r="AM790" s="56">
        <v>25</v>
      </c>
      <c r="AN790" s="57">
        <f t="shared" si="133"/>
        <v>10.410108679120261</v>
      </c>
      <c r="AO790" s="76">
        <f t="shared" si="136"/>
        <v>6.4796445169606001</v>
      </c>
      <c r="AP790" s="63" t="str">
        <f t="shared" si="137"/>
        <v>Buy Stocks</v>
      </c>
      <c r="AQ790" s="63" t="str">
        <f t="shared" si="138"/>
        <v/>
      </c>
      <c r="AR790" s="63" t="str">
        <f t="shared" si="139"/>
        <v/>
      </c>
      <c r="AS790" s="63" t="str">
        <f t="shared" si="140"/>
        <v/>
      </c>
      <c r="AT790" s="78" t="str">
        <f t="shared" si="141"/>
        <v/>
      </c>
      <c r="AU790" s="78" t="str">
        <f t="shared" si="142"/>
        <v/>
      </c>
      <c r="AV790" s="64" t="str">
        <f ca="1">IFERROR(__xludf.DUMMYFUNCTION("IF(TRIM(AU790)="""","""",AU790/INDEX(FILTER(AT$3:AT790,TRIM(AT$3:AT790)&lt;&gt;""""),ROWS(FILTER(AT$3:AT790,TRIM(AT$3:AT790)&lt;&gt;"""")))-1)"),"")</f>
        <v/>
      </c>
      <c r="AW790" s="65" t="e">
        <f t="shared" ca="1" si="134"/>
        <v>#VALUE!</v>
      </c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</row>
    <row r="791" spans="1:68" ht="19" x14ac:dyDescent="0.25">
      <c r="A791" s="5"/>
      <c r="B791" s="5"/>
      <c r="C791" s="5"/>
      <c r="D791" s="5"/>
      <c r="E791" s="5"/>
      <c r="F791" s="5"/>
      <c r="G791" s="5"/>
      <c r="H791" s="6"/>
      <c r="I791" s="5"/>
      <c r="J791" s="83"/>
      <c r="K791" s="83"/>
      <c r="L791" s="83"/>
      <c r="M791" s="83"/>
      <c r="N791" s="83"/>
      <c r="O791" s="83"/>
      <c r="P791" s="83"/>
      <c r="Q791" s="84"/>
      <c r="R791" s="83"/>
      <c r="S791" s="83"/>
      <c r="T791" s="85"/>
      <c r="U791" s="6"/>
      <c r="V791" s="44">
        <v>45063</v>
      </c>
      <c r="W791" s="45">
        <v>125.71</v>
      </c>
      <c r="X791" s="46"/>
      <c r="Y791" s="61"/>
      <c r="Z791" s="5"/>
      <c r="AA791" s="5"/>
      <c r="AB791" s="5"/>
      <c r="AC791" s="5"/>
      <c r="AD791" s="5"/>
      <c r="AE791" s="5"/>
      <c r="AF791" s="5"/>
      <c r="AG791" s="5"/>
      <c r="AH791" s="6"/>
      <c r="AI791" s="44">
        <v>45063</v>
      </c>
      <c r="AJ791" s="53">
        <v>125.71</v>
      </c>
      <c r="AK791" s="54">
        <f t="shared" si="132"/>
        <v>1.8224526162319732E-2</v>
      </c>
      <c r="AL791" s="55">
        <f t="shared" si="135"/>
        <v>17.939103854371137</v>
      </c>
      <c r="AM791" s="56">
        <v>25</v>
      </c>
      <c r="AN791" s="57">
        <f t="shared" si="133"/>
        <v>7.0608961456288633</v>
      </c>
      <c r="AO791" s="76">
        <f t="shared" si="136"/>
        <v>6.3782636844623388</v>
      </c>
      <c r="AP791" s="63" t="str">
        <f t="shared" si="137"/>
        <v>Buy Stocks</v>
      </c>
      <c r="AQ791" s="63" t="str">
        <f t="shared" si="138"/>
        <v/>
      </c>
      <c r="AR791" s="63" t="str">
        <f t="shared" si="139"/>
        <v/>
      </c>
      <c r="AS791" s="63" t="str">
        <f t="shared" si="140"/>
        <v/>
      </c>
      <c r="AT791" s="78" t="str">
        <f t="shared" si="141"/>
        <v/>
      </c>
      <c r="AU791" s="78" t="str">
        <f t="shared" si="142"/>
        <v/>
      </c>
      <c r="AV791" s="64" t="str">
        <f ca="1">IFERROR(__xludf.DUMMYFUNCTION("IF(TRIM(AU791)="""","""",AU791/INDEX(FILTER(AT$3:AT791,TRIM(AT$3:AT791)&lt;&gt;""""),ROWS(FILTER(AT$3:AT791,TRIM(AT$3:AT791)&lt;&gt;"""")))-1)"),"")</f>
        <v/>
      </c>
      <c r="AW791" s="65" t="e">
        <f t="shared" ca="1" si="134"/>
        <v>#VALUE!</v>
      </c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</row>
    <row r="792" spans="1:68" ht="19" x14ac:dyDescent="0.25">
      <c r="A792" s="5"/>
      <c r="B792" s="5"/>
      <c r="C792" s="5"/>
      <c r="D792" s="5"/>
      <c r="E792" s="5"/>
      <c r="F792" s="5"/>
      <c r="G792" s="5"/>
      <c r="H792" s="6"/>
      <c r="I792" s="5"/>
      <c r="J792" s="83"/>
      <c r="K792" s="83"/>
      <c r="L792" s="83"/>
      <c r="M792" s="83"/>
      <c r="N792" s="83"/>
      <c r="O792" s="83"/>
      <c r="P792" s="83"/>
      <c r="Q792" s="84"/>
      <c r="R792" s="83"/>
      <c r="S792" s="83"/>
      <c r="T792" s="85"/>
      <c r="U792" s="6"/>
      <c r="V792" s="44">
        <v>45064</v>
      </c>
      <c r="W792" s="45">
        <v>126.15</v>
      </c>
      <c r="X792" s="46"/>
      <c r="Y792" s="61"/>
      <c r="Z792" s="5"/>
      <c r="AA792" s="5"/>
      <c r="AB792" s="5"/>
      <c r="AC792" s="5"/>
      <c r="AD792" s="5"/>
      <c r="AE792" s="5"/>
      <c r="AF792" s="5"/>
      <c r="AG792" s="5"/>
      <c r="AH792" s="6"/>
      <c r="AI792" s="44">
        <v>45064</v>
      </c>
      <c r="AJ792" s="53">
        <v>126.15</v>
      </c>
      <c r="AK792" s="54">
        <f t="shared" si="132"/>
        <v>3.5001193222496951E-3</v>
      </c>
      <c r="AL792" s="55">
        <f t="shared" si="135"/>
        <v>12.645534769637376</v>
      </c>
      <c r="AM792" s="56">
        <v>25</v>
      </c>
      <c r="AN792" s="57">
        <f t="shared" si="133"/>
        <v>12.354465230362624</v>
      </c>
      <c r="AO792" s="76">
        <f t="shared" si="136"/>
        <v>7.418632825064809</v>
      </c>
      <c r="AP792" s="63" t="str">
        <f t="shared" si="137"/>
        <v>Buy Stocks</v>
      </c>
      <c r="AQ792" s="63" t="str">
        <f t="shared" si="138"/>
        <v/>
      </c>
      <c r="AR792" s="63" t="str">
        <f t="shared" si="139"/>
        <v/>
      </c>
      <c r="AS792" s="63" t="str">
        <f t="shared" si="140"/>
        <v/>
      </c>
      <c r="AT792" s="78" t="str">
        <f t="shared" si="141"/>
        <v/>
      </c>
      <c r="AU792" s="78" t="str">
        <f t="shared" si="142"/>
        <v/>
      </c>
      <c r="AV792" s="64" t="str">
        <f ca="1">IFERROR(__xludf.DUMMYFUNCTION("IF(TRIM(AU792)="""","""",AU792/INDEX(FILTER(AT$3:AT792,TRIM(AT$3:AT792)&lt;&gt;""""),ROWS(FILTER(AT$3:AT792,TRIM(AT$3:AT792)&lt;&gt;"""")))-1)"),"")</f>
        <v/>
      </c>
      <c r="AW792" s="65" t="e">
        <f t="shared" ca="1" si="134"/>
        <v>#VALUE!</v>
      </c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</row>
    <row r="793" spans="1:68" ht="19" x14ac:dyDescent="0.25">
      <c r="A793" s="5"/>
      <c r="B793" s="5"/>
      <c r="C793" s="5"/>
      <c r="D793" s="5"/>
      <c r="E793" s="5"/>
      <c r="F793" s="5"/>
      <c r="G793" s="5"/>
      <c r="H793" s="6"/>
      <c r="I793" s="5"/>
      <c r="J793" s="83"/>
      <c r="K793" s="83"/>
      <c r="L793" s="83"/>
      <c r="M793" s="83"/>
      <c r="N793" s="83"/>
      <c r="O793" s="83"/>
      <c r="P793" s="83"/>
      <c r="Q793" s="84"/>
      <c r="R793" s="83"/>
      <c r="S793" s="83"/>
      <c r="T793" s="85"/>
      <c r="U793" s="6"/>
      <c r="V793" s="44">
        <v>45065</v>
      </c>
      <c r="W793" s="45">
        <v>127.26</v>
      </c>
      <c r="X793" s="46"/>
      <c r="Y793" s="61"/>
      <c r="Z793" s="5"/>
      <c r="AA793" s="5"/>
      <c r="AB793" s="5"/>
      <c r="AC793" s="5"/>
      <c r="AD793" s="5"/>
      <c r="AE793" s="5"/>
      <c r="AF793" s="5"/>
      <c r="AG793" s="5"/>
      <c r="AH793" s="6"/>
      <c r="AI793" s="44">
        <v>45065</v>
      </c>
      <c r="AJ793" s="53">
        <v>127.26</v>
      </c>
      <c r="AK793" s="54">
        <f t="shared" si="132"/>
        <v>8.7990487514864046E-3</v>
      </c>
      <c r="AL793" s="55">
        <f t="shared" si="135"/>
        <v>10.864909699644734</v>
      </c>
      <c r="AM793" s="56">
        <v>25</v>
      </c>
      <c r="AN793" s="57">
        <f t="shared" si="133"/>
        <v>14.135090300355266</v>
      </c>
      <c r="AO793" s="76">
        <f t="shared" si="136"/>
        <v>9.4871164301800537</v>
      </c>
      <c r="AP793" s="63" t="str">
        <f t="shared" si="137"/>
        <v>Buy Stocks</v>
      </c>
      <c r="AQ793" s="63" t="str">
        <f t="shared" si="138"/>
        <v/>
      </c>
      <c r="AR793" s="63" t="str">
        <f t="shared" si="139"/>
        <v/>
      </c>
      <c r="AS793" s="63" t="str">
        <f t="shared" si="140"/>
        <v/>
      </c>
      <c r="AT793" s="78" t="str">
        <f t="shared" si="141"/>
        <v/>
      </c>
      <c r="AU793" s="78" t="str">
        <f t="shared" si="142"/>
        <v/>
      </c>
      <c r="AV793" s="64" t="str">
        <f ca="1">IFERROR(__xludf.DUMMYFUNCTION("IF(TRIM(AU793)="""","""",AU793/INDEX(FILTER(AT$3:AT793,TRIM(AT$3:AT793)&lt;&gt;""""),ROWS(FILTER(AT$3:AT793,TRIM(AT$3:AT793)&lt;&gt;"""")))-1)"),"")</f>
        <v/>
      </c>
      <c r="AW793" s="65" t="e">
        <f t="shared" ca="1" si="134"/>
        <v>#VALUE!</v>
      </c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</row>
    <row r="794" spans="1:68" ht="19" x14ac:dyDescent="0.25">
      <c r="A794" s="5"/>
      <c r="B794" s="5"/>
      <c r="C794" s="5"/>
      <c r="D794" s="5"/>
      <c r="E794" s="5"/>
      <c r="F794" s="5"/>
      <c r="G794" s="5"/>
      <c r="H794" s="6"/>
      <c r="I794" s="5"/>
      <c r="J794" s="83"/>
      <c r="K794" s="83"/>
      <c r="L794" s="83"/>
      <c r="M794" s="83"/>
      <c r="N794" s="83"/>
      <c r="O794" s="83"/>
      <c r="P794" s="83"/>
      <c r="Q794" s="84"/>
      <c r="R794" s="83"/>
      <c r="S794" s="83"/>
      <c r="T794" s="85"/>
      <c r="U794" s="6"/>
      <c r="V794" s="44">
        <v>45068</v>
      </c>
      <c r="W794" s="45">
        <v>127.5</v>
      </c>
      <c r="X794" s="46"/>
      <c r="Y794" s="61"/>
      <c r="Z794" s="5"/>
      <c r="AA794" s="5"/>
      <c r="AB794" s="5"/>
      <c r="AC794" s="5"/>
      <c r="AD794" s="5"/>
      <c r="AE794" s="5"/>
      <c r="AF794" s="5"/>
      <c r="AG794" s="5"/>
      <c r="AH794" s="6"/>
      <c r="AI794" s="44">
        <v>45068</v>
      </c>
      <c r="AJ794" s="53">
        <v>127.5</v>
      </c>
      <c r="AK794" s="54">
        <f t="shared" si="132"/>
        <v>1.885902876001877E-3</v>
      </c>
      <c r="AL794" s="55">
        <f t="shared" si="135"/>
        <v>11.372853415510109</v>
      </c>
      <c r="AM794" s="56">
        <v>25</v>
      </c>
      <c r="AN794" s="57">
        <f t="shared" si="133"/>
        <v>13.627146584489891</v>
      </c>
      <c r="AO794" s="76">
        <f t="shared" si="136"/>
        <v>11.517541387991381</v>
      </c>
      <c r="AP794" s="63" t="str">
        <f t="shared" si="137"/>
        <v>Buy Stocks</v>
      </c>
      <c r="AQ794" s="63" t="str">
        <f t="shared" si="138"/>
        <v/>
      </c>
      <c r="AR794" s="63" t="str">
        <f t="shared" si="139"/>
        <v/>
      </c>
      <c r="AS794" s="63" t="str">
        <f t="shared" si="140"/>
        <v/>
      </c>
      <c r="AT794" s="78" t="str">
        <f t="shared" si="141"/>
        <v/>
      </c>
      <c r="AU794" s="78" t="str">
        <f t="shared" si="142"/>
        <v/>
      </c>
      <c r="AV794" s="64" t="str">
        <f ca="1">IFERROR(__xludf.DUMMYFUNCTION("IF(TRIM(AU794)="""","""",AU794/INDEX(FILTER(AT$3:AT794,TRIM(AT$3:AT794)&lt;&gt;""""),ROWS(FILTER(AT$3:AT794,TRIM(AT$3:AT794)&lt;&gt;"""")))-1)"),"")</f>
        <v/>
      </c>
      <c r="AW794" s="65" t="e">
        <f t="shared" ca="1" si="134"/>
        <v>#VALUE!</v>
      </c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</row>
    <row r="795" spans="1:68" ht="19" x14ac:dyDescent="0.25">
      <c r="A795" s="5"/>
      <c r="B795" s="5"/>
      <c r="C795" s="5"/>
      <c r="D795" s="5"/>
      <c r="E795" s="5"/>
      <c r="F795" s="5"/>
      <c r="G795" s="5"/>
      <c r="H795" s="6"/>
      <c r="I795" s="5"/>
      <c r="J795" s="83"/>
      <c r="K795" s="83"/>
      <c r="L795" s="83"/>
      <c r="M795" s="83"/>
      <c r="N795" s="83"/>
      <c r="O795" s="83"/>
      <c r="P795" s="83"/>
      <c r="Q795" s="84"/>
      <c r="R795" s="83"/>
      <c r="S795" s="83"/>
      <c r="T795" s="85"/>
      <c r="U795" s="6"/>
      <c r="V795" s="44">
        <v>45069</v>
      </c>
      <c r="W795" s="45">
        <v>128.18</v>
      </c>
      <c r="X795" s="46"/>
      <c r="Y795" s="61"/>
      <c r="Z795" s="5"/>
      <c r="AA795" s="5"/>
      <c r="AB795" s="5"/>
      <c r="AC795" s="5"/>
      <c r="AD795" s="5"/>
      <c r="AE795" s="5"/>
      <c r="AF795" s="5"/>
      <c r="AG795" s="5"/>
      <c r="AH795" s="6"/>
      <c r="AI795" s="44">
        <v>45069</v>
      </c>
      <c r="AJ795" s="53">
        <v>128.18</v>
      </c>
      <c r="AK795" s="54">
        <f t="shared" si="132"/>
        <v>5.3333333333334121E-3</v>
      </c>
      <c r="AL795" s="55">
        <f t="shared" si="135"/>
        <v>10.315461227040231</v>
      </c>
      <c r="AM795" s="56">
        <v>25</v>
      </c>
      <c r="AN795" s="57">
        <f t="shared" si="133"/>
        <v>14.684538772959769</v>
      </c>
      <c r="AO795" s="76">
        <f t="shared" si="136"/>
        <v>12.372427406759282</v>
      </c>
      <c r="AP795" s="63" t="str">
        <f t="shared" si="137"/>
        <v>Buy Stocks</v>
      </c>
      <c r="AQ795" s="63" t="str">
        <f t="shared" si="138"/>
        <v/>
      </c>
      <c r="AR795" s="63" t="str">
        <f t="shared" si="139"/>
        <v/>
      </c>
      <c r="AS795" s="63" t="str">
        <f t="shared" si="140"/>
        <v/>
      </c>
      <c r="AT795" s="78" t="str">
        <f t="shared" si="141"/>
        <v/>
      </c>
      <c r="AU795" s="78" t="str">
        <f t="shared" si="142"/>
        <v/>
      </c>
      <c r="AV795" s="64" t="str">
        <f ca="1">IFERROR(__xludf.DUMMYFUNCTION("IF(TRIM(AU795)="""","""",AU795/INDEX(FILTER(AT$3:AT795,TRIM(AT$3:AT795)&lt;&gt;""""),ROWS(FILTER(AT$3:AT795,TRIM(AT$3:AT795)&lt;&gt;"""")))-1)"),"")</f>
        <v/>
      </c>
      <c r="AW795" s="65" t="e">
        <f t="shared" ca="1" si="134"/>
        <v>#VALUE!</v>
      </c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</row>
    <row r="796" spans="1:68" ht="19" x14ac:dyDescent="0.25">
      <c r="A796" s="5"/>
      <c r="B796" s="5"/>
      <c r="C796" s="5"/>
      <c r="D796" s="5"/>
      <c r="E796" s="5"/>
      <c r="F796" s="5"/>
      <c r="G796" s="5"/>
      <c r="H796" s="6"/>
      <c r="I796" s="5"/>
      <c r="J796" s="83"/>
      <c r="K796" s="83"/>
      <c r="L796" s="83"/>
      <c r="M796" s="83"/>
      <c r="N796" s="83"/>
      <c r="O796" s="83"/>
      <c r="P796" s="83"/>
      <c r="Q796" s="84"/>
      <c r="R796" s="83"/>
      <c r="S796" s="83"/>
      <c r="T796" s="85"/>
      <c r="U796" s="6"/>
      <c r="V796" s="44">
        <v>45070</v>
      </c>
      <c r="W796" s="45">
        <v>125.68</v>
      </c>
      <c r="X796" s="46"/>
      <c r="Y796" s="61"/>
      <c r="Z796" s="5"/>
      <c r="AA796" s="5"/>
      <c r="AB796" s="5"/>
      <c r="AC796" s="5"/>
      <c r="AD796" s="5"/>
      <c r="AE796" s="5"/>
      <c r="AF796" s="5"/>
      <c r="AG796" s="5"/>
      <c r="AH796" s="6"/>
      <c r="AI796" s="44">
        <v>45070</v>
      </c>
      <c r="AJ796" s="53">
        <v>125.68</v>
      </c>
      <c r="AK796" s="54">
        <f t="shared" si="132"/>
        <v>-1.9503822749258881E-2</v>
      </c>
      <c r="AL796" s="55">
        <f t="shared" si="135"/>
        <v>17.785015136245455</v>
      </c>
      <c r="AM796" s="56">
        <v>25</v>
      </c>
      <c r="AN796" s="57">
        <f t="shared" si="133"/>
        <v>7.2149848637545446</v>
      </c>
      <c r="AO796" s="76">
        <f t="shared" si="136"/>
        <v>12.403245150384418</v>
      </c>
      <c r="AP796" s="63" t="str">
        <f t="shared" si="137"/>
        <v>Buy Stocks</v>
      </c>
      <c r="AQ796" s="63" t="str">
        <f t="shared" si="138"/>
        <v/>
      </c>
      <c r="AR796" s="63" t="str">
        <f t="shared" si="139"/>
        <v/>
      </c>
      <c r="AS796" s="63" t="str">
        <f t="shared" si="140"/>
        <v/>
      </c>
      <c r="AT796" s="78" t="str">
        <f t="shared" si="141"/>
        <v/>
      </c>
      <c r="AU796" s="78" t="str">
        <f t="shared" si="142"/>
        <v/>
      </c>
      <c r="AV796" s="64" t="str">
        <f ca="1">IFERROR(__xludf.DUMMYFUNCTION("IF(TRIM(AU796)="""","""",AU796/INDEX(FILTER(AT$3:AT796,TRIM(AT$3:AT796)&lt;&gt;""""),ROWS(FILTER(AT$3:AT796,TRIM(AT$3:AT796)&lt;&gt;"""")))-1)"),"")</f>
        <v/>
      </c>
      <c r="AW796" s="65" t="e">
        <f t="shared" ca="1" si="134"/>
        <v>#VALUE!</v>
      </c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</row>
    <row r="797" spans="1:68" ht="19" x14ac:dyDescent="0.25">
      <c r="A797" s="5"/>
      <c r="B797" s="5"/>
      <c r="C797" s="5"/>
      <c r="D797" s="5"/>
      <c r="E797" s="5"/>
      <c r="F797" s="5"/>
      <c r="G797" s="5"/>
      <c r="H797" s="6"/>
      <c r="I797" s="5"/>
      <c r="J797" s="83"/>
      <c r="K797" s="83"/>
      <c r="L797" s="83"/>
      <c r="M797" s="83"/>
      <c r="N797" s="83"/>
      <c r="O797" s="83"/>
      <c r="P797" s="83"/>
      <c r="Q797" s="84"/>
      <c r="R797" s="83"/>
      <c r="S797" s="83"/>
      <c r="T797" s="85"/>
      <c r="U797" s="6"/>
      <c r="V797" s="44">
        <v>45071</v>
      </c>
      <c r="W797" s="45">
        <v>126.76</v>
      </c>
      <c r="X797" s="46"/>
      <c r="Y797" s="61"/>
      <c r="Z797" s="5"/>
      <c r="AA797" s="5"/>
      <c r="AB797" s="5"/>
      <c r="AC797" s="5"/>
      <c r="AD797" s="5"/>
      <c r="AE797" s="5"/>
      <c r="AF797" s="5"/>
      <c r="AG797" s="5"/>
      <c r="AH797" s="6"/>
      <c r="AI797" s="44">
        <v>45071</v>
      </c>
      <c r="AJ797" s="53">
        <v>126.76</v>
      </c>
      <c r="AK797" s="54">
        <f t="shared" si="132"/>
        <v>8.5932527052832164E-3</v>
      </c>
      <c r="AL797" s="55">
        <f t="shared" si="135"/>
        <v>18.756953277433624</v>
      </c>
      <c r="AM797" s="56">
        <v>25</v>
      </c>
      <c r="AN797" s="57">
        <f t="shared" si="133"/>
        <v>6.2430467225663762</v>
      </c>
      <c r="AO797" s="76">
        <f t="shared" si="136"/>
        <v>11.180961448825169</v>
      </c>
      <c r="AP797" s="63" t="str">
        <f t="shared" si="137"/>
        <v>Buy Stocks</v>
      </c>
      <c r="AQ797" s="63" t="str">
        <f t="shared" si="138"/>
        <v/>
      </c>
      <c r="AR797" s="63" t="str">
        <f t="shared" si="139"/>
        <v/>
      </c>
      <c r="AS797" s="63" t="str">
        <f t="shared" si="140"/>
        <v/>
      </c>
      <c r="AT797" s="78" t="str">
        <f t="shared" si="141"/>
        <v/>
      </c>
      <c r="AU797" s="78" t="str">
        <f t="shared" si="142"/>
        <v/>
      </c>
      <c r="AV797" s="64" t="str">
        <f ca="1">IFERROR(__xludf.DUMMYFUNCTION("IF(TRIM(AU797)="""","""",AU797/INDEX(FILTER(AT$3:AT797,TRIM(AT$3:AT797)&lt;&gt;""""),ROWS(FILTER(AT$3:AT797,TRIM(AT$3:AT797)&lt;&gt;"""")))-1)"),"")</f>
        <v/>
      </c>
      <c r="AW797" s="65" t="e">
        <f t="shared" ca="1" si="134"/>
        <v>#VALUE!</v>
      </c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</row>
    <row r="798" spans="1:68" ht="19" x14ac:dyDescent="0.25">
      <c r="A798" s="5"/>
      <c r="B798" s="5"/>
      <c r="C798" s="5"/>
      <c r="D798" s="5"/>
      <c r="E798" s="5"/>
      <c r="F798" s="5"/>
      <c r="G798" s="5"/>
      <c r="H798" s="6"/>
      <c r="I798" s="5"/>
      <c r="J798" s="83"/>
      <c r="K798" s="83"/>
      <c r="L798" s="83"/>
      <c r="M798" s="83"/>
      <c r="N798" s="83"/>
      <c r="O798" s="83"/>
      <c r="P798" s="83"/>
      <c r="Q798" s="84"/>
      <c r="R798" s="83"/>
      <c r="S798" s="83"/>
      <c r="T798" s="85"/>
      <c r="U798" s="6"/>
      <c r="V798" s="44">
        <v>45072</v>
      </c>
      <c r="W798" s="45">
        <v>128.88999999999999</v>
      </c>
      <c r="X798" s="46"/>
      <c r="Y798" s="61"/>
      <c r="Z798" s="5"/>
      <c r="AA798" s="5"/>
      <c r="AB798" s="5"/>
      <c r="AC798" s="5"/>
      <c r="AD798" s="5"/>
      <c r="AE798" s="5"/>
      <c r="AF798" s="5"/>
      <c r="AG798" s="5"/>
      <c r="AH798" s="6"/>
      <c r="AI798" s="44">
        <v>45072</v>
      </c>
      <c r="AJ798" s="53">
        <v>128.88999999999999</v>
      </c>
      <c r="AK798" s="54">
        <f t="shared" si="132"/>
        <v>1.6803408015146681E-2</v>
      </c>
      <c r="AL798" s="55">
        <f t="shared" si="135"/>
        <v>21.507078750123625</v>
      </c>
      <c r="AM798" s="56">
        <v>25</v>
      </c>
      <c r="AN798" s="57">
        <f t="shared" si="133"/>
        <v>3.4929212498763746</v>
      </c>
      <c r="AO798" s="76">
        <f t="shared" si="136"/>
        <v>9.0525276387293907</v>
      </c>
      <c r="AP798" s="63" t="str">
        <f t="shared" si="137"/>
        <v>Buy Stocks</v>
      </c>
      <c r="AQ798" s="63" t="str">
        <f t="shared" si="138"/>
        <v/>
      </c>
      <c r="AR798" s="63" t="str">
        <f t="shared" si="139"/>
        <v/>
      </c>
      <c r="AS798" s="63" t="str">
        <f t="shared" si="140"/>
        <v/>
      </c>
      <c r="AT798" s="78" t="str">
        <f t="shared" si="141"/>
        <v/>
      </c>
      <c r="AU798" s="78" t="str">
        <f t="shared" si="142"/>
        <v/>
      </c>
      <c r="AV798" s="64" t="str">
        <f ca="1">IFERROR(__xludf.DUMMYFUNCTION("IF(TRIM(AU798)="""","""",AU798/INDEX(FILTER(AT$3:AT798,TRIM(AT$3:AT798)&lt;&gt;""""),ROWS(FILTER(AT$3:AT798,TRIM(AT$3:AT798)&lt;&gt;"""")))-1)"),"")</f>
        <v/>
      </c>
      <c r="AW798" s="65" t="e">
        <f t="shared" ca="1" si="134"/>
        <v>#VALUE!</v>
      </c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</row>
    <row r="799" spans="1:68" ht="19" x14ac:dyDescent="0.25">
      <c r="A799" s="5"/>
      <c r="B799" s="5"/>
      <c r="C799" s="5"/>
      <c r="D799" s="5"/>
      <c r="E799" s="5"/>
      <c r="F799" s="5"/>
      <c r="G799" s="5"/>
      <c r="H799" s="6"/>
      <c r="I799" s="5"/>
      <c r="J799" s="83"/>
      <c r="K799" s="83"/>
      <c r="L799" s="83"/>
      <c r="M799" s="83"/>
      <c r="N799" s="83"/>
      <c r="O799" s="83"/>
      <c r="P799" s="83"/>
      <c r="Q799" s="84"/>
      <c r="R799" s="83"/>
      <c r="S799" s="83"/>
      <c r="T799" s="85"/>
      <c r="U799" s="6"/>
      <c r="V799" s="44">
        <v>45076</v>
      </c>
      <c r="W799" s="45">
        <v>129.47999999999999</v>
      </c>
      <c r="X799" s="46"/>
      <c r="Y799" s="61"/>
      <c r="Z799" s="5"/>
      <c r="AA799" s="5"/>
      <c r="AB799" s="5"/>
      <c r="AC799" s="5"/>
      <c r="AD799" s="5"/>
      <c r="AE799" s="5"/>
      <c r="AF799" s="5"/>
      <c r="AG799" s="5"/>
      <c r="AH799" s="6"/>
      <c r="AI799" s="44">
        <v>45076</v>
      </c>
      <c r="AJ799" s="53">
        <v>129.47999999999999</v>
      </c>
      <c r="AK799" s="54">
        <f t="shared" si="132"/>
        <v>4.5775467452866536E-3</v>
      </c>
      <c r="AL799" s="55">
        <f t="shared" si="135"/>
        <v>21.533880986803876</v>
      </c>
      <c r="AM799" s="56">
        <v>25</v>
      </c>
      <c r="AN799" s="57">
        <f t="shared" si="133"/>
        <v>3.4661190131961241</v>
      </c>
      <c r="AO799" s="76">
        <f t="shared" si="136"/>
        <v>7.0203221244706384</v>
      </c>
      <c r="AP799" s="63" t="str">
        <f t="shared" si="137"/>
        <v>Buy Stocks</v>
      </c>
      <c r="AQ799" s="63" t="str">
        <f t="shared" si="138"/>
        <v/>
      </c>
      <c r="AR799" s="63" t="str">
        <f t="shared" si="139"/>
        <v/>
      </c>
      <c r="AS799" s="63" t="str">
        <f t="shared" si="140"/>
        <v/>
      </c>
      <c r="AT799" s="78" t="str">
        <f t="shared" si="141"/>
        <v/>
      </c>
      <c r="AU799" s="78" t="str">
        <f t="shared" si="142"/>
        <v/>
      </c>
      <c r="AV799" s="64" t="str">
        <f ca="1">IFERROR(__xludf.DUMMYFUNCTION("IF(TRIM(AU799)="""","""",AU799/INDEX(FILTER(AT$3:AT799,TRIM(AT$3:AT799)&lt;&gt;""""),ROWS(FILTER(AT$3:AT799,TRIM(AT$3:AT799)&lt;&gt;"""")))-1)"),"")</f>
        <v/>
      </c>
      <c r="AW799" s="65" t="e">
        <f t="shared" ca="1" si="134"/>
        <v>#VALUE!</v>
      </c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</row>
    <row r="800" spans="1:68" ht="19" x14ac:dyDescent="0.25">
      <c r="A800" s="5"/>
      <c r="B800" s="5"/>
      <c r="C800" s="5"/>
      <c r="D800" s="5"/>
      <c r="E800" s="5"/>
      <c r="F800" s="5"/>
      <c r="G800" s="5"/>
      <c r="H800" s="6"/>
      <c r="I800" s="5"/>
      <c r="J800" s="83"/>
      <c r="K800" s="83"/>
      <c r="L800" s="83"/>
      <c r="M800" s="83"/>
      <c r="N800" s="83"/>
      <c r="O800" s="83"/>
      <c r="P800" s="83"/>
      <c r="Q800" s="84"/>
      <c r="R800" s="83"/>
      <c r="S800" s="83"/>
      <c r="T800" s="85"/>
      <c r="U800" s="6"/>
      <c r="V800" s="44">
        <v>45077</v>
      </c>
      <c r="W800" s="45">
        <v>128.59</v>
      </c>
      <c r="X800" s="46"/>
      <c r="Y800" s="61"/>
      <c r="Z800" s="5"/>
      <c r="AA800" s="5"/>
      <c r="AB800" s="5"/>
      <c r="AC800" s="5"/>
      <c r="AD800" s="5"/>
      <c r="AE800" s="5"/>
      <c r="AF800" s="5"/>
      <c r="AG800" s="5"/>
      <c r="AH800" s="6"/>
      <c r="AI800" s="44">
        <v>45077</v>
      </c>
      <c r="AJ800" s="53">
        <v>128.59</v>
      </c>
      <c r="AK800" s="54">
        <f t="shared" si="132"/>
        <v>-6.873648439913449E-3</v>
      </c>
      <c r="AL800" s="55">
        <f t="shared" si="135"/>
        <v>22.480949988869536</v>
      </c>
      <c r="AM800" s="56">
        <v>25</v>
      </c>
      <c r="AN800" s="57">
        <f t="shared" si="133"/>
        <v>2.5190500111304637</v>
      </c>
      <c r="AO800" s="76">
        <f t="shared" si="136"/>
        <v>4.5872243721047763</v>
      </c>
      <c r="AP800" s="63" t="str">
        <f t="shared" si="137"/>
        <v>Buy Stocks</v>
      </c>
      <c r="AQ800" s="63" t="str">
        <f t="shared" si="138"/>
        <v/>
      </c>
      <c r="AR800" s="63" t="str">
        <f t="shared" si="139"/>
        <v/>
      </c>
      <c r="AS800" s="63" t="str">
        <f t="shared" si="140"/>
        <v/>
      </c>
      <c r="AT800" s="78" t="str">
        <f t="shared" si="141"/>
        <v/>
      </c>
      <c r="AU800" s="78" t="str">
        <f t="shared" si="142"/>
        <v/>
      </c>
      <c r="AV800" s="64" t="str">
        <f ca="1">IFERROR(__xludf.DUMMYFUNCTION("IF(TRIM(AU800)="""","""",AU800/INDEX(FILTER(AT$3:AT800,TRIM(AT$3:AT800)&lt;&gt;""""),ROWS(FILTER(AT$3:AT800,TRIM(AT$3:AT800)&lt;&gt;"""")))-1)"),"")</f>
        <v/>
      </c>
      <c r="AW800" s="65" t="e">
        <f t="shared" ca="1" si="134"/>
        <v>#VALUE!</v>
      </c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</row>
    <row r="801" spans="1:68" ht="19" x14ac:dyDescent="0.25">
      <c r="A801" s="5"/>
      <c r="B801" s="5"/>
      <c r="C801" s="5"/>
      <c r="D801" s="5"/>
      <c r="E801" s="5"/>
      <c r="F801" s="5"/>
      <c r="G801" s="5"/>
      <c r="H801" s="6"/>
      <c r="I801" s="5"/>
      <c r="J801" s="83"/>
      <c r="K801" s="83"/>
      <c r="L801" s="83"/>
      <c r="M801" s="83"/>
      <c r="N801" s="83"/>
      <c r="O801" s="83"/>
      <c r="P801" s="83"/>
      <c r="Q801" s="84"/>
      <c r="R801" s="83"/>
      <c r="S801" s="83"/>
      <c r="T801" s="85"/>
      <c r="U801" s="6"/>
      <c r="V801" s="87">
        <v>45078</v>
      </c>
      <c r="W801" s="45">
        <v>129.82</v>
      </c>
      <c r="X801" s="46"/>
      <c r="Y801" s="61"/>
      <c r="Z801" s="5"/>
      <c r="AA801" s="5"/>
      <c r="AB801" s="5"/>
      <c r="AC801" s="5"/>
      <c r="AD801" s="5"/>
      <c r="AE801" s="5"/>
      <c r="AF801" s="5"/>
      <c r="AG801" s="5"/>
      <c r="AH801" s="6"/>
      <c r="AI801" s="87">
        <v>45078</v>
      </c>
      <c r="AJ801" s="53">
        <v>129.82</v>
      </c>
      <c r="AK801" s="54">
        <f t="shared" si="132"/>
        <v>9.565285014386804E-3</v>
      </c>
      <c r="AL801" s="55">
        <f t="shared" si="135"/>
        <v>13.804495546034563</v>
      </c>
      <c r="AM801" s="56">
        <v>25</v>
      </c>
      <c r="AN801" s="57">
        <f t="shared" si="133"/>
        <v>11.195504453965437</v>
      </c>
      <c r="AO801" s="76">
        <f t="shared" si="136"/>
        <v>5.383328290146955</v>
      </c>
      <c r="AP801" s="63" t="str">
        <f t="shared" si="137"/>
        <v>Buy Stocks</v>
      </c>
      <c r="AQ801" s="63" t="str">
        <f t="shared" si="138"/>
        <v/>
      </c>
      <c r="AR801" s="63" t="str">
        <f t="shared" si="139"/>
        <v/>
      </c>
      <c r="AS801" s="63" t="str">
        <f t="shared" si="140"/>
        <v/>
      </c>
      <c r="AT801" s="78" t="str">
        <f t="shared" si="141"/>
        <v/>
      </c>
      <c r="AU801" s="78" t="str">
        <f t="shared" si="142"/>
        <v/>
      </c>
      <c r="AV801" s="64" t="str">
        <f ca="1">IFERROR(__xludf.DUMMYFUNCTION("IF(TRIM(AU801)="""","""",AU801/INDEX(FILTER(AT$3:AT801,TRIM(AT$3:AT801)&lt;&gt;""""),ROWS(FILTER(AT$3:AT801,TRIM(AT$3:AT801)&lt;&gt;"""")))-1)"),"")</f>
        <v/>
      </c>
      <c r="AW801" s="65" t="e">
        <f t="shared" ca="1" si="134"/>
        <v>#VALUE!</v>
      </c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</row>
    <row r="802" spans="1:68" ht="19" x14ac:dyDescent="0.25">
      <c r="A802" s="5"/>
      <c r="B802" s="5"/>
      <c r="C802" s="5"/>
      <c r="D802" s="5"/>
      <c r="E802" s="5"/>
      <c r="F802" s="5"/>
      <c r="G802" s="5"/>
      <c r="H802" s="6"/>
      <c r="I802" s="5"/>
      <c r="J802" s="83"/>
      <c r="K802" s="83"/>
      <c r="L802" s="83"/>
      <c r="M802" s="83"/>
      <c r="N802" s="83"/>
      <c r="O802" s="83"/>
      <c r="P802" s="83"/>
      <c r="Q802" s="84"/>
      <c r="R802" s="83"/>
      <c r="S802" s="83"/>
      <c r="T802" s="85"/>
      <c r="U802" s="6"/>
      <c r="V802" s="87">
        <v>45079</v>
      </c>
      <c r="W802" s="45">
        <v>132.41999999999999</v>
      </c>
      <c r="X802" s="46"/>
      <c r="Y802" s="61"/>
      <c r="Z802" s="5"/>
      <c r="AA802" s="5"/>
      <c r="AB802" s="5"/>
      <c r="AC802" s="5"/>
      <c r="AD802" s="5"/>
      <c r="AE802" s="5"/>
      <c r="AF802" s="5"/>
      <c r="AG802" s="5"/>
      <c r="AH802" s="6"/>
      <c r="AI802" s="87">
        <v>45079</v>
      </c>
      <c r="AJ802" s="53">
        <v>132.41999999999999</v>
      </c>
      <c r="AK802" s="54">
        <f t="shared" si="132"/>
        <v>2.0027730704051727E-2</v>
      </c>
      <c r="AL802" s="55">
        <f t="shared" si="135"/>
        <v>16.915710739409899</v>
      </c>
      <c r="AM802" s="56">
        <v>25</v>
      </c>
      <c r="AN802" s="57">
        <f t="shared" si="133"/>
        <v>8.0842892605901007</v>
      </c>
      <c r="AO802" s="76">
        <f t="shared" si="136"/>
        <v>5.7515767977517003</v>
      </c>
      <c r="AP802" s="63" t="str">
        <f t="shared" si="137"/>
        <v>Buy Stocks</v>
      </c>
      <c r="AQ802" s="63" t="str">
        <f t="shared" si="138"/>
        <v/>
      </c>
      <c r="AR802" s="63" t="str">
        <f t="shared" si="139"/>
        <v/>
      </c>
      <c r="AS802" s="63" t="str">
        <f t="shared" si="140"/>
        <v/>
      </c>
      <c r="AT802" s="78" t="str">
        <f t="shared" si="141"/>
        <v/>
      </c>
      <c r="AU802" s="78" t="str">
        <f t="shared" si="142"/>
        <v/>
      </c>
      <c r="AV802" s="64" t="str">
        <f ca="1">IFERROR(__xludf.DUMMYFUNCTION("IF(TRIM(AU802)="""","""",AU802/INDEX(FILTER(AT$3:AT802,TRIM(AT$3:AT802)&lt;&gt;""""),ROWS(FILTER(AT$3:AT802,TRIM(AT$3:AT802)&lt;&gt;"""")))-1)"),"")</f>
        <v/>
      </c>
      <c r="AW802" s="65" t="e">
        <f t="shared" ca="1" si="134"/>
        <v>#VALUE!</v>
      </c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</row>
    <row r="803" spans="1:68" ht="19" x14ac:dyDescent="0.25">
      <c r="A803" s="5"/>
      <c r="B803" s="5"/>
      <c r="C803" s="5"/>
      <c r="D803" s="5"/>
      <c r="E803" s="5"/>
      <c r="F803" s="5"/>
      <c r="G803" s="5"/>
      <c r="H803" s="6"/>
      <c r="I803" s="5"/>
      <c r="J803" s="83"/>
      <c r="K803" s="83"/>
      <c r="L803" s="83"/>
      <c r="M803" s="83"/>
      <c r="N803" s="83"/>
      <c r="O803" s="83"/>
      <c r="P803" s="83"/>
      <c r="Q803" s="84"/>
      <c r="R803" s="83"/>
      <c r="S803" s="83"/>
      <c r="T803" s="85"/>
      <c r="U803" s="6"/>
      <c r="V803" s="87">
        <v>45082</v>
      </c>
      <c r="W803" s="45">
        <v>132.63999999999999</v>
      </c>
      <c r="X803" s="46"/>
      <c r="Y803" s="61"/>
      <c r="Z803" s="5"/>
      <c r="AA803" s="5"/>
      <c r="AB803" s="5"/>
      <c r="AC803" s="5"/>
      <c r="AD803" s="5"/>
      <c r="AE803" s="5"/>
      <c r="AF803" s="5"/>
      <c r="AG803" s="5"/>
      <c r="AH803" s="6"/>
      <c r="AI803" s="87">
        <v>45082</v>
      </c>
      <c r="AJ803" s="53">
        <v>132.63999999999999</v>
      </c>
      <c r="AK803" s="54">
        <f t="shared" si="132"/>
        <v>1.6613804561245171E-3</v>
      </c>
      <c r="AL803" s="55">
        <f t="shared" si="135"/>
        <v>15.79192964393761</v>
      </c>
      <c r="AM803" s="56">
        <v>25</v>
      </c>
      <c r="AN803" s="57">
        <f t="shared" si="133"/>
        <v>9.2080703560623895</v>
      </c>
      <c r="AO803" s="76">
        <f t="shared" si="136"/>
        <v>6.8946066189889024</v>
      </c>
      <c r="AP803" s="63" t="str">
        <f t="shared" si="137"/>
        <v>Buy Stocks</v>
      </c>
      <c r="AQ803" s="63" t="str">
        <f t="shared" si="138"/>
        <v/>
      </c>
      <c r="AR803" s="63" t="str">
        <f t="shared" si="139"/>
        <v/>
      </c>
      <c r="AS803" s="63" t="str">
        <f t="shared" si="140"/>
        <v/>
      </c>
      <c r="AT803" s="78" t="str">
        <f t="shared" si="141"/>
        <v/>
      </c>
      <c r="AU803" s="78" t="str">
        <f t="shared" si="142"/>
        <v/>
      </c>
      <c r="AV803" s="64" t="str">
        <f ca="1">IFERROR(__xludf.DUMMYFUNCTION("IF(TRIM(AU803)="""","""",AU803/INDEX(FILTER(AT$3:AT803,TRIM(AT$3:AT803)&lt;&gt;""""),ROWS(FILTER(AT$3:AT803,TRIM(AT$3:AT803)&lt;&gt;"""")))-1)"),"")</f>
        <v/>
      </c>
      <c r="AW803" s="65" t="e">
        <f t="shared" ca="1" si="134"/>
        <v>#VALUE!</v>
      </c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</row>
    <row r="804" spans="1:68" ht="19" x14ac:dyDescent="0.25">
      <c r="A804" s="5"/>
      <c r="B804" s="5"/>
      <c r="C804" s="5"/>
      <c r="D804" s="5"/>
      <c r="E804" s="5"/>
      <c r="F804" s="5"/>
      <c r="G804" s="5"/>
      <c r="H804" s="6"/>
      <c r="I804" s="5"/>
      <c r="J804" s="83"/>
      <c r="K804" s="83"/>
      <c r="L804" s="83"/>
      <c r="M804" s="83"/>
      <c r="N804" s="83"/>
      <c r="O804" s="83"/>
      <c r="P804" s="83"/>
      <c r="Q804" s="84"/>
      <c r="R804" s="83"/>
      <c r="S804" s="83"/>
      <c r="T804" s="85"/>
      <c r="U804" s="6"/>
      <c r="V804" s="87">
        <v>45083</v>
      </c>
      <c r="W804" s="45">
        <v>132.69</v>
      </c>
      <c r="X804" s="46"/>
      <c r="Y804" s="61"/>
      <c r="Z804" s="5"/>
      <c r="AA804" s="5"/>
      <c r="AB804" s="5"/>
      <c r="AC804" s="5"/>
      <c r="AD804" s="5"/>
      <c r="AE804" s="5"/>
      <c r="AF804" s="5"/>
      <c r="AG804" s="5"/>
      <c r="AH804" s="6"/>
      <c r="AI804" s="87">
        <v>45083</v>
      </c>
      <c r="AJ804" s="53">
        <v>132.69</v>
      </c>
      <c r="AK804" s="54">
        <f t="shared" si="132"/>
        <v>3.7696019300370587E-4</v>
      </c>
      <c r="AL804" s="55">
        <f t="shared" si="135"/>
        <v>16.269728457428101</v>
      </c>
      <c r="AM804" s="56">
        <v>25</v>
      </c>
      <c r="AN804" s="57">
        <f t="shared" si="133"/>
        <v>8.7302715425718986</v>
      </c>
      <c r="AO804" s="76">
        <f t="shared" si="136"/>
        <v>7.9474371248640576</v>
      </c>
      <c r="AP804" s="63" t="str">
        <f t="shared" si="137"/>
        <v>Buy Stocks</v>
      </c>
      <c r="AQ804" s="63" t="str">
        <f t="shared" si="138"/>
        <v/>
      </c>
      <c r="AR804" s="63" t="str">
        <f t="shared" si="139"/>
        <v/>
      </c>
      <c r="AS804" s="63" t="str">
        <f t="shared" si="140"/>
        <v/>
      </c>
      <c r="AT804" s="78" t="str">
        <f t="shared" si="141"/>
        <v/>
      </c>
      <c r="AU804" s="78" t="str">
        <f t="shared" si="142"/>
        <v/>
      </c>
      <c r="AV804" s="64" t="str">
        <f ca="1">IFERROR(__xludf.DUMMYFUNCTION("IF(TRIM(AU804)="""","""",AU804/INDEX(FILTER(AT$3:AT804,TRIM(AT$3:AT804)&lt;&gt;""""),ROWS(FILTER(AT$3:AT804,TRIM(AT$3:AT804)&lt;&gt;"""")))-1)"),"")</f>
        <v/>
      </c>
      <c r="AW804" s="65" t="e">
        <f t="shared" ca="1" si="134"/>
        <v>#VALUE!</v>
      </c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</row>
    <row r="805" spans="1:68" ht="19" x14ac:dyDescent="0.25">
      <c r="A805" s="5"/>
      <c r="B805" s="5"/>
      <c r="C805" s="5"/>
      <c r="D805" s="5"/>
      <c r="E805" s="5"/>
      <c r="F805" s="5"/>
      <c r="G805" s="5"/>
      <c r="H805" s="6"/>
      <c r="I805" s="5"/>
      <c r="J805" s="83"/>
      <c r="K805" s="83"/>
      <c r="L805" s="83"/>
      <c r="M805" s="83"/>
      <c r="N805" s="83"/>
      <c r="O805" s="83"/>
      <c r="P805" s="83"/>
      <c r="Q805" s="84"/>
      <c r="R805" s="83"/>
      <c r="S805" s="83"/>
      <c r="T805" s="85"/>
      <c r="U805" s="6"/>
      <c r="V805" s="87">
        <v>45084</v>
      </c>
      <c r="W805" s="45">
        <v>134.38</v>
      </c>
      <c r="X805" s="46"/>
      <c r="Y805" s="61"/>
      <c r="Z805" s="5"/>
      <c r="AA805" s="5"/>
      <c r="AB805" s="5"/>
      <c r="AC805" s="5"/>
      <c r="AD805" s="5"/>
      <c r="AE805" s="5"/>
      <c r="AF805" s="5"/>
      <c r="AG805" s="5"/>
      <c r="AH805" s="6"/>
      <c r="AI805" s="87">
        <v>45084</v>
      </c>
      <c r="AJ805" s="53">
        <v>134.38</v>
      </c>
      <c r="AK805" s="54">
        <f t="shared" si="132"/>
        <v>1.2736453387595104E-2</v>
      </c>
      <c r="AL805" s="55">
        <f t="shared" si="135"/>
        <v>12.897089897716501</v>
      </c>
      <c r="AM805" s="56">
        <v>25</v>
      </c>
      <c r="AN805" s="57">
        <f t="shared" si="133"/>
        <v>12.102910102283499</v>
      </c>
      <c r="AO805" s="76">
        <f t="shared" si="136"/>
        <v>9.8642091430946657</v>
      </c>
      <c r="AP805" s="63" t="str">
        <f t="shared" si="137"/>
        <v>Buy Stocks</v>
      </c>
      <c r="AQ805" s="63" t="str">
        <f t="shared" si="138"/>
        <v/>
      </c>
      <c r="AR805" s="63" t="str">
        <f t="shared" si="139"/>
        <v/>
      </c>
      <c r="AS805" s="63" t="str">
        <f t="shared" si="140"/>
        <v/>
      </c>
      <c r="AT805" s="78" t="str">
        <f t="shared" si="141"/>
        <v/>
      </c>
      <c r="AU805" s="78" t="str">
        <f t="shared" si="142"/>
        <v/>
      </c>
      <c r="AV805" s="64" t="str">
        <f ca="1">IFERROR(__xludf.DUMMYFUNCTION("IF(TRIM(AU805)="""","""",AU805/INDEX(FILTER(AT$3:AT805,TRIM(AT$3:AT805)&lt;&gt;""""),ROWS(FILTER(AT$3:AT805,TRIM(AT$3:AT805)&lt;&gt;"""")))-1)"),"")</f>
        <v/>
      </c>
      <c r="AW805" s="65" t="e">
        <f t="shared" ca="1" si="134"/>
        <v>#VALUE!</v>
      </c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</row>
    <row r="806" spans="1:68" ht="19" x14ac:dyDescent="0.25">
      <c r="A806" s="5"/>
      <c r="B806" s="5"/>
      <c r="C806" s="5"/>
      <c r="D806" s="5"/>
      <c r="E806" s="5"/>
      <c r="F806" s="5"/>
      <c r="G806" s="5"/>
      <c r="H806" s="6"/>
      <c r="I806" s="5"/>
      <c r="J806" s="83"/>
      <c r="K806" s="83"/>
      <c r="L806" s="83"/>
      <c r="M806" s="83"/>
      <c r="N806" s="83"/>
      <c r="O806" s="83"/>
      <c r="P806" s="83"/>
      <c r="Q806" s="84"/>
      <c r="R806" s="83"/>
      <c r="S806" s="83"/>
      <c r="T806" s="85"/>
      <c r="U806" s="6"/>
      <c r="V806" s="87">
        <v>45085</v>
      </c>
      <c r="W806" s="45">
        <v>134.41</v>
      </c>
      <c r="X806" s="46"/>
      <c r="Y806" s="61"/>
      <c r="Z806" s="5"/>
      <c r="AA806" s="5"/>
      <c r="AB806" s="5"/>
      <c r="AC806" s="5"/>
      <c r="AD806" s="5"/>
      <c r="AE806" s="5"/>
      <c r="AF806" s="5"/>
      <c r="AG806" s="5"/>
      <c r="AH806" s="6"/>
      <c r="AI806" s="87">
        <v>45085</v>
      </c>
      <c r="AJ806" s="53">
        <v>134.41</v>
      </c>
      <c r="AK806" s="54">
        <f t="shared" si="132"/>
        <v>2.2324750706959051E-4</v>
      </c>
      <c r="AL806" s="55">
        <f t="shared" si="135"/>
        <v>14.218952329612833</v>
      </c>
      <c r="AM806" s="56">
        <v>25</v>
      </c>
      <c r="AN806" s="57">
        <f t="shared" si="133"/>
        <v>10.781047670387167</v>
      </c>
      <c r="AO806" s="76">
        <f t="shared" si="136"/>
        <v>9.7813177863790113</v>
      </c>
      <c r="AP806" s="63" t="str">
        <f t="shared" si="137"/>
        <v>Buy Stocks</v>
      </c>
      <c r="AQ806" s="63" t="str">
        <f t="shared" si="138"/>
        <v/>
      </c>
      <c r="AR806" s="63" t="str">
        <f t="shared" si="139"/>
        <v/>
      </c>
      <c r="AS806" s="63" t="str">
        <f t="shared" si="140"/>
        <v/>
      </c>
      <c r="AT806" s="78" t="str">
        <f t="shared" si="141"/>
        <v/>
      </c>
      <c r="AU806" s="78" t="str">
        <f t="shared" si="142"/>
        <v/>
      </c>
      <c r="AV806" s="64" t="str">
        <f ca="1">IFERROR(__xludf.DUMMYFUNCTION("IF(TRIM(AU806)="""","""",AU806/INDEX(FILTER(AT$3:AT806,TRIM(AT$3:AT806)&lt;&gt;""""),ROWS(FILTER(AT$3:AT806,TRIM(AT$3:AT806)&lt;&gt;"""")))-1)"),"")</f>
        <v/>
      </c>
      <c r="AW806" s="65" t="e">
        <f t="shared" ca="1" si="134"/>
        <v>#VALUE!</v>
      </c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</row>
    <row r="807" spans="1:68" ht="19" x14ac:dyDescent="0.25">
      <c r="A807" s="5"/>
      <c r="B807" s="5"/>
      <c r="C807" s="5"/>
      <c r="D807" s="5"/>
      <c r="E807" s="5"/>
      <c r="F807" s="5"/>
      <c r="G807" s="5"/>
      <c r="H807" s="6"/>
      <c r="I807" s="5"/>
      <c r="J807" s="83"/>
      <c r="K807" s="83"/>
      <c r="L807" s="83"/>
      <c r="M807" s="83"/>
      <c r="N807" s="83"/>
      <c r="O807" s="83"/>
      <c r="P807" s="83"/>
      <c r="Q807" s="84"/>
      <c r="R807" s="83"/>
      <c r="S807" s="83"/>
      <c r="T807" s="85"/>
      <c r="U807" s="6"/>
      <c r="V807" s="87">
        <v>45086</v>
      </c>
      <c r="W807" s="45">
        <v>135.30000000000001</v>
      </c>
      <c r="X807" s="46"/>
      <c r="Y807" s="61"/>
      <c r="Z807" s="5"/>
      <c r="AA807" s="5"/>
      <c r="AB807" s="5"/>
      <c r="AC807" s="5"/>
      <c r="AD807" s="5"/>
      <c r="AE807" s="5"/>
      <c r="AF807" s="5"/>
      <c r="AG807" s="5"/>
      <c r="AH807" s="6"/>
      <c r="AI807" s="87">
        <v>45086</v>
      </c>
      <c r="AJ807" s="53">
        <v>135.30000000000001</v>
      </c>
      <c r="AK807" s="54">
        <f t="shared" si="132"/>
        <v>6.6215311360762197E-3</v>
      </c>
      <c r="AL807" s="55">
        <f t="shared" si="135"/>
        <v>8.531453614120176</v>
      </c>
      <c r="AM807" s="56">
        <v>25</v>
      </c>
      <c r="AN807" s="57">
        <f t="shared" si="133"/>
        <v>16.468546385879826</v>
      </c>
      <c r="AO807" s="76">
        <f t="shared" si="136"/>
        <v>11.458169211436957</v>
      </c>
      <c r="AP807" s="63" t="str">
        <f t="shared" si="137"/>
        <v>Buy Stocks</v>
      </c>
      <c r="AQ807" s="63" t="str">
        <f t="shared" si="138"/>
        <v/>
      </c>
      <c r="AR807" s="63" t="str">
        <f t="shared" si="139"/>
        <v/>
      </c>
      <c r="AS807" s="63" t="str">
        <f t="shared" si="140"/>
        <v/>
      </c>
      <c r="AT807" s="78" t="str">
        <f t="shared" si="141"/>
        <v/>
      </c>
      <c r="AU807" s="78" t="str">
        <f t="shared" si="142"/>
        <v/>
      </c>
      <c r="AV807" s="64" t="str">
        <f ca="1">IFERROR(__xludf.DUMMYFUNCTION("IF(TRIM(AU807)="""","""",AU807/INDEX(FILTER(AT$3:AT807,TRIM(AT$3:AT807)&lt;&gt;""""),ROWS(FILTER(AT$3:AT807,TRIM(AT$3:AT807)&lt;&gt;"""")))-1)"),"")</f>
        <v/>
      </c>
      <c r="AW807" s="65" t="e">
        <f t="shared" ca="1" si="134"/>
        <v>#VALUE!</v>
      </c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</row>
    <row r="808" spans="1:68" ht="19" x14ac:dyDescent="0.25">
      <c r="A808" s="5"/>
      <c r="B808" s="5"/>
      <c r="C808" s="5"/>
      <c r="D808" s="5"/>
      <c r="E808" s="5"/>
      <c r="F808" s="5"/>
      <c r="G808" s="5"/>
      <c r="H808" s="6"/>
      <c r="I808" s="5"/>
      <c r="J808" s="83"/>
      <c r="K808" s="83"/>
      <c r="L808" s="83"/>
      <c r="M808" s="83"/>
      <c r="N808" s="83"/>
      <c r="O808" s="83"/>
      <c r="P808" s="83"/>
      <c r="Q808" s="84"/>
      <c r="R808" s="83"/>
      <c r="S808" s="83"/>
      <c r="T808" s="85"/>
      <c r="U808" s="6"/>
      <c r="V808" s="87">
        <v>45089</v>
      </c>
      <c r="W808" s="45">
        <v>136.41999999999999</v>
      </c>
      <c r="X808" s="46"/>
      <c r="Y808" s="61"/>
      <c r="Z808" s="5"/>
      <c r="AA808" s="5"/>
      <c r="AB808" s="5"/>
      <c r="AC808" s="5"/>
      <c r="AD808" s="5"/>
      <c r="AE808" s="5"/>
      <c r="AF808" s="5"/>
      <c r="AG808" s="5"/>
      <c r="AH808" s="6"/>
      <c r="AI808" s="87">
        <v>45089</v>
      </c>
      <c r="AJ808" s="53">
        <v>136.41999999999999</v>
      </c>
      <c r="AK808" s="54">
        <f t="shared" si="132"/>
        <v>8.2779009608275889E-3</v>
      </c>
      <c r="AL808" s="55">
        <f t="shared" si="135"/>
        <v>8.5236687909748632</v>
      </c>
      <c r="AM808" s="56">
        <v>25</v>
      </c>
      <c r="AN808" s="57">
        <f t="shared" si="133"/>
        <v>16.476331209025137</v>
      </c>
      <c r="AO808" s="76">
        <f t="shared" si="136"/>
        <v>12.911821382029505</v>
      </c>
      <c r="AP808" s="63" t="str">
        <f t="shared" si="137"/>
        <v>Buy Stocks</v>
      </c>
      <c r="AQ808" s="63" t="str">
        <f t="shared" si="138"/>
        <v/>
      </c>
      <c r="AR808" s="63" t="str">
        <f t="shared" si="139"/>
        <v/>
      </c>
      <c r="AS808" s="63" t="str">
        <f t="shared" si="140"/>
        <v/>
      </c>
      <c r="AT808" s="78" t="str">
        <f t="shared" si="141"/>
        <v/>
      </c>
      <c r="AU808" s="78" t="str">
        <f t="shared" si="142"/>
        <v/>
      </c>
      <c r="AV808" s="64" t="str">
        <f ca="1">IFERROR(__xludf.DUMMYFUNCTION("IF(TRIM(AU808)="""","""",AU808/INDEX(FILTER(AT$3:AT808,TRIM(AT$3:AT808)&lt;&gt;""""),ROWS(FILTER(AT$3:AT808,TRIM(AT$3:AT808)&lt;&gt;"""")))-1)"),"")</f>
        <v/>
      </c>
      <c r="AW808" s="65" t="e">
        <f t="shared" ca="1" si="134"/>
        <v>#VALUE!</v>
      </c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</row>
    <row r="809" spans="1:68" ht="19" x14ac:dyDescent="0.25">
      <c r="A809" s="5"/>
      <c r="B809" s="5"/>
      <c r="C809" s="5"/>
      <c r="D809" s="5"/>
      <c r="E809" s="5"/>
      <c r="F809" s="5"/>
      <c r="G809" s="5"/>
      <c r="H809" s="6"/>
      <c r="I809" s="5"/>
      <c r="J809" s="83"/>
      <c r="K809" s="83"/>
      <c r="L809" s="83"/>
      <c r="M809" s="83"/>
      <c r="N809" s="83"/>
      <c r="O809" s="83"/>
      <c r="P809" s="83"/>
      <c r="Q809" s="84"/>
      <c r="R809" s="83"/>
      <c r="S809" s="83"/>
      <c r="T809" s="85"/>
      <c r="U809" s="6"/>
      <c r="V809" s="87">
        <v>45090</v>
      </c>
      <c r="W809" s="45">
        <v>137.6</v>
      </c>
      <c r="X809" s="46"/>
      <c r="Y809" s="61"/>
      <c r="Z809" s="5"/>
      <c r="AA809" s="5"/>
      <c r="AB809" s="5"/>
      <c r="AC809" s="5"/>
      <c r="AD809" s="5"/>
      <c r="AE809" s="5"/>
      <c r="AF809" s="5"/>
      <c r="AG809" s="5"/>
      <c r="AH809" s="6"/>
      <c r="AI809" s="87">
        <v>45090</v>
      </c>
      <c r="AJ809" s="53">
        <v>137.6</v>
      </c>
      <c r="AK809" s="54">
        <f t="shared" si="132"/>
        <v>8.6497580999853607E-3</v>
      </c>
      <c r="AL809" s="55">
        <f t="shared" si="135"/>
        <v>7.225686984202345</v>
      </c>
      <c r="AM809" s="56">
        <v>25</v>
      </c>
      <c r="AN809" s="57">
        <f t="shared" si="133"/>
        <v>17.774313015797656</v>
      </c>
      <c r="AO809" s="76">
        <f t="shared" si="136"/>
        <v>14.720629676674656</v>
      </c>
      <c r="AP809" s="63" t="str">
        <f t="shared" si="137"/>
        <v>Buy Stocks</v>
      </c>
      <c r="AQ809" s="63" t="str">
        <f t="shared" si="138"/>
        <v/>
      </c>
      <c r="AR809" s="63" t="str">
        <f t="shared" si="139"/>
        <v/>
      </c>
      <c r="AS809" s="63" t="str">
        <f t="shared" si="140"/>
        <v/>
      </c>
      <c r="AT809" s="78" t="str">
        <f t="shared" si="141"/>
        <v/>
      </c>
      <c r="AU809" s="78" t="str">
        <f t="shared" si="142"/>
        <v/>
      </c>
      <c r="AV809" s="64" t="str">
        <f ca="1">IFERROR(__xludf.DUMMYFUNCTION("IF(TRIM(AU809)="""","""",AU809/INDEX(FILTER(AT$3:AT809,TRIM(AT$3:AT809)&lt;&gt;""""),ROWS(FILTER(AT$3:AT809,TRIM(AT$3:AT809)&lt;&gt;"""")))-1)"),"")</f>
        <v/>
      </c>
      <c r="AW809" s="65" t="e">
        <f t="shared" ca="1" si="134"/>
        <v>#VALUE!</v>
      </c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</row>
    <row r="810" spans="1:68" ht="19" x14ac:dyDescent="0.25">
      <c r="A810" s="5"/>
      <c r="B810" s="5"/>
      <c r="C810" s="5"/>
      <c r="D810" s="5"/>
      <c r="E810" s="5"/>
      <c r="F810" s="5"/>
      <c r="G810" s="5"/>
      <c r="H810" s="6"/>
      <c r="I810" s="5"/>
      <c r="J810" s="83"/>
      <c r="K810" s="83"/>
      <c r="L810" s="83"/>
      <c r="M810" s="83"/>
      <c r="N810" s="83"/>
      <c r="O810" s="83"/>
      <c r="P810" s="83"/>
      <c r="Q810" s="84"/>
      <c r="R810" s="83"/>
      <c r="S810" s="83"/>
      <c r="T810" s="85"/>
      <c r="U810" s="6"/>
      <c r="V810" s="87">
        <v>45091</v>
      </c>
      <c r="W810" s="45">
        <v>137.19999999999999</v>
      </c>
      <c r="X810" s="46"/>
      <c r="Y810" s="61"/>
      <c r="Z810" s="5"/>
      <c r="AA810" s="5"/>
      <c r="AB810" s="5"/>
      <c r="AC810" s="5"/>
      <c r="AD810" s="5"/>
      <c r="AE810" s="5"/>
      <c r="AF810" s="5"/>
      <c r="AG810" s="5"/>
      <c r="AH810" s="6"/>
      <c r="AI810" s="87">
        <v>45091</v>
      </c>
      <c r="AJ810" s="53">
        <v>137.19999999999999</v>
      </c>
      <c r="AK810" s="54">
        <f t="shared" si="132"/>
        <v>-2.9069767441860517E-3</v>
      </c>
      <c r="AL810" s="55">
        <f t="shared" si="135"/>
        <v>8.2720313058676318</v>
      </c>
      <c r="AM810" s="56">
        <v>25</v>
      </c>
      <c r="AN810" s="57">
        <f t="shared" si="133"/>
        <v>16.727968694132368</v>
      </c>
      <c r="AO810" s="76">
        <f t="shared" si="136"/>
        <v>15.645641395044432</v>
      </c>
      <c r="AP810" s="63" t="str">
        <f t="shared" si="137"/>
        <v>Buy Stocks</v>
      </c>
      <c r="AQ810" s="63" t="str">
        <f t="shared" si="138"/>
        <v/>
      </c>
      <c r="AR810" s="63" t="str">
        <f t="shared" si="139"/>
        <v/>
      </c>
      <c r="AS810" s="63" t="str">
        <f t="shared" si="140"/>
        <v/>
      </c>
      <c r="AT810" s="78" t="str">
        <f t="shared" si="141"/>
        <v/>
      </c>
      <c r="AU810" s="78" t="str">
        <f t="shared" si="142"/>
        <v/>
      </c>
      <c r="AV810" s="64" t="str">
        <f ca="1">IFERROR(__xludf.DUMMYFUNCTION("IF(TRIM(AU810)="""","""",AU810/INDEX(FILTER(AT$3:AT810,TRIM(AT$3:AT810)&lt;&gt;""""),ROWS(FILTER(AT$3:AT810,TRIM(AT$3:AT810)&lt;&gt;"""")))-1)"),"")</f>
        <v/>
      </c>
      <c r="AW810" s="65" t="e">
        <f t="shared" ca="1" si="134"/>
        <v>#VALUE!</v>
      </c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</row>
    <row r="811" spans="1:68" ht="19" x14ac:dyDescent="0.25">
      <c r="A811" s="5"/>
      <c r="B811" s="5"/>
      <c r="C811" s="5"/>
      <c r="D811" s="5"/>
      <c r="E811" s="5"/>
      <c r="F811" s="5"/>
      <c r="G811" s="5"/>
      <c r="H811" s="6"/>
      <c r="I811" s="5"/>
      <c r="J811" s="83"/>
      <c r="K811" s="83"/>
      <c r="L811" s="83"/>
      <c r="M811" s="83"/>
      <c r="N811" s="83"/>
      <c r="O811" s="83"/>
      <c r="P811" s="83"/>
      <c r="Q811" s="84"/>
      <c r="R811" s="83"/>
      <c r="S811" s="83"/>
      <c r="T811" s="85"/>
      <c r="U811" s="6"/>
      <c r="V811" s="87">
        <v>45092</v>
      </c>
      <c r="W811" s="45">
        <v>138.4</v>
      </c>
      <c r="X811" s="46"/>
      <c r="Y811" s="61"/>
      <c r="Z811" s="5"/>
      <c r="AA811" s="5"/>
      <c r="AB811" s="5"/>
      <c r="AC811" s="5"/>
      <c r="AD811" s="5"/>
      <c r="AE811" s="5"/>
      <c r="AF811" s="5"/>
      <c r="AG811" s="5"/>
      <c r="AH811" s="6"/>
      <c r="AI811" s="87">
        <v>45092</v>
      </c>
      <c r="AJ811" s="53">
        <v>138.4</v>
      </c>
      <c r="AK811" s="54">
        <f t="shared" si="132"/>
        <v>8.7463556851312685E-3</v>
      </c>
      <c r="AL811" s="55">
        <f t="shared" si="135"/>
        <v>7.9133381369467735</v>
      </c>
      <c r="AM811" s="56">
        <v>25</v>
      </c>
      <c r="AN811" s="57">
        <f t="shared" si="133"/>
        <v>17.086661863053227</v>
      </c>
      <c r="AO811" s="76">
        <f t="shared" si="136"/>
        <v>16.906764233577643</v>
      </c>
      <c r="AP811" s="63" t="str">
        <f t="shared" si="137"/>
        <v>Buy Stocks</v>
      </c>
      <c r="AQ811" s="63" t="str">
        <f t="shared" si="138"/>
        <v/>
      </c>
      <c r="AR811" s="63" t="str">
        <f t="shared" si="139"/>
        <v/>
      </c>
      <c r="AS811" s="63" t="str">
        <f t="shared" si="140"/>
        <v/>
      </c>
      <c r="AT811" s="78" t="str">
        <f t="shared" si="141"/>
        <v/>
      </c>
      <c r="AU811" s="78" t="str">
        <f t="shared" si="142"/>
        <v/>
      </c>
      <c r="AV811" s="64" t="str">
        <f ca="1">IFERROR(__xludf.DUMMYFUNCTION("IF(TRIM(AU811)="""","""",AU811/INDEX(FILTER(AT$3:AT811,TRIM(AT$3:AT811)&lt;&gt;""""),ROWS(FILTER(AT$3:AT811,TRIM(AT$3:AT811)&lt;&gt;"""")))-1)"),"")</f>
        <v/>
      </c>
      <c r="AW811" s="65" t="e">
        <f t="shared" ca="1" si="134"/>
        <v>#VALUE!</v>
      </c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</row>
    <row r="812" spans="1:68" ht="19" x14ac:dyDescent="0.25">
      <c r="A812" s="5"/>
      <c r="B812" s="5"/>
      <c r="C812" s="5"/>
      <c r="D812" s="5"/>
      <c r="E812" s="5"/>
      <c r="F812" s="5"/>
      <c r="G812" s="5"/>
      <c r="H812" s="6"/>
      <c r="I812" s="5"/>
      <c r="J812" s="83"/>
      <c r="K812" s="83"/>
      <c r="L812" s="83"/>
      <c r="M812" s="83"/>
      <c r="N812" s="83"/>
      <c r="O812" s="83"/>
      <c r="P812" s="83"/>
      <c r="Q812" s="84"/>
      <c r="R812" s="83"/>
      <c r="S812" s="83"/>
      <c r="T812" s="85"/>
      <c r="U812" s="6"/>
      <c r="V812" s="87">
        <v>45093</v>
      </c>
      <c r="W812" s="45">
        <v>137.47999999999999</v>
      </c>
      <c r="X812" s="46"/>
      <c r="Y812" s="61"/>
      <c r="Z812" s="5"/>
      <c r="AA812" s="5"/>
      <c r="AB812" s="5"/>
      <c r="AC812" s="5"/>
      <c r="AD812" s="5"/>
      <c r="AE812" s="5"/>
      <c r="AF812" s="5"/>
      <c r="AG812" s="5"/>
      <c r="AH812" s="6"/>
      <c r="AI812" s="87">
        <v>45093</v>
      </c>
      <c r="AJ812" s="53">
        <v>137.47999999999999</v>
      </c>
      <c r="AK812" s="54">
        <f t="shared" si="132"/>
        <v>-6.6473988439307297E-3</v>
      </c>
      <c r="AL812" s="55">
        <f t="shared" si="135"/>
        <v>11.786503237159538</v>
      </c>
      <c r="AM812" s="56">
        <v>25</v>
      </c>
      <c r="AN812" s="57">
        <f t="shared" si="133"/>
        <v>13.213496762840462</v>
      </c>
      <c r="AO812" s="76">
        <f t="shared" si="136"/>
        <v>16.25575430896977</v>
      </c>
      <c r="AP812" s="63" t="str">
        <f t="shared" si="137"/>
        <v>Buy Stocks</v>
      </c>
      <c r="AQ812" s="63" t="str">
        <f t="shared" si="138"/>
        <v/>
      </c>
      <c r="AR812" s="63" t="str">
        <f t="shared" si="139"/>
        <v/>
      </c>
      <c r="AS812" s="63" t="str">
        <f t="shared" si="140"/>
        <v/>
      </c>
      <c r="AT812" s="78" t="str">
        <f t="shared" si="141"/>
        <v/>
      </c>
      <c r="AU812" s="78" t="str">
        <f t="shared" si="142"/>
        <v/>
      </c>
      <c r="AV812" s="64" t="str">
        <f ca="1">IFERROR(__xludf.DUMMYFUNCTION("IF(TRIM(AU812)="""","""",AU812/INDEX(FILTER(AT$3:AT812,TRIM(AT$3:AT812)&lt;&gt;""""),ROWS(FILTER(AT$3:AT812,TRIM(AT$3:AT812)&lt;&gt;"""")))-1)"),"")</f>
        <v/>
      </c>
      <c r="AW812" s="65" t="e">
        <f t="shared" ca="1" si="134"/>
        <v>#VALUE!</v>
      </c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</row>
    <row r="813" spans="1:68" ht="19" x14ac:dyDescent="0.25">
      <c r="A813" s="5"/>
      <c r="B813" s="5"/>
      <c r="C813" s="5"/>
      <c r="D813" s="5"/>
      <c r="E813" s="5"/>
      <c r="F813" s="5"/>
      <c r="G813" s="5"/>
      <c r="H813" s="6"/>
      <c r="I813" s="5"/>
      <c r="J813" s="83"/>
      <c r="K813" s="83"/>
      <c r="L813" s="83"/>
      <c r="M813" s="83"/>
      <c r="N813" s="83"/>
      <c r="O813" s="83"/>
      <c r="P813" s="83"/>
      <c r="Q813" s="84"/>
      <c r="R813" s="83"/>
      <c r="S813" s="83"/>
      <c r="T813" s="85"/>
      <c r="U813" s="6"/>
      <c r="V813" s="87">
        <v>45097</v>
      </c>
      <c r="W813" s="45">
        <v>135.96</v>
      </c>
      <c r="X813" s="46"/>
      <c r="Y813" s="61"/>
      <c r="Z813" s="5"/>
      <c r="AA813" s="5"/>
      <c r="AB813" s="5"/>
      <c r="AC813" s="5"/>
      <c r="AD813" s="5"/>
      <c r="AE813" s="5"/>
      <c r="AF813" s="5"/>
      <c r="AG813" s="5"/>
      <c r="AH813" s="6"/>
      <c r="AI813" s="87">
        <v>45097</v>
      </c>
      <c r="AJ813" s="53">
        <v>135.96</v>
      </c>
      <c r="AK813" s="54">
        <f t="shared" si="132"/>
        <v>-1.1056153622344911E-2</v>
      </c>
      <c r="AL813" s="55">
        <f t="shared" si="135"/>
        <v>14.289868305424941</v>
      </c>
      <c r="AM813" s="56">
        <v>25</v>
      </c>
      <c r="AN813" s="57">
        <f t="shared" si="133"/>
        <v>10.710131694575059</v>
      </c>
      <c r="AO813" s="76">
        <f t="shared" si="136"/>
        <v>15.102514406079754</v>
      </c>
      <c r="AP813" s="63" t="str">
        <f t="shared" si="137"/>
        <v>Buy Stocks</v>
      </c>
      <c r="AQ813" s="63" t="str">
        <f t="shared" si="138"/>
        <v/>
      </c>
      <c r="AR813" s="63" t="str">
        <f t="shared" si="139"/>
        <v/>
      </c>
      <c r="AS813" s="63" t="str">
        <f t="shared" si="140"/>
        <v/>
      </c>
      <c r="AT813" s="78" t="str">
        <f t="shared" si="141"/>
        <v/>
      </c>
      <c r="AU813" s="78" t="str">
        <f t="shared" si="142"/>
        <v/>
      </c>
      <c r="AV813" s="64" t="str">
        <f ca="1">IFERROR(__xludf.DUMMYFUNCTION("IF(TRIM(AU813)="""","""",AU813/INDEX(FILTER(AT$3:AT813,TRIM(AT$3:AT813)&lt;&gt;""""),ROWS(FILTER(AT$3:AT813,TRIM(AT$3:AT813)&lt;&gt;"""")))-1)"),"")</f>
        <v/>
      </c>
      <c r="AW813" s="65" t="e">
        <f t="shared" ca="1" si="134"/>
        <v>#VALUE!</v>
      </c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</row>
    <row r="814" spans="1:68" ht="19" x14ac:dyDescent="0.25">
      <c r="A814" s="5"/>
      <c r="B814" s="5"/>
      <c r="C814" s="5"/>
      <c r="D814" s="5"/>
      <c r="E814" s="5"/>
      <c r="F814" s="5"/>
      <c r="G814" s="5"/>
      <c r="H814" s="6"/>
      <c r="I814" s="5"/>
      <c r="J814" s="83"/>
      <c r="K814" s="83"/>
      <c r="L814" s="83"/>
      <c r="M814" s="83"/>
      <c r="N814" s="83"/>
      <c r="O814" s="83"/>
      <c r="P814" s="83"/>
      <c r="Q814" s="84"/>
      <c r="R814" s="83"/>
      <c r="S814" s="83"/>
      <c r="T814" s="85"/>
      <c r="U814" s="6"/>
      <c r="V814" s="87">
        <v>45098</v>
      </c>
      <c r="W814" s="45">
        <v>133.69</v>
      </c>
      <c r="X814" s="46"/>
      <c r="Y814" s="61"/>
      <c r="Z814" s="5"/>
      <c r="AA814" s="5"/>
      <c r="AB814" s="5"/>
      <c r="AC814" s="5"/>
      <c r="AD814" s="5"/>
      <c r="AE814" s="5"/>
      <c r="AF814" s="5"/>
      <c r="AG814" s="5"/>
      <c r="AH814" s="6"/>
      <c r="AI814" s="87">
        <v>45098</v>
      </c>
      <c r="AJ814" s="53">
        <v>133.69</v>
      </c>
      <c r="AK814" s="54">
        <f t="shared" si="132"/>
        <v>-1.6696087084436706E-2</v>
      </c>
      <c r="AL814" s="55">
        <f t="shared" si="135"/>
        <v>15.205535611362434</v>
      </c>
      <c r="AM814" s="56">
        <v>25</v>
      </c>
      <c r="AN814" s="57">
        <f t="shared" si="133"/>
        <v>9.7944643886375662</v>
      </c>
      <c r="AO814" s="76">
        <f t="shared" si="136"/>
        <v>13.506544680647739</v>
      </c>
      <c r="AP814" s="63" t="str">
        <f t="shared" si="137"/>
        <v>Buy Stocks</v>
      </c>
      <c r="AQ814" s="63" t="str">
        <f t="shared" si="138"/>
        <v/>
      </c>
      <c r="AR814" s="63" t="str">
        <f t="shared" si="139"/>
        <v/>
      </c>
      <c r="AS814" s="63" t="str">
        <f t="shared" si="140"/>
        <v/>
      </c>
      <c r="AT814" s="78" t="str">
        <f t="shared" si="141"/>
        <v/>
      </c>
      <c r="AU814" s="78" t="str">
        <f t="shared" si="142"/>
        <v/>
      </c>
      <c r="AV814" s="64" t="str">
        <f ca="1">IFERROR(__xludf.DUMMYFUNCTION("IF(TRIM(AU814)="""","""",AU814/INDEX(FILTER(AT$3:AT814,TRIM(AT$3:AT814)&lt;&gt;""""),ROWS(FILTER(AT$3:AT814,TRIM(AT$3:AT814)&lt;&gt;"""")))-1)"),"")</f>
        <v/>
      </c>
      <c r="AW814" s="65" t="e">
        <f t="shared" ca="1" si="134"/>
        <v>#VALUE!</v>
      </c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</row>
    <row r="815" spans="1:68" ht="19" x14ac:dyDescent="0.25">
      <c r="A815" s="5"/>
      <c r="B815" s="5"/>
      <c r="C815" s="5"/>
      <c r="D815" s="5"/>
      <c r="E815" s="5"/>
      <c r="F815" s="5"/>
      <c r="G815" s="5"/>
      <c r="H815" s="6"/>
      <c r="I815" s="5"/>
      <c r="J815" s="83"/>
      <c r="K815" s="83"/>
      <c r="L815" s="83"/>
      <c r="M815" s="83"/>
      <c r="N815" s="83"/>
      <c r="O815" s="83"/>
      <c r="P815" s="83"/>
      <c r="Q815" s="84"/>
      <c r="R815" s="83"/>
      <c r="S815" s="83"/>
      <c r="T815" s="85"/>
      <c r="U815" s="6"/>
      <c r="V815" s="44">
        <v>45099</v>
      </c>
      <c r="W815" s="45">
        <v>131.16999999999999</v>
      </c>
      <c r="X815" s="46"/>
      <c r="Y815" s="61"/>
      <c r="Z815" s="5"/>
      <c r="AA815" s="5"/>
      <c r="AB815" s="5"/>
      <c r="AC815" s="5"/>
      <c r="AD815" s="5"/>
      <c r="AE815" s="5"/>
      <c r="AF815" s="5"/>
      <c r="AG815" s="5"/>
      <c r="AH815" s="6"/>
      <c r="AI815" s="44">
        <v>45099</v>
      </c>
      <c r="AJ815" s="53">
        <v>131.16999999999999</v>
      </c>
      <c r="AK815" s="54">
        <f t="shared" si="132"/>
        <v>-1.8849577380507188E-2</v>
      </c>
      <c r="AL815" s="55">
        <f t="shared" si="135"/>
        <v>17.405768848862806</v>
      </c>
      <c r="AM815" s="56">
        <v>25</v>
      </c>
      <c r="AN815" s="57">
        <f t="shared" si="133"/>
        <v>7.594231151137194</v>
      </c>
      <c r="AO815" s="76">
        <f t="shared" si="136"/>
        <v>11.679797172048701</v>
      </c>
      <c r="AP815" s="63" t="str">
        <f t="shared" si="137"/>
        <v>Buy Stocks</v>
      </c>
      <c r="AQ815" s="63" t="str">
        <f t="shared" si="138"/>
        <v/>
      </c>
      <c r="AR815" s="63" t="str">
        <f t="shared" si="139"/>
        <v/>
      </c>
      <c r="AS815" s="63" t="str">
        <f t="shared" si="140"/>
        <v/>
      </c>
      <c r="AT815" s="78" t="str">
        <f t="shared" si="141"/>
        <v/>
      </c>
      <c r="AU815" s="78" t="str">
        <f t="shared" si="142"/>
        <v/>
      </c>
      <c r="AV815" s="64" t="str">
        <f ca="1">IFERROR(__xludf.DUMMYFUNCTION("IF(TRIM(AU815)="""","""",AU815/INDEX(FILTER(AT$3:AT815,TRIM(AT$3:AT815)&lt;&gt;""""),ROWS(FILTER(AT$3:AT815,TRIM(AT$3:AT815)&lt;&gt;"""")))-1)"),"")</f>
        <v/>
      </c>
      <c r="AW815" s="65" t="e">
        <f t="shared" ca="1" si="134"/>
        <v>#VALUE!</v>
      </c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</row>
    <row r="816" spans="1:68" ht="19" x14ac:dyDescent="0.25">
      <c r="A816" s="5"/>
      <c r="B816" s="5"/>
      <c r="C816" s="5"/>
      <c r="D816" s="5"/>
      <c r="E816" s="5"/>
      <c r="F816" s="5"/>
      <c r="G816" s="5"/>
      <c r="H816" s="6"/>
      <c r="I816" s="5"/>
      <c r="J816" s="83"/>
      <c r="K816" s="83"/>
      <c r="L816" s="83"/>
      <c r="M816" s="83"/>
      <c r="N816" s="83"/>
      <c r="O816" s="83"/>
      <c r="P816" s="83"/>
      <c r="Q816" s="84"/>
      <c r="R816" s="83"/>
      <c r="S816" s="83"/>
      <c r="T816" s="85"/>
      <c r="U816" s="6"/>
      <c r="V816" s="44">
        <v>45100</v>
      </c>
      <c r="W816" s="45">
        <v>129.43</v>
      </c>
      <c r="X816" s="46"/>
      <c r="Y816" s="61"/>
      <c r="Z816" s="5"/>
      <c r="AA816" s="5"/>
      <c r="AB816" s="5"/>
      <c r="AC816" s="5"/>
      <c r="AD816" s="5"/>
      <c r="AE816" s="5"/>
      <c r="AF816" s="5"/>
      <c r="AG816" s="5"/>
      <c r="AH816" s="6"/>
      <c r="AI816" s="44">
        <v>45100</v>
      </c>
      <c r="AJ816" s="53">
        <v>129.43</v>
      </c>
      <c r="AK816" s="54">
        <f t="shared" si="132"/>
        <v>-1.3265228329648382E-2</v>
      </c>
      <c r="AL816" s="55">
        <f t="shared" si="135"/>
        <v>7.5975870878754836</v>
      </c>
      <c r="AM816" s="56">
        <v>25</v>
      </c>
      <c r="AN816" s="57">
        <f t="shared" si="133"/>
        <v>17.402412912124518</v>
      </c>
      <c r="AO816" s="76">
        <f t="shared" si="136"/>
        <v>11.74294738186296</v>
      </c>
      <c r="AP816" s="63" t="str">
        <f t="shared" si="137"/>
        <v>Buy Stocks</v>
      </c>
      <c r="AQ816" s="63" t="str">
        <f t="shared" si="138"/>
        <v/>
      </c>
      <c r="AR816" s="63" t="str">
        <f t="shared" si="139"/>
        <v/>
      </c>
      <c r="AS816" s="63" t="str">
        <f t="shared" si="140"/>
        <v/>
      </c>
      <c r="AT816" s="78" t="str">
        <f t="shared" si="141"/>
        <v/>
      </c>
      <c r="AU816" s="78" t="str">
        <f t="shared" si="142"/>
        <v/>
      </c>
      <c r="AV816" s="64" t="str">
        <f ca="1">IFERROR(__xludf.DUMMYFUNCTION("IF(TRIM(AU816)="""","""",AU816/INDEX(FILTER(AT$3:AT816,TRIM(AT$3:AT816)&lt;&gt;""""),ROWS(FILTER(AT$3:AT816,TRIM(AT$3:AT816)&lt;&gt;"""")))-1)"),"")</f>
        <v/>
      </c>
      <c r="AW816" s="65" t="e">
        <f t="shared" ca="1" si="134"/>
        <v>#VALUE!</v>
      </c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</row>
    <row r="817" spans="1:68" ht="19" x14ac:dyDescent="0.25">
      <c r="A817" s="5"/>
      <c r="B817" s="5"/>
      <c r="C817" s="5"/>
      <c r="D817" s="5"/>
      <c r="E817" s="5"/>
      <c r="F817" s="5"/>
      <c r="G817" s="5"/>
      <c r="H817" s="6"/>
      <c r="I817" s="5"/>
      <c r="J817" s="83"/>
      <c r="K817" s="83"/>
      <c r="L817" s="83"/>
      <c r="M817" s="83"/>
      <c r="N817" s="83"/>
      <c r="O817" s="83"/>
      <c r="P817" s="83"/>
      <c r="Q817" s="84"/>
      <c r="R817" s="83"/>
      <c r="S817" s="83"/>
      <c r="T817" s="85"/>
      <c r="U817" s="6"/>
      <c r="V817" s="44">
        <v>45103</v>
      </c>
      <c r="W817" s="45">
        <v>131.34</v>
      </c>
      <c r="X817" s="46"/>
      <c r="Y817" s="61"/>
      <c r="Z817" s="5"/>
      <c r="AA817" s="5"/>
      <c r="AB817" s="5"/>
      <c r="AC817" s="5"/>
      <c r="AD817" s="5"/>
      <c r="AE817" s="5"/>
      <c r="AF817" s="5"/>
      <c r="AG817" s="5"/>
      <c r="AH817" s="6"/>
      <c r="AI817" s="44">
        <v>45103</v>
      </c>
      <c r="AJ817" s="53">
        <v>131.34</v>
      </c>
      <c r="AK817" s="54">
        <f t="shared" si="132"/>
        <v>1.475701151201414E-2</v>
      </c>
      <c r="AL817" s="55">
        <f t="shared" si="135"/>
        <v>21.636218220574293</v>
      </c>
      <c r="AM817" s="56">
        <v>25</v>
      </c>
      <c r="AN817" s="57">
        <f t="shared" si="133"/>
        <v>3.3637817794257074</v>
      </c>
      <c r="AO817" s="76">
        <f t="shared" si="136"/>
        <v>9.773004385180009</v>
      </c>
      <c r="AP817" s="63" t="str">
        <f t="shared" si="137"/>
        <v>Buy Stocks</v>
      </c>
      <c r="AQ817" s="63" t="str">
        <f t="shared" si="138"/>
        <v/>
      </c>
      <c r="AR817" s="63" t="str">
        <f t="shared" si="139"/>
        <v/>
      </c>
      <c r="AS817" s="63" t="str">
        <f t="shared" si="140"/>
        <v/>
      </c>
      <c r="AT817" s="78" t="str">
        <f t="shared" si="141"/>
        <v/>
      </c>
      <c r="AU817" s="78" t="str">
        <f t="shared" si="142"/>
        <v/>
      </c>
      <c r="AV817" s="64" t="str">
        <f ca="1">IFERROR(__xludf.DUMMYFUNCTION("IF(TRIM(AU817)="""","""",AU817/INDEX(FILTER(AT$3:AT817,TRIM(AT$3:AT817)&lt;&gt;""""),ROWS(FILTER(AT$3:AT817,TRIM(AT$3:AT817)&lt;&gt;"""")))-1)"),"")</f>
        <v/>
      </c>
      <c r="AW817" s="65" t="e">
        <f t="shared" ca="1" si="134"/>
        <v>#VALUE!</v>
      </c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</row>
    <row r="818" spans="1:68" ht="19" x14ac:dyDescent="0.25">
      <c r="A818" s="5"/>
      <c r="B818" s="5"/>
      <c r="C818" s="5"/>
      <c r="D818" s="5"/>
      <c r="E818" s="5"/>
      <c r="F818" s="5"/>
      <c r="G818" s="5"/>
      <c r="H818" s="6"/>
      <c r="I818" s="5"/>
      <c r="J818" s="83"/>
      <c r="K818" s="83"/>
      <c r="L818" s="83"/>
      <c r="M818" s="83"/>
      <c r="N818" s="83"/>
      <c r="O818" s="83"/>
      <c r="P818" s="83"/>
      <c r="Q818" s="84"/>
      <c r="R818" s="83"/>
      <c r="S818" s="83"/>
      <c r="T818" s="85"/>
      <c r="U818" s="6"/>
      <c r="V818" s="44">
        <v>45104</v>
      </c>
      <c r="W818" s="45">
        <v>132.34</v>
      </c>
      <c r="X818" s="46"/>
      <c r="Y818" s="61"/>
      <c r="Z818" s="5"/>
      <c r="AA818" s="5"/>
      <c r="AB818" s="5"/>
      <c r="AC818" s="5"/>
      <c r="AD818" s="5"/>
      <c r="AE818" s="5"/>
      <c r="AF818" s="5"/>
      <c r="AG818" s="5"/>
      <c r="AH818" s="6"/>
      <c r="AI818" s="44">
        <v>45104</v>
      </c>
      <c r="AJ818" s="53">
        <v>132.34</v>
      </c>
      <c r="AK818" s="54">
        <f t="shared" si="132"/>
        <v>7.6138267093039946E-3</v>
      </c>
      <c r="AL818" s="55">
        <f t="shared" si="135"/>
        <v>24.412141903825422</v>
      </c>
      <c r="AM818" s="56">
        <v>25</v>
      </c>
      <c r="AN818" s="57">
        <f t="shared" si="133"/>
        <v>0.58785809617457829</v>
      </c>
      <c r="AO818" s="76">
        <f t="shared" si="136"/>
        <v>7.7485496654999126</v>
      </c>
      <c r="AP818" s="63" t="str">
        <f t="shared" si="137"/>
        <v>Buy Stocks</v>
      </c>
      <c r="AQ818" s="63" t="str">
        <f t="shared" si="138"/>
        <v/>
      </c>
      <c r="AR818" s="63" t="str">
        <f t="shared" si="139"/>
        <v/>
      </c>
      <c r="AS818" s="63" t="str">
        <f t="shared" si="140"/>
        <v/>
      </c>
      <c r="AT818" s="78" t="str">
        <f t="shared" si="141"/>
        <v/>
      </c>
      <c r="AU818" s="78" t="str">
        <f t="shared" si="142"/>
        <v/>
      </c>
      <c r="AV818" s="64" t="str">
        <f ca="1">IFERROR(__xludf.DUMMYFUNCTION("IF(TRIM(AU818)="""","""",AU818/INDEX(FILTER(AT$3:AT818,TRIM(AT$3:AT818)&lt;&gt;""""),ROWS(FILTER(AT$3:AT818,TRIM(AT$3:AT818)&lt;&gt;"""")))-1)"),"")</f>
        <v/>
      </c>
      <c r="AW818" s="65" t="e">
        <f t="shared" ca="1" si="134"/>
        <v>#VALUE!</v>
      </c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</row>
    <row r="819" spans="1:68" ht="19" x14ac:dyDescent="0.25">
      <c r="A819" s="5"/>
      <c r="B819" s="5"/>
      <c r="C819" s="5"/>
      <c r="D819" s="5"/>
      <c r="E819" s="5"/>
      <c r="F819" s="5"/>
      <c r="G819" s="5"/>
      <c r="H819" s="6"/>
      <c r="I819" s="5"/>
      <c r="J819" s="83"/>
      <c r="K819" s="83"/>
      <c r="L819" s="83"/>
      <c r="M819" s="83"/>
      <c r="N819" s="83"/>
      <c r="O819" s="83"/>
      <c r="P819" s="83"/>
      <c r="Q819" s="84"/>
      <c r="R819" s="83"/>
      <c r="S819" s="83"/>
      <c r="T819" s="85"/>
      <c r="U819" s="6"/>
      <c r="V819" s="44">
        <v>45105</v>
      </c>
      <c r="W819" s="45">
        <v>131.76</v>
      </c>
      <c r="X819" s="46"/>
      <c r="Y819" s="61"/>
      <c r="Z819" s="5"/>
      <c r="AA819" s="5"/>
      <c r="AB819" s="5"/>
      <c r="AC819" s="5"/>
      <c r="AD819" s="5"/>
      <c r="AE819" s="5"/>
      <c r="AF819" s="5"/>
      <c r="AG819" s="5"/>
      <c r="AH819" s="6"/>
      <c r="AI819" s="44">
        <v>45105</v>
      </c>
      <c r="AJ819" s="53">
        <v>131.76</v>
      </c>
      <c r="AK819" s="54">
        <f t="shared" si="132"/>
        <v>-4.3826507480732024E-3</v>
      </c>
      <c r="AL819" s="55">
        <f t="shared" si="135"/>
        <v>22.25699916099142</v>
      </c>
      <c r="AM819" s="56">
        <v>25</v>
      </c>
      <c r="AN819" s="57">
        <f t="shared" si="133"/>
        <v>2.7430008390085803</v>
      </c>
      <c r="AO819" s="76">
        <f t="shared" si="136"/>
        <v>6.3382569555741153</v>
      </c>
      <c r="AP819" s="63" t="str">
        <f t="shared" si="137"/>
        <v>Buy Stocks</v>
      </c>
      <c r="AQ819" s="63" t="str">
        <f t="shared" si="138"/>
        <v/>
      </c>
      <c r="AR819" s="63" t="str">
        <f t="shared" si="139"/>
        <v/>
      </c>
      <c r="AS819" s="63" t="str">
        <f t="shared" si="140"/>
        <v/>
      </c>
      <c r="AT819" s="78" t="str">
        <f t="shared" si="141"/>
        <v/>
      </c>
      <c r="AU819" s="78" t="str">
        <f t="shared" si="142"/>
        <v/>
      </c>
      <c r="AV819" s="64" t="str">
        <f ca="1">IFERROR(__xludf.DUMMYFUNCTION("IF(TRIM(AU819)="""","""",AU819/INDEX(FILTER(AT$3:AT819,TRIM(AT$3:AT819)&lt;&gt;""""),ROWS(FILTER(AT$3:AT819,TRIM(AT$3:AT819)&lt;&gt;"""")))-1)"),"")</f>
        <v/>
      </c>
      <c r="AW819" s="65" t="e">
        <f t="shared" ca="1" si="134"/>
        <v>#VALUE!</v>
      </c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</row>
    <row r="820" spans="1:68" ht="19" x14ac:dyDescent="0.25">
      <c r="A820" s="5"/>
      <c r="B820" s="5"/>
      <c r="C820" s="5"/>
      <c r="D820" s="5"/>
      <c r="E820" s="5"/>
      <c r="F820" s="5"/>
      <c r="G820" s="5"/>
      <c r="H820" s="6"/>
      <c r="I820" s="5"/>
      <c r="J820" s="83"/>
      <c r="K820" s="83"/>
      <c r="L820" s="83"/>
      <c r="M820" s="83"/>
      <c r="N820" s="83"/>
      <c r="O820" s="83"/>
      <c r="P820" s="83"/>
      <c r="Q820" s="84"/>
      <c r="R820" s="83"/>
      <c r="S820" s="83"/>
      <c r="T820" s="85"/>
      <c r="U820" s="6"/>
      <c r="V820" s="44">
        <v>45106</v>
      </c>
      <c r="W820" s="45">
        <v>134.06</v>
      </c>
      <c r="X820" s="46"/>
      <c r="Y820" s="61"/>
      <c r="Z820" s="5"/>
      <c r="AA820" s="5"/>
      <c r="AB820" s="5"/>
      <c r="AC820" s="5"/>
      <c r="AD820" s="5"/>
      <c r="AE820" s="5"/>
      <c r="AF820" s="5"/>
      <c r="AG820" s="5"/>
      <c r="AH820" s="6"/>
      <c r="AI820" s="44">
        <v>45106</v>
      </c>
      <c r="AJ820" s="53">
        <v>134.06</v>
      </c>
      <c r="AK820" s="54">
        <f t="shared" si="132"/>
        <v>1.745598057073483E-2</v>
      </c>
      <c r="AL820" s="55">
        <f t="shared" si="135"/>
        <v>20.655837419199845</v>
      </c>
      <c r="AM820" s="56">
        <v>25</v>
      </c>
      <c r="AN820" s="57">
        <f t="shared" si="133"/>
        <v>4.3441625808001554</v>
      </c>
      <c r="AO820" s="76">
        <f t="shared" si="136"/>
        <v>5.6882432415067079</v>
      </c>
      <c r="AP820" s="63" t="str">
        <f t="shared" si="137"/>
        <v>Buy Stocks</v>
      </c>
      <c r="AQ820" s="63" t="str">
        <f t="shared" si="138"/>
        <v/>
      </c>
      <c r="AR820" s="63" t="str">
        <f t="shared" si="139"/>
        <v/>
      </c>
      <c r="AS820" s="63" t="str">
        <f t="shared" si="140"/>
        <v/>
      </c>
      <c r="AT820" s="78" t="str">
        <f t="shared" si="141"/>
        <v/>
      </c>
      <c r="AU820" s="78" t="str">
        <f t="shared" si="142"/>
        <v/>
      </c>
      <c r="AV820" s="64" t="str">
        <f ca="1">IFERROR(__xludf.DUMMYFUNCTION("IF(TRIM(AU820)="""","""",AU820/INDEX(FILTER(AT$3:AT820,TRIM(AT$3:AT820)&lt;&gt;""""),ROWS(FILTER(AT$3:AT820,TRIM(AT$3:AT820)&lt;&gt;"""")))-1)"),"")</f>
        <v/>
      </c>
      <c r="AW820" s="65" t="e">
        <f t="shared" ca="1" si="134"/>
        <v>#VALUE!</v>
      </c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</row>
    <row r="821" spans="1:68" ht="19" x14ac:dyDescent="0.25">
      <c r="A821" s="5"/>
      <c r="B821" s="5"/>
      <c r="C821" s="5"/>
      <c r="D821" s="5"/>
      <c r="E821" s="5"/>
      <c r="F821" s="5"/>
      <c r="G821" s="5"/>
      <c r="H821" s="6"/>
      <c r="I821" s="5"/>
      <c r="J821" s="83"/>
      <c r="K821" s="83"/>
      <c r="L821" s="83"/>
      <c r="M821" s="83"/>
      <c r="N821" s="83"/>
      <c r="O821" s="83"/>
      <c r="P821" s="83"/>
      <c r="Q821" s="84"/>
      <c r="R821" s="83"/>
      <c r="S821" s="83"/>
      <c r="T821" s="85"/>
      <c r="U821" s="6"/>
      <c r="V821" s="44">
        <v>45107</v>
      </c>
      <c r="W821" s="45">
        <v>133.81</v>
      </c>
      <c r="X821" s="46"/>
      <c r="Y821" s="61"/>
      <c r="Z821" s="5"/>
      <c r="AA821" s="5"/>
      <c r="AB821" s="5"/>
      <c r="AC821" s="5"/>
      <c r="AD821" s="5"/>
      <c r="AE821" s="5"/>
      <c r="AF821" s="5"/>
      <c r="AG821" s="5"/>
      <c r="AH821" s="6"/>
      <c r="AI821" s="44">
        <v>45107</v>
      </c>
      <c r="AJ821" s="53">
        <v>133.81</v>
      </c>
      <c r="AK821" s="54">
        <f t="shared" si="132"/>
        <v>-1.8648366403103411E-3</v>
      </c>
      <c r="AL821" s="55">
        <f t="shared" si="135"/>
        <v>15.424066482308895</v>
      </c>
      <c r="AM821" s="56">
        <v>25</v>
      </c>
      <c r="AN821" s="57">
        <f t="shared" si="133"/>
        <v>9.5759335176911051</v>
      </c>
      <c r="AO821" s="76">
        <f t="shared" si="136"/>
        <v>4.1229473626200255</v>
      </c>
      <c r="AP821" s="63" t="str">
        <f t="shared" si="137"/>
        <v>Buy Stocks</v>
      </c>
      <c r="AQ821" s="63" t="str">
        <f t="shared" si="138"/>
        <v/>
      </c>
      <c r="AR821" s="63" t="str">
        <f t="shared" si="139"/>
        <v/>
      </c>
      <c r="AS821" s="63" t="str">
        <f t="shared" si="140"/>
        <v/>
      </c>
      <c r="AT821" s="78" t="str">
        <f t="shared" si="141"/>
        <v/>
      </c>
      <c r="AU821" s="78" t="str">
        <f t="shared" si="142"/>
        <v/>
      </c>
      <c r="AV821" s="64" t="str">
        <f ca="1">IFERROR(__xludf.DUMMYFUNCTION("IF(TRIM(AU821)="""","""",AU821/INDEX(FILTER(AT$3:AT821,TRIM(AT$3:AT821)&lt;&gt;""""),ROWS(FILTER(AT$3:AT821,TRIM(AT$3:AT821)&lt;&gt;"""")))-1)"),"")</f>
        <v/>
      </c>
      <c r="AW821" s="65" t="e">
        <f t="shared" ca="1" si="134"/>
        <v>#VALUE!</v>
      </c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</row>
    <row r="822" spans="1:68" ht="19" x14ac:dyDescent="0.25">
      <c r="A822" s="5"/>
      <c r="B822" s="5"/>
      <c r="C822" s="5"/>
      <c r="D822" s="5"/>
      <c r="E822" s="5"/>
      <c r="F822" s="5"/>
      <c r="G822" s="5"/>
      <c r="H822" s="6"/>
      <c r="I822" s="5"/>
      <c r="J822" s="83"/>
      <c r="K822" s="83"/>
      <c r="L822" s="83"/>
      <c r="M822" s="83"/>
      <c r="N822" s="83"/>
      <c r="O822" s="83"/>
      <c r="P822" s="83"/>
      <c r="Q822" s="84"/>
      <c r="R822" s="83"/>
      <c r="S822" s="83"/>
      <c r="T822" s="85"/>
      <c r="U822" s="6"/>
      <c r="V822" s="87">
        <v>45110</v>
      </c>
      <c r="W822" s="45">
        <v>133.66999999999999</v>
      </c>
      <c r="X822" s="46"/>
      <c r="Y822" s="61"/>
      <c r="Z822" s="5"/>
      <c r="AA822" s="5"/>
      <c r="AB822" s="5"/>
      <c r="AC822" s="5"/>
      <c r="AD822" s="5"/>
      <c r="AE822" s="5"/>
      <c r="AF822" s="5"/>
      <c r="AG822" s="5"/>
      <c r="AH822" s="6"/>
      <c r="AI822" s="87">
        <v>45110</v>
      </c>
      <c r="AJ822" s="53">
        <v>133.66999999999999</v>
      </c>
      <c r="AK822" s="54">
        <f t="shared" si="132"/>
        <v>-1.0462596218520082E-3</v>
      </c>
      <c r="AL822" s="55">
        <f t="shared" si="135"/>
        <v>14.270817346984272</v>
      </c>
      <c r="AM822" s="56">
        <v>25</v>
      </c>
      <c r="AN822" s="57">
        <f t="shared" si="133"/>
        <v>10.729182653015728</v>
      </c>
      <c r="AO822" s="76">
        <f t="shared" si="136"/>
        <v>5.5960275373380295</v>
      </c>
      <c r="AP822" s="63" t="str">
        <f t="shared" si="137"/>
        <v>Buy Stocks</v>
      </c>
      <c r="AQ822" s="63" t="str">
        <f t="shared" si="138"/>
        <v/>
      </c>
      <c r="AR822" s="63" t="str">
        <f t="shared" si="139"/>
        <v/>
      </c>
      <c r="AS822" s="63" t="str">
        <f t="shared" si="140"/>
        <v/>
      </c>
      <c r="AT822" s="78" t="str">
        <f t="shared" si="141"/>
        <v/>
      </c>
      <c r="AU822" s="78" t="str">
        <f t="shared" si="142"/>
        <v/>
      </c>
      <c r="AV822" s="64" t="str">
        <f ca="1">IFERROR(__xludf.DUMMYFUNCTION("IF(TRIM(AU822)="""","""",AU822/INDEX(FILTER(AT$3:AT822,TRIM(AT$3:AT822)&lt;&gt;""""),ROWS(FILTER(AT$3:AT822,TRIM(AT$3:AT822)&lt;&gt;"""")))-1)"),"")</f>
        <v/>
      </c>
      <c r="AW822" s="65" t="e">
        <f t="shared" ca="1" si="134"/>
        <v>#VALUE!</v>
      </c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</row>
    <row r="823" spans="1:68" ht="19" x14ac:dyDescent="0.25">
      <c r="A823" s="5"/>
      <c r="B823" s="5"/>
      <c r="C823" s="5"/>
      <c r="D823" s="5"/>
      <c r="E823" s="5"/>
      <c r="F823" s="5"/>
      <c r="G823" s="5"/>
      <c r="H823" s="6"/>
      <c r="I823" s="5"/>
      <c r="J823" s="83"/>
      <c r="K823" s="83"/>
      <c r="L823" s="83"/>
      <c r="M823" s="83"/>
      <c r="N823" s="83"/>
      <c r="O823" s="83"/>
      <c r="P823" s="83"/>
      <c r="Q823" s="84"/>
      <c r="R823" s="83"/>
      <c r="S823" s="83"/>
      <c r="T823" s="85"/>
      <c r="U823" s="6"/>
      <c r="V823" s="87">
        <v>45112</v>
      </c>
      <c r="W823" s="45">
        <v>134.24</v>
      </c>
      <c r="X823" s="46"/>
      <c r="Y823" s="61"/>
      <c r="Z823" s="5"/>
      <c r="AA823" s="5"/>
      <c r="AB823" s="5"/>
      <c r="AC823" s="5"/>
      <c r="AD823" s="5"/>
      <c r="AE823" s="5"/>
      <c r="AF823" s="5"/>
      <c r="AG823" s="5"/>
      <c r="AH823" s="6"/>
      <c r="AI823" s="87">
        <v>45112</v>
      </c>
      <c r="AJ823" s="53">
        <v>134.24</v>
      </c>
      <c r="AK823" s="54">
        <f t="shared" si="132"/>
        <v>4.2642328121493822E-3</v>
      </c>
      <c r="AL823" s="55">
        <f t="shared" si="135"/>
        <v>13.862960030118515</v>
      </c>
      <c r="AM823" s="56">
        <v>25</v>
      </c>
      <c r="AN823" s="57">
        <f t="shared" si="133"/>
        <v>11.137039969881485</v>
      </c>
      <c r="AO823" s="76">
        <f t="shared" si="136"/>
        <v>7.705863912079411</v>
      </c>
      <c r="AP823" s="63" t="str">
        <f t="shared" si="137"/>
        <v>Buy Stocks</v>
      </c>
      <c r="AQ823" s="63" t="str">
        <f t="shared" si="138"/>
        <v/>
      </c>
      <c r="AR823" s="63" t="str">
        <f t="shared" si="139"/>
        <v/>
      </c>
      <c r="AS823" s="63" t="str">
        <f t="shared" si="140"/>
        <v/>
      </c>
      <c r="AT823" s="78" t="str">
        <f t="shared" si="141"/>
        <v/>
      </c>
      <c r="AU823" s="78" t="str">
        <f t="shared" si="142"/>
        <v/>
      </c>
      <c r="AV823" s="64" t="str">
        <f ca="1">IFERROR(__xludf.DUMMYFUNCTION("IF(TRIM(AU823)="""","""",AU823/INDEX(FILTER(AT$3:AT823,TRIM(AT$3:AT823)&lt;&gt;""""),ROWS(FILTER(AT$3:AT823,TRIM(AT$3:AT823)&lt;&gt;"""")))-1)"),"")</f>
        <v/>
      </c>
      <c r="AW823" s="65" t="e">
        <f t="shared" ca="1" si="134"/>
        <v>#VALUE!</v>
      </c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</row>
    <row r="824" spans="1:68" ht="19" x14ac:dyDescent="0.25">
      <c r="A824" s="5"/>
      <c r="B824" s="5"/>
      <c r="C824" s="5"/>
      <c r="D824" s="5"/>
      <c r="E824" s="5"/>
      <c r="F824" s="5"/>
      <c r="G824" s="5"/>
      <c r="H824" s="6"/>
      <c r="I824" s="5"/>
      <c r="J824" s="83"/>
      <c r="K824" s="83"/>
      <c r="L824" s="83"/>
      <c r="M824" s="83"/>
      <c r="N824" s="83"/>
      <c r="O824" s="83"/>
      <c r="P824" s="83"/>
      <c r="Q824" s="84"/>
      <c r="R824" s="83"/>
      <c r="S824" s="83"/>
      <c r="T824" s="85"/>
      <c r="U824" s="6"/>
      <c r="V824" s="87">
        <v>45113</v>
      </c>
      <c r="W824" s="45">
        <v>132.16</v>
      </c>
      <c r="X824" s="46"/>
      <c r="Y824" s="61"/>
      <c r="Z824" s="5"/>
      <c r="AA824" s="5"/>
      <c r="AB824" s="5"/>
      <c r="AC824" s="5"/>
      <c r="AD824" s="5"/>
      <c r="AE824" s="5"/>
      <c r="AF824" s="5"/>
      <c r="AG824" s="5"/>
      <c r="AH824" s="6"/>
      <c r="AI824" s="87">
        <v>45113</v>
      </c>
      <c r="AJ824" s="53">
        <v>132.16</v>
      </c>
      <c r="AK824" s="54">
        <f t="shared" si="132"/>
        <v>-1.5494636471990564E-2</v>
      </c>
      <c r="AL824" s="55">
        <f t="shared" si="135"/>
        <v>18.872543674523744</v>
      </c>
      <c r="AM824" s="56">
        <v>25</v>
      </c>
      <c r="AN824" s="57">
        <f t="shared" si="133"/>
        <v>6.1274563254762562</v>
      </c>
      <c r="AO824" s="76">
        <f t="shared" si="136"/>
        <v>8.3827550093729464</v>
      </c>
      <c r="AP824" s="63" t="str">
        <f t="shared" si="137"/>
        <v>Buy Stocks</v>
      </c>
      <c r="AQ824" s="63" t="str">
        <f t="shared" si="138"/>
        <v/>
      </c>
      <c r="AR824" s="63" t="str">
        <f t="shared" si="139"/>
        <v/>
      </c>
      <c r="AS824" s="63" t="str">
        <f t="shared" si="140"/>
        <v/>
      </c>
      <c r="AT824" s="78" t="str">
        <f t="shared" si="141"/>
        <v/>
      </c>
      <c r="AU824" s="78" t="str">
        <f t="shared" si="142"/>
        <v/>
      </c>
      <c r="AV824" s="64" t="str">
        <f ca="1">IFERROR(__xludf.DUMMYFUNCTION("IF(TRIM(AU824)="""","""",AU824/INDEX(FILTER(AT$3:AT824,TRIM(AT$3:AT824)&lt;&gt;""""),ROWS(FILTER(AT$3:AT824,TRIM(AT$3:AT824)&lt;&gt;"""")))-1)"),"")</f>
        <v/>
      </c>
      <c r="AW824" s="65" t="e">
        <f t="shared" ca="1" si="134"/>
        <v>#VALUE!</v>
      </c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</row>
    <row r="825" spans="1:68" ht="19" x14ac:dyDescent="0.25">
      <c r="A825" s="5"/>
      <c r="B825" s="5"/>
      <c r="C825" s="5"/>
      <c r="D825" s="5"/>
      <c r="E825" s="5"/>
      <c r="F825" s="5"/>
      <c r="G825" s="5"/>
      <c r="H825" s="6"/>
      <c r="I825" s="5"/>
      <c r="J825" s="83"/>
      <c r="K825" s="83"/>
      <c r="L825" s="83"/>
      <c r="M825" s="83"/>
      <c r="N825" s="83"/>
      <c r="O825" s="83"/>
      <c r="P825" s="83"/>
      <c r="Q825" s="84"/>
      <c r="R825" s="83"/>
      <c r="S825" s="83"/>
      <c r="T825" s="85"/>
      <c r="U825" s="6"/>
      <c r="V825" s="87">
        <v>45114</v>
      </c>
      <c r="W825" s="45">
        <v>132.08000000000001</v>
      </c>
      <c r="X825" s="46"/>
      <c r="Y825" s="61"/>
      <c r="Z825" s="5"/>
      <c r="AA825" s="5"/>
      <c r="AB825" s="5"/>
      <c r="AC825" s="5"/>
      <c r="AD825" s="5"/>
      <c r="AE825" s="5"/>
      <c r="AF825" s="5"/>
      <c r="AG825" s="5"/>
      <c r="AH825" s="6"/>
      <c r="AI825" s="87">
        <v>45114</v>
      </c>
      <c r="AJ825" s="53">
        <v>132.08000000000001</v>
      </c>
      <c r="AK825" s="54">
        <f t="shared" si="132"/>
        <v>-6.0532687651315698E-4</v>
      </c>
      <c r="AL825" s="55">
        <f t="shared" si="135"/>
        <v>11.765151271849554</v>
      </c>
      <c r="AM825" s="56">
        <v>25</v>
      </c>
      <c r="AN825" s="57">
        <f t="shared" si="133"/>
        <v>13.234848728150446</v>
      </c>
      <c r="AO825" s="76">
        <f t="shared" si="136"/>
        <v>10.160892238843003</v>
      </c>
      <c r="AP825" s="63" t="str">
        <f t="shared" si="137"/>
        <v>Buy Stocks</v>
      </c>
      <c r="AQ825" s="63" t="str">
        <f t="shared" si="138"/>
        <v/>
      </c>
      <c r="AR825" s="63" t="str">
        <f t="shared" si="139"/>
        <v/>
      </c>
      <c r="AS825" s="63" t="str">
        <f t="shared" si="140"/>
        <v/>
      </c>
      <c r="AT825" s="78" t="str">
        <f t="shared" si="141"/>
        <v/>
      </c>
      <c r="AU825" s="78" t="str">
        <f t="shared" si="142"/>
        <v/>
      </c>
      <c r="AV825" s="64" t="str">
        <f ca="1">IFERROR(__xludf.DUMMYFUNCTION("IF(TRIM(AU825)="""","""",AU825/INDEX(FILTER(AT$3:AT825,TRIM(AT$3:AT825)&lt;&gt;""""),ROWS(FILTER(AT$3:AT825,TRIM(AT$3:AT825)&lt;&gt;"""")))-1)"),"")</f>
        <v/>
      </c>
      <c r="AW825" s="65" t="e">
        <f t="shared" ca="1" si="134"/>
        <v>#VALUE!</v>
      </c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</row>
    <row r="826" spans="1:68" ht="19" x14ac:dyDescent="0.25">
      <c r="A826" s="5"/>
      <c r="B826" s="5"/>
      <c r="C826" s="5"/>
      <c r="D826" s="5"/>
      <c r="E826" s="5"/>
      <c r="F826" s="5"/>
      <c r="G826" s="5"/>
      <c r="H826" s="6"/>
      <c r="I826" s="5"/>
      <c r="J826" s="83"/>
      <c r="K826" s="83"/>
      <c r="L826" s="83"/>
      <c r="M826" s="83"/>
      <c r="N826" s="83"/>
      <c r="O826" s="83"/>
      <c r="P826" s="83"/>
      <c r="Q826" s="84"/>
      <c r="R826" s="83"/>
      <c r="S826" s="83"/>
      <c r="T826" s="85"/>
      <c r="U826" s="6"/>
      <c r="V826" s="87">
        <v>45117</v>
      </c>
      <c r="W826" s="45">
        <v>132.9</v>
      </c>
      <c r="X826" s="46"/>
      <c r="Y826" s="61"/>
      <c r="Z826" s="5"/>
      <c r="AA826" s="5"/>
      <c r="AB826" s="5"/>
      <c r="AC826" s="5"/>
      <c r="AD826" s="5"/>
      <c r="AE826" s="5"/>
      <c r="AF826" s="5"/>
      <c r="AG826" s="5"/>
      <c r="AH826" s="6"/>
      <c r="AI826" s="87">
        <v>45117</v>
      </c>
      <c r="AJ826" s="53">
        <v>132.9</v>
      </c>
      <c r="AK826" s="54">
        <f t="shared" si="132"/>
        <v>6.2083585705632327E-3</v>
      </c>
      <c r="AL826" s="55">
        <f t="shared" si="135"/>
        <v>13.501844393620758</v>
      </c>
      <c r="AM826" s="56">
        <v>25</v>
      </c>
      <c r="AN826" s="57">
        <f t="shared" si="133"/>
        <v>11.498155606379242</v>
      </c>
      <c r="AO826" s="76">
        <f t="shared" si="136"/>
        <v>10.545336656580631</v>
      </c>
      <c r="AP826" s="63" t="str">
        <f t="shared" si="137"/>
        <v>Buy Stocks</v>
      </c>
      <c r="AQ826" s="63" t="str">
        <f t="shared" si="138"/>
        <v/>
      </c>
      <c r="AR826" s="63" t="str">
        <f t="shared" si="139"/>
        <v/>
      </c>
      <c r="AS826" s="63" t="str">
        <f t="shared" si="140"/>
        <v/>
      </c>
      <c r="AT826" s="78" t="str">
        <f t="shared" si="141"/>
        <v/>
      </c>
      <c r="AU826" s="78" t="str">
        <f t="shared" si="142"/>
        <v/>
      </c>
      <c r="AV826" s="64" t="str">
        <f ca="1">IFERROR(__xludf.DUMMYFUNCTION("IF(TRIM(AU826)="""","""",AU826/INDEX(FILTER(AT$3:AT826,TRIM(AT$3:AT826)&lt;&gt;""""),ROWS(FILTER(AT$3:AT826,TRIM(AT$3:AT826)&lt;&gt;"""")))-1)"),"")</f>
        <v/>
      </c>
      <c r="AW826" s="65" t="e">
        <f t="shared" ca="1" si="134"/>
        <v>#VALUE!</v>
      </c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</row>
    <row r="827" spans="1:68" ht="19" x14ac:dyDescent="0.25">
      <c r="A827" s="5"/>
      <c r="B827" s="5"/>
      <c r="C827" s="5"/>
      <c r="D827" s="5"/>
      <c r="E827" s="5"/>
      <c r="F827" s="5"/>
      <c r="G827" s="5"/>
      <c r="H827" s="6"/>
      <c r="I827" s="5"/>
      <c r="J827" s="83"/>
      <c r="K827" s="83"/>
      <c r="L827" s="83"/>
      <c r="M827" s="83"/>
      <c r="N827" s="83"/>
      <c r="O827" s="83"/>
      <c r="P827" s="83"/>
      <c r="Q827" s="84"/>
      <c r="R827" s="83"/>
      <c r="S827" s="83"/>
      <c r="T827" s="85"/>
      <c r="U827" s="6"/>
      <c r="V827" s="87">
        <v>45118</v>
      </c>
      <c r="W827" s="45">
        <v>134.44</v>
      </c>
      <c r="X827" s="46"/>
      <c r="Y827" s="61"/>
      <c r="Z827" s="5"/>
      <c r="AA827" s="5"/>
      <c r="AB827" s="5"/>
      <c r="AC827" s="5"/>
      <c r="AD827" s="5"/>
      <c r="AE827" s="5"/>
      <c r="AF827" s="5"/>
      <c r="AG827" s="5"/>
      <c r="AH827" s="6"/>
      <c r="AI827" s="87">
        <v>45118</v>
      </c>
      <c r="AJ827" s="53">
        <v>134.44</v>
      </c>
      <c r="AK827" s="54">
        <f t="shared" si="132"/>
        <v>1.1587659894657598E-2</v>
      </c>
      <c r="AL827" s="55">
        <f t="shared" si="135"/>
        <v>16.350481730346555</v>
      </c>
      <c r="AM827" s="56">
        <v>25</v>
      </c>
      <c r="AN827" s="57">
        <f t="shared" si="133"/>
        <v>8.6495182696534449</v>
      </c>
      <c r="AO827" s="76">
        <f t="shared" si="136"/>
        <v>10.129403779908174</v>
      </c>
      <c r="AP827" s="63" t="str">
        <f t="shared" si="137"/>
        <v>Buy Stocks</v>
      </c>
      <c r="AQ827" s="63" t="str">
        <f t="shared" si="138"/>
        <v/>
      </c>
      <c r="AR827" s="63" t="str">
        <f t="shared" si="139"/>
        <v/>
      </c>
      <c r="AS827" s="63" t="str">
        <f t="shared" si="140"/>
        <v/>
      </c>
      <c r="AT827" s="78" t="str">
        <f t="shared" si="141"/>
        <v/>
      </c>
      <c r="AU827" s="78" t="str">
        <f t="shared" si="142"/>
        <v/>
      </c>
      <c r="AV827" s="64" t="str">
        <f ca="1">IFERROR(__xludf.DUMMYFUNCTION("IF(TRIM(AU827)="""","""",AU827/INDEX(FILTER(AT$3:AT827,TRIM(AT$3:AT827)&lt;&gt;""""),ROWS(FILTER(AT$3:AT827,TRIM(AT$3:AT827)&lt;&gt;"""")))-1)"),"")</f>
        <v/>
      </c>
      <c r="AW827" s="65" t="e">
        <f t="shared" ca="1" si="134"/>
        <v>#VALUE!</v>
      </c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</row>
    <row r="828" spans="1:68" ht="19" x14ac:dyDescent="0.25">
      <c r="A828" s="5"/>
      <c r="B828" s="5"/>
      <c r="C828" s="5"/>
      <c r="D828" s="5"/>
      <c r="E828" s="5"/>
      <c r="F828" s="5"/>
      <c r="G828" s="5"/>
      <c r="H828" s="6"/>
      <c r="I828" s="5"/>
      <c r="J828" s="83"/>
      <c r="K828" s="83"/>
      <c r="L828" s="83"/>
      <c r="M828" s="83"/>
      <c r="N828" s="83"/>
      <c r="O828" s="83"/>
      <c r="P828" s="83"/>
      <c r="Q828" s="84"/>
      <c r="R828" s="83"/>
      <c r="S828" s="83"/>
      <c r="T828" s="85"/>
      <c r="U828" s="6"/>
      <c r="V828" s="87">
        <v>45119</v>
      </c>
      <c r="W828" s="45">
        <v>132.84</v>
      </c>
      <c r="X828" s="46"/>
      <c r="Y828" s="61"/>
      <c r="Z828" s="5"/>
      <c r="AA828" s="5"/>
      <c r="AB828" s="5"/>
      <c r="AC828" s="5"/>
      <c r="AD828" s="5"/>
      <c r="AE828" s="5"/>
      <c r="AF828" s="5"/>
      <c r="AG828" s="5"/>
      <c r="AH828" s="6"/>
      <c r="AI828" s="87">
        <v>45119</v>
      </c>
      <c r="AJ828" s="53">
        <v>132.84</v>
      </c>
      <c r="AK828" s="54">
        <f t="shared" si="132"/>
        <v>-1.1901219875037117E-2</v>
      </c>
      <c r="AL828" s="55">
        <f t="shared" si="135"/>
        <v>18.343090263882942</v>
      </c>
      <c r="AM828" s="56">
        <v>25</v>
      </c>
      <c r="AN828" s="57">
        <f t="shared" si="133"/>
        <v>6.6569097361170577</v>
      </c>
      <c r="AO828" s="76">
        <f t="shared" si="136"/>
        <v>9.2333777331552902</v>
      </c>
      <c r="AP828" s="63" t="str">
        <f t="shared" si="137"/>
        <v>Buy Stocks</v>
      </c>
      <c r="AQ828" s="63" t="str">
        <f t="shared" si="138"/>
        <v/>
      </c>
      <c r="AR828" s="63" t="str">
        <f t="shared" si="139"/>
        <v/>
      </c>
      <c r="AS828" s="63" t="str">
        <f t="shared" si="140"/>
        <v/>
      </c>
      <c r="AT828" s="78" t="str">
        <f t="shared" si="141"/>
        <v/>
      </c>
      <c r="AU828" s="78" t="str">
        <f t="shared" si="142"/>
        <v/>
      </c>
      <c r="AV828" s="64" t="str">
        <f ca="1">IFERROR(__xludf.DUMMYFUNCTION("IF(TRIM(AU828)="""","""",AU828/INDEX(FILTER(AT$3:AT828,TRIM(AT$3:AT828)&lt;&gt;""""),ROWS(FILTER(AT$3:AT828,TRIM(AT$3:AT828)&lt;&gt;"""")))-1)"),"")</f>
        <v/>
      </c>
      <c r="AW828" s="65" t="e">
        <f t="shared" ca="1" si="134"/>
        <v>#VALUE!</v>
      </c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</row>
    <row r="829" spans="1:68" ht="19" x14ac:dyDescent="0.25">
      <c r="A829" s="5"/>
      <c r="B829" s="5"/>
      <c r="C829" s="5"/>
      <c r="D829" s="5"/>
      <c r="E829" s="5"/>
      <c r="F829" s="5"/>
      <c r="G829" s="5"/>
      <c r="H829" s="6"/>
      <c r="I829" s="5"/>
      <c r="J829" s="83"/>
      <c r="K829" s="83"/>
      <c r="L829" s="83"/>
      <c r="M829" s="83"/>
      <c r="N829" s="83"/>
      <c r="O829" s="83"/>
      <c r="P829" s="83"/>
      <c r="Q829" s="84"/>
      <c r="R829" s="83"/>
      <c r="S829" s="83"/>
      <c r="T829" s="85"/>
      <c r="U829" s="6"/>
      <c r="V829" s="87">
        <v>45120</v>
      </c>
      <c r="W829" s="45">
        <v>133.91999999999999</v>
      </c>
      <c r="X829" s="46"/>
      <c r="Y829" s="61"/>
      <c r="Z829" s="5"/>
      <c r="AA829" s="5"/>
      <c r="AB829" s="5"/>
      <c r="AC829" s="5"/>
      <c r="AD829" s="5"/>
      <c r="AE829" s="5"/>
      <c r="AF829" s="5"/>
      <c r="AG829" s="5"/>
      <c r="AH829" s="6"/>
      <c r="AI829" s="87">
        <v>45120</v>
      </c>
      <c r="AJ829" s="53">
        <v>133.91999999999999</v>
      </c>
      <c r="AK829" s="54">
        <f t="shared" si="132"/>
        <v>8.1300813008129413E-3</v>
      </c>
      <c r="AL829" s="55">
        <f t="shared" si="135"/>
        <v>14.740751538000257</v>
      </c>
      <c r="AM829" s="56">
        <v>25</v>
      </c>
      <c r="AN829" s="57">
        <f t="shared" si="133"/>
        <v>10.259248461999743</v>
      </c>
      <c r="AO829" s="76">
        <f t="shared" si="136"/>
        <v>10.059736160459988</v>
      </c>
      <c r="AP829" s="63" t="str">
        <f t="shared" si="137"/>
        <v>Buy Stocks</v>
      </c>
      <c r="AQ829" s="63" t="str">
        <f t="shared" si="138"/>
        <v/>
      </c>
      <c r="AR829" s="63" t="str">
        <f t="shared" si="139"/>
        <v/>
      </c>
      <c r="AS829" s="63" t="str">
        <f t="shared" si="140"/>
        <v/>
      </c>
      <c r="AT829" s="78" t="str">
        <f t="shared" si="141"/>
        <v/>
      </c>
      <c r="AU829" s="78" t="str">
        <f t="shared" si="142"/>
        <v/>
      </c>
      <c r="AV829" s="64" t="str">
        <f ca="1">IFERROR(__xludf.DUMMYFUNCTION("IF(TRIM(AU829)="""","""",AU829/INDEX(FILTER(AT$3:AT829,TRIM(AT$3:AT829)&lt;&gt;""""),ROWS(FILTER(AT$3:AT829,TRIM(AT$3:AT829)&lt;&gt;"""")))-1)"),"")</f>
        <v/>
      </c>
      <c r="AW829" s="65" t="e">
        <f t="shared" ca="1" si="134"/>
        <v>#VALUE!</v>
      </c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</row>
    <row r="830" spans="1:68" ht="19" x14ac:dyDescent="0.25">
      <c r="A830" s="5"/>
      <c r="B830" s="5"/>
      <c r="C830" s="5"/>
      <c r="D830" s="5"/>
      <c r="E830" s="5"/>
      <c r="F830" s="5"/>
      <c r="G830" s="5"/>
      <c r="H830" s="6"/>
      <c r="I830" s="5"/>
      <c r="J830" s="83"/>
      <c r="K830" s="83"/>
      <c r="L830" s="83"/>
      <c r="M830" s="83"/>
      <c r="N830" s="83"/>
      <c r="O830" s="83"/>
      <c r="P830" s="83"/>
      <c r="Q830" s="84"/>
      <c r="R830" s="83"/>
      <c r="S830" s="83"/>
      <c r="T830" s="85"/>
      <c r="U830" s="6"/>
      <c r="V830" s="87">
        <v>45121</v>
      </c>
      <c r="W830" s="45">
        <v>133.4</v>
      </c>
      <c r="X830" s="46"/>
      <c r="Y830" s="61"/>
      <c r="Z830" s="5"/>
      <c r="AA830" s="5"/>
      <c r="AB830" s="5"/>
      <c r="AC830" s="5"/>
      <c r="AD830" s="5"/>
      <c r="AE830" s="5"/>
      <c r="AF830" s="5"/>
      <c r="AG830" s="5"/>
      <c r="AH830" s="6"/>
      <c r="AI830" s="87">
        <v>45121</v>
      </c>
      <c r="AJ830" s="53">
        <v>133.4</v>
      </c>
      <c r="AK830" s="54">
        <f t="shared" si="132"/>
        <v>-3.8829151732375777E-3</v>
      </c>
      <c r="AL830" s="55">
        <f t="shared" si="135"/>
        <v>15.371655221995246</v>
      </c>
      <c r="AM830" s="56">
        <v>25</v>
      </c>
      <c r="AN830" s="57">
        <f t="shared" si="133"/>
        <v>9.6283447780047542</v>
      </c>
      <c r="AO830" s="76">
        <f t="shared" si="136"/>
        <v>9.3384353704308474</v>
      </c>
      <c r="AP830" s="63" t="str">
        <f t="shared" si="137"/>
        <v>Buy Stocks</v>
      </c>
      <c r="AQ830" s="63" t="str">
        <f t="shared" si="138"/>
        <v/>
      </c>
      <c r="AR830" s="63" t="str">
        <f t="shared" si="139"/>
        <v/>
      </c>
      <c r="AS830" s="63" t="str">
        <f t="shared" si="140"/>
        <v/>
      </c>
      <c r="AT830" s="78" t="str">
        <f t="shared" si="141"/>
        <v/>
      </c>
      <c r="AU830" s="78" t="str">
        <f t="shared" si="142"/>
        <v/>
      </c>
      <c r="AV830" s="64" t="str">
        <f ca="1">IFERROR(__xludf.DUMMYFUNCTION("IF(TRIM(AU830)="""","""",AU830/INDEX(FILTER(AT$3:AT830,TRIM(AT$3:AT830)&lt;&gt;""""),ROWS(FILTER(AT$3:AT830,TRIM(AT$3:AT830)&lt;&gt;"""")))-1)"),"")</f>
        <v/>
      </c>
      <c r="AW830" s="65" t="e">
        <f t="shared" ca="1" si="134"/>
        <v>#VALUE!</v>
      </c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</row>
    <row r="831" spans="1:68" ht="19" x14ac:dyDescent="0.25">
      <c r="A831" s="5"/>
      <c r="B831" s="5"/>
      <c r="C831" s="5"/>
      <c r="D831" s="5"/>
      <c r="E831" s="5"/>
      <c r="F831" s="5"/>
      <c r="G831" s="5"/>
      <c r="H831" s="6"/>
      <c r="I831" s="5"/>
      <c r="J831" s="83"/>
      <c r="K831" s="83"/>
      <c r="L831" s="83"/>
      <c r="M831" s="83"/>
      <c r="N831" s="83"/>
      <c r="O831" s="83"/>
      <c r="P831" s="83"/>
      <c r="Q831" s="84"/>
      <c r="R831" s="83"/>
      <c r="S831" s="83"/>
      <c r="T831" s="85"/>
      <c r="U831" s="6"/>
      <c r="V831" s="87">
        <v>45124</v>
      </c>
      <c r="W831" s="45">
        <v>134.24</v>
      </c>
      <c r="X831" s="46"/>
      <c r="Y831" s="61"/>
      <c r="Z831" s="5"/>
      <c r="AA831" s="5"/>
      <c r="AB831" s="5"/>
      <c r="AC831" s="5"/>
      <c r="AD831" s="5"/>
      <c r="AE831" s="5"/>
      <c r="AF831" s="5"/>
      <c r="AG831" s="5"/>
      <c r="AH831" s="6"/>
      <c r="AI831" s="87">
        <v>45124</v>
      </c>
      <c r="AJ831" s="53">
        <v>134.24</v>
      </c>
      <c r="AK831" s="54">
        <f t="shared" si="132"/>
        <v>6.2968515742130027E-3</v>
      </c>
      <c r="AL831" s="55">
        <f t="shared" si="135"/>
        <v>15.386936089188833</v>
      </c>
      <c r="AM831" s="56">
        <v>25</v>
      </c>
      <c r="AN831" s="57">
        <f t="shared" si="133"/>
        <v>9.6130639108111673</v>
      </c>
      <c r="AO831" s="76">
        <f t="shared" si="136"/>
        <v>8.9614170313172341</v>
      </c>
      <c r="AP831" s="63" t="str">
        <f t="shared" si="137"/>
        <v>Buy Stocks</v>
      </c>
      <c r="AQ831" s="63" t="str">
        <f t="shared" si="138"/>
        <v/>
      </c>
      <c r="AR831" s="63" t="str">
        <f t="shared" si="139"/>
        <v/>
      </c>
      <c r="AS831" s="63" t="str">
        <f t="shared" si="140"/>
        <v/>
      </c>
      <c r="AT831" s="78" t="str">
        <f t="shared" si="141"/>
        <v/>
      </c>
      <c r="AU831" s="78" t="str">
        <f t="shared" si="142"/>
        <v/>
      </c>
      <c r="AV831" s="64" t="str">
        <f ca="1">IFERROR(__xludf.DUMMYFUNCTION("IF(TRIM(AU831)="""","""",AU831/INDEX(FILTER(AT$3:AT831,TRIM(AT$3:AT831)&lt;&gt;""""),ROWS(FILTER(AT$3:AT831,TRIM(AT$3:AT831)&lt;&gt;"""")))-1)"),"")</f>
        <v/>
      </c>
      <c r="AW831" s="65" t="e">
        <f t="shared" ca="1" si="134"/>
        <v>#VALUE!</v>
      </c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</row>
    <row r="832" spans="1:68" ht="19" x14ac:dyDescent="0.25">
      <c r="A832" s="5"/>
      <c r="B832" s="5"/>
      <c r="C832" s="5"/>
      <c r="D832" s="5"/>
      <c r="E832" s="5"/>
      <c r="F832" s="5"/>
      <c r="G832" s="5"/>
      <c r="H832" s="6"/>
      <c r="I832" s="5"/>
      <c r="J832" s="83"/>
      <c r="K832" s="83"/>
      <c r="L832" s="83"/>
      <c r="M832" s="83"/>
      <c r="N832" s="83"/>
      <c r="O832" s="83"/>
      <c r="P832" s="83"/>
      <c r="Q832" s="84"/>
      <c r="R832" s="83"/>
      <c r="S832" s="83"/>
      <c r="T832" s="85"/>
      <c r="U832" s="6"/>
      <c r="V832" s="87">
        <v>45125</v>
      </c>
      <c r="W832" s="45">
        <v>135.36000000000001</v>
      </c>
      <c r="X832" s="46"/>
      <c r="Y832" s="61"/>
      <c r="Z832" s="5"/>
      <c r="AA832" s="5"/>
      <c r="AB832" s="5"/>
      <c r="AC832" s="5"/>
      <c r="AD832" s="5"/>
      <c r="AE832" s="5"/>
      <c r="AF832" s="5"/>
      <c r="AG832" s="5"/>
      <c r="AH832" s="6"/>
      <c r="AI832" s="87">
        <v>45125</v>
      </c>
      <c r="AJ832" s="53">
        <v>135.36000000000001</v>
      </c>
      <c r="AK832" s="54">
        <f t="shared" si="132"/>
        <v>8.3432657926103548E-3</v>
      </c>
      <c r="AL832" s="55">
        <f t="shared" si="135"/>
        <v>14.249829014719309</v>
      </c>
      <c r="AM832" s="56">
        <v>25</v>
      </c>
      <c r="AN832" s="57">
        <f t="shared" si="133"/>
        <v>10.750170985280691</v>
      </c>
      <c r="AO832" s="76">
        <f t="shared" si="136"/>
        <v>9.3815475744426831</v>
      </c>
      <c r="AP832" s="63" t="str">
        <f t="shared" si="137"/>
        <v>Buy Stocks</v>
      </c>
      <c r="AQ832" s="63" t="str">
        <f t="shared" si="138"/>
        <v/>
      </c>
      <c r="AR832" s="63" t="str">
        <f t="shared" si="139"/>
        <v/>
      </c>
      <c r="AS832" s="63" t="str">
        <f t="shared" si="140"/>
        <v/>
      </c>
      <c r="AT832" s="78" t="str">
        <f t="shared" si="141"/>
        <v/>
      </c>
      <c r="AU832" s="78" t="str">
        <f t="shared" si="142"/>
        <v/>
      </c>
      <c r="AV832" s="64" t="str">
        <f ca="1">IFERROR(__xludf.DUMMYFUNCTION("IF(TRIM(AU832)="""","""",AU832/INDEX(FILTER(AT$3:AT832,TRIM(AT$3:AT832)&lt;&gt;""""),ROWS(FILTER(AT$3:AT832,TRIM(AT$3:AT832)&lt;&gt;"""")))-1)"),"")</f>
        <v/>
      </c>
      <c r="AW832" s="65" t="e">
        <f t="shared" ca="1" si="134"/>
        <v>#VALUE!</v>
      </c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</row>
    <row r="833" spans="1:68" ht="19" x14ac:dyDescent="0.25">
      <c r="A833" s="5"/>
      <c r="B833" s="5"/>
      <c r="C833" s="5"/>
      <c r="D833" s="5"/>
      <c r="E833" s="5"/>
      <c r="F833" s="5"/>
      <c r="G833" s="5"/>
      <c r="H833" s="6"/>
      <c r="I833" s="5"/>
      <c r="J833" s="83"/>
      <c r="K833" s="83"/>
      <c r="L833" s="83"/>
      <c r="M833" s="83"/>
      <c r="N833" s="83"/>
      <c r="O833" s="83"/>
      <c r="P833" s="83"/>
      <c r="Q833" s="84"/>
      <c r="R833" s="83"/>
      <c r="S833" s="83"/>
      <c r="T833" s="85"/>
      <c r="U833" s="6"/>
      <c r="V833" s="87">
        <v>45126</v>
      </c>
      <c r="W833" s="45">
        <v>135.47999999999999</v>
      </c>
      <c r="X833" s="46"/>
      <c r="Y833" s="61"/>
      <c r="Z833" s="5"/>
      <c r="AA833" s="5"/>
      <c r="AB833" s="5"/>
      <c r="AC833" s="5"/>
      <c r="AD833" s="5"/>
      <c r="AE833" s="5"/>
      <c r="AF833" s="5"/>
      <c r="AG833" s="5"/>
      <c r="AH833" s="6"/>
      <c r="AI833" s="87">
        <v>45126</v>
      </c>
      <c r="AJ833" s="53">
        <v>135.47999999999999</v>
      </c>
      <c r="AK833" s="54">
        <f t="shared" si="132"/>
        <v>8.8652482269480082E-4</v>
      </c>
      <c r="AL833" s="55">
        <f t="shared" si="135"/>
        <v>8.4381970248761586</v>
      </c>
      <c r="AM833" s="56">
        <v>25</v>
      </c>
      <c r="AN833" s="57">
        <f t="shared" si="133"/>
        <v>16.56180297512384</v>
      </c>
      <c r="AO833" s="76">
        <f t="shared" si="136"/>
        <v>11.362526222244039</v>
      </c>
      <c r="AP833" s="63" t="str">
        <f t="shared" si="137"/>
        <v>Buy Stocks</v>
      </c>
      <c r="AQ833" s="63" t="str">
        <f t="shared" si="138"/>
        <v/>
      </c>
      <c r="AR833" s="63" t="str">
        <f t="shared" si="139"/>
        <v/>
      </c>
      <c r="AS833" s="63" t="str">
        <f t="shared" si="140"/>
        <v/>
      </c>
      <c r="AT833" s="78" t="str">
        <f t="shared" si="141"/>
        <v/>
      </c>
      <c r="AU833" s="78" t="str">
        <f t="shared" si="142"/>
        <v/>
      </c>
      <c r="AV833" s="64" t="str">
        <f ca="1">IFERROR(__xludf.DUMMYFUNCTION("IF(TRIM(AU833)="""","""",AU833/INDEX(FILTER(AT$3:AT833,TRIM(AT$3:AT833)&lt;&gt;""""),ROWS(FILTER(AT$3:AT833,TRIM(AT$3:AT833)&lt;&gt;"""")))-1)"),"")</f>
        <v/>
      </c>
      <c r="AW833" s="65" t="e">
        <f t="shared" ca="1" si="134"/>
        <v>#VALUE!</v>
      </c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</row>
    <row r="834" spans="1:68" ht="19" x14ac:dyDescent="0.25">
      <c r="A834" s="5"/>
      <c r="B834" s="5"/>
      <c r="C834" s="5"/>
      <c r="D834" s="5"/>
      <c r="E834" s="5"/>
      <c r="F834" s="5"/>
      <c r="G834" s="5"/>
      <c r="H834" s="6"/>
      <c r="I834" s="5"/>
      <c r="J834" s="83"/>
      <c r="K834" s="83"/>
      <c r="L834" s="83"/>
      <c r="M834" s="83"/>
      <c r="N834" s="83"/>
      <c r="O834" s="83"/>
      <c r="P834" s="83"/>
      <c r="Q834" s="84"/>
      <c r="R834" s="83"/>
      <c r="S834" s="83"/>
      <c r="T834" s="85"/>
      <c r="U834" s="6"/>
      <c r="V834" s="87">
        <v>45127</v>
      </c>
      <c r="W834" s="45">
        <v>138.38</v>
      </c>
      <c r="X834" s="46"/>
      <c r="Y834" s="61"/>
      <c r="Z834" s="5"/>
      <c r="AA834" s="5"/>
      <c r="AB834" s="5"/>
      <c r="AC834" s="5"/>
      <c r="AD834" s="5"/>
      <c r="AE834" s="5"/>
      <c r="AF834" s="5"/>
      <c r="AG834" s="5"/>
      <c r="AH834" s="6"/>
      <c r="AI834" s="87">
        <v>45127</v>
      </c>
      <c r="AJ834" s="53">
        <v>138.38</v>
      </c>
      <c r="AK834" s="54">
        <f t="shared" si="132"/>
        <v>2.1405373486861556E-2</v>
      </c>
      <c r="AL834" s="55">
        <f t="shared" si="135"/>
        <v>15.161293313925094</v>
      </c>
      <c r="AM834" s="56">
        <v>25</v>
      </c>
      <c r="AN834" s="57">
        <f t="shared" si="133"/>
        <v>9.8387066860749055</v>
      </c>
      <c r="AO834" s="76">
        <f t="shared" si="136"/>
        <v>11.278417867059073</v>
      </c>
      <c r="AP834" s="63" t="str">
        <f t="shared" si="137"/>
        <v>Buy Stocks</v>
      </c>
      <c r="AQ834" s="63" t="str">
        <f t="shared" si="138"/>
        <v/>
      </c>
      <c r="AR834" s="63" t="str">
        <f t="shared" si="139"/>
        <v/>
      </c>
      <c r="AS834" s="63" t="str">
        <f t="shared" si="140"/>
        <v/>
      </c>
      <c r="AT834" s="78" t="str">
        <f t="shared" si="141"/>
        <v/>
      </c>
      <c r="AU834" s="78" t="str">
        <f t="shared" si="142"/>
        <v/>
      </c>
      <c r="AV834" s="64" t="str">
        <f ca="1">IFERROR(__xludf.DUMMYFUNCTION("IF(TRIM(AU834)="""","""",AU834/INDEX(FILTER(AT$3:AT834,TRIM(AT$3:AT834)&lt;&gt;""""),ROWS(FILTER(AT$3:AT834,TRIM(AT$3:AT834)&lt;&gt;"""")))-1)"),"")</f>
        <v/>
      </c>
      <c r="AW834" s="65" t="e">
        <f t="shared" ca="1" si="134"/>
        <v>#VALUE!</v>
      </c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</row>
    <row r="835" spans="1:68" ht="19" x14ac:dyDescent="0.25">
      <c r="A835" s="5"/>
      <c r="B835" s="5"/>
      <c r="C835" s="5"/>
      <c r="D835" s="5"/>
      <c r="E835" s="5"/>
      <c r="F835" s="5"/>
      <c r="G835" s="5"/>
      <c r="H835" s="6"/>
      <c r="I835" s="5"/>
      <c r="J835" s="83"/>
      <c r="K835" s="83"/>
      <c r="L835" s="83"/>
      <c r="M835" s="83"/>
      <c r="N835" s="83"/>
      <c r="O835" s="83"/>
      <c r="P835" s="83"/>
      <c r="Q835" s="84"/>
      <c r="R835" s="83"/>
      <c r="S835" s="83"/>
      <c r="T835" s="85"/>
      <c r="U835" s="6"/>
      <c r="V835" s="87">
        <v>45128</v>
      </c>
      <c r="W835" s="45">
        <v>138.94</v>
      </c>
      <c r="X835" s="46"/>
      <c r="Y835" s="61"/>
      <c r="Z835" s="5"/>
      <c r="AA835" s="5"/>
      <c r="AB835" s="5"/>
      <c r="AC835" s="5"/>
      <c r="AD835" s="5"/>
      <c r="AE835" s="5"/>
      <c r="AF835" s="5"/>
      <c r="AG835" s="5"/>
      <c r="AH835" s="6"/>
      <c r="AI835" s="87">
        <v>45128</v>
      </c>
      <c r="AJ835" s="53">
        <v>138.94</v>
      </c>
      <c r="AK835" s="54">
        <f t="shared" ref="AK835:AK898" si="143">AJ835/AJ834-1</f>
        <v>4.0468275762393091E-3</v>
      </c>
      <c r="AL835" s="55">
        <f t="shared" si="135"/>
        <v>12.518739434457915</v>
      </c>
      <c r="AM835" s="56">
        <v>25</v>
      </c>
      <c r="AN835" s="57">
        <f t="shared" ref="AN835:AN898" si="144">AM835-AL835</f>
        <v>12.481260565542085</v>
      </c>
      <c r="AO835" s="76">
        <f t="shared" si="136"/>
        <v>11.849001024566538</v>
      </c>
      <c r="AP835" s="63" t="str">
        <f t="shared" si="137"/>
        <v>Buy Stocks</v>
      </c>
      <c r="AQ835" s="63" t="str">
        <f t="shared" si="138"/>
        <v/>
      </c>
      <c r="AR835" s="63" t="str">
        <f t="shared" si="139"/>
        <v/>
      </c>
      <c r="AS835" s="63" t="str">
        <f t="shared" si="140"/>
        <v/>
      </c>
      <c r="AT835" s="78" t="str">
        <f t="shared" si="141"/>
        <v/>
      </c>
      <c r="AU835" s="78" t="str">
        <f t="shared" si="142"/>
        <v/>
      </c>
      <c r="AV835" s="64" t="str">
        <f ca="1">IFERROR(__xludf.DUMMYFUNCTION("IF(TRIM(AU835)="""","""",AU835/INDEX(FILTER(AT$3:AT835,TRIM(AT$3:AT835)&lt;&gt;""""),ROWS(FILTER(AT$3:AT835,TRIM(AT$3:AT835)&lt;&gt;"""")))-1)"),"")</f>
        <v/>
      </c>
      <c r="AW835" s="65" t="e">
        <f t="shared" ref="AW835:AW898" ca="1" si="145">AW834*(1+AV835)</f>
        <v>#VALUE!</v>
      </c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</row>
    <row r="836" spans="1:68" ht="19" x14ac:dyDescent="0.25">
      <c r="A836" s="5"/>
      <c r="B836" s="5"/>
      <c r="C836" s="5"/>
      <c r="D836" s="5"/>
      <c r="E836" s="5"/>
      <c r="F836" s="5"/>
      <c r="G836" s="5"/>
      <c r="H836" s="6"/>
      <c r="I836" s="5"/>
      <c r="J836" s="83"/>
      <c r="K836" s="83"/>
      <c r="L836" s="83"/>
      <c r="M836" s="83"/>
      <c r="N836" s="83"/>
      <c r="O836" s="83"/>
      <c r="P836" s="83"/>
      <c r="Q836" s="84"/>
      <c r="R836" s="83"/>
      <c r="S836" s="83"/>
      <c r="T836" s="85"/>
      <c r="U836" s="6"/>
      <c r="V836" s="44">
        <v>45131</v>
      </c>
      <c r="W836" s="45">
        <v>139.54</v>
      </c>
      <c r="X836" s="46"/>
      <c r="Y836" s="61"/>
      <c r="Z836" s="5"/>
      <c r="AA836" s="5"/>
      <c r="AB836" s="5"/>
      <c r="AC836" s="5"/>
      <c r="AD836" s="5"/>
      <c r="AE836" s="5"/>
      <c r="AF836" s="5"/>
      <c r="AG836" s="5"/>
      <c r="AH836" s="6"/>
      <c r="AI836" s="44">
        <v>45131</v>
      </c>
      <c r="AJ836" s="53">
        <v>139.54</v>
      </c>
      <c r="AK836" s="54">
        <f t="shared" si="143"/>
        <v>4.3184108248164321E-3</v>
      </c>
      <c r="AL836" s="55">
        <f t="shared" si="135"/>
        <v>12.783790339413869</v>
      </c>
      <c r="AM836" s="56">
        <v>25</v>
      </c>
      <c r="AN836" s="57">
        <f t="shared" si="144"/>
        <v>12.216209660586131</v>
      </c>
      <c r="AO836" s="76">
        <f t="shared" si="136"/>
        <v>12.36963017452153</v>
      </c>
      <c r="AP836" s="63" t="str">
        <f t="shared" si="137"/>
        <v>Buy Stocks</v>
      </c>
      <c r="AQ836" s="63" t="str">
        <f t="shared" si="138"/>
        <v/>
      </c>
      <c r="AR836" s="63" t="str">
        <f t="shared" si="139"/>
        <v/>
      </c>
      <c r="AS836" s="63" t="str">
        <f t="shared" si="140"/>
        <v/>
      </c>
      <c r="AT836" s="78" t="str">
        <f t="shared" si="141"/>
        <v/>
      </c>
      <c r="AU836" s="78" t="str">
        <f t="shared" si="142"/>
        <v/>
      </c>
      <c r="AV836" s="64" t="str">
        <f ca="1">IFERROR(__xludf.DUMMYFUNCTION("IF(TRIM(AU836)="""","""",AU836/INDEX(FILTER(AT$3:AT836,TRIM(AT$3:AT836)&lt;&gt;""""),ROWS(FILTER(AT$3:AT836,TRIM(AT$3:AT836)&lt;&gt;"""")))-1)"),"")</f>
        <v/>
      </c>
      <c r="AW836" s="65" t="e">
        <f t="shared" ca="1" si="145"/>
        <v>#VALUE!</v>
      </c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</row>
    <row r="837" spans="1:68" ht="19" x14ac:dyDescent="0.25">
      <c r="A837" s="5"/>
      <c r="B837" s="5"/>
      <c r="C837" s="5"/>
      <c r="D837" s="5"/>
      <c r="E837" s="5"/>
      <c r="F837" s="5"/>
      <c r="G837" s="5"/>
      <c r="H837" s="6"/>
      <c r="I837" s="5"/>
      <c r="J837" s="83"/>
      <c r="K837" s="83"/>
      <c r="L837" s="83"/>
      <c r="M837" s="83"/>
      <c r="N837" s="83"/>
      <c r="O837" s="83"/>
      <c r="P837" s="83"/>
      <c r="Q837" s="84"/>
      <c r="R837" s="83"/>
      <c r="S837" s="83"/>
      <c r="T837" s="85"/>
      <c r="U837" s="6"/>
      <c r="V837" s="44">
        <v>45132</v>
      </c>
      <c r="W837" s="45">
        <v>140.33000000000001</v>
      </c>
      <c r="X837" s="46"/>
      <c r="Y837" s="61"/>
      <c r="Z837" s="5"/>
      <c r="AA837" s="5"/>
      <c r="AB837" s="5"/>
      <c r="AC837" s="5"/>
      <c r="AD837" s="5"/>
      <c r="AE837" s="5"/>
      <c r="AF837" s="5"/>
      <c r="AG837" s="5"/>
      <c r="AH837" s="6"/>
      <c r="AI837" s="44">
        <v>45132</v>
      </c>
      <c r="AJ837" s="53">
        <v>140.33000000000001</v>
      </c>
      <c r="AK837" s="54">
        <f t="shared" si="143"/>
        <v>5.6614590798338416E-3</v>
      </c>
      <c r="AL837" s="55">
        <f t="shared" si="135"/>
        <v>12.853584822178968</v>
      </c>
      <c r="AM837" s="56">
        <v>25</v>
      </c>
      <c r="AN837" s="57">
        <f t="shared" si="144"/>
        <v>12.146415177821032</v>
      </c>
      <c r="AO837" s="76">
        <f t="shared" si="136"/>
        <v>12.6488790130296</v>
      </c>
      <c r="AP837" s="63" t="str">
        <f t="shared" si="137"/>
        <v>Buy Stocks</v>
      </c>
      <c r="AQ837" s="63" t="str">
        <f t="shared" si="138"/>
        <v/>
      </c>
      <c r="AR837" s="63" t="str">
        <f t="shared" si="139"/>
        <v/>
      </c>
      <c r="AS837" s="63" t="str">
        <f t="shared" si="140"/>
        <v/>
      </c>
      <c r="AT837" s="78" t="str">
        <f t="shared" si="141"/>
        <v/>
      </c>
      <c r="AU837" s="78" t="str">
        <f t="shared" si="142"/>
        <v/>
      </c>
      <c r="AV837" s="64" t="str">
        <f ca="1">IFERROR(__xludf.DUMMYFUNCTION("IF(TRIM(AU837)="""","""",AU837/INDEX(FILTER(AT$3:AT837,TRIM(AT$3:AT837)&lt;&gt;""""),ROWS(FILTER(AT$3:AT837,TRIM(AT$3:AT837)&lt;&gt;"""")))-1)"),"")</f>
        <v/>
      </c>
      <c r="AW837" s="65" t="e">
        <f t="shared" ca="1" si="145"/>
        <v>#VALUE!</v>
      </c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</row>
    <row r="838" spans="1:68" ht="19" x14ac:dyDescent="0.25">
      <c r="A838" s="5"/>
      <c r="B838" s="5"/>
      <c r="C838" s="5"/>
      <c r="D838" s="5"/>
      <c r="E838" s="5"/>
      <c r="F838" s="5"/>
      <c r="G838" s="5"/>
      <c r="H838" s="6"/>
      <c r="I838" s="5"/>
      <c r="J838" s="83"/>
      <c r="K838" s="83"/>
      <c r="L838" s="83"/>
      <c r="M838" s="83"/>
      <c r="N838" s="83"/>
      <c r="O838" s="83"/>
      <c r="P838" s="83"/>
      <c r="Q838" s="84"/>
      <c r="R838" s="83"/>
      <c r="S838" s="83"/>
      <c r="T838" s="85"/>
      <c r="U838" s="6"/>
      <c r="V838" s="44">
        <v>45133</v>
      </c>
      <c r="W838" s="45">
        <v>141.07</v>
      </c>
      <c r="X838" s="46"/>
      <c r="Y838" s="61"/>
      <c r="Z838" s="5"/>
      <c r="AA838" s="5"/>
      <c r="AB838" s="5"/>
      <c r="AC838" s="5"/>
      <c r="AD838" s="5"/>
      <c r="AE838" s="5"/>
      <c r="AF838" s="5"/>
      <c r="AG838" s="5"/>
      <c r="AH838" s="6"/>
      <c r="AI838" s="44">
        <v>45133</v>
      </c>
      <c r="AJ838" s="53">
        <v>141.07</v>
      </c>
      <c r="AK838" s="54">
        <f t="shared" si="143"/>
        <v>5.2732844010545676E-3</v>
      </c>
      <c r="AL838" s="55">
        <f t="shared" si="135"/>
        <v>11.817980881599603</v>
      </c>
      <c r="AM838" s="56">
        <v>25</v>
      </c>
      <c r="AN838" s="57">
        <f t="shared" si="144"/>
        <v>13.182019118400397</v>
      </c>
      <c r="AO838" s="76">
        <f t="shared" si="136"/>
        <v>11.972922241684909</v>
      </c>
      <c r="AP838" s="63" t="str">
        <f t="shared" si="137"/>
        <v>Buy Stocks</v>
      </c>
      <c r="AQ838" s="63" t="str">
        <f t="shared" si="138"/>
        <v/>
      </c>
      <c r="AR838" s="63" t="str">
        <f t="shared" si="139"/>
        <v/>
      </c>
      <c r="AS838" s="63" t="str">
        <f t="shared" si="140"/>
        <v/>
      </c>
      <c r="AT838" s="78" t="str">
        <f t="shared" si="141"/>
        <v/>
      </c>
      <c r="AU838" s="78" t="str">
        <f t="shared" si="142"/>
        <v/>
      </c>
      <c r="AV838" s="64" t="str">
        <f ca="1">IFERROR(__xludf.DUMMYFUNCTION("IF(TRIM(AU838)="""","""",AU838/INDEX(FILTER(AT$3:AT838,TRIM(AT$3:AT838)&lt;&gt;""""),ROWS(FILTER(AT$3:AT838,TRIM(AT$3:AT838)&lt;&gt;"""")))-1)"),"")</f>
        <v/>
      </c>
      <c r="AW838" s="65" t="e">
        <f t="shared" ca="1" si="145"/>
        <v>#VALUE!</v>
      </c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</row>
    <row r="839" spans="1:68" ht="19" x14ac:dyDescent="0.25">
      <c r="A839" s="5"/>
      <c r="B839" s="5"/>
      <c r="C839" s="5"/>
      <c r="D839" s="5"/>
      <c r="E839" s="5"/>
      <c r="F839" s="5"/>
      <c r="G839" s="5"/>
      <c r="H839" s="6"/>
      <c r="I839" s="5"/>
      <c r="J839" s="83"/>
      <c r="K839" s="83"/>
      <c r="L839" s="83"/>
      <c r="M839" s="83"/>
      <c r="N839" s="83"/>
      <c r="O839" s="83"/>
      <c r="P839" s="83"/>
      <c r="Q839" s="84"/>
      <c r="R839" s="83"/>
      <c r="S839" s="83"/>
      <c r="T839" s="85"/>
      <c r="U839" s="6"/>
      <c r="V839" s="44">
        <v>45134</v>
      </c>
      <c r="W839" s="45">
        <v>142.97</v>
      </c>
      <c r="X839" s="46"/>
      <c r="Y839" s="61"/>
      <c r="Z839" s="5"/>
      <c r="AA839" s="5"/>
      <c r="AB839" s="5"/>
      <c r="AC839" s="5"/>
      <c r="AD839" s="5"/>
      <c r="AE839" s="5"/>
      <c r="AF839" s="5"/>
      <c r="AG839" s="5"/>
      <c r="AH839" s="6"/>
      <c r="AI839" s="44">
        <v>45134</v>
      </c>
      <c r="AJ839" s="53">
        <v>142.97</v>
      </c>
      <c r="AK839" s="54">
        <f t="shared" si="143"/>
        <v>1.3468490820160328E-2</v>
      </c>
      <c r="AL839" s="55">
        <f t="shared" ref="AL839:AL902" si="146">_xlfn.STDEV.S(AK835:AK839)*SQRT(252)*100</f>
        <v>6.2261075136553581</v>
      </c>
      <c r="AM839" s="56">
        <v>25</v>
      </c>
      <c r="AN839" s="57">
        <f t="shared" si="144"/>
        <v>18.773892486344643</v>
      </c>
      <c r="AO839" s="76">
        <f t="shared" ref="AO839:AO902" si="147">AVERAGE(AN835:AN839)</f>
        <v>13.759959401738859</v>
      </c>
      <c r="AP839" s="63" t="str">
        <f t="shared" ref="AP839:AP902" si="148">IF(AO839&gt;0,"Buy Stocks","")</f>
        <v>Buy Stocks</v>
      </c>
      <c r="AQ839" s="63" t="str">
        <f t="shared" ref="AQ839:AQ902" si="149">IF(AO839&lt;0,"Sell Stocks","")</f>
        <v/>
      </c>
      <c r="AR839" s="63" t="str">
        <f t="shared" ref="AR839:AR902" si="150">IF(AND(AP839="Buy Stocks",AP838=""),"Buy Stocks","")</f>
        <v/>
      </c>
      <c r="AS839" s="63" t="str">
        <f t="shared" ref="AS839:AS902" si="151">IF(AND(AQ839="Sell Stocks",AQ838=""),"Sell Stocks","")</f>
        <v/>
      </c>
      <c r="AT839" s="78" t="str">
        <f t="shared" ref="AT839:AT902" si="152">IF(AR839="Buy Stocks",AJ839,"")</f>
        <v/>
      </c>
      <c r="AU839" s="78" t="str">
        <f t="shared" ref="AU839:AU902" si="153">IF(AS839="Sell Stocks",AJ839,"")</f>
        <v/>
      </c>
      <c r="AV839" s="64" t="str">
        <f ca="1">IFERROR(__xludf.DUMMYFUNCTION("IF(TRIM(AU839)="""","""",AU839/INDEX(FILTER(AT$3:AT839,TRIM(AT$3:AT839)&lt;&gt;""""),ROWS(FILTER(AT$3:AT839,TRIM(AT$3:AT839)&lt;&gt;"""")))-1)"),"")</f>
        <v/>
      </c>
      <c r="AW839" s="65" t="e">
        <f t="shared" ca="1" si="145"/>
        <v>#VALUE!</v>
      </c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</row>
    <row r="840" spans="1:68" ht="19" x14ac:dyDescent="0.25">
      <c r="A840" s="5"/>
      <c r="B840" s="5"/>
      <c r="C840" s="5"/>
      <c r="D840" s="5"/>
      <c r="E840" s="5"/>
      <c r="F840" s="5"/>
      <c r="G840" s="5"/>
      <c r="H840" s="6"/>
      <c r="I840" s="5"/>
      <c r="J840" s="83"/>
      <c r="K840" s="83"/>
      <c r="L840" s="83"/>
      <c r="M840" s="83"/>
      <c r="N840" s="83"/>
      <c r="O840" s="83"/>
      <c r="P840" s="83"/>
      <c r="Q840" s="84"/>
      <c r="R840" s="83"/>
      <c r="S840" s="83"/>
      <c r="T840" s="85"/>
      <c r="U840" s="6"/>
      <c r="V840" s="44">
        <v>45135</v>
      </c>
      <c r="W840" s="45">
        <v>143.44999999999999</v>
      </c>
      <c r="X840" s="46"/>
      <c r="Y840" s="61"/>
      <c r="Z840" s="5"/>
      <c r="AA840" s="5"/>
      <c r="AB840" s="5"/>
      <c r="AC840" s="5"/>
      <c r="AD840" s="5"/>
      <c r="AE840" s="5"/>
      <c r="AF840" s="5"/>
      <c r="AG840" s="5"/>
      <c r="AH840" s="6"/>
      <c r="AI840" s="44">
        <v>45135</v>
      </c>
      <c r="AJ840" s="53">
        <v>143.44999999999999</v>
      </c>
      <c r="AK840" s="54">
        <f t="shared" si="143"/>
        <v>3.3573476953205894E-3</v>
      </c>
      <c r="AL840" s="55">
        <f t="shared" si="146"/>
        <v>6.4173074430016532</v>
      </c>
      <c r="AM840" s="56">
        <v>25</v>
      </c>
      <c r="AN840" s="57">
        <f t="shared" si="144"/>
        <v>18.582692556998346</v>
      </c>
      <c r="AO840" s="76">
        <f t="shared" si="147"/>
        <v>14.98024580003011</v>
      </c>
      <c r="AP840" s="63" t="str">
        <f t="shared" si="148"/>
        <v>Buy Stocks</v>
      </c>
      <c r="AQ840" s="63" t="str">
        <f t="shared" si="149"/>
        <v/>
      </c>
      <c r="AR840" s="63" t="str">
        <f t="shared" si="150"/>
        <v/>
      </c>
      <c r="AS840" s="63" t="str">
        <f t="shared" si="151"/>
        <v/>
      </c>
      <c r="AT840" s="78" t="str">
        <f t="shared" si="152"/>
        <v/>
      </c>
      <c r="AU840" s="78" t="str">
        <f t="shared" si="153"/>
        <v/>
      </c>
      <c r="AV840" s="64" t="str">
        <f ca="1">IFERROR(__xludf.DUMMYFUNCTION("IF(TRIM(AU840)="""","""",AU840/INDEX(FILTER(AT$3:AT840,TRIM(AT$3:AT840)&lt;&gt;""""),ROWS(FILTER(AT$3:AT840,TRIM(AT$3:AT840)&lt;&gt;"""")))-1)"),"")</f>
        <v/>
      </c>
      <c r="AW840" s="65" t="e">
        <f t="shared" ca="1" si="145"/>
        <v>#VALUE!</v>
      </c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</row>
    <row r="841" spans="1:68" ht="19" x14ac:dyDescent="0.25">
      <c r="A841" s="5"/>
      <c r="B841" s="5"/>
      <c r="C841" s="5"/>
      <c r="D841" s="5"/>
      <c r="E841" s="5"/>
      <c r="F841" s="5"/>
      <c r="G841" s="5"/>
      <c r="H841" s="6"/>
      <c r="I841" s="5"/>
      <c r="J841" s="83"/>
      <c r="K841" s="83"/>
      <c r="L841" s="83"/>
      <c r="M841" s="83"/>
      <c r="N841" s="83"/>
      <c r="O841" s="83"/>
      <c r="P841" s="83"/>
      <c r="Q841" s="84"/>
      <c r="R841" s="83"/>
      <c r="S841" s="83"/>
      <c r="T841" s="85"/>
      <c r="U841" s="6"/>
      <c r="V841" s="44">
        <v>45138</v>
      </c>
      <c r="W841" s="45">
        <v>144.18</v>
      </c>
      <c r="X841" s="46"/>
      <c r="Y841" s="61"/>
      <c r="Z841" s="5"/>
      <c r="AA841" s="5"/>
      <c r="AB841" s="5"/>
      <c r="AC841" s="5"/>
      <c r="AD841" s="5"/>
      <c r="AE841" s="5"/>
      <c r="AF841" s="5"/>
      <c r="AG841" s="5"/>
      <c r="AH841" s="6"/>
      <c r="AI841" s="44">
        <v>45138</v>
      </c>
      <c r="AJ841" s="53">
        <v>144.18</v>
      </c>
      <c r="AK841" s="54">
        <f t="shared" si="143"/>
        <v>5.0888811432556746E-3</v>
      </c>
      <c r="AL841" s="55">
        <f t="shared" si="146"/>
        <v>6.2805169430948453</v>
      </c>
      <c r="AM841" s="56">
        <v>25</v>
      </c>
      <c r="AN841" s="57">
        <f t="shared" si="144"/>
        <v>18.719483056905155</v>
      </c>
      <c r="AO841" s="76">
        <f t="shared" si="147"/>
        <v>16.280900479293916</v>
      </c>
      <c r="AP841" s="63" t="str">
        <f t="shared" si="148"/>
        <v>Buy Stocks</v>
      </c>
      <c r="AQ841" s="63" t="str">
        <f t="shared" si="149"/>
        <v/>
      </c>
      <c r="AR841" s="63" t="str">
        <f t="shared" si="150"/>
        <v/>
      </c>
      <c r="AS841" s="63" t="str">
        <f t="shared" si="151"/>
        <v/>
      </c>
      <c r="AT841" s="78" t="str">
        <f t="shared" si="152"/>
        <v/>
      </c>
      <c r="AU841" s="78" t="str">
        <f t="shared" si="153"/>
        <v/>
      </c>
      <c r="AV841" s="64" t="str">
        <f ca="1">IFERROR(__xludf.DUMMYFUNCTION("IF(TRIM(AU841)="""","""",AU841/INDEX(FILTER(AT$3:AT841,TRIM(AT$3:AT841)&lt;&gt;""""),ROWS(FILTER(AT$3:AT841,TRIM(AT$3:AT841)&lt;&gt;"""")))-1)"),"")</f>
        <v/>
      </c>
      <c r="AW841" s="65" t="e">
        <f t="shared" ca="1" si="145"/>
        <v>#VALUE!</v>
      </c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</row>
    <row r="842" spans="1:68" ht="19" x14ac:dyDescent="0.25">
      <c r="A842" s="5"/>
      <c r="B842" s="5"/>
      <c r="C842" s="5"/>
      <c r="D842" s="5"/>
      <c r="E842" s="5"/>
      <c r="F842" s="5"/>
      <c r="G842" s="5"/>
      <c r="H842" s="6"/>
      <c r="I842" s="5"/>
      <c r="J842" s="83"/>
      <c r="K842" s="83"/>
      <c r="L842" s="83"/>
      <c r="M842" s="83"/>
      <c r="N842" s="83"/>
      <c r="O842" s="83"/>
      <c r="P842" s="83"/>
      <c r="Q842" s="84"/>
      <c r="R842" s="83"/>
      <c r="S842" s="83"/>
      <c r="T842" s="85"/>
      <c r="U842" s="6"/>
      <c r="V842" s="44">
        <v>45139</v>
      </c>
      <c r="W842" s="45">
        <v>143.33000000000001</v>
      </c>
      <c r="X842" s="46"/>
      <c r="Y842" s="61"/>
      <c r="Z842" s="5"/>
      <c r="AA842" s="5"/>
      <c r="AB842" s="5"/>
      <c r="AC842" s="5"/>
      <c r="AD842" s="5"/>
      <c r="AE842" s="5"/>
      <c r="AF842" s="5"/>
      <c r="AG842" s="5"/>
      <c r="AH842" s="6"/>
      <c r="AI842" s="44">
        <v>45139</v>
      </c>
      <c r="AJ842" s="53">
        <v>143.33000000000001</v>
      </c>
      <c r="AK842" s="54">
        <f t="shared" si="143"/>
        <v>-5.8954085171313286E-3</v>
      </c>
      <c r="AL842" s="55">
        <f t="shared" si="146"/>
        <v>10.953904619416818</v>
      </c>
      <c r="AM842" s="56">
        <v>25</v>
      </c>
      <c r="AN842" s="57">
        <f t="shared" si="144"/>
        <v>14.046095380583182</v>
      </c>
      <c r="AO842" s="76">
        <f t="shared" si="147"/>
        <v>16.660836519846345</v>
      </c>
      <c r="AP842" s="63" t="str">
        <f t="shared" si="148"/>
        <v>Buy Stocks</v>
      </c>
      <c r="AQ842" s="63" t="str">
        <f t="shared" si="149"/>
        <v/>
      </c>
      <c r="AR842" s="63" t="str">
        <f t="shared" si="150"/>
        <v/>
      </c>
      <c r="AS842" s="63" t="str">
        <f t="shared" si="151"/>
        <v/>
      </c>
      <c r="AT842" s="78" t="str">
        <f t="shared" si="152"/>
        <v/>
      </c>
      <c r="AU842" s="78" t="str">
        <f t="shared" si="153"/>
        <v/>
      </c>
      <c r="AV842" s="64" t="str">
        <f ca="1">IFERROR(__xludf.DUMMYFUNCTION("IF(TRIM(AU842)="""","""",AU842/INDEX(FILTER(AT$3:AT842,TRIM(AT$3:AT842)&lt;&gt;""""),ROWS(FILTER(AT$3:AT842,TRIM(AT$3:AT842)&lt;&gt;"""")))-1)"),"")</f>
        <v/>
      </c>
      <c r="AW842" s="65" t="e">
        <f t="shared" ca="1" si="145"/>
        <v>#VALUE!</v>
      </c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</row>
    <row r="843" spans="1:68" ht="19" x14ac:dyDescent="0.25">
      <c r="A843" s="5"/>
      <c r="B843" s="5"/>
      <c r="C843" s="5"/>
      <c r="D843" s="5"/>
      <c r="E843" s="5"/>
      <c r="F843" s="5"/>
      <c r="G843" s="5"/>
      <c r="H843" s="6"/>
      <c r="I843" s="5"/>
      <c r="J843" s="83"/>
      <c r="K843" s="83"/>
      <c r="L843" s="83"/>
      <c r="M843" s="83"/>
      <c r="N843" s="83"/>
      <c r="O843" s="83"/>
      <c r="P843" s="83"/>
      <c r="Q843" s="84"/>
      <c r="R843" s="83"/>
      <c r="S843" s="83"/>
      <c r="T843" s="85"/>
      <c r="U843" s="6"/>
      <c r="V843" s="87">
        <v>45140</v>
      </c>
      <c r="W843" s="45">
        <v>144.16999999999999</v>
      </c>
      <c r="X843" s="46"/>
      <c r="Y843" s="61"/>
      <c r="Z843" s="5"/>
      <c r="AA843" s="5"/>
      <c r="AB843" s="5"/>
      <c r="AC843" s="5"/>
      <c r="AD843" s="5"/>
      <c r="AE843" s="5"/>
      <c r="AF843" s="5"/>
      <c r="AG843" s="5"/>
      <c r="AH843" s="6"/>
      <c r="AI843" s="87">
        <v>45140</v>
      </c>
      <c r="AJ843" s="53">
        <v>144.16999999999999</v>
      </c>
      <c r="AK843" s="54">
        <f t="shared" si="143"/>
        <v>5.8606014093349756E-3</v>
      </c>
      <c r="AL843" s="55">
        <f t="shared" si="146"/>
        <v>10.996036688018904</v>
      </c>
      <c r="AM843" s="56">
        <v>25</v>
      </c>
      <c r="AN843" s="57">
        <f t="shared" si="144"/>
        <v>14.003963311981096</v>
      </c>
      <c r="AO843" s="76">
        <f t="shared" si="147"/>
        <v>16.825225358562484</v>
      </c>
      <c r="AP843" s="63" t="str">
        <f t="shared" si="148"/>
        <v>Buy Stocks</v>
      </c>
      <c r="AQ843" s="63" t="str">
        <f t="shared" si="149"/>
        <v/>
      </c>
      <c r="AR843" s="63" t="str">
        <f t="shared" si="150"/>
        <v/>
      </c>
      <c r="AS843" s="63" t="str">
        <f t="shared" si="151"/>
        <v/>
      </c>
      <c r="AT843" s="78" t="str">
        <f t="shared" si="152"/>
        <v/>
      </c>
      <c r="AU843" s="78" t="str">
        <f t="shared" si="153"/>
        <v/>
      </c>
      <c r="AV843" s="64" t="str">
        <f ca="1">IFERROR(__xludf.DUMMYFUNCTION("IF(TRIM(AU843)="""","""",AU843/INDEX(FILTER(AT$3:AT843,TRIM(AT$3:AT843)&lt;&gt;""""),ROWS(FILTER(AT$3:AT843,TRIM(AT$3:AT843)&lt;&gt;"""")))-1)"),"")</f>
        <v/>
      </c>
      <c r="AW843" s="65" t="e">
        <f t="shared" ca="1" si="145"/>
        <v>#VALUE!</v>
      </c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</row>
    <row r="844" spans="1:68" ht="19" x14ac:dyDescent="0.25">
      <c r="A844" s="5"/>
      <c r="B844" s="5"/>
      <c r="C844" s="5"/>
      <c r="D844" s="5"/>
      <c r="E844" s="5"/>
      <c r="F844" s="5"/>
      <c r="G844" s="5"/>
      <c r="H844" s="6"/>
      <c r="I844" s="5"/>
      <c r="J844" s="83"/>
      <c r="K844" s="83"/>
      <c r="L844" s="83"/>
      <c r="M844" s="83"/>
      <c r="N844" s="83"/>
      <c r="O844" s="83"/>
      <c r="P844" s="83"/>
      <c r="Q844" s="84"/>
      <c r="R844" s="83"/>
      <c r="S844" s="83"/>
      <c r="T844" s="85"/>
      <c r="U844" s="6"/>
      <c r="V844" s="87">
        <v>45141</v>
      </c>
      <c r="W844" s="45">
        <v>144.44999999999999</v>
      </c>
      <c r="X844" s="46"/>
      <c r="Y844" s="61"/>
      <c r="Z844" s="5"/>
      <c r="AA844" s="5"/>
      <c r="AB844" s="5"/>
      <c r="AC844" s="5"/>
      <c r="AD844" s="5"/>
      <c r="AE844" s="5"/>
      <c r="AF844" s="5"/>
      <c r="AG844" s="5"/>
      <c r="AH844" s="6"/>
      <c r="AI844" s="87">
        <v>45141</v>
      </c>
      <c r="AJ844" s="53">
        <v>144.44999999999999</v>
      </c>
      <c r="AK844" s="54">
        <f t="shared" si="143"/>
        <v>1.9421516265520911E-3</v>
      </c>
      <c r="AL844" s="55">
        <f t="shared" si="146"/>
        <v>7.4712980433335572</v>
      </c>
      <c r="AM844" s="56">
        <v>25</v>
      </c>
      <c r="AN844" s="57">
        <f t="shared" si="144"/>
        <v>17.528701956666442</v>
      </c>
      <c r="AO844" s="76">
        <f t="shared" si="147"/>
        <v>16.576187252626845</v>
      </c>
      <c r="AP844" s="63" t="str">
        <f t="shared" si="148"/>
        <v>Buy Stocks</v>
      </c>
      <c r="AQ844" s="63" t="str">
        <f t="shared" si="149"/>
        <v/>
      </c>
      <c r="AR844" s="63" t="str">
        <f t="shared" si="150"/>
        <v/>
      </c>
      <c r="AS844" s="63" t="str">
        <f t="shared" si="151"/>
        <v/>
      </c>
      <c r="AT844" s="78" t="str">
        <f t="shared" si="152"/>
        <v/>
      </c>
      <c r="AU844" s="78" t="str">
        <f t="shared" si="153"/>
        <v/>
      </c>
      <c r="AV844" s="64" t="str">
        <f ca="1">IFERROR(__xludf.DUMMYFUNCTION("IF(TRIM(AU844)="""","""",AU844/INDEX(FILTER(AT$3:AT844,TRIM(AT$3:AT844)&lt;&gt;""""),ROWS(FILTER(AT$3:AT844,TRIM(AT$3:AT844)&lt;&gt;"""")))-1)"),"")</f>
        <v/>
      </c>
      <c r="AW844" s="65" t="e">
        <f t="shared" ca="1" si="145"/>
        <v>#VALUE!</v>
      </c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</row>
    <row r="845" spans="1:68" ht="19" x14ac:dyDescent="0.25">
      <c r="A845" s="5"/>
      <c r="B845" s="5"/>
      <c r="C845" s="5"/>
      <c r="D845" s="5"/>
      <c r="E845" s="5"/>
      <c r="F845" s="5"/>
      <c r="G845" s="5"/>
      <c r="H845" s="6"/>
      <c r="I845" s="5"/>
      <c r="J845" s="83"/>
      <c r="K845" s="83"/>
      <c r="L845" s="83"/>
      <c r="M845" s="83"/>
      <c r="N845" s="83"/>
      <c r="O845" s="83"/>
      <c r="P845" s="83"/>
      <c r="Q845" s="84"/>
      <c r="R845" s="83"/>
      <c r="S845" s="83"/>
      <c r="T845" s="85"/>
      <c r="U845" s="6"/>
      <c r="V845" s="87">
        <v>45142</v>
      </c>
      <c r="W845" s="45">
        <v>144.24</v>
      </c>
      <c r="X845" s="46"/>
      <c r="Y845" s="61"/>
      <c r="Z845" s="5"/>
      <c r="AA845" s="5"/>
      <c r="AB845" s="5"/>
      <c r="AC845" s="5"/>
      <c r="AD845" s="5"/>
      <c r="AE845" s="5"/>
      <c r="AF845" s="5"/>
      <c r="AG845" s="5"/>
      <c r="AH845" s="6"/>
      <c r="AI845" s="87">
        <v>45142</v>
      </c>
      <c r="AJ845" s="53">
        <v>144.24</v>
      </c>
      <c r="AK845" s="54">
        <f t="shared" si="143"/>
        <v>-1.4537902388368495E-3</v>
      </c>
      <c r="AL845" s="55">
        <f t="shared" si="146"/>
        <v>7.7257228710950017</v>
      </c>
      <c r="AM845" s="56">
        <v>25</v>
      </c>
      <c r="AN845" s="57">
        <f t="shared" si="144"/>
        <v>17.274277128904998</v>
      </c>
      <c r="AO845" s="76">
        <f t="shared" si="147"/>
        <v>16.314504167008174</v>
      </c>
      <c r="AP845" s="63" t="str">
        <f t="shared" si="148"/>
        <v>Buy Stocks</v>
      </c>
      <c r="AQ845" s="63" t="str">
        <f t="shared" si="149"/>
        <v/>
      </c>
      <c r="AR845" s="63" t="str">
        <f t="shared" si="150"/>
        <v/>
      </c>
      <c r="AS845" s="63" t="str">
        <f t="shared" si="151"/>
        <v/>
      </c>
      <c r="AT845" s="78" t="str">
        <f t="shared" si="152"/>
        <v/>
      </c>
      <c r="AU845" s="78" t="str">
        <f t="shared" si="153"/>
        <v/>
      </c>
      <c r="AV845" s="64" t="str">
        <f ca="1">IFERROR(__xludf.DUMMYFUNCTION("IF(TRIM(AU845)="""","""",AU845/INDEX(FILTER(AT$3:AT845,TRIM(AT$3:AT845)&lt;&gt;""""),ROWS(FILTER(AT$3:AT845,TRIM(AT$3:AT845)&lt;&gt;"""")))-1)"),"")</f>
        <v/>
      </c>
      <c r="AW845" s="65" t="e">
        <f t="shared" ca="1" si="145"/>
        <v>#VALUE!</v>
      </c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</row>
    <row r="846" spans="1:68" ht="19" x14ac:dyDescent="0.25">
      <c r="A846" s="5"/>
      <c r="B846" s="5"/>
      <c r="C846" s="5"/>
      <c r="D846" s="5"/>
      <c r="E846" s="5"/>
      <c r="F846" s="5"/>
      <c r="G846" s="5"/>
      <c r="H846" s="6"/>
      <c r="I846" s="5"/>
      <c r="J846" s="83"/>
      <c r="K846" s="83"/>
      <c r="L846" s="83"/>
      <c r="M846" s="83"/>
      <c r="N846" s="83"/>
      <c r="O846" s="83"/>
      <c r="P846" s="83"/>
      <c r="Q846" s="84"/>
      <c r="R846" s="83"/>
      <c r="S846" s="83"/>
      <c r="T846" s="85"/>
      <c r="U846" s="6"/>
      <c r="V846" s="87">
        <v>45145</v>
      </c>
      <c r="W846" s="45">
        <v>146.18</v>
      </c>
      <c r="X846" s="46"/>
      <c r="Y846" s="61"/>
      <c r="Z846" s="5"/>
      <c r="AA846" s="5"/>
      <c r="AB846" s="5"/>
      <c r="AC846" s="5"/>
      <c r="AD846" s="5"/>
      <c r="AE846" s="5"/>
      <c r="AF846" s="5"/>
      <c r="AG846" s="5"/>
      <c r="AH846" s="6"/>
      <c r="AI846" s="87">
        <v>45145</v>
      </c>
      <c r="AJ846" s="53">
        <v>146.18</v>
      </c>
      <c r="AK846" s="54">
        <f t="shared" si="143"/>
        <v>1.3449805879090393E-2</v>
      </c>
      <c r="AL846" s="55">
        <f t="shared" si="146"/>
        <v>11.698352962283012</v>
      </c>
      <c r="AM846" s="56">
        <v>25</v>
      </c>
      <c r="AN846" s="57">
        <f t="shared" si="144"/>
        <v>13.301647037716988</v>
      </c>
      <c r="AO846" s="76">
        <f t="shared" si="147"/>
        <v>15.23093696317054</v>
      </c>
      <c r="AP846" s="63" t="str">
        <f t="shared" si="148"/>
        <v>Buy Stocks</v>
      </c>
      <c r="AQ846" s="63" t="str">
        <f t="shared" si="149"/>
        <v/>
      </c>
      <c r="AR846" s="63" t="str">
        <f t="shared" si="150"/>
        <v/>
      </c>
      <c r="AS846" s="63" t="str">
        <f t="shared" si="151"/>
        <v/>
      </c>
      <c r="AT846" s="78" t="str">
        <f t="shared" si="152"/>
        <v/>
      </c>
      <c r="AU846" s="78" t="str">
        <f t="shared" si="153"/>
        <v/>
      </c>
      <c r="AV846" s="64" t="str">
        <f ca="1">IFERROR(__xludf.DUMMYFUNCTION("IF(TRIM(AU846)="""","""",AU846/INDEX(FILTER(AT$3:AT846,TRIM(AT$3:AT846)&lt;&gt;""""),ROWS(FILTER(AT$3:AT846,TRIM(AT$3:AT846)&lt;&gt;"""")))-1)"),"")</f>
        <v/>
      </c>
      <c r="AW846" s="65" t="e">
        <f t="shared" ca="1" si="145"/>
        <v>#VALUE!</v>
      </c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</row>
    <row r="847" spans="1:68" ht="19" x14ac:dyDescent="0.25">
      <c r="A847" s="5"/>
      <c r="B847" s="5"/>
      <c r="C847" s="5"/>
      <c r="D847" s="5"/>
      <c r="E847" s="5"/>
      <c r="F847" s="5"/>
      <c r="G847" s="5"/>
      <c r="H847" s="6"/>
      <c r="I847" s="5"/>
      <c r="J847" s="83"/>
      <c r="K847" s="83"/>
      <c r="L847" s="83"/>
      <c r="M847" s="83"/>
      <c r="N847" s="83"/>
      <c r="O847" s="83"/>
      <c r="P847" s="83"/>
      <c r="Q847" s="84"/>
      <c r="R847" s="83"/>
      <c r="S847" s="83"/>
      <c r="T847" s="85"/>
      <c r="U847" s="6"/>
      <c r="V847" s="87">
        <v>45146</v>
      </c>
      <c r="W847" s="45">
        <v>145.91</v>
      </c>
      <c r="X847" s="46"/>
      <c r="Y847" s="61"/>
      <c r="Z847" s="5"/>
      <c r="AA847" s="5"/>
      <c r="AB847" s="5"/>
      <c r="AC847" s="5"/>
      <c r="AD847" s="5"/>
      <c r="AE847" s="5"/>
      <c r="AF847" s="5"/>
      <c r="AG847" s="5"/>
      <c r="AH847" s="6"/>
      <c r="AI847" s="87">
        <v>45146</v>
      </c>
      <c r="AJ847" s="53">
        <v>145.91</v>
      </c>
      <c r="AK847" s="54">
        <f t="shared" si="143"/>
        <v>-1.8470378984813962E-3</v>
      </c>
      <c r="AL847" s="55">
        <f t="shared" si="146"/>
        <v>10.04268115155627</v>
      </c>
      <c r="AM847" s="56">
        <v>25</v>
      </c>
      <c r="AN847" s="57">
        <f t="shared" si="144"/>
        <v>14.95731884844373</v>
      </c>
      <c r="AO847" s="76">
        <f t="shared" si="147"/>
        <v>15.413181656742651</v>
      </c>
      <c r="AP847" s="63" t="str">
        <f t="shared" si="148"/>
        <v>Buy Stocks</v>
      </c>
      <c r="AQ847" s="63" t="str">
        <f t="shared" si="149"/>
        <v/>
      </c>
      <c r="AR847" s="63" t="str">
        <f t="shared" si="150"/>
        <v/>
      </c>
      <c r="AS847" s="63" t="str">
        <f t="shared" si="151"/>
        <v/>
      </c>
      <c r="AT847" s="78" t="str">
        <f t="shared" si="152"/>
        <v/>
      </c>
      <c r="AU847" s="78" t="str">
        <f t="shared" si="153"/>
        <v/>
      </c>
      <c r="AV847" s="64" t="str">
        <f ca="1">IFERROR(__xludf.DUMMYFUNCTION("IF(TRIM(AU847)="""","""",AU847/INDEX(FILTER(AT$3:AT847,TRIM(AT$3:AT847)&lt;&gt;""""),ROWS(FILTER(AT$3:AT847,TRIM(AT$3:AT847)&lt;&gt;"""")))-1)"),"")</f>
        <v/>
      </c>
      <c r="AW847" s="65" t="e">
        <f t="shared" ca="1" si="145"/>
        <v>#VALUE!</v>
      </c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</row>
    <row r="848" spans="1:68" ht="19" x14ac:dyDescent="0.25">
      <c r="A848" s="5"/>
      <c r="B848" s="5"/>
      <c r="C848" s="5"/>
      <c r="D848" s="5"/>
      <c r="E848" s="5"/>
      <c r="F848" s="5"/>
      <c r="G848" s="5"/>
      <c r="H848" s="6"/>
      <c r="I848" s="5"/>
      <c r="J848" s="83"/>
      <c r="K848" s="83"/>
      <c r="L848" s="83"/>
      <c r="M848" s="83"/>
      <c r="N848" s="83"/>
      <c r="O848" s="83"/>
      <c r="P848" s="83"/>
      <c r="Q848" s="84"/>
      <c r="R848" s="83"/>
      <c r="S848" s="83"/>
      <c r="T848" s="85"/>
      <c r="U848" s="6"/>
      <c r="V848" s="87">
        <v>45147</v>
      </c>
      <c r="W848" s="45">
        <v>142.49</v>
      </c>
      <c r="X848" s="46"/>
      <c r="Y848" s="61"/>
      <c r="Z848" s="5"/>
      <c r="AA848" s="5"/>
      <c r="AB848" s="5"/>
      <c r="AC848" s="5"/>
      <c r="AD848" s="5"/>
      <c r="AE848" s="5"/>
      <c r="AF848" s="5"/>
      <c r="AG848" s="5"/>
      <c r="AH848" s="6"/>
      <c r="AI848" s="87">
        <v>45147</v>
      </c>
      <c r="AJ848" s="53">
        <v>142.49</v>
      </c>
      <c r="AK848" s="54">
        <f t="shared" si="143"/>
        <v>-2.3439106298403067E-2</v>
      </c>
      <c r="AL848" s="55">
        <f t="shared" si="146"/>
        <v>21.206445358115342</v>
      </c>
      <c r="AM848" s="56">
        <v>25</v>
      </c>
      <c r="AN848" s="57">
        <f t="shared" si="144"/>
        <v>3.7935546418846577</v>
      </c>
      <c r="AO848" s="76">
        <f t="shared" si="147"/>
        <v>13.371099922723364</v>
      </c>
      <c r="AP848" s="63" t="str">
        <f t="shared" si="148"/>
        <v>Buy Stocks</v>
      </c>
      <c r="AQ848" s="63" t="str">
        <f t="shared" si="149"/>
        <v/>
      </c>
      <c r="AR848" s="63" t="str">
        <f t="shared" si="150"/>
        <v/>
      </c>
      <c r="AS848" s="63" t="str">
        <f t="shared" si="151"/>
        <v/>
      </c>
      <c r="AT848" s="78" t="str">
        <f t="shared" si="152"/>
        <v/>
      </c>
      <c r="AU848" s="78" t="str">
        <f t="shared" si="153"/>
        <v/>
      </c>
      <c r="AV848" s="64" t="str">
        <f ca="1">IFERROR(__xludf.DUMMYFUNCTION("IF(TRIM(AU848)="""","""",AU848/INDEX(FILTER(AT$3:AT848,TRIM(AT$3:AT848)&lt;&gt;""""),ROWS(FILTER(AT$3:AT848,TRIM(AT$3:AT848)&lt;&gt;"""")))-1)"),"")</f>
        <v/>
      </c>
      <c r="AW848" s="65" t="e">
        <f t="shared" ca="1" si="145"/>
        <v>#VALUE!</v>
      </c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</row>
    <row r="849" spans="1:68" ht="19" x14ac:dyDescent="0.25">
      <c r="A849" s="5"/>
      <c r="B849" s="5"/>
      <c r="C849" s="5"/>
      <c r="D849" s="5"/>
      <c r="E849" s="5"/>
      <c r="F849" s="5"/>
      <c r="G849" s="5"/>
      <c r="H849" s="6"/>
      <c r="I849" s="5"/>
      <c r="J849" s="83"/>
      <c r="K849" s="83"/>
      <c r="L849" s="83"/>
      <c r="M849" s="83"/>
      <c r="N849" s="83"/>
      <c r="O849" s="83"/>
      <c r="P849" s="83"/>
      <c r="Q849" s="84"/>
      <c r="R849" s="83"/>
      <c r="S849" s="83"/>
      <c r="T849" s="85"/>
      <c r="U849" s="6"/>
      <c r="V849" s="87">
        <v>45148</v>
      </c>
      <c r="W849" s="45">
        <v>143.25</v>
      </c>
      <c r="X849" s="46"/>
      <c r="Y849" s="61"/>
      <c r="Z849" s="5"/>
      <c r="AA849" s="5"/>
      <c r="AB849" s="5"/>
      <c r="AC849" s="5"/>
      <c r="AD849" s="5"/>
      <c r="AE849" s="5"/>
      <c r="AF849" s="5"/>
      <c r="AG849" s="5"/>
      <c r="AH849" s="6"/>
      <c r="AI849" s="87">
        <v>45148</v>
      </c>
      <c r="AJ849" s="53">
        <v>143.25</v>
      </c>
      <c r="AK849" s="54">
        <f t="shared" si="143"/>
        <v>5.3337076286055218E-3</v>
      </c>
      <c r="AL849" s="55">
        <f t="shared" si="146"/>
        <v>21.760261371955686</v>
      </c>
      <c r="AM849" s="56">
        <v>25</v>
      </c>
      <c r="AN849" s="57">
        <f t="shared" si="144"/>
        <v>3.2397386280443143</v>
      </c>
      <c r="AO849" s="76">
        <f t="shared" si="147"/>
        <v>10.513307256998939</v>
      </c>
      <c r="AP849" s="63" t="str">
        <f t="shared" si="148"/>
        <v>Buy Stocks</v>
      </c>
      <c r="AQ849" s="63" t="str">
        <f t="shared" si="149"/>
        <v/>
      </c>
      <c r="AR849" s="63" t="str">
        <f t="shared" si="150"/>
        <v/>
      </c>
      <c r="AS849" s="63" t="str">
        <f t="shared" si="151"/>
        <v/>
      </c>
      <c r="AT849" s="78" t="str">
        <f t="shared" si="152"/>
        <v/>
      </c>
      <c r="AU849" s="78" t="str">
        <f t="shared" si="153"/>
        <v/>
      </c>
      <c r="AV849" s="64" t="str">
        <f ca="1">IFERROR(__xludf.DUMMYFUNCTION("IF(TRIM(AU849)="""","""",AU849/INDEX(FILTER(AT$3:AT849,TRIM(AT$3:AT849)&lt;&gt;""""),ROWS(FILTER(AT$3:AT849,TRIM(AT$3:AT849)&lt;&gt;"""")))-1)"),"")</f>
        <v/>
      </c>
      <c r="AW849" s="65" t="e">
        <f t="shared" ca="1" si="145"/>
        <v>#VALUE!</v>
      </c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</row>
    <row r="850" spans="1:68" ht="19" x14ac:dyDescent="0.25">
      <c r="A850" s="5"/>
      <c r="B850" s="5"/>
      <c r="C850" s="5"/>
      <c r="D850" s="5"/>
      <c r="E850" s="5"/>
      <c r="F850" s="5"/>
      <c r="G850" s="5"/>
      <c r="H850" s="6"/>
      <c r="I850" s="5"/>
      <c r="J850" s="83"/>
      <c r="K850" s="83"/>
      <c r="L850" s="83"/>
      <c r="M850" s="83"/>
      <c r="N850" s="83"/>
      <c r="O850" s="83"/>
      <c r="P850" s="83"/>
      <c r="Q850" s="84"/>
      <c r="R850" s="83"/>
      <c r="S850" s="83"/>
      <c r="T850" s="85"/>
      <c r="U850" s="6"/>
      <c r="V850" s="87">
        <v>45149</v>
      </c>
      <c r="W850" s="45">
        <v>143.12</v>
      </c>
      <c r="X850" s="46"/>
      <c r="Y850" s="61"/>
      <c r="Z850" s="5"/>
      <c r="AA850" s="5"/>
      <c r="AB850" s="5"/>
      <c r="AC850" s="5"/>
      <c r="AD850" s="5"/>
      <c r="AE850" s="5"/>
      <c r="AF850" s="5"/>
      <c r="AG850" s="5"/>
      <c r="AH850" s="6"/>
      <c r="AI850" s="87">
        <v>45149</v>
      </c>
      <c r="AJ850" s="53">
        <v>143.12</v>
      </c>
      <c r="AK850" s="54">
        <f t="shared" si="143"/>
        <v>-9.0750436300168769E-4</v>
      </c>
      <c r="AL850" s="55">
        <f t="shared" si="146"/>
        <v>21.765891267746298</v>
      </c>
      <c r="AM850" s="56">
        <v>25</v>
      </c>
      <c r="AN850" s="57">
        <f t="shared" si="144"/>
        <v>3.2341087322537021</v>
      </c>
      <c r="AO850" s="76">
        <f t="shared" si="147"/>
        <v>7.7052735776686792</v>
      </c>
      <c r="AP850" s="63" t="str">
        <f t="shared" si="148"/>
        <v>Buy Stocks</v>
      </c>
      <c r="AQ850" s="63" t="str">
        <f t="shared" si="149"/>
        <v/>
      </c>
      <c r="AR850" s="63" t="str">
        <f t="shared" si="150"/>
        <v/>
      </c>
      <c r="AS850" s="63" t="str">
        <f t="shared" si="151"/>
        <v/>
      </c>
      <c r="AT850" s="78" t="str">
        <f t="shared" si="152"/>
        <v/>
      </c>
      <c r="AU850" s="78" t="str">
        <f t="shared" si="153"/>
        <v/>
      </c>
      <c r="AV850" s="64" t="str">
        <f ca="1">IFERROR(__xludf.DUMMYFUNCTION("IF(TRIM(AU850)="""","""",AU850/INDEX(FILTER(AT$3:AT850,TRIM(AT$3:AT850)&lt;&gt;""""),ROWS(FILTER(AT$3:AT850,TRIM(AT$3:AT850)&lt;&gt;"""")))-1)"),"")</f>
        <v/>
      </c>
      <c r="AW850" s="65" t="e">
        <f t="shared" ca="1" si="145"/>
        <v>#VALUE!</v>
      </c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</row>
    <row r="851" spans="1:68" ht="19" x14ac:dyDescent="0.25">
      <c r="A851" s="5"/>
      <c r="B851" s="5"/>
      <c r="C851" s="5"/>
      <c r="D851" s="5"/>
      <c r="E851" s="5"/>
      <c r="F851" s="5"/>
      <c r="G851" s="5"/>
      <c r="H851" s="6"/>
      <c r="I851" s="5"/>
      <c r="J851" s="83"/>
      <c r="K851" s="83"/>
      <c r="L851" s="83"/>
      <c r="M851" s="83"/>
      <c r="N851" s="83"/>
      <c r="O851" s="83"/>
      <c r="P851" s="83"/>
      <c r="Q851" s="84"/>
      <c r="R851" s="83"/>
      <c r="S851" s="83"/>
      <c r="T851" s="85"/>
      <c r="U851" s="6"/>
      <c r="V851" s="87">
        <v>45152</v>
      </c>
      <c r="W851" s="45">
        <v>141.91</v>
      </c>
      <c r="X851" s="46"/>
      <c r="Y851" s="61"/>
      <c r="Z851" s="5"/>
      <c r="AA851" s="5"/>
      <c r="AB851" s="5"/>
      <c r="AC851" s="5"/>
      <c r="AD851" s="5"/>
      <c r="AE851" s="5"/>
      <c r="AF851" s="5"/>
      <c r="AG851" s="5"/>
      <c r="AH851" s="6"/>
      <c r="AI851" s="87">
        <v>45152</v>
      </c>
      <c r="AJ851" s="53">
        <v>141.91</v>
      </c>
      <c r="AK851" s="54">
        <f t="shared" si="143"/>
        <v>-8.454443823365021E-3</v>
      </c>
      <c r="AL851" s="55">
        <f t="shared" si="146"/>
        <v>17.42017031181064</v>
      </c>
      <c r="AM851" s="56">
        <v>25</v>
      </c>
      <c r="AN851" s="57">
        <f t="shared" si="144"/>
        <v>7.5798296881893599</v>
      </c>
      <c r="AO851" s="76">
        <f t="shared" si="147"/>
        <v>6.560910107763152</v>
      </c>
      <c r="AP851" s="63" t="str">
        <f t="shared" si="148"/>
        <v>Buy Stocks</v>
      </c>
      <c r="AQ851" s="63" t="str">
        <f t="shared" si="149"/>
        <v/>
      </c>
      <c r="AR851" s="63" t="str">
        <f t="shared" si="150"/>
        <v/>
      </c>
      <c r="AS851" s="63" t="str">
        <f t="shared" si="151"/>
        <v/>
      </c>
      <c r="AT851" s="78" t="str">
        <f t="shared" si="152"/>
        <v/>
      </c>
      <c r="AU851" s="78" t="str">
        <f t="shared" si="153"/>
        <v/>
      </c>
      <c r="AV851" s="64" t="str">
        <f ca="1">IFERROR(__xludf.DUMMYFUNCTION("IF(TRIM(AU851)="""","""",AU851/INDEX(FILTER(AT$3:AT851,TRIM(AT$3:AT851)&lt;&gt;""""),ROWS(FILTER(AT$3:AT851,TRIM(AT$3:AT851)&lt;&gt;"""")))-1)"),"")</f>
        <v/>
      </c>
      <c r="AW851" s="65" t="e">
        <f t="shared" ca="1" si="145"/>
        <v>#VALUE!</v>
      </c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</row>
    <row r="852" spans="1:68" ht="19" x14ac:dyDescent="0.25">
      <c r="A852" s="5"/>
      <c r="B852" s="5"/>
      <c r="C852" s="5"/>
      <c r="D852" s="5"/>
      <c r="E852" s="5"/>
      <c r="F852" s="5"/>
      <c r="G852" s="5"/>
      <c r="H852" s="6"/>
      <c r="I852" s="5"/>
      <c r="J852" s="83"/>
      <c r="K852" s="83"/>
      <c r="L852" s="83"/>
      <c r="M852" s="83"/>
      <c r="N852" s="83"/>
      <c r="O852" s="83"/>
      <c r="P852" s="83"/>
      <c r="Q852" s="84"/>
      <c r="R852" s="83"/>
      <c r="S852" s="83"/>
      <c r="T852" s="85"/>
      <c r="U852" s="6"/>
      <c r="V852" s="87">
        <v>45153</v>
      </c>
      <c r="W852" s="45">
        <v>141.87</v>
      </c>
      <c r="X852" s="46"/>
      <c r="Y852" s="61"/>
      <c r="Z852" s="5"/>
      <c r="AA852" s="5"/>
      <c r="AB852" s="5"/>
      <c r="AC852" s="5"/>
      <c r="AD852" s="5"/>
      <c r="AE852" s="5"/>
      <c r="AF852" s="5"/>
      <c r="AG852" s="5"/>
      <c r="AH852" s="6"/>
      <c r="AI852" s="87">
        <v>45153</v>
      </c>
      <c r="AJ852" s="53">
        <v>141.87</v>
      </c>
      <c r="AK852" s="54">
        <f t="shared" si="143"/>
        <v>-2.8186879007818799E-4</v>
      </c>
      <c r="AL852" s="55">
        <f t="shared" si="146"/>
        <v>17.680969956074112</v>
      </c>
      <c r="AM852" s="56">
        <v>25</v>
      </c>
      <c r="AN852" s="57">
        <f t="shared" si="144"/>
        <v>7.3190300439258884</v>
      </c>
      <c r="AO852" s="76">
        <f t="shared" si="147"/>
        <v>5.0332523468595847</v>
      </c>
      <c r="AP852" s="63" t="str">
        <f t="shared" si="148"/>
        <v>Buy Stocks</v>
      </c>
      <c r="AQ852" s="63" t="str">
        <f t="shared" si="149"/>
        <v/>
      </c>
      <c r="AR852" s="63" t="str">
        <f t="shared" si="150"/>
        <v/>
      </c>
      <c r="AS852" s="63" t="str">
        <f t="shared" si="151"/>
        <v/>
      </c>
      <c r="AT852" s="78" t="str">
        <f t="shared" si="152"/>
        <v/>
      </c>
      <c r="AU852" s="78" t="str">
        <f t="shared" si="153"/>
        <v/>
      </c>
      <c r="AV852" s="64" t="str">
        <f ca="1">IFERROR(__xludf.DUMMYFUNCTION("IF(TRIM(AU852)="""","""",AU852/INDEX(FILTER(AT$3:AT852,TRIM(AT$3:AT852)&lt;&gt;""""),ROWS(FILTER(AT$3:AT852,TRIM(AT$3:AT852)&lt;&gt;"""")))-1)"),"")</f>
        <v/>
      </c>
      <c r="AW852" s="65" t="e">
        <f t="shared" ca="1" si="145"/>
        <v>#VALUE!</v>
      </c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</row>
    <row r="853" spans="1:68" ht="19" x14ac:dyDescent="0.25">
      <c r="A853" s="5"/>
      <c r="B853" s="5"/>
      <c r="C853" s="5"/>
      <c r="D853" s="5"/>
      <c r="E853" s="5"/>
      <c r="F853" s="5"/>
      <c r="G853" s="5"/>
      <c r="H853" s="6"/>
      <c r="I853" s="5"/>
      <c r="J853" s="83"/>
      <c r="K853" s="83"/>
      <c r="L853" s="83"/>
      <c r="M853" s="83"/>
      <c r="N853" s="83"/>
      <c r="O853" s="83"/>
      <c r="P853" s="83"/>
      <c r="Q853" s="84"/>
      <c r="R853" s="83"/>
      <c r="S853" s="83"/>
      <c r="T853" s="85"/>
      <c r="U853" s="6"/>
      <c r="V853" s="87">
        <v>45154</v>
      </c>
      <c r="W853" s="45">
        <v>140.63999999999999</v>
      </c>
      <c r="X853" s="46"/>
      <c r="Y853" s="61"/>
      <c r="Z853" s="5"/>
      <c r="AA853" s="5"/>
      <c r="AB853" s="5"/>
      <c r="AC853" s="5"/>
      <c r="AD853" s="5"/>
      <c r="AE853" s="5"/>
      <c r="AF853" s="5"/>
      <c r="AG853" s="5"/>
      <c r="AH853" s="6"/>
      <c r="AI853" s="87">
        <v>45154</v>
      </c>
      <c r="AJ853" s="53">
        <v>140.63999999999999</v>
      </c>
      <c r="AK853" s="54">
        <f t="shared" si="143"/>
        <v>-8.6699090716855221E-3</v>
      </c>
      <c r="AL853" s="55">
        <f t="shared" si="146"/>
        <v>9.4683228796387731</v>
      </c>
      <c r="AM853" s="56">
        <v>25</v>
      </c>
      <c r="AN853" s="57">
        <f t="shared" si="144"/>
        <v>15.531677120361227</v>
      </c>
      <c r="AO853" s="76">
        <f t="shared" si="147"/>
        <v>7.3808768425548976</v>
      </c>
      <c r="AP853" s="63" t="str">
        <f t="shared" si="148"/>
        <v>Buy Stocks</v>
      </c>
      <c r="AQ853" s="63" t="str">
        <f t="shared" si="149"/>
        <v/>
      </c>
      <c r="AR853" s="63" t="str">
        <f t="shared" si="150"/>
        <v/>
      </c>
      <c r="AS853" s="63" t="str">
        <f t="shared" si="151"/>
        <v/>
      </c>
      <c r="AT853" s="78" t="str">
        <f t="shared" si="152"/>
        <v/>
      </c>
      <c r="AU853" s="78" t="str">
        <f t="shared" si="153"/>
        <v/>
      </c>
      <c r="AV853" s="64" t="str">
        <f ca="1">IFERROR(__xludf.DUMMYFUNCTION("IF(TRIM(AU853)="""","""",AU853/INDEX(FILTER(AT$3:AT853,TRIM(AT$3:AT853)&lt;&gt;""""),ROWS(FILTER(AT$3:AT853,TRIM(AT$3:AT853)&lt;&gt;"""")))-1)"),"")</f>
        <v/>
      </c>
      <c r="AW853" s="65" t="e">
        <f t="shared" ca="1" si="145"/>
        <v>#VALUE!</v>
      </c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</row>
    <row r="854" spans="1:68" ht="19" x14ac:dyDescent="0.25">
      <c r="A854" s="5"/>
      <c r="B854" s="5"/>
      <c r="C854" s="5"/>
      <c r="D854" s="5"/>
      <c r="E854" s="5"/>
      <c r="F854" s="5"/>
      <c r="G854" s="5"/>
      <c r="H854" s="6"/>
      <c r="I854" s="5"/>
      <c r="J854" s="83"/>
      <c r="K854" s="83"/>
      <c r="L854" s="83"/>
      <c r="M854" s="83"/>
      <c r="N854" s="83"/>
      <c r="O854" s="83"/>
      <c r="P854" s="83"/>
      <c r="Q854" s="84"/>
      <c r="R854" s="83"/>
      <c r="S854" s="83"/>
      <c r="T854" s="85"/>
      <c r="U854" s="6"/>
      <c r="V854" s="87">
        <v>45155</v>
      </c>
      <c r="W854" s="45">
        <v>140.66</v>
      </c>
      <c r="X854" s="46"/>
      <c r="Y854" s="61"/>
      <c r="Z854" s="5"/>
      <c r="AA854" s="5"/>
      <c r="AB854" s="5"/>
      <c r="AC854" s="5"/>
      <c r="AD854" s="5"/>
      <c r="AE854" s="5"/>
      <c r="AF854" s="5"/>
      <c r="AG854" s="5"/>
      <c r="AH854" s="6"/>
      <c r="AI854" s="87">
        <v>45155</v>
      </c>
      <c r="AJ854" s="53">
        <v>140.66</v>
      </c>
      <c r="AK854" s="54">
        <f t="shared" si="143"/>
        <v>1.422070534700115E-4</v>
      </c>
      <c r="AL854" s="55">
        <f t="shared" si="146"/>
        <v>7.1667452109693537</v>
      </c>
      <c r="AM854" s="56">
        <v>25</v>
      </c>
      <c r="AN854" s="57">
        <f t="shared" si="144"/>
        <v>17.833254789030647</v>
      </c>
      <c r="AO854" s="76">
        <f t="shared" si="147"/>
        <v>10.299580074752166</v>
      </c>
      <c r="AP854" s="63" t="str">
        <f t="shared" si="148"/>
        <v>Buy Stocks</v>
      </c>
      <c r="AQ854" s="63" t="str">
        <f t="shared" si="149"/>
        <v/>
      </c>
      <c r="AR854" s="63" t="str">
        <f t="shared" si="150"/>
        <v/>
      </c>
      <c r="AS854" s="63" t="str">
        <f t="shared" si="151"/>
        <v/>
      </c>
      <c r="AT854" s="78" t="str">
        <f t="shared" si="152"/>
        <v/>
      </c>
      <c r="AU854" s="78" t="str">
        <f t="shared" si="153"/>
        <v/>
      </c>
      <c r="AV854" s="64" t="str">
        <f ca="1">IFERROR(__xludf.DUMMYFUNCTION("IF(TRIM(AU854)="""","""",AU854/INDEX(FILTER(AT$3:AT854,TRIM(AT$3:AT854)&lt;&gt;""""),ROWS(FILTER(AT$3:AT854,TRIM(AT$3:AT854)&lt;&gt;"""")))-1)"),"")</f>
        <v/>
      </c>
      <c r="AW854" s="65" t="e">
        <f t="shared" ca="1" si="145"/>
        <v>#VALUE!</v>
      </c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</row>
    <row r="855" spans="1:68" ht="19" x14ac:dyDescent="0.25">
      <c r="A855" s="5"/>
      <c r="B855" s="5"/>
      <c r="C855" s="5"/>
      <c r="D855" s="5"/>
      <c r="E855" s="5"/>
      <c r="F855" s="5"/>
      <c r="G855" s="5"/>
      <c r="H855" s="6"/>
      <c r="I855" s="5"/>
      <c r="J855" s="83"/>
      <c r="K855" s="83"/>
      <c r="L855" s="83"/>
      <c r="M855" s="83"/>
      <c r="N855" s="83"/>
      <c r="O855" s="83"/>
      <c r="P855" s="83"/>
      <c r="Q855" s="84"/>
      <c r="R855" s="83"/>
      <c r="S855" s="83"/>
      <c r="T855" s="85"/>
      <c r="U855" s="6"/>
      <c r="V855" s="87">
        <v>45156</v>
      </c>
      <c r="W855" s="45">
        <v>141.41</v>
      </c>
      <c r="X855" s="46"/>
      <c r="Y855" s="61"/>
      <c r="Z855" s="5"/>
      <c r="AA855" s="5"/>
      <c r="AB855" s="5"/>
      <c r="AC855" s="5"/>
      <c r="AD855" s="5"/>
      <c r="AE855" s="5"/>
      <c r="AF855" s="5"/>
      <c r="AG855" s="5"/>
      <c r="AH855" s="6"/>
      <c r="AI855" s="87">
        <v>45156</v>
      </c>
      <c r="AJ855" s="53">
        <v>141.41</v>
      </c>
      <c r="AK855" s="54">
        <f t="shared" si="143"/>
        <v>5.3320062562207671E-3</v>
      </c>
      <c r="AL855" s="55">
        <f t="shared" si="146"/>
        <v>9.613595360753866</v>
      </c>
      <c r="AM855" s="56">
        <v>25</v>
      </c>
      <c r="AN855" s="57">
        <f t="shared" si="144"/>
        <v>15.386404639246134</v>
      </c>
      <c r="AO855" s="76">
        <f t="shared" si="147"/>
        <v>12.730039256150652</v>
      </c>
      <c r="AP855" s="63" t="str">
        <f t="shared" si="148"/>
        <v>Buy Stocks</v>
      </c>
      <c r="AQ855" s="63" t="str">
        <f t="shared" si="149"/>
        <v/>
      </c>
      <c r="AR855" s="63" t="str">
        <f t="shared" si="150"/>
        <v/>
      </c>
      <c r="AS855" s="63" t="str">
        <f t="shared" si="151"/>
        <v/>
      </c>
      <c r="AT855" s="78" t="str">
        <f t="shared" si="152"/>
        <v/>
      </c>
      <c r="AU855" s="78" t="str">
        <f t="shared" si="153"/>
        <v/>
      </c>
      <c r="AV855" s="64" t="str">
        <f ca="1">IFERROR(__xludf.DUMMYFUNCTION("IF(TRIM(AU855)="""","""",AU855/INDEX(FILTER(AT$3:AT855,TRIM(AT$3:AT855)&lt;&gt;""""),ROWS(FILTER(AT$3:AT855,TRIM(AT$3:AT855)&lt;&gt;"""")))-1)"),"")</f>
        <v/>
      </c>
      <c r="AW855" s="65" t="e">
        <f t="shared" ca="1" si="145"/>
        <v>#VALUE!</v>
      </c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</row>
    <row r="856" spans="1:68" ht="19" x14ac:dyDescent="0.25">
      <c r="A856" s="5"/>
      <c r="B856" s="5"/>
      <c r="C856" s="5"/>
      <c r="D856" s="5"/>
      <c r="E856" s="5"/>
      <c r="F856" s="5"/>
      <c r="G856" s="5"/>
      <c r="H856" s="6"/>
      <c r="I856" s="5"/>
      <c r="J856" s="83"/>
      <c r="K856" s="83"/>
      <c r="L856" s="83"/>
      <c r="M856" s="83"/>
      <c r="N856" s="83"/>
      <c r="O856" s="83"/>
      <c r="P856" s="83"/>
      <c r="Q856" s="84"/>
      <c r="R856" s="83"/>
      <c r="S856" s="83"/>
      <c r="T856" s="85"/>
      <c r="U856" s="6"/>
      <c r="V856" s="87">
        <v>45159</v>
      </c>
      <c r="W856" s="45">
        <v>142.28</v>
      </c>
      <c r="X856" s="46"/>
      <c r="Y856" s="61"/>
      <c r="Z856" s="5"/>
      <c r="AA856" s="5"/>
      <c r="AB856" s="5"/>
      <c r="AC856" s="5"/>
      <c r="AD856" s="5"/>
      <c r="AE856" s="5"/>
      <c r="AF856" s="5"/>
      <c r="AG856" s="5"/>
      <c r="AH856" s="6"/>
      <c r="AI856" s="87">
        <v>45159</v>
      </c>
      <c r="AJ856" s="53">
        <v>142.28</v>
      </c>
      <c r="AK856" s="54">
        <f t="shared" si="143"/>
        <v>6.1523230323174971E-3</v>
      </c>
      <c r="AL856" s="55">
        <f t="shared" si="146"/>
        <v>9.395425715108038</v>
      </c>
      <c r="AM856" s="56">
        <v>25</v>
      </c>
      <c r="AN856" s="57">
        <f t="shared" si="144"/>
        <v>15.604574284891962</v>
      </c>
      <c r="AO856" s="76">
        <f t="shared" si="147"/>
        <v>14.334988175491173</v>
      </c>
      <c r="AP856" s="63" t="str">
        <f t="shared" si="148"/>
        <v>Buy Stocks</v>
      </c>
      <c r="AQ856" s="63" t="str">
        <f t="shared" si="149"/>
        <v/>
      </c>
      <c r="AR856" s="63" t="str">
        <f t="shared" si="150"/>
        <v/>
      </c>
      <c r="AS856" s="63" t="str">
        <f t="shared" si="151"/>
        <v/>
      </c>
      <c r="AT856" s="78" t="str">
        <f t="shared" si="152"/>
        <v/>
      </c>
      <c r="AU856" s="78" t="str">
        <f t="shared" si="153"/>
        <v/>
      </c>
      <c r="AV856" s="64" t="str">
        <f ca="1">IFERROR(__xludf.DUMMYFUNCTION("IF(TRIM(AU856)="""","""",AU856/INDEX(FILTER(AT$3:AT856,TRIM(AT$3:AT856)&lt;&gt;""""),ROWS(FILTER(AT$3:AT856,TRIM(AT$3:AT856)&lt;&gt;"""")))-1)"),"")</f>
        <v/>
      </c>
      <c r="AW856" s="65" t="e">
        <f t="shared" ca="1" si="145"/>
        <v>#VALUE!</v>
      </c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</row>
    <row r="857" spans="1:68" ht="19" x14ac:dyDescent="0.25">
      <c r="A857" s="5"/>
      <c r="B857" s="5"/>
      <c r="C857" s="5"/>
      <c r="D857" s="5"/>
      <c r="E857" s="5"/>
      <c r="F857" s="5"/>
      <c r="G857" s="5"/>
      <c r="H857" s="6"/>
      <c r="I857" s="5"/>
      <c r="J857" s="83"/>
      <c r="K857" s="83"/>
      <c r="L857" s="83"/>
      <c r="M857" s="83"/>
      <c r="N857" s="83"/>
      <c r="O857" s="83"/>
      <c r="P857" s="83"/>
      <c r="Q857" s="84"/>
      <c r="R857" s="83"/>
      <c r="S857" s="83"/>
      <c r="T857" s="85"/>
      <c r="U857" s="6"/>
      <c r="V857" s="87">
        <v>45160</v>
      </c>
      <c r="W857" s="45">
        <v>141.49</v>
      </c>
      <c r="X857" s="46"/>
      <c r="Y857" s="61"/>
      <c r="Z857" s="5"/>
      <c r="AA857" s="5"/>
      <c r="AB857" s="5"/>
      <c r="AC857" s="5"/>
      <c r="AD857" s="5"/>
      <c r="AE857" s="5"/>
      <c r="AF857" s="5"/>
      <c r="AG857" s="5"/>
      <c r="AH857" s="6"/>
      <c r="AI857" s="87">
        <v>45160</v>
      </c>
      <c r="AJ857" s="53">
        <v>141.49</v>
      </c>
      <c r="AK857" s="54">
        <f t="shared" si="143"/>
        <v>-5.5524318245712134E-3</v>
      </c>
      <c r="AL857" s="55">
        <f t="shared" si="146"/>
        <v>10.377812289726359</v>
      </c>
      <c r="AM857" s="56">
        <v>25</v>
      </c>
      <c r="AN857" s="57">
        <f t="shared" si="144"/>
        <v>14.622187710273641</v>
      </c>
      <c r="AO857" s="76">
        <f t="shared" si="147"/>
        <v>15.795619708760722</v>
      </c>
      <c r="AP857" s="63" t="str">
        <f t="shared" si="148"/>
        <v>Buy Stocks</v>
      </c>
      <c r="AQ857" s="63" t="str">
        <f t="shared" si="149"/>
        <v/>
      </c>
      <c r="AR857" s="63" t="str">
        <f t="shared" si="150"/>
        <v/>
      </c>
      <c r="AS857" s="63" t="str">
        <f t="shared" si="151"/>
        <v/>
      </c>
      <c r="AT857" s="78" t="str">
        <f t="shared" si="152"/>
        <v/>
      </c>
      <c r="AU857" s="78" t="str">
        <f t="shared" si="153"/>
        <v/>
      </c>
      <c r="AV857" s="64" t="str">
        <f ca="1">IFERROR(__xludf.DUMMYFUNCTION("IF(TRIM(AU857)="""","""",AU857/INDEX(FILTER(AT$3:AT857,TRIM(AT$3:AT857)&lt;&gt;""""),ROWS(FILTER(AT$3:AT857,TRIM(AT$3:AT857)&lt;&gt;"""")))-1)"),"")</f>
        <v/>
      </c>
      <c r="AW857" s="65" t="e">
        <f t="shared" ca="1" si="145"/>
        <v>#VALUE!</v>
      </c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</row>
    <row r="858" spans="1:68" ht="19" x14ac:dyDescent="0.25">
      <c r="A858" s="5"/>
      <c r="B858" s="5"/>
      <c r="C858" s="5"/>
      <c r="D858" s="5"/>
      <c r="E858" s="5"/>
      <c r="F858" s="5"/>
      <c r="G858" s="5"/>
      <c r="H858" s="6"/>
      <c r="I858" s="5"/>
      <c r="J858" s="83"/>
      <c r="K858" s="83"/>
      <c r="L858" s="83"/>
      <c r="M858" s="83"/>
      <c r="N858" s="83"/>
      <c r="O858" s="83"/>
      <c r="P858" s="83"/>
      <c r="Q858" s="84"/>
      <c r="R858" s="83"/>
      <c r="S858" s="83"/>
      <c r="T858" s="85"/>
      <c r="U858" s="6"/>
      <c r="V858" s="87">
        <v>45161</v>
      </c>
      <c r="W858" s="45">
        <v>143.41</v>
      </c>
      <c r="X858" s="46"/>
      <c r="Y858" s="61"/>
      <c r="Z858" s="5"/>
      <c r="AA858" s="5"/>
      <c r="AB858" s="5"/>
      <c r="AC858" s="5"/>
      <c r="AD858" s="5"/>
      <c r="AE858" s="5"/>
      <c r="AF858" s="5"/>
      <c r="AG858" s="5"/>
      <c r="AH858" s="6"/>
      <c r="AI858" s="87">
        <v>45161</v>
      </c>
      <c r="AJ858" s="53">
        <v>143.41</v>
      </c>
      <c r="AK858" s="54">
        <f t="shared" si="143"/>
        <v>1.3569863594600218E-2</v>
      </c>
      <c r="AL858" s="55">
        <f t="shared" si="146"/>
        <v>11.339310889107514</v>
      </c>
      <c r="AM858" s="56">
        <v>25</v>
      </c>
      <c r="AN858" s="57">
        <f t="shared" si="144"/>
        <v>13.660689110892486</v>
      </c>
      <c r="AO858" s="76">
        <f t="shared" si="147"/>
        <v>15.421422106866975</v>
      </c>
      <c r="AP858" s="63" t="str">
        <f t="shared" si="148"/>
        <v>Buy Stocks</v>
      </c>
      <c r="AQ858" s="63" t="str">
        <f t="shared" si="149"/>
        <v/>
      </c>
      <c r="AR858" s="63" t="str">
        <f t="shared" si="150"/>
        <v/>
      </c>
      <c r="AS858" s="63" t="str">
        <f t="shared" si="151"/>
        <v/>
      </c>
      <c r="AT858" s="78" t="str">
        <f t="shared" si="152"/>
        <v/>
      </c>
      <c r="AU858" s="78" t="str">
        <f t="shared" si="153"/>
        <v/>
      </c>
      <c r="AV858" s="64" t="str">
        <f ca="1">IFERROR(__xludf.DUMMYFUNCTION("IF(TRIM(AU858)="""","""",AU858/INDEX(FILTER(AT$3:AT858,TRIM(AT$3:AT858)&lt;&gt;""""),ROWS(FILTER(AT$3:AT858,TRIM(AT$3:AT858)&lt;&gt;"""")))-1)"),"")</f>
        <v/>
      </c>
      <c r="AW858" s="65" t="e">
        <f t="shared" ca="1" si="145"/>
        <v>#VALUE!</v>
      </c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</row>
    <row r="859" spans="1:68" ht="19" x14ac:dyDescent="0.25">
      <c r="A859" s="5"/>
      <c r="B859" s="5"/>
      <c r="C859" s="5"/>
      <c r="D859" s="5"/>
      <c r="E859" s="5"/>
      <c r="F859" s="5"/>
      <c r="G859" s="5"/>
      <c r="H859" s="6"/>
      <c r="I859" s="5"/>
      <c r="J859" s="83"/>
      <c r="K859" s="83"/>
      <c r="L859" s="83"/>
      <c r="M859" s="83"/>
      <c r="N859" s="83"/>
      <c r="O859" s="83"/>
      <c r="P859" s="83"/>
      <c r="Q859" s="84"/>
      <c r="R859" s="83"/>
      <c r="S859" s="83"/>
      <c r="T859" s="85"/>
      <c r="U859" s="6"/>
      <c r="V859" s="44">
        <v>45162</v>
      </c>
      <c r="W859" s="45">
        <v>143.55000000000001</v>
      </c>
      <c r="X859" s="46"/>
      <c r="Y859" s="61"/>
      <c r="Z859" s="5"/>
      <c r="AA859" s="5"/>
      <c r="AB859" s="5"/>
      <c r="AC859" s="5"/>
      <c r="AD859" s="5"/>
      <c r="AE859" s="5"/>
      <c r="AF859" s="5"/>
      <c r="AG859" s="5"/>
      <c r="AH859" s="6"/>
      <c r="AI859" s="44">
        <v>45162</v>
      </c>
      <c r="AJ859" s="53">
        <v>143.55000000000001</v>
      </c>
      <c r="AK859" s="54">
        <f t="shared" si="143"/>
        <v>9.7622202077962683E-4</v>
      </c>
      <c r="AL859" s="55">
        <f t="shared" si="146"/>
        <v>11.178165153813211</v>
      </c>
      <c r="AM859" s="56">
        <v>25</v>
      </c>
      <c r="AN859" s="57">
        <f t="shared" si="144"/>
        <v>13.821834846186789</v>
      </c>
      <c r="AO859" s="76">
        <f t="shared" si="147"/>
        <v>14.619138118298201</v>
      </c>
      <c r="AP859" s="63" t="str">
        <f t="shared" si="148"/>
        <v>Buy Stocks</v>
      </c>
      <c r="AQ859" s="63" t="str">
        <f t="shared" si="149"/>
        <v/>
      </c>
      <c r="AR859" s="63" t="str">
        <f t="shared" si="150"/>
        <v/>
      </c>
      <c r="AS859" s="63" t="str">
        <f t="shared" si="151"/>
        <v/>
      </c>
      <c r="AT859" s="78" t="str">
        <f t="shared" si="152"/>
        <v/>
      </c>
      <c r="AU859" s="78" t="str">
        <f t="shared" si="153"/>
        <v/>
      </c>
      <c r="AV859" s="64" t="str">
        <f ca="1">IFERROR(__xludf.DUMMYFUNCTION("IF(TRIM(AU859)="""","""",AU859/INDEX(FILTER(AT$3:AT859,TRIM(AT$3:AT859)&lt;&gt;""""),ROWS(FILTER(AT$3:AT859,TRIM(AT$3:AT859)&lt;&gt;"""")))-1)"),"")</f>
        <v/>
      </c>
      <c r="AW859" s="65" t="e">
        <f t="shared" ca="1" si="145"/>
        <v>#VALUE!</v>
      </c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</row>
    <row r="860" spans="1:68" ht="19" x14ac:dyDescent="0.25">
      <c r="A860" s="5"/>
      <c r="B860" s="5"/>
      <c r="C860" s="5"/>
      <c r="D860" s="5"/>
      <c r="E860" s="5"/>
      <c r="F860" s="5"/>
      <c r="G860" s="5"/>
      <c r="H860" s="6"/>
      <c r="I860" s="5"/>
      <c r="J860" s="83"/>
      <c r="K860" s="83"/>
      <c r="L860" s="83"/>
      <c r="M860" s="83"/>
      <c r="N860" s="83"/>
      <c r="O860" s="83"/>
      <c r="P860" s="83"/>
      <c r="Q860" s="84"/>
      <c r="R860" s="83"/>
      <c r="S860" s="83"/>
      <c r="T860" s="85"/>
      <c r="U860" s="6"/>
      <c r="V860" s="44">
        <v>45163</v>
      </c>
      <c r="W860" s="45">
        <v>145.35</v>
      </c>
      <c r="X860" s="46"/>
      <c r="Y860" s="61"/>
      <c r="Z860" s="5"/>
      <c r="AA860" s="5"/>
      <c r="AB860" s="5"/>
      <c r="AC860" s="5"/>
      <c r="AD860" s="5"/>
      <c r="AE860" s="5"/>
      <c r="AF860" s="5"/>
      <c r="AG860" s="5"/>
      <c r="AH860" s="6"/>
      <c r="AI860" s="44">
        <v>45163</v>
      </c>
      <c r="AJ860" s="53">
        <v>145.35</v>
      </c>
      <c r="AK860" s="54">
        <f t="shared" si="143"/>
        <v>1.25391849529779E-2</v>
      </c>
      <c r="AL860" s="55">
        <f t="shared" si="146"/>
        <v>12.742007458253896</v>
      </c>
      <c r="AM860" s="56">
        <v>25</v>
      </c>
      <c r="AN860" s="57">
        <f t="shared" si="144"/>
        <v>12.257992541746104</v>
      </c>
      <c r="AO860" s="76">
        <f t="shared" si="147"/>
        <v>13.993455698798195</v>
      </c>
      <c r="AP860" s="63" t="str">
        <f t="shared" si="148"/>
        <v>Buy Stocks</v>
      </c>
      <c r="AQ860" s="63" t="str">
        <f t="shared" si="149"/>
        <v/>
      </c>
      <c r="AR860" s="63" t="str">
        <f t="shared" si="150"/>
        <v/>
      </c>
      <c r="AS860" s="63" t="str">
        <f t="shared" si="151"/>
        <v/>
      </c>
      <c r="AT860" s="78" t="str">
        <f t="shared" si="152"/>
        <v/>
      </c>
      <c r="AU860" s="78" t="str">
        <f t="shared" si="153"/>
        <v/>
      </c>
      <c r="AV860" s="64" t="str">
        <f ca="1">IFERROR(__xludf.DUMMYFUNCTION("IF(TRIM(AU860)="""","""",AU860/INDEX(FILTER(AT$3:AT860,TRIM(AT$3:AT860)&lt;&gt;""""),ROWS(FILTER(AT$3:AT860,TRIM(AT$3:AT860)&lt;&gt;"""")))-1)"),"")</f>
        <v/>
      </c>
      <c r="AW860" s="65" t="e">
        <f t="shared" ca="1" si="145"/>
        <v>#VALUE!</v>
      </c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</row>
    <row r="861" spans="1:68" ht="19" x14ac:dyDescent="0.25">
      <c r="A861" s="5"/>
      <c r="B861" s="5"/>
      <c r="C861" s="5"/>
      <c r="D861" s="5"/>
      <c r="E861" s="5"/>
      <c r="F861" s="5"/>
      <c r="G861" s="5"/>
      <c r="H861" s="6"/>
      <c r="I861" s="5"/>
      <c r="J861" s="83"/>
      <c r="K861" s="83"/>
      <c r="L861" s="83"/>
      <c r="M861" s="83"/>
      <c r="N861" s="83"/>
      <c r="O861" s="83"/>
      <c r="P861" s="83"/>
      <c r="Q861" s="84"/>
      <c r="R861" s="83"/>
      <c r="S861" s="83"/>
      <c r="T861" s="85"/>
      <c r="U861" s="6"/>
      <c r="V861" s="44">
        <v>45166</v>
      </c>
      <c r="W861" s="45">
        <v>146.02000000000001</v>
      </c>
      <c r="X861" s="46"/>
      <c r="Y861" s="61"/>
      <c r="Z861" s="5"/>
      <c r="AA861" s="5"/>
      <c r="AB861" s="5"/>
      <c r="AC861" s="5"/>
      <c r="AD861" s="5"/>
      <c r="AE861" s="5"/>
      <c r="AF861" s="5"/>
      <c r="AG861" s="5"/>
      <c r="AH861" s="6"/>
      <c r="AI861" s="44">
        <v>45166</v>
      </c>
      <c r="AJ861" s="53">
        <v>146.02000000000001</v>
      </c>
      <c r="AK861" s="54">
        <f t="shared" si="143"/>
        <v>4.6095631234950307E-3</v>
      </c>
      <c r="AL861" s="55">
        <f t="shared" si="146"/>
        <v>12.742145771920354</v>
      </c>
      <c r="AM861" s="56">
        <v>25</v>
      </c>
      <c r="AN861" s="57">
        <f t="shared" si="144"/>
        <v>12.257854228079646</v>
      </c>
      <c r="AO861" s="76">
        <f t="shared" si="147"/>
        <v>13.324111687435735</v>
      </c>
      <c r="AP861" s="63" t="str">
        <f t="shared" si="148"/>
        <v>Buy Stocks</v>
      </c>
      <c r="AQ861" s="63" t="str">
        <f t="shared" si="149"/>
        <v/>
      </c>
      <c r="AR861" s="63" t="str">
        <f t="shared" si="150"/>
        <v/>
      </c>
      <c r="AS861" s="63" t="str">
        <f t="shared" si="151"/>
        <v/>
      </c>
      <c r="AT861" s="78" t="str">
        <f t="shared" si="152"/>
        <v/>
      </c>
      <c r="AU861" s="78" t="str">
        <f t="shared" si="153"/>
        <v/>
      </c>
      <c r="AV861" s="64" t="str">
        <f ca="1">IFERROR(__xludf.DUMMYFUNCTION("IF(TRIM(AU861)="""","""",AU861/INDEX(FILTER(AT$3:AT861,TRIM(AT$3:AT861)&lt;&gt;""""),ROWS(FILTER(AT$3:AT861,TRIM(AT$3:AT861)&lt;&gt;"""")))-1)"),"")</f>
        <v/>
      </c>
      <c r="AW861" s="65" t="e">
        <f t="shared" ca="1" si="145"/>
        <v>#VALUE!</v>
      </c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</row>
    <row r="862" spans="1:68" ht="19" x14ac:dyDescent="0.25">
      <c r="A862" s="5"/>
      <c r="B862" s="5"/>
      <c r="C862" s="5"/>
      <c r="D862" s="5"/>
      <c r="E862" s="5"/>
      <c r="F862" s="5"/>
      <c r="G862" s="5"/>
      <c r="H862" s="6"/>
      <c r="I862" s="5"/>
      <c r="J862" s="83"/>
      <c r="K862" s="83"/>
      <c r="L862" s="83"/>
      <c r="M862" s="83"/>
      <c r="N862" s="83"/>
      <c r="O862" s="83"/>
      <c r="P862" s="83"/>
      <c r="Q862" s="84"/>
      <c r="R862" s="83"/>
      <c r="S862" s="83"/>
      <c r="T862" s="85"/>
      <c r="U862" s="6"/>
      <c r="V862" s="44">
        <v>45167</v>
      </c>
      <c r="W862" s="45">
        <v>146.44999999999999</v>
      </c>
      <c r="X862" s="46"/>
      <c r="Y862" s="61"/>
      <c r="Z862" s="5"/>
      <c r="AA862" s="5"/>
      <c r="AB862" s="5"/>
      <c r="AC862" s="5"/>
      <c r="AD862" s="5"/>
      <c r="AE862" s="5"/>
      <c r="AF862" s="5"/>
      <c r="AG862" s="5"/>
      <c r="AH862" s="6"/>
      <c r="AI862" s="44">
        <v>45167</v>
      </c>
      <c r="AJ862" s="53">
        <v>146.44999999999999</v>
      </c>
      <c r="AK862" s="54">
        <f t="shared" si="143"/>
        <v>2.9448020819065057E-3</v>
      </c>
      <c r="AL862" s="55">
        <f t="shared" si="146"/>
        <v>9.1283398092585166</v>
      </c>
      <c r="AM862" s="56">
        <v>25</v>
      </c>
      <c r="AN862" s="57">
        <f t="shared" si="144"/>
        <v>15.871660190741483</v>
      </c>
      <c r="AO862" s="76">
        <f t="shared" si="147"/>
        <v>13.574006183529301</v>
      </c>
      <c r="AP862" s="63" t="str">
        <f t="shared" si="148"/>
        <v>Buy Stocks</v>
      </c>
      <c r="AQ862" s="63" t="str">
        <f t="shared" si="149"/>
        <v/>
      </c>
      <c r="AR862" s="63" t="str">
        <f t="shared" si="150"/>
        <v/>
      </c>
      <c r="AS862" s="63" t="str">
        <f t="shared" si="151"/>
        <v/>
      </c>
      <c r="AT862" s="78" t="str">
        <f t="shared" si="152"/>
        <v/>
      </c>
      <c r="AU862" s="78" t="str">
        <f t="shared" si="153"/>
        <v/>
      </c>
      <c r="AV862" s="64" t="str">
        <f ca="1">IFERROR(__xludf.DUMMYFUNCTION("IF(TRIM(AU862)="""","""",AU862/INDEX(FILTER(AT$3:AT862,TRIM(AT$3:AT862)&lt;&gt;""""),ROWS(FILTER(AT$3:AT862,TRIM(AT$3:AT862)&lt;&gt;"""")))-1)"),"")</f>
        <v/>
      </c>
      <c r="AW862" s="65" t="e">
        <f t="shared" ca="1" si="145"/>
        <v>#VALUE!</v>
      </c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</row>
    <row r="863" spans="1:68" ht="19" x14ac:dyDescent="0.25">
      <c r="A863" s="5"/>
      <c r="B863" s="5"/>
      <c r="C863" s="5"/>
      <c r="D863" s="5"/>
      <c r="E863" s="5"/>
      <c r="F863" s="5"/>
      <c r="G863" s="5"/>
      <c r="H863" s="6"/>
      <c r="I863" s="5"/>
      <c r="J863" s="83"/>
      <c r="K863" s="83"/>
      <c r="L863" s="83"/>
      <c r="M863" s="83"/>
      <c r="N863" s="83"/>
      <c r="O863" s="83"/>
      <c r="P863" s="83"/>
      <c r="Q863" s="84"/>
      <c r="R863" s="83"/>
      <c r="S863" s="83"/>
      <c r="T863" s="85"/>
      <c r="U863" s="6"/>
      <c r="V863" s="44">
        <v>45168</v>
      </c>
      <c r="W863" s="45">
        <v>146.86000000000001</v>
      </c>
      <c r="X863" s="46"/>
      <c r="Y863" s="61"/>
      <c r="Z863" s="5"/>
      <c r="AA863" s="5"/>
      <c r="AB863" s="5"/>
      <c r="AC863" s="5"/>
      <c r="AD863" s="5"/>
      <c r="AE863" s="5"/>
      <c r="AF863" s="5"/>
      <c r="AG863" s="5"/>
      <c r="AH863" s="6"/>
      <c r="AI863" s="44">
        <v>45168</v>
      </c>
      <c r="AJ863" s="53">
        <v>146.86000000000001</v>
      </c>
      <c r="AK863" s="54">
        <f t="shared" si="143"/>
        <v>2.7995903038582348E-3</v>
      </c>
      <c r="AL863" s="55">
        <f t="shared" si="146"/>
        <v>7.187160996976349</v>
      </c>
      <c r="AM863" s="56">
        <v>25</v>
      </c>
      <c r="AN863" s="57">
        <f t="shared" si="144"/>
        <v>17.812839003023651</v>
      </c>
      <c r="AO863" s="76">
        <f t="shared" si="147"/>
        <v>14.404436161955536</v>
      </c>
      <c r="AP863" s="63" t="str">
        <f t="shared" si="148"/>
        <v>Buy Stocks</v>
      </c>
      <c r="AQ863" s="63" t="str">
        <f t="shared" si="149"/>
        <v/>
      </c>
      <c r="AR863" s="63" t="str">
        <f t="shared" si="150"/>
        <v/>
      </c>
      <c r="AS863" s="63" t="str">
        <f t="shared" si="151"/>
        <v/>
      </c>
      <c r="AT863" s="78" t="str">
        <f t="shared" si="152"/>
        <v/>
      </c>
      <c r="AU863" s="78" t="str">
        <f t="shared" si="153"/>
        <v/>
      </c>
      <c r="AV863" s="64" t="str">
        <f ca="1">IFERROR(__xludf.DUMMYFUNCTION("IF(TRIM(AU863)="""","""",AU863/INDEX(FILTER(AT$3:AT863,TRIM(AT$3:AT863)&lt;&gt;""""),ROWS(FILTER(AT$3:AT863,TRIM(AT$3:AT863)&lt;&gt;"""")))-1)"),"")</f>
        <v/>
      </c>
      <c r="AW863" s="65" t="e">
        <f t="shared" ca="1" si="145"/>
        <v>#VALUE!</v>
      </c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</row>
    <row r="864" spans="1:68" ht="19" x14ac:dyDescent="0.25">
      <c r="A864" s="5"/>
      <c r="B864" s="5"/>
      <c r="C864" s="5"/>
      <c r="D864" s="5"/>
      <c r="E864" s="5"/>
      <c r="F864" s="5"/>
      <c r="G864" s="5"/>
      <c r="H864" s="6"/>
      <c r="I864" s="5"/>
      <c r="J864" s="83"/>
      <c r="K864" s="83"/>
      <c r="L864" s="83"/>
      <c r="M864" s="83"/>
      <c r="N864" s="83"/>
      <c r="O864" s="83"/>
      <c r="P864" s="83"/>
      <c r="Q864" s="84"/>
      <c r="R864" s="83"/>
      <c r="S864" s="83"/>
      <c r="T864" s="85"/>
      <c r="U864" s="6"/>
      <c r="V864" s="44">
        <v>45169</v>
      </c>
      <c r="W864" s="45">
        <v>146.83000000000001</v>
      </c>
      <c r="X864" s="46"/>
      <c r="Y864" s="61"/>
      <c r="Z864" s="5"/>
      <c r="AA864" s="5"/>
      <c r="AB864" s="5"/>
      <c r="AC864" s="5"/>
      <c r="AD864" s="5"/>
      <c r="AE864" s="5"/>
      <c r="AF864" s="5"/>
      <c r="AG864" s="5"/>
      <c r="AH864" s="6"/>
      <c r="AI864" s="44">
        <v>45169</v>
      </c>
      <c r="AJ864" s="53">
        <v>146.83000000000001</v>
      </c>
      <c r="AK864" s="54">
        <f t="shared" si="143"/>
        <v>-2.0427618139728931E-4</v>
      </c>
      <c r="AL864" s="55">
        <f t="shared" si="146"/>
        <v>7.6161917089678708</v>
      </c>
      <c r="AM864" s="56">
        <v>25</v>
      </c>
      <c r="AN864" s="57">
        <f t="shared" si="144"/>
        <v>17.383808291032128</v>
      </c>
      <c r="AO864" s="76">
        <f t="shared" si="147"/>
        <v>15.116830850924604</v>
      </c>
      <c r="AP864" s="63" t="str">
        <f t="shared" si="148"/>
        <v>Buy Stocks</v>
      </c>
      <c r="AQ864" s="63" t="str">
        <f t="shared" si="149"/>
        <v/>
      </c>
      <c r="AR864" s="63" t="str">
        <f t="shared" si="150"/>
        <v/>
      </c>
      <c r="AS864" s="63" t="str">
        <f t="shared" si="151"/>
        <v/>
      </c>
      <c r="AT864" s="78" t="str">
        <f t="shared" si="152"/>
        <v/>
      </c>
      <c r="AU864" s="78" t="str">
        <f t="shared" si="153"/>
        <v/>
      </c>
      <c r="AV864" s="64" t="str">
        <f ca="1">IFERROR(__xludf.DUMMYFUNCTION("IF(TRIM(AU864)="""","""",AU864/INDEX(FILTER(AT$3:AT864,TRIM(AT$3:AT864)&lt;&gt;""""),ROWS(FILTER(AT$3:AT864,TRIM(AT$3:AT864)&lt;&gt;"""")))-1)"),"")</f>
        <v/>
      </c>
      <c r="AW864" s="65" t="e">
        <f t="shared" ca="1" si="145"/>
        <v>#VALUE!</v>
      </c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</row>
    <row r="865" spans="1:68" ht="19" x14ac:dyDescent="0.25">
      <c r="A865" s="5"/>
      <c r="B865" s="5"/>
      <c r="C865" s="5"/>
      <c r="D865" s="5"/>
      <c r="E865" s="5"/>
      <c r="F865" s="5"/>
      <c r="G865" s="5"/>
      <c r="H865" s="6"/>
      <c r="I865" s="5"/>
      <c r="J865" s="83"/>
      <c r="K865" s="83"/>
      <c r="L865" s="83"/>
      <c r="M865" s="83"/>
      <c r="N865" s="83"/>
      <c r="O865" s="83"/>
      <c r="P865" s="83"/>
      <c r="Q865" s="84"/>
      <c r="R865" s="83"/>
      <c r="S865" s="83"/>
      <c r="T865" s="85"/>
      <c r="U865" s="6"/>
      <c r="V865" s="44">
        <v>45170</v>
      </c>
      <c r="W865" s="45">
        <v>147.94</v>
      </c>
      <c r="X865" s="46"/>
      <c r="Y865" s="61"/>
      <c r="Z865" s="5"/>
      <c r="AA865" s="5"/>
      <c r="AB865" s="5"/>
      <c r="AC865" s="5"/>
      <c r="AD865" s="5"/>
      <c r="AE865" s="5"/>
      <c r="AF865" s="5"/>
      <c r="AG865" s="5"/>
      <c r="AH865" s="6"/>
      <c r="AI865" s="44">
        <v>45170</v>
      </c>
      <c r="AJ865" s="53">
        <v>147.94</v>
      </c>
      <c r="AK865" s="54">
        <f t="shared" si="143"/>
        <v>7.5597629912143027E-3</v>
      </c>
      <c r="AL865" s="55">
        <f t="shared" si="146"/>
        <v>4.5057122950230006</v>
      </c>
      <c r="AM865" s="56">
        <v>25</v>
      </c>
      <c r="AN865" s="57">
        <f t="shared" si="144"/>
        <v>20.494287704976998</v>
      </c>
      <c r="AO865" s="76">
        <f t="shared" si="147"/>
        <v>16.764089883570783</v>
      </c>
      <c r="AP865" s="63" t="str">
        <f t="shared" si="148"/>
        <v>Buy Stocks</v>
      </c>
      <c r="AQ865" s="63" t="str">
        <f t="shared" si="149"/>
        <v/>
      </c>
      <c r="AR865" s="63" t="str">
        <f t="shared" si="150"/>
        <v/>
      </c>
      <c r="AS865" s="63" t="str">
        <f t="shared" si="151"/>
        <v/>
      </c>
      <c r="AT865" s="78" t="str">
        <f t="shared" si="152"/>
        <v/>
      </c>
      <c r="AU865" s="78" t="str">
        <f t="shared" si="153"/>
        <v/>
      </c>
      <c r="AV865" s="64" t="str">
        <f ca="1">IFERROR(__xludf.DUMMYFUNCTION("IF(TRIM(AU865)="""","""",AU865/INDEX(FILTER(AT$3:AT865,TRIM(AT$3:AT865)&lt;&gt;""""),ROWS(FILTER(AT$3:AT865,TRIM(AT$3:AT865)&lt;&gt;"""")))-1)"),"")</f>
        <v/>
      </c>
      <c r="AW865" s="65" t="e">
        <f t="shared" ca="1" si="145"/>
        <v>#VALUE!</v>
      </c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</row>
    <row r="866" spans="1:68" ht="19" x14ac:dyDescent="0.25">
      <c r="A866" s="5"/>
      <c r="B866" s="5"/>
      <c r="C866" s="5"/>
      <c r="D866" s="5"/>
      <c r="E866" s="5"/>
      <c r="F866" s="5"/>
      <c r="G866" s="5"/>
      <c r="H866" s="6"/>
      <c r="I866" s="5"/>
      <c r="J866" s="83"/>
      <c r="K866" s="83"/>
      <c r="L866" s="83"/>
      <c r="M866" s="83"/>
      <c r="N866" s="83"/>
      <c r="O866" s="83"/>
      <c r="P866" s="83"/>
      <c r="Q866" s="84"/>
      <c r="R866" s="83"/>
      <c r="S866" s="83"/>
      <c r="T866" s="85"/>
      <c r="U866" s="6"/>
      <c r="V866" s="44">
        <v>45174</v>
      </c>
      <c r="W866" s="45">
        <v>148.13</v>
      </c>
      <c r="X866" s="46"/>
      <c r="Y866" s="61"/>
      <c r="Z866" s="5"/>
      <c r="AA866" s="5"/>
      <c r="AB866" s="5"/>
      <c r="AC866" s="5"/>
      <c r="AD866" s="5"/>
      <c r="AE866" s="5"/>
      <c r="AF866" s="5"/>
      <c r="AG866" s="5"/>
      <c r="AH866" s="6"/>
      <c r="AI866" s="44">
        <v>45174</v>
      </c>
      <c r="AJ866" s="53">
        <v>148.13</v>
      </c>
      <c r="AK866" s="54">
        <f t="shared" si="143"/>
        <v>1.2843044477490739E-3</v>
      </c>
      <c r="AL866" s="55">
        <f t="shared" si="146"/>
        <v>4.6261187102590275</v>
      </c>
      <c r="AM866" s="56">
        <v>25</v>
      </c>
      <c r="AN866" s="57">
        <f t="shared" si="144"/>
        <v>20.373881289740972</v>
      </c>
      <c r="AO866" s="76">
        <f t="shared" si="147"/>
        <v>18.387295295903044</v>
      </c>
      <c r="AP866" s="63" t="str">
        <f t="shared" si="148"/>
        <v>Buy Stocks</v>
      </c>
      <c r="AQ866" s="63" t="str">
        <f t="shared" si="149"/>
        <v/>
      </c>
      <c r="AR866" s="63" t="str">
        <f t="shared" si="150"/>
        <v/>
      </c>
      <c r="AS866" s="63" t="str">
        <f t="shared" si="151"/>
        <v/>
      </c>
      <c r="AT866" s="78" t="str">
        <f t="shared" si="152"/>
        <v/>
      </c>
      <c r="AU866" s="78" t="str">
        <f t="shared" si="153"/>
        <v/>
      </c>
      <c r="AV866" s="64" t="str">
        <f ca="1">IFERROR(__xludf.DUMMYFUNCTION("IF(TRIM(AU866)="""","""",AU866/INDEX(FILTER(AT$3:AT866,TRIM(AT$3:AT866)&lt;&gt;""""),ROWS(FILTER(AT$3:AT866,TRIM(AT$3:AT866)&lt;&gt;"""")))-1)"),"")</f>
        <v/>
      </c>
      <c r="AW866" s="65" t="e">
        <f t="shared" ca="1" si="145"/>
        <v>#VALUE!</v>
      </c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</row>
    <row r="867" spans="1:68" ht="19" x14ac:dyDescent="0.25">
      <c r="A867" s="5"/>
      <c r="B867" s="5"/>
      <c r="C867" s="5"/>
      <c r="D867" s="5"/>
      <c r="E867" s="5"/>
      <c r="F867" s="5"/>
      <c r="G867" s="5"/>
      <c r="H867" s="6"/>
      <c r="I867" s="5"/>
      <c r="J867" s="83"/>
      <c r="K867" s="83"/>
      <c r="L867" s="83"/>
      <c r="M867" s="83"/>
      <c r="N867" s="83"/>
      <c r="O867" s="83"/>
      <c r="P867" s="83"/>
      <c r="Q867" s="84"/>
      <c r="R867" s="83"/>
      <c r="S867" s="83"/>
      <c r="T867" s="85"/>
      <c r="U867" s="6"/>
      <c r="V867" s="44">
        <v>45175</v>
      </c>
      <c r="W867" s="45">
        <v>148.06</v>
      </c>
      <c r="X867" s="46"/>
      <c r="Y867" s="61"/>
      <c r="Z867" s="5"/>
      <c r="AA867" s="5"/>
      <c r="AB867" s="5"/>
      <c r="AC867" s="5"/>
      <c r="AD867" s="5"/>
      <c r="AE867" s="5"/>
      <c r="AF867" s="5"/>
      <c r="AG867" s="5"/>
      <c r="AH867" s="6"/>
      <c r="AI867" s="44">
        <v>45175</v>
      </c>
      <c r="AJ867" s="53">
        <v>148.06</v>
      </c>
      <c r="AK867" s="54">
        <f t="shared" si="143"/>
        <v>-4.725578883413295E-4</v>
      </c>
      <c r="AL867" s="55">
        <f t="shared" si="146"/>
        <v>5.1955954503324646</v>
      </c>
      <c r="AM867" s="56">
        <v>25</v>
      </c>
      <c r="AN867" s="57">
        <f t="shared" si="144"/>
        <v>19.804404549667534</v>
      </c>
      <c r="AO867" s="76">
        <f t="shared" si="147"/>
        <v>19.173844167688259</v>
      </c>
      <c r="AP867" s="63" t="str">
        <f t="shared" si="148"/>
        <v>Buy Stocks</v>
      </c>
      <c r="AQ867" s="63" t="str">
        <f t="shared" si="149"/>
        <v/>
      </c>
      <c r="AR867" s="63" t="str">
        <f t="shared" si="150"/>
        <v/>
      </c>
      <c r="AS867" s="63" t="str">
        <f t="shared" si="151"/>
        <v/>
      </c>
      <c r="AT867" s="78" t="str">
        <f t="shared" si="152"/>
        <v/>
      </c>
      <c r="AU867" s="78" t="str">
        <f t="shared" si="153"/>
        <v/>
      </c>
      <c r="AV867" s="64" t="str">
        <f ca="1">IFERROR(__xludf.DUMMYFUNCTION("IF(TRIM(AU867)="""","""",AU867/INDEX(FILTER(AT$3:AT867,TRIM(AT$3:AT867)&lt;&gt;""""),ROWS(FILTER(AT$3:AT867,TRIM(AT$3:AT867)&lt;&gt;"""")))-1)"),"")</f>
        <v/>
      </c>
      <c r="AW867" s="65" t="e">
        <f t="shared" ca="1" si="145"/>
        <v>#VALUE!</v>
      </c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</row>
    <row r="868" spans="1:68" ht="19" x14ac:dyDescent="0.25">
      <c r="A868" s="5"/>
      <c r="B868" s="5"/>
      <c r="C868" s="5"/>
      <c r="D868" s="5"/>
      <c r="E868" s="5"/>
      <c r="F868" s="5"/>
      <c r="G868" s="5"/>
      <c r="H868" s="6"/>
      <c r="I868" s="5"/>
      <c r="J868" s="83"/>
      <c r="K868" s="83"/>
      <c r="L868" s="83"/>
      <c r="M868" s="83"/>
      <c r="N868" s="83"/>
      <c r="O868" s="83"/>
      <c r="P868" s="83"/>
      <c r="Q868" s="84"/>
      <c r="R868" s="83"/>
      <c r="S868" s="83"/>
      <c r="T868" s="85"/>
      <c r="U868" s="6"/>
      <c r="V868" s="44">
        <v>45176</v>
      </c>
      <c r="W868" s="45">
        <v>147.52000000000001</v>
      </c>
      <c r="X868" s="46"/>
      <c r="Y868" s="61"/>
      <c r="Z868" s="5"/>
      <c r="AA868" s="5"/>
      <c r="AB868" s="5"/>
      <c r="AC868" s="5"/>
      <c r="AD868" s="5"/>
      <c r="AE868" s="5"/>
      <c r="AF868" s="5"/>
      <c r="AG868" s="5"/>
      <c r="AH868" s="6"/>
      <c r="AI868" s="44">
        <v>45176</v>
      </c>
      <c r="AJ868" s="53">
        <v>147.52000000000001</v>
      </c>
      <c r="AK868" s="54">
        <f t="shared" si="143"/>
        <v>-3.6471700661893092E-3</v>
      </c>
      <c r="AL868" s="55">
        <f t="shared" si="146"/>
        <v>6.5586960568680759</v>
      </c>
      <c r="AM868" s="56">
        <v>25</v>
      </c>
      <c r="AN868" s="57">
        <f t="shared" si="144"/>
        <v>18.441303943131924</v>
      </c>
      <c r="AO868" s="76">
        <f t="shared" si="147"/>
        <v>19.29953715570991</v>
      </c>
      <c r="AP868" s="63" t="str">
        <f t="shared" si="148"/>
        <v>Buy Stocks</v>
      </c>
      <c r="AQ868" s="63" t="str">
        <f t="shared" si="149"/>
        <v/>
      </c>
      <c r="AR868" s="63" t="str">
        <f t="shared" si="150"/>
        <v/>
      </c>
      <c r="AS868" s="63" t="str">
        <f t="shared" si="151"/>
        <v/>
      </c>
      <c r="AT868" s="78" t="str">
        <f t="shared" si="152"/>
        <v/>
      </c>
      <c r="AU868" s="78" t="str">
        <f t="shared" si="153"/>
        <v/>
      </c>
      <c r="AV868" s="64" t="str">
        <f ca="1">IFERROR(__xludf.DUMMYFUNCTION("IF(TRIM(AU868)="""","""",AU868/INDEX(FILTER(AT$3:AT868,TRIM(AT$3:AT868)&lt;&gt;""""),ROWS(FILTER(AT$3:AT868,TRIM(AT$3:AT868)&lt;&gt;"""")))-1)"),"")</f>
        <v/>
      </c>
      <c r="AW868" s="65" t="e">
        <f t="shared" ca="1" si="145"/>
        <v>#VALUE!</v>
      </c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</row>
    <row r="869" spans="1:68" ht="19" x14ac:dyDescent="0.25">
      <c r="A869" s="5"/>
      <c r="B869" s="5"/>
      <c r="C869" s="5"/>
      <c r="D869" s="5"/>
      <c r="E869" s="5"/>
      <c r="F869" s="5"/>
      <c r="G869" s="5"/>
      <c r="H869" s="6"/>
      <c r="I869" s="5"/>
      <c r="J869" s="83"/>
      <c r="K869" s="83"/>
      <c r="L869" s="83"/>
      <c r="M869" s="83"/>
      <c r="N869" s="83"/>
      <c r="O869" s="83"/>
      <c r="P869" s="83"/>
      <c r="Q869" s="84"/>
      <c r="R869" s="83"/>
      <c r="S869" s="83"/>
      <c r="T869" s="85"/>
      <c r="U869" s="6"/>
      <c r="V869" s="44">
        <v>45177</v>
      </c>
      <c r="W869" s="45">
        <v>147.68</v>
      </c>
      <c r="X869" s="46"/>
      <c r="Y869" s="61"/>
      <c r="Z869" s="5"/>
      <c r="AA869" s="5"/>
      <c r="AB869" s="5"/>
      <c r="AC869" s="5"/>
      <c r="AD869" s="5"/>
      <c r="AE869" s="5"/>
      <c r="AF869" s="5"/>
      <c r="AG869" s="5"/>
      <c r="AH869" s="6"/>
      <c r="AI869" s="44">
        <v>45177</v>
      </c>
      <c r="AJ869" s="53">
        <v>147.68</v>
      </c>
      <c r="AK869" s="54">
        <f t="shared" si="143"/>
        <v>1.0845986984815426E-3</v>
      </c>
      <c r="AL869" s="55">
        <f t="shared" si="146"/>
        <v>6.4848975683178089</v>
      </c>
      <c r="AM869" s="56">
        <v>25</v>
      </c>
      <c r="AN869" s="57">
        <f t="shared" si="144"/>
        <v>18.515102431682191</v>
      </c>
      <c r="AO869" s="76">
        <f t="shared" si="147"/>
        <v>19.525795983839924</v>
      </c>
      <c r="AP869" s="63" t="str">
        <f t="shared" si="148"/>
        <v>Buy Stocks</v>
      </c>
      <c r="AQ869" s="63" t="str">
        <f t="shared" si="149"/>
        <v/>
      </c>
      <c r="AR869" s="63" t="str">
        <f t="shared" si="150"/>
        <v/>
      </c>
      <c r="AS869" s="63" t="str">
        <f t="shared" si="151"/>
        <v/>
      </c>
      <c r="AT869" s="78" t="str">
        <f t="shared" si="152"/>
        <v/>
      </c>
      <c r="AU869" s="78" t="str">
        <f t="shared" si="153"/>
        <v/>
      </c>
      <c r="AV869" s="64" t="str">
        <f ca="1">IFERROR(__xludf.DUMMYFUNCTION("IF(TRIM(AU869)="""","""",AU869/INDEX(FILTER(AT$3:AT869,TRIM(AT$3:AT869)&lt;&gt;""""),ROWS(FILTER(AT$3:AT869,TRIM(AT$3:AT869)&lt;&gt;"""")))-1)"),"")</f>
        <v/>
      </c>
      <c r="AW869" s="65" t="e">
        <f t="shared" ca="1" si="145"/>
        <v>#VALUE!</v>
      </c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</row>
    <row r="870" spans="1:68" ht="19" x14ac:dyDescent="0.25">
      <c r="A870" s="5"/>
      <c r="B870" s="5"/>
      <c r="C870" s="5"/>
      <c r="D870" s="5"/>
      <c r="E870" s="5"/>
      <c r="F870" s="5"/>
      <c r="G870" s="5"/>
      <c r="H870" s="6"/>
      <c r="I870" s="5"/>
      <c r="J870" s="83"/>
      <c r="K870" s="83"/>
      <c r="L870" s="83"/>
      <c r="M870" s="83"/>
      <c r="N870" s="83"/>
      <c r="O870" s="83"/>
      <c r="P870" s="83"/>
      <c r="Q870" s="84"/>
      <c r="R870" s="83"/>
      <c r="S870" s="83"/>
      <c r="T870" s="85"/>
      <c r="U870" s="6"/>
      <c r="V870" s="44">
        <v>45180</v>
      </c>
      <c r="W870" s="45">
        <v>148.38</v>
      </c>
      <c r="X870" s="46"/>
      <c r="Y870" s="61"/>
      <c r="Z870" s="5"/>
      <c r="AA870" s="5"/>
      <c r="AB870" s="5"/>
      <c r="AC870" s="5"/>
      <c r="AD870" s="5"/>
      <c r="AE870" s="5"/>
      <c r="AF870" s="5"/>
      <c r="AG870" s="5"/>
      <c r="AH870" s="6"/>
      <c r="AI870" s="44">
        <v>45180</v>
      </c>
      <c r="AJ870" s="53">
        <v>148.38</v>
      </c>
      <c r="AK870" s="54">
        <f t="shared" si="143"/>
        <v>4.7399783315276167E-3</v>
      </c>
      <c r="AL870" s="55">
        <f t="shared" si="146"/>
        <v>4.8300873596706237</v>
      </c>
      <c r="AM870" s="56">
        <v>25</v>
      </c>
      <c r="AN870" s="57">
        <f t="shared" si="144"/>
        <v>20.169912640329375</v>
      </c>
      <c r="AO870" s="76">
        <f t="shared" si="147"/>
        <v>19.460920970910401</v>
      </c>
      <c r="AP870" s="63" t="str">
        <f t="shared" si="148"/>
        <v>Buy Stocks</v>
      </c>
      <c r="AQ870" s="63" t="str">
        <f t="shared" si="149"/>
        <v/>
      </c>
      <c r="AR870" s="63" t="str">
        <f t="shared" si="150"/>
        <v/>
      </c>
      <c r="AS870" s="63" t="str">
        <f t="shared" si="151"/>
        <v/>
      </c>
      <c r="AT870" s="78" t="str">
        <f t="shared" si="152"/>
        <v/>
      </c>
      <c r="AU870" s="78" t="str">
        <f t="shared" si="153"/>
        <v/>
      </c>
      <c r="AV870" s="64" t="str">
        <f ca="1">IFERROR(__xludf.DUMMYFUNCTION("IF(TRIM(AU870)="""","""",AU870/INDEX(FILTER(AT$3:AT870,TRIM(AT$3:AT870)&lt;&gt;""""),ROWS(FILTER(AT$3:AT870,TRIM(AT$3:AT870)&lt;&gt;"""")))-1)"),"")</f>
        <v/>
      </c>
      <c r="AW870" s="65" t="e">
        <f t="shared" ca="1" si="145"/>
        <v>#VALUE!</v>
      </c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</row>
    <row r="871" spans="1:68" ht="19" x14ac:dyDescent="0.25">
      <c r="A871" s="5"/>
      <c r="B871" s="5"/>
      <c r="C871" s="5"/>
      <c r="D871" s="5"/>
      <c r="E871" s="5"/>
      <c r="F871" s="5"/>
      <c r="G871" s="5"/>
      <c r="H871" s="6"/>
      <c r="I871" s="5"/>
      <c r="J871" s="83"/>
      <c r="K871" s="83"/>
      <c r="L871" s="83"/>
      <c r="M871" s="83"/>
      <c r="N871" s="83"/>
      <c r="O871" s="83"/>
      <c r="P871" s="83"/>
      <c r="Q871" s="84"/>
      <c r="R871" s="83"/>
      <c r="S871" s="83"/>
      <c r="T871" s="85"/>
      <c r="U871" s="6"/>
      <c r="V871" s="44">
        <v>45181</v>
      </c>
      <c r="W871" s="45">
        <v>146.30000000000001</v>
      </c>
      <c r="X871" s="46"/>
      <c r="Y871" s="61"/>
      <c r="Z871" s="5"/>
      <c r="AA871" s="5"/>
      <c r="AB871" s="5"/>
      <c r="AC871" s="5"/>
      <c r="AD871" s="5"/>
      <c r="AE871" s="5"/>
      <c r="AF871" s="5"/>
      <c r="AG871" s="5"/>
      <c r="AH871" s="6"/>
      <c r="AI871" s="44">
        <v>45181</v>
      </c>
      <c r="AJ871" s="53">
        <v>146.30000000000001</v>
      </c>
      <c r="AK871" s="54">
        <f t="shared" si="143"/>
        <v>-1.4018061733387155E-2</v>
      </c>
      <c r="AL871" s="55">
        <f t="shared" si="146"/>
        <v>11.31864441757571</v>
      </c>
      <c r="AM871" s="56">
        <v>25</v>
      </c>
      <c r="AN871" s="57">
        <f t="shared" si="144"/>
        <v>13.68135558242429</v>
      </c>
      <c r="AO871" s="76">
        <f t="shared" si="147"/>
        <v>18.122415829447061</v>
      </c>
      <c r="AP871" s="63" t="str">
        <f t="shared" si="148"/>
        <v>Buy Stocks</v>
      </c>
      <c r="AQ871" s="63" t="str">
        <f t="shared" si="149"/>
        <v/>
      </c>
      <c r="AR871" s="63" t="str">
        <f t="shared" si="150"/>
        <v/>
      </c>
      <c r="AS871" s="63" t="str">
        <f t="shared" si="151"/>
        <v/>
      </c>
      <c r="AT871" s="78" t="str">
        <f t="shared" si="152"/>
        <v/>
      </c>
      <c r="AU871" s="78" t="str">
        <f t="shared" si="153"/>
        <v/>
      </c>
      <c r="AV871" s="64" t="str">
        <f ca="1">IFERROR(__xludf.DUMMYFUNCTION("IF(TRIM(AU871)="""","""",AU871/INDEX(FILTER(AT$3:AT871,TRIM(AT$3:AT871)&lt;&gt;""""),ROWS(FILTER(AT$3:AT871,TRIM(AT$3:AT871)&lt;&gt;"""")))-1)"),"")</f>
        <v/>
      </c>
      <c r="AW871" s="65" t="e">
        <f t="shared" ca="1" si="145"/>
        <v>#VALUE!</v>
      </c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</row>
    <row r="872" spans="1:68" ht="19" x14ac:dyDescent="0.25">
      <c r="A872" s="5"/>
      <c r="B872" s="5"/>
      <c r="C872" s="5"/>
      <c r="D872" s="5"/>
      <c r="E872" s="5"/>
      <c r="F872" s="5"/>
      <c r="G872" s="5"/>
      <c r="H872" s="6"/>
      <c r="I872" s="5"/>
      <c r="J872" s="83"/>
      <c r="K872" s="83"/>
      <c r="L872" s="83"/>
      <c r="M872" s="83"/>
      <c r="N872" s="83"/>
      <c r="O872" s="83"/>
      <c r="P872" s="83"/>
      <c r="Q872" s="84"/>
      <c r="R872" s="83"/>
      <c r="S872" s="83"/>
      <c r="T872" s="85"/>
      <c r="U872" s="6"/>
      <c r="V872" s="44">
        <v>45182</v>
      </c>
      <c r="W872" s="45">
        <v>146.55000000000001</v>
      </c>
      <c r="X872" s="46"/>
      <c r="Y872" s="61"/>
      <c r="Z872" s="5"/>
      <c r="AA872" s="5"/>
      <c r="AB872" s="5"/>
      <c r="AC872" s="5"/>
      <c r="AD872" s="5"/>
      <c r="AE872" s="5"/>
      <c r="AF872" s="5"/>
      <c r="AG872" s="5"/>
      <c r="AH872" s="6"/>
      <c r="AI872" s="44">
        <v>45182</v>
      </c>
      <c r="AJ872" s="53">
        <v>146.55000000000001</v>
      </c>
      <c r="AK872" s="54">
        <f t="shared" si="143"/>
        <v>1.7088174982911042E-3</v>
      </c>
      <c r="AL872" s="55">
        <f t="shared" si="146"/>
        <v>11.661035872670613</v>
      </c>
      <c r="AM872" s="56">
        <v>25</v>
      </c>
      <c r="AN872" s="57">
        <f t="shared" si="144"/>
        <v>13.338964127329387</v>
      </c>
      <c r="AO872" s="76">
        <f t="shared" si="147"/>
        <v>16.829327744979434</v>
      </c>
      <c r="AP872" s="63" t="str">
        <f t="shared" si="148"/>
        <v>Buy Stocks</v>
      </c>
      <c r="AQ872" s="63" t="str">
        <f t="shared" si="149"/>
        <v/>
      </c>
      <c r="AR872" s="63" t="str">
        <f t="shared" si="150"/>
        <v/>
      </c>
      <c r="AS872" s="63" t="str">
        <f t="shared" si="151"/>
        <v/>
      </c>
      <c r="AT872" s="78" t="str">
        <f t="shared" si="152"/>
        <v/>
      </c>
      <c r="AU872" s="78" t="str">
        <f t="shared" si="153"/>
        <v/>
      </c>
      <c r="AV872" s="64" t="str">
        <f ca="1">IFERROR(__xludf.DUMMYFUNCTION("IF(TRIM(AU872)="""","""",AU872/INDEX(FILTER(AT$3:AT872,TRIM(AT$3:AT872)&lt;&gt;""""),ROWS(FILTER(AT$3:AT872,TRIM(AT$3:AT872)&lt;&gt;"""")))-1)"),"")</f>
        <v/>
      </c>
      <c r="AW872" s="65" t="e">
        <f t="shared" ca="1" si="145"/>
        <v>#VALUE!</v>
      </c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</row>
    <row r="873" spans="1:68" ht="19" x14ac:dyDescent="0.25">
      <c r="A873" s="5"/>
      <c r="B873" s="5"/>
      <c r="C873" s="5"/>
      <c r="D873" s="5"/>
      <c r="E873" s="5"/>
      <c r="F873" s="5"/>
      <c r="G873" s="5"/>
      <c r="H873" s="6"/>
      <c r="I873" s="5"/>
      <c r="J873" s="83"/>
      <c r="K873" s="83"/>
      <c r="L873" s="83"/>
      <c r="M873" s="83"/>
      <c r="N873" s="83"/>
      <c r="O873" s="83"/>
      <c r="P873" s="83"/>
      <c r="Q873" s="84"/>
      <c r="R873" s="83"/>
      <c r="S873" s="83"/>
      <c r="T873" s="85"/>
      <c r="U873" s="6"/>
      <c r="V873" s="44">
        <v>45183</v>
      </c>
      <c r="W873" s="45">
        <v>147.35</v>
      </c>
      <c r="X873" s="46"/>
      <c r="Y873" s="61"/>
      <c r="Z873" s="5"/>
      <c r="AA873" s="5"/>
      <c r="AB873" s="5"/>
      <c r="AC873" s="5"/>
      <c r="AD873" s="5"/>
      <c r="AE873" s="5"/>
      <c r="AF873" s="5"/>
      <c r="AG873" s="5"/>
      <c r="AH873" s="6"/>
      <c r="AI873" s="44">
        <v>45183</v>
      </c>
      <c r="AJ873" s="53">
        <v>147.35</v>
      </c>
      <c r="AK873" s="54">
        <f t="shared" si="143"/>
        <v>5.4588877516204004E-3</v>
      </c>
      <c r="AL873" s="55">
        <f t="shared" si="146"/>
        <v>12.616461040161647</v>
      </c>
      <c r="AM873" s="56">
        <v>25</v>
      </c>
      <c r="AN873" s="57">
        <f t="shared" si="144"/>
        <v>12.383538959838353</v>
      </c>
      <c r="AO873" s="76">
        <f t="shared" si="147"/>
        <v>15.617774748320718</v>
      </c>
      <c r="AP873" s="63" t="str">
        <f t="shared" si="148"/>
        <v>Buy Stocks</v>
      </c>
      <c r="AQ873" s="63" t="str">
        <f t="shared" si="149"/>
        <v/>
      </c>
      <c r="AR873" s="63" t="str">
        <f t="shared" si="150"/>
        <v/>
      </c>
      <c r="AS873" s="63" t="str">
        <f t="shared" si="151"/>
        <v/>
      </c>
      <c r="AT873" s="78" t="str">
        <f t="shared" si="152"/>
        <v/>
      </c>
      <c r="AU873" s="78" t="str">
        <f t="shared" si="153"/>
        <v/>
      </c>
      <c r="AV873" s="64" t="str">
        <f ca="1">IFERROR(__xludf.DUMMYFUNCTION("IF(TRIM(AU873)="""","""",AU873/INDEX(FILTER(AT$3:AT873,TRIM(AT$3:AT873)&lt;&gt;""""),ROWS(FILTER(AT$3:AT873,TRIM(AT$3:AT873)&lt;&gt;"""")))-1)"),"")</f>
        <v/>
      </c>
      <c r="AW873" s="65" t="e">
        <f t="shared" ca="1" si="145"/>
        <v>#VALUE!</v>
      </c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</row>
    <row r="874" spans="1:68" ht="19" x14ac:dyDescent="0.25">
      <c r="A874" s="5"/>
      <c r="B874" s="5"/>
      <c r="C874" s="5"/>
      <c r="D874" s="5"/>
      <c r="E874" s="5"/>
      <c r="F874" s="5"/>
      <c r="G874" s="5"/>
      <c r="H874" s="6"/>
      <c r="I874" s="5"/>
      <c r="J874" s="83"/>
      <c r="K874" s="83"/>
      <c r="L874" s="83"/>
      <c r="M874" s="83"/>
      <c r="N874" s="83"/>
      <c r="O874" s="83"/>
      <c r="P874" s="83"/>
      <c r="Q874" s="84"/>
      <c r="R874" s="83"/>
      <c r="S874" s="83"/>
      <c r="T874" s="85"/>
      <c r="U874" s="6"/>
      <c r="V874" s="44">
        <v>45184</v>
      </c>
      <c r="W874" s="45">
        <v>145.99</v>
      </c>
      <c r="X874" s="46"/>
      <c r="Y874" s="61"/>
      <c r="Z874" s="5"/>
      <c r="AA874" s="5"/>
      <c r="AB874" s="5"/>
      <c r="AC874" s="5"/>
      <c r="AD874" s="5"/>
      <c r="AE874" s="5"/>
      <c r="AF874" s="5"/>
      <c r="AG874" s="5"/>
      <c r="AH874" s="6"/>
      <c r="AI874" s="44">
        <v>45184</v>
      </c>
      <c r="AJ874" s="53">
        <v>145.99</v>
      </c>
      <c r="AK874" s="54">
        <f t="shared" si="143"/>
        <v>-9.2297251442143846E-3</v>
      </c>
      <c r="AL874" s="55">
        <f t="shared" si="146"/>
        <v>14.001126949149603</v>
      </c>
      <c r="AM874" s="56">
        <v>25</v>
      </c>
      <c r="AN874" s="57">
        <f t="shared" si="144"/>
        <v>10.998873050850397</v>
      </c>
      <c r="AO874" s="76">
        <f t="shared" si="147"/>
        <v>14.114528872154361</v>
      </c>
      <c r="AP874" s="63" t="str">
        <f t="shared" si="148"/>
        <v>Buy Stocks</v>
      </c>
      <c r="AQ874" s="63" t="str">
        <f t="shared" si="149"/>
        <v/>
      </c>
      <c r="AR874" s="63" t="str">
        <f t="shared" si="150"/>
        <v/>
      </c>
      <c r="AS874" s="63" t="str">
        <f t="shared" si="151"/>
        <v/>
      </c>
      <c r="AT874" s="78" t="str">
        <f t="shared" si="152"/>
        <v/>
      </c>
      <c r="AU874" s="78" t="str">
        <f t="shared" si="153"/>
        <v/>
      </c>
      <c r="AV874" s="64" t="str">
        <f ca="1">IFERROR(__xludf.DUMMYFUNCTION("IF(TRIM(AU874)="""","""",AU874/INDEX(FILTER(AT$3:AT874,TRIM(AT$3:AT874)&lt;&gt;""""),ROWS(FILTER(AT$3:AT874,TRIM(AT$3:AT874)&lt;&gt;"""")))-1)"),"")</f>
        <v/>
      </c>
      <c r="AW874" s="65" t="e">
        <f t="shared" ca="1" si="145"/>
        <v>#VALUE!</v>
      </c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</row>
    <row r="875" spans="1:68" ht="19" x14ac:dyDescent="0.25">
      <c r="A875" s="5"/>
      <c r="B875" s="5"/>
      <c r="C875" s="5"/>
      <c r="D875" s="5"/>
      <c r="E875" s="5"/>
      <c r="F875" s="5"/>
      <c r="G875" s="5"/>
      <c r="H875" s="6"/>
      <c r="I875" s="5"/>
      <c r="J875" s="83"/>
      <c r="K875" s="83"/>
      <c r="L875" s="83"/>
      <c r="M875" s="83"/>
      <c r="N875" s="83"/>
      <c r="O875" s="83"/>
      <c r="P875" s="83"/>
      <c r="Q875" s="84"/>
      <c r="R875" s="83"/>
      <c r="S875" s="83"/>
      <c r="T875" s="85"/>
      <c r="U875" s="6"/>
      <c r="V875" s="44">
        <v>45187</v>
      </c>
      <c r="W875" s="45">
        <v>145.09</v>
      </c>
      <c r="X875" s="46"/>
      <c r="Y875" s="61"/>
      <c r="Z875" s="5"/>
      <c r="AA875" s="5"/>
      <c r="AB875" s="5"/>
      <c r="AC875" s="5"/>
      <c r="AD875" s="5"/>
      <c r="AE875" s="5"/>
      <c r="AF875" s="5"/>
      <c r="AG875" s="5"/>
      <c r="AH875" s="6"/>
      <c r="AI875" s="44">
        <v>45187</v>
      </c>
      <c r="AJ875" s="53">
        <v>145.09</v>
      </c>
      <c r="AK875" s="54">
        <f t="shared" si="143"/>
        <v>-6.1648058086171131E-3</v>
      </c>
      <c r="AL875" s="55">
        <f t="shared" si="146"/>
        <v>12.636228440999602</v>
      </c>
      <c r="AM875" s="56">
        <v>25</v>
      </c>
      <c r="AN875" s="57">
        <f t="shared" si="144"/>
        <v>12.363771559000398</v>
      </c>
      <c r="AO875" s="76">
        <f t="shared" si="147"/>
        <v>12.553300655888567</v>
      </c>
      <c r="AP875" s="63" t="str">
        <f t="shared" si="148"/>
        <v>Buy Stocks</v>
      </c>
      <c r="AQ875" s="63" t="str">
        <f t="shared" si="149"/>
        <v/>
      </c>
      <c r="AR875" s="63" t="str">
        <f t="shared" si="150"/>
        <v/>
      </c>
      <c r="AS875" s="63" t="str">
        <f t="shared" si="151"/>
        <v/>
      </c>
      <c r="AT875" s="78" t="str">
        <f t="shared" si="152"/>
        <v/>
      </c>
      <c r="AU875" s="78" t="str">
        <f t="shared" si="153"/>
        <v/>
      </c>
      <c r="AV875" s="64" t="str">
        <f ca="1">IFERROR(__xludf.DUMMYFUNCTION("IF(TRIM(AU875)="""","""",AU875/INDEX(FILTER(AT$3:AT875,TRIM(AT$3:AT875)&lt;&gt;""""),ROWS(FILTER(AT$3:AT875,TRIM(AT$3:AT875)&lt;&gt;"""")))-1)"),"")</f>
        <v/>
      </c>
      <c r="AW875" s="65" t="e">
        <f t="shared" ca="1" si="145"/>
        <v>#VALUE!</v>
      </c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</row>
    <row r="876" spans="1:68" ht="19" x14ac:dyDescent="0.25">
      <c r="A876" s="5"/>
      <c r="B876" s="5"/>
      <c r="C876" s="5"/>
      <c r="D876" s="5"/>
      <c r="E876" s="5"/>
      <c r="F876" s="5"/>
      <c r="G876" s="5"/>
      <c r="H876" s="6"/>
      <c r="I876" s="5"/>
      <c r="J876" s="83"/>
      <c r="K876" s="83"/>
      <c r="L876" s="83"/>
      <c r="M876" s="83"/>
      <c r="N876" s="83"/>
      <c r="O876" s="83"/>
      <c r="P876" s="83"/>
      <c r="Q876" s="84"/>
      <c r="R876" s="83"/>
      <c r="S876" s="83"/>
      <c r="T876" s="85"/>
      <c r="U876" s="6"/>
      <c r="V876" s="44">
        <v>45188</v>
      </c>
      <c r="W876" s="45">
        <v>146.52000000000001</v>
      </c>
      <c r="X876" s="46"/>
      <c r="Y876" s="61"/>
      <c r="Z876" s="5"/>
      <c r="AA876" s="5"/>
      <c r="AB876" s="5"/>
      <c r="AC876" s="5"/>
      <c r="AD876" s="5"/>
      <c r="AE876" s="5"/>
      <c r="AF876" s="5"/>
      <c r="AG876" s="5"/>
      <c r="AH876" s="6"/>
      <c r="AI876" s="44">
        <v>45188</v>
      </c>
      <c r="AJ876" s="53">
        <v>146.52000000000001</v>
      </c>
      <c r="AK876" s="54">
        <f t="shared" si="143"/>
        <v>9.8559514783926883E-3</v>
      </c>
      <c r="AL876" s="55">
        <f t="shared" si="146"/>
        <v>12.613021746418465</v>
      </c>
      <c r="AM876" s="56">
        <v>25</v>
      </c>
      <c r="AN876" s="57">
        <f t="shared" si="144"/>
        <v>12.386978253581535</v>
      </c>
      <c r="AO876" s="76">
        <f t="shared" si="147"/>
        <v>12.294425190120014</v>
      </c>
      <c r="AP876" s="63" t="str">
        <f t="shared" si="148"/>
        <v>Buy Stocks</v>
      </c>
      <c r="AQ876" s="63" t="str">
        <f t="shared" si="149"/>
        <v/>
      </c>
      <c r="AR876" s="63" t="str">
        <f t="shared" si="150"/>
        <v/>
      </c>
      <c r="AS876" s="63" t="str">
        <f t="shared" si="151"/>
        <v/>
      </c>
      <c r="AT876" s="78" t="str">
        <f t="shared" si="152"/>
        <v/>
      </c>
      <c r="AU876" s="78" t="str">
        <f t="shared" si="153"/>
        <v/>
      </c>
      <c r="AV876" s="64" t="str">
        <f ca="1">IFERROR(__xludf.DUMMYFUNCTION("IF(TRIM(AU876)="""","""",AU876/INDEX(FILTER(AT$3:AT876,TRIM(AT$3:AT876)&lt;&gt;""""),ROWS(FILTER(AT$3:AT876,TRIM(AT$3:AT876)&lt;&gt;"""")))-1)"),"")</f>
        <v/>
      </c>
      <c r="AW876" s="65" t="e">
        <f t="shared" ca="1" si="145"/>
        <v>#VALUE!</v>
      </c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</row>
    <row r="877" spans="1:68" ht="19" x14ac:dyDescent="0.25">
      <c r="A877" s="5"/>
      <c r="B877" s="5"/>
      <c r="C877" s="5"/>
      <c r="D877" s="5"/>
      <c r="E877" s="5"/>
      <c r="F877" s="5"/>
      <c r="G877" s="5"/>
      <c r="H877" s="6"/>
      <c r="I877" s="5"/>
      <c r="J877" s="83"/>
      <c r="K877" s="83"/>
      <c r="L877" s="83"/>
      <c r="M877" s="83"/>
      <c r="N877" s="83"/>
      <c r="O877" s="83"/>
      <c r="P877" s="83"/>
      <c r="Q877" s="84"/>
      <c r="R877" s="83"/>
      <c r="S877" s="83"/>
      <c r="T877" s="85"/>
      <c r="U877" s="6"/>
      <c r="V877" s="44">
        <v>45189</v>
      </c>
      <c r="W877" s="45">
        <v>149.83000000000001</v>
      </c>
      <c r="X877" s="46"/>
      <c r="Y877" s="61"/>
      <c r="Z877" s="5"/>
      <c r="AA877" s="5"/>
      <c r="AB877" s="5"/>
      <c r="AC877" s="5"/>
      <c r="AD877" s="5"/>
      <c r="AE877" s="5"/>
      <c r="AF877" s="5"/>
      <c r="AG877" s="5"/>
      <c r="AH877" s="6"/>
      <c r="AI877" s="44">
        <v>45189</v>
      </c>
      <c r="AJ877" s="53">
        <v>149.83000000000001</v>
      </c>
      <c r="AK877" s="54">
        <f t="shared" si="143"/>
        <v>2.2590772590772579E-2</v>
      </c>
      <c r="AL877" s="55">
        <f t="shared" si="146"/>
        <v>20.377655455342587</v>
      </c>
      <c r="AM877" s="56">
        <v>25</v>
      </c>
      <c r="AN877" s="57">
        <f t="shared" si="144"/>
        <v>4.6223445446574125</v>
      </c>
      <c r="AO877" s="76">
        <f t="shared" si="147"/>
        <v>10.551101273585619</v>
      </c>
      <c r="AP877" s="63" t="str">
        <f t="shared" si="148"/>
        <v>Buy Stocks</v>
      </c>
      <c r="AQ877" s="63" t="str">
        <f t="shared" si="149"/>
        <v/>
      </c>
      <c r="AR877" s="63" t="str">
        <f t="shared" si="150"/>
        <v/>
      </c>
      <c r="AS877" s="63" t="str">
        <f t="shared" si="151"/>
        <v/>
      </c>
      <c r="AT877" s="78" t="str">
        <f t="shared" si="152"/>
        <v/>
      </c>
      <c r="AU877" s="78" t="str">
        <f t="shared" si="153"/>
        <v/>
      </c>
      <c r="AV877" s="64" t="str">
        <f ca="1">IFERROR(__xludf.DUMMYFUNCTION("IF(TRIM(AU877)="""","""",AU877/INDEX(FILTER(AT$3:AT877,TRIM(AT$3:AT877)&lt;&gt;""""),ROWS(FILTER(AT$3:AT877,TRIM(AT$3:AT877)&lt;&gt;"""")))-1)"),"")</f>
        <v/>
      </c>
      <c r="AW877" s="65" t="e">
        <f t="shared" ca="1" si="145"/>
        <v>#VALUE!</v>
      </c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</row>
    <row r="878" spans="1:68" ht="19" x14ac:dyDescent="0.25">
      <c r="A878" s="5"/>
      <c r="B878" s="5"/>
      <c r="C878" s="5"/>
      <c r="D878" s="5"/>
      <c r="E878" s="5"/>
      <c r="F878" s="5"/>
      <c r="G878" s="5"/>
      <c r="H878" s="6"/>
      <c r="I878" s="5"/>
      <c r="J878" s="83"/>
      <c r="K878" s="83"/>
      <c r="L878" s="83"/>
      <c r="M878" s="83"/>
      <c r="N878" s="83"/>
      <c r="O878" s="83"/>
      <c r="P878" s="83"/>
      <c r="Q878" s="84"/>
      <c r="R878" s="83"/>
      <c r="S878" s="83"/>
      <c r="T878" s="85"/>
      <c r="U878" s="6"/>
      <c r="V878" s="44">
        <v>45190</v>
      </c>
      <c r="W878" s="45">
        <v>147.38</v>
      </c>
      <c r="X878" s="46"/>
      <c r="Y878" s="61"/>
      <c r="Z878" s="5"/>
      <c r="AA878" s="5"/>
      <c r="AB878" s="5"/>
      <c r="AC878" s="5"/>
      <c r="AD878" s="5"/>
      <c r="AE878" s="5"/>
      <c r="AF878" s="5"/>
      <c r="AG878" s="5"/>
      <c r="AH878" s="6"/>
      <c r="AI878" s="44">
        <v>45190</v>
      </c>
      <c r="AJ878" s="53">
        <v>147.38</v>
      </c>
      <c r="AK878" s="54">
        <f t="shared" si="143"/>
        <v>-1.635186544750733E-2</v>
      </c>
      <c r="AL878" s="55">
        <f t="shared" si="146"/>
        <v>25.07419666421335</v>
      </c>
      <c r="AM878" s="56">
        <v>25</v>
      </c>
      <c r="AN878" s="57">
        <f t="shared" si="144"/>
        <v>-7.4196664213349806E-2</v>
      </c>
      <c r="AO878" s="76">
        <f t="shared" si="147"/>
        <v>8.0595541487752804</v>
      </c>
      <c r="AP878" s="63" t="str">
        <f t="shared" si="148"/>
        <v>Buy Stocks</v>
      </c>
      <c r="AQ878" s="63" t="str">
        <f t="shared" si="149"/>
        <v/>
      </c>
      <c r="AR878" s="63" t="str">
        <f t="shared" si="150"/>
        <v/>
      </c>
      <c r="AS878" s="63" t="str">
        <f t="shared" si="151"/>
        <v/>
      </c>
      <c r="AT878" s="78" t="str">
        <f t="shared" si="152"/>
        <v/>
      </c>
      <c r="AU878" s="78" t="str">
        <f t="shared" si="153"/>
        <v/>
      </c>
      <c r="AV878" s="64" t="str">
        <f ca="1">IFERROR(__xludf.DUMMYFUNCTION("IF(TRIM(AU878)="""","""",AU878/INDEX(FILTER(AT$3:AT878,TRIM(AT$3:AT878)&lt;&gt;""""),ROWS(FILTER(AT$3:AT878,TRIM(AT$3:AT878)&lt;&gt;"""")))-1)"),"")</f>
        <v/>
      </c>
      <c r="AW878" s="65" t="e">
        <f t="shared" ca="1" si="145"/>
        <v>#VALUE!</v>
      </c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</row>
    <row r="879" spans="1:68" ht="19" x14ac:dyDescent="0.25">
      <c r="A879" s="5"/>
      <c r="B879" s="5"/>
      <c r="C879" s="5"/>
      <c r="D879" s="5"/>
      <c r="E879" s="5"/>
      <c r="F879" s="5"/>
      <c r="G879" s="5"/>
      <c r="H879" s="6"/>
      <c r="I879" s="5"/>
      <c r="J879" s="83"/>
      <c r="K879" s="83"/>
      <c r="L879" s="83"/>
      <c r="M879" s="83"/>
      <c r="N879" s="83"/>
      <c r="O879" s="83"/>
      <c r="P879" s="83"/>
      <c r="Q879" s="84"/>
      <c r="R879" s="83"/>
      <c r="S879" s="83"/>
      <c r="T879" s="85"/>
      <c r="U879" s="6"/>
      <c r="V879" s="44">
        <v>45191</v>
      </c>
      <c r="W879" s="45">
        <v>146.91</v>
      </c>
      <c r="X879" s="46"/>
      <c r="Y879" s="61"/>
      <c r="Z879" s="5"/>
      <c r="AA879" s="5"/>
      <c r="AB879" s="5"/>
      <c r="AC879" s="5"/>
      <c r="AD879" s="5"/>
      <c r="AE879" s="5"/>
      <c r="AF879" s="5"/>
      <c r="AG879" s="5"/>
      <c r="AH879" s="6"/>
      <c r="AI879" s="44">
        <v>45191</v>
      </c>
      <c r="AJ879" s="53">
        <v>146.91</v>
      </c>
      <c r="AK879" s="54">
        <f t="shared" si="143"/>
        <v>-3.1890351472384504E-3</v>
      </c>
      <c r="AL879" s="55">
        <f t="shared" si="146"/>
        <v>23.995630120544426</v>
      </c>
      <c r="AM879" s="56">
        <v>25</v>
      </c>
      <c r="AN879" s="57">
        <f t="shared" si="144"/>
        <v>1.0043698794555738</v>
      </c>
      <c r="AO879" s="76">
        <f t="shared" si="147"/>
        <v>6.0606535144963143</v>
      </c>
      <c r="AP879" s="63" t="str">
        <f t="shared" si="148"/>
        <v>Buy Stocks</v>
      </c>
      <c r="AQ879" s="63" t="str">
        <f t="shared" si="149"/>
        <v/>
      </c>
      <c r="AR879" s="63" t="str">
        <f t="shared" si="150"/>
        <v/>
      </c>
      <c r="AS879" s="63" t="str">
        <f t="shared" si="151"/>
        <v/>
      </c>
      <c r="AT879" s="78" t="str">
        <f t="shared" si="152"/>
        <v/>
      </c>
      <c r="AU879" s="78" t="str">
        <f t="shared" si="153"/>
        <v/>
      </c>
      <c r="AV879" s="64" t="str">
        <f ca="1">IFERROR(__xludf.DUMMYFUNCTION("IF(TRIM(AU879)="""","""",AU879/INDEX(FILTER(AT$3:AT879,TRIM(AT$3:AT879)&lt;&gt;""""),ROWS(FILTER(AT$3:AT879,TRIM(AT$3:AT879)&lt;&gt;"""")))-1)"),"")</f>
        <v/>
      </c>
      <c r="AW879" s="65" t="e">
        <f t="shared" ca="1" si="145"/>
        <v>#VALUE!</v>
      </c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</row>
    <row r="880" spans="1:68" ht="19" x14ac:dyDescent="0.25">
      <c r="A880" s="5"/>
      <c r="B880" s="5"/>
      <c r="C880" s="5"/>
      <c r="D880" s="5"/>
      <c r="E880" s="5"/>
      <c r="F880" s="5"/>
      <c r="G880" s="5"/>
      <c r="H880" s="6"/>
      <c r="I880" s="5"/>
      <c r="J880" s="83"/>
      <c r="K880" s="83"/>
      <c r="L880" s="83"/>
      <c r="M880" s="83"/>
      <c r="N880" s="83"/>
      <c r="O880" s="83"/>
      <c r="P880" s="83"/>
      <c r="Q880" s="84"/>
      <c r="R880" s="83"/>
      <c r="S880" s="83"/>
      <c r="T880" s="85"/>
      <c r="U880" s="6"/>
      <c r="V880" s="44">
        <v>45194</v>
      </c>
      <c r="W880" s="45">
        <v>146.47999999999999</v>
      </c>
      <c r="X880" s="46"/>
      <c r="Y880" s="61"/>
      <c r="Z880" s="5"/>
      <c r="AA880" s="5"/>
      <c r="AB880" s="5"/>
      <c r="AC880" s="5"/>
      <c r="AD880" s="5"/>
      <c r="AE880" s="5"/>
      <c r="AF880" s="5"/>
      <c r="AG880" s="5"/>
      <c r="AH880" s="6"/>
      <c r="AI880" s="44">
        <v>45194</v>
      </c>
      <c r="AJ880" s="53">
        <v>146.47999999999999</v>
      </c>
      <c r="AK880" s="54">
        <f t="shared" si="143"/>
        <v>-2.9269620856307021E-3</v>
      </c>
      <c r="AL880" s="55">
        <f t="shared" si="146"/>
        <v>23.461102238028417</v>
      </c>
      <c r="AM880" s="56">
        <v>25</v>
      </c>
      <c r="AN880" s="57">
        <f t="shared" si="144"/>
        <v>1.5388977619715831</v>
      </c>
      <c r="AO880" s="76">
        <f t="shared" si="147"/>
        <v>3.8956787550905512</v>
      </c>
      <c r="AP880" s="63" t="str">
        <f t="shared" si="148"/>
        <v>Buy Stocks</v>
      </c>
      <c r="AQ880" s="63" t="str">
        <f t="shared" si="149"/>
        <v/>
      </c>
      <c r="AR880" s="63" t="str">
        <f t="shared" si="150"/>
        <v/>
      </c>
      <c r="AS880" s="63" t="str">
        <f t="shared" si="151"/>
        <v/>
      </c>
      <c r="AT880" s="78" t="str">
        <f t="shared" si="152"/>
        <v/>
      </c>
      <c r="AU880" s="78" t="str">
        <f t="shared" si="153"/>
        <v/>
      </c>
      <c r="AV880" s="64" t="str">
        <f ca="1">IFERROR(__xludf.DUMMYFUNCTION("IF(TRIM(AU880)="""","""",AU880/INDEX(FILTER(AT$3:AT880,TRIM(AT$3:AT880)&lt;&gt;""""),ROWS(FILTER(AT$3:AT880,TRIM(AT$3:AT880)&lt;&gt;"""")))-1)"),"")</f>
        <v/>
      </c>
      <c r="AW880" s="65" t="e">
        <f t="shared" ca="1" si="145"/>
        <v>#VALUE!</v>
      </c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</row>
    <row r="881" spans="1:68" ht="19" x14ac:dyDescent="0.25">
      <c r="A881" s="5"/>
      <c r="B881" s="5"/>
      <c r="C881" s="5"/>
      <c r="D881" s="5"/>
      <c r="E881" s="5"/>
      <c r="F881" s="5"/>
      <c r="G881" s="5"/>
      <c r="H881" s="6"/>
      <c r="I881" s="5"/>
      <c r="J881" s="83"/>
      <c r="K881" s="83"/>
      <c r="L881" s="83"/>
      <c r="M881" s="83"/>
      <c r="N881" s="83"/>
      <c r="O881" s="83"/>
      <c r="P881" s="83"/>
      <c r="Q881" s="84"/>
      <c r="R881" s="83"/>
      <c r="S881" s="83"/>
      <c r="T881" s="85"/>
      <c r="U881" s="6"/>
      <c r="V881" s="44">
        <v>45195</v>
      </c>
      <c r="W881" s="45">
        <v>143.24</v>
      </c>
      <c r="X881" s="46"/>
      <c r="Y881" s="61"/>
      <c r="Z881" s="5"/>
      <c r="AA881" s="5"/>
      <c r="AB881" s="5"/>
      <c r="AC881" s="5"/>
      <c r="AD881" s="5"/>
      <c r="AE881" s="5"/>
      <c r="AF881" s="5"/>
      <c r="AG881" s="5"/>
      <c r="AH881" s="6"/>
      <c r="AI881" s="44">
        <v>45195</v>
      </c>
      <c r="AJ881" s="53">
        <v>143.24</v>
      </c>
      <c r="AK881" s="54">
        <f t="shared" si="143"/>
        <v>-2.2119060622610487E-2</v>
      </c>
      <c r="AL881" s="55">
        <f t="shared" si="146"/>
        <v>27.368570910394663</v>
      </c>
      <c r="AM881" s="56">
        <v>25</v>
      </c>
      <c r="AN881" s="57">
        <f t="shared" si="144"/>
        <v>-2.3685709103946628</v>
      </c>
      <c r="AO881" s="76">
        <f t="shared" si="147"/>
        <v>0.94456892229531131</v>
      </c>
      <c r="AP881" s="63" t="str">
        <f t="shared" si="148"/>
        <v>Buy Stocks</v>
      </c>
      <c r="AQ881" s="63" t="str">
        <f t="shared" si="149"/>
        <v/>
      </c>
      <c r="AR881" s="63" t="str">
        <f t="shared" si="150"/>
        <v/>
      </c>
      <c r="AS881" s="63" t="str">
        <f t="shared" si="151"/>
        <v/>
      </c>
      <c r="AT881" s="78" t="str">
        <f t="shared" si="152"/>
        <v/>
      </c>
      <c r="AU881" s="78" t="str">
        <f t="shared" si="153"/>
        <v/>
      </c>
      <c r="AV881" s="64" t="str">
        <f ca="1">IFERROR(__xludf.DUMMYFUNCTION("IF(TRIM(AU881)="""","""",AU881/INDEX(FILTER(AT$3:AT881,TRIM(AT$3:AT881)&lt;&gt;""""),ROWS(FILTER(AT$3:AT881,TRIM(AT$3:AT881)&lt;&gt;"""")))-1)"),"")</f>
        <v/>
      </c>
      <c r="AW881" s="65" t="e">
        <f t="shared" ca="1" si="145"/>
        <v>#VALUE!</v>
      </c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</row>
    <row r="882" spans="1:68" ht="19" x14ac:dyDescent="0.25">
      <c r="A882" s="5"/>
      <c r="B882" s="5"/>
      <c r="C882" s="5"/>
      <c r="D882" s="5"/>
      <c r="E882" s="5"/>
      <c r="F882" s="5"/>
      <c r="G882" s="5"/>
      <c r="H882" s="6"/>
      <c r="I882" s="5"/>
      <c r="J882" s="83"/>
      <c r="K882" s="83"/>
      <c r="L882" s="83"/>
      <c r="M882" s="83"/>
      <c r="N882" s="83"/>
      <c r="O882" s="83"/>
      <c r="P882" s="83"/>
      <c r="Q882" s="84"/>
      <c r="R882" s="83"/>
      <c r="S882" s="83"/>
      <c r="T882" s="85"/>
      <c r="U882" s="6"/>
      <c r="V882" s="44">
        <v>45196</v>
      </c>
      <c r="W882" s="45">
        <v>143.16999999999999</v>
      </c>
      <c r="X882" s="46"/>
      <c r="Y882" s="61"/>
      <c r="Z882" s="5"/>
      <c r="AA882" s="5"/>
      <c r="AB882" s="5"/>
      <c r="AC882" s="5"/>
      <c r="AD882" s="5"/>
      <c r="AE882" s="5"/>
      <c r="AF882" s="5"/>
      <c r="AG882" s="5"/>
      <c r="AH882" s="6"/>
      <c r="AI882" s="44">
        <v>45196</v>
      </c>
      <c r="AJ882" s="53">
        <v>143.16999999999999</v>
      </c>
      <c r="AK882" s="54">
        <f t="shared" si="143"/>
        <v>-4.8869030996945284E-4</v>
      </c>
      <c r="AL882" s="55">
        <f t="shared" si="146"/>
        <v>15.252131584433526</v>
      </c>
      <c r="AM882" s="56">
        <v>25</v>
      </c>
      <c r="AN882" s="57">
        <f t="shared" si="144"/>
        <v>9.7478684155664741</v>
      </c>
      <c r="AO882" s="76">
        <f t="shared" si="147"/>
        <v>1.9696736964771238</v>
      </c>
      <c r="AP882" s="63" t="str">
        <f t="shared" si="148"/>
        <v>Buy Stocks</v>
      </c>
      <c r="AQ882" s="63" t="str">
        <f t="shared" si="149"/>
        <v/>
      </c>
      <c r="AR882" s="63" t="str">
        <f t="shared" si="150"/>
        <v/>
      </c>
      <c r="AS882" s="63" t="str">
        <f t="shared" si="151"/>
        <v/>
      </c>
      <c r="AT882" s="78" t="str">
        <f t="shared" si="152"/>
        <v/>
      </c>
      <c r="AU882" s="78" t="str">
        <f t="shared" si="153"/>
        <v/>
      </c>
      <c r="AV882" s="64" t="str">
        <f ca="1">IFERROR(__xludf.DUMMYFUNCTION("IF(TRIM(AU882)="""","""",AU882/INDEX(FILTER(AT$3:AT882,TRIM(AT$3:AT882)&lt;&gt;""""),ROWS(FILTER(AT$3:AT882,TRIM(AT$3:AT882)&lt;&gt;"""")))-1)"),"")</f>
        <v/>
      </c>
      <c r="AW882" s="65" t="e">
        <f t="shared" ca="1" si="145"/>
        <v>#VALUE!</v>
      </c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</row>
    <row r="883" spans="1:68" ht="19" x14ac:dyDescent="0.25">
      <c r="A883" s="5"/>
      <c r="B883" s="5"/>
      <c r="C883" s="5"/>
      <c r="D883" s="5"/>
      <c r="E883" s="5"/>
      <c r="F883" s="5"/>
      <c r="G883" s="5"/>
      <c r="H883" s="6"/>
      <c r="I883" s="5"/>
      <c r="J883" s="83"/>
      <c r="K883" s="83"/>
      <c r="L883" s="83"/>
      <c r="M883" s="83"/>
      <c r="N883" s="83"/>
      <c r="O883" s="83"/>
      <c r="P883" s="83"/>
      <c r="Q883" s="84"/>
      <c r="R883" s="83"/>
      <c r="S883" s="83"/>
      <c r="T883" s="85"/>
      <c r="U883" s="6"/>
      <c r="V883" s="44">
        <v>45197</v>
      </c>
      <c r="W883" s="45">
        <v>141.58000000000001</v>
      </c>
      <c r="X883" s="46"/>
      <c r="Y883" s="61"/>
      <c r="Z883" s="5"/>
      <c r="AA883" s="5"/>
      <c r="AB883" s="5"/>
      <c r="AC883" s="5"/>
      <c r="AD883" s="5"/>
      <c r="AE883" s="5"/>
      <c r="AF883" s="5"/>
      <c r="AG883" s="5"/>
      <c r="AH883" s="6"/>
      <c r="AI883" s="44">
        <v>45197</v>
      </c>
      <c r="AJ883" s="53">
        <v>141.58000000000001</v>
      </c>
      <c r="AK883" s="54">
        <f t="shared" si="143"/>
        <v>-1.1105678563944732E-2</v>
      </c>
      <c r="AL883" s="55">
        <f t="shared" si="146"/>
        <v>14.071302094541602</v>
      </c>
      <c r="AM883" s="56">
        <v>25</v>
      </c>
      <c r="AN883" s="57">
        <f t="shared" si="144"/>
        <v>10.928697905458398</v>
      </c>
      <c r="AO883" s="76">
        <f t="shared" si="147"/>
        <v>4.170252610411473</v>
      </c>
      <c r="AP883" s="63" t="str">
        <f t="shared" si="148"/>
        <v>Buy Stocks</v>
      </c>
      <c r="AQ883" s="63" t="str">
        <f t="shared" si="149"/>
        <v/>
      </c>
      <c r="AR883" s="63" t="str">
        <f t="shared" si="150"/>
        <v/>
      </c>
      <c r="AS883" s="63" t="str">
        <f t="shared" si="151"/>
        <v/>
      </c>
      <c r="AT883" s="78" t="str">
        <f t="shared" si="152"/>
        <v/>
      </c>
      <c r="AU883" s="78" t="str">
        <f t="shared" si="153"/>
        <v/>
      </c>
      <c r="AV883" s="64" t="str">
        <f ca="1">IFERROR(__xludf.DUMMYFUNCTION("IF(TRIM(AU883)="""","""",AU883/INDEX(FILTER(AT$3:AT883,TRIM(AT$3:AT883)&lt;&gt;""""),ROWS(FILTER(AT$3:AT883,TRIM(AT$3:AT883)&lt;&gt;"""")))-1)"),"")</f>
        <v/>
      </c>
      <c r="AW883" s="65" t="e">
        <f t="shared" ca="1" si="145"/>
        <v>#VALUE!</v>
      </c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</row>
    <row r="884" spans="1:68" ht="19" x14ac:dyDescent="0.25">
      <c r="A884" s="5"/>
      <c r="B884" s="5"/>
      <c r="C884" s="5"/>
      <c r="D884" s="5"/>
      <c r="E884" s="5"/>
      <c r="F884" s="5"/>
      <c r="G884" s="5"/>
      <c r="H884" s="6"/>
      <c r="I884" s="5"/>
      <c r="J884" s="83"/>
      <c r="K884" s="83"/>
      <c r="L884" s="83"/>
      <c r="M884" s="83"/>
      <c r="N884" s="83"/>
      <c r="O884" s="83"/>
      <c r="P884" s="83"/>
      <c r="Q884" s="84"/>
      <c r="R884" s="83"/>
      <c r="S884" s="83"/>
      <c r="T884" s="85"/>
      <c r="U884" s="6"/>
      <c r="V884" s="44">
        <v>45198</v>
      </c>
      <c r="W884" s="45">
        <v>140.30000000000001</v>
      </c>
      <c r="X884" s="46"/>
      <c r="Y884" s="61"/>
      <c r="Z884" s="5"/>
      <c r="AA884" s="5"/>
      <c r="AB884" s="5"/>
      <c r="AC884" s="5"/>
      <c r="AD884" s="5"/>
      <c r="AE884" s="5"/>
      <c r="AF884" s="5"/>
      <c r="AG884" s="5"/>
      <c r="AH884" s="6"/>
      <c r="AI884" s="44">
        <v>45198</v>
      </c>
      <c r="AJ884" s="53">
        <v>140.30000000000001</v>
      </c>
      <c r="AK884" s="54">
        <f t="shared" si="143"/>
        <v>-9.0408249752790271E-3</v>
      </c>
      <c r="AL884" s="55">
        <f t="shared" si="146"/>
        <v>13.417872522172642</v>
      </c>
      <c r="AM884" s="56">
        <v>25</v>
      </c>
      <c r="AN884" s="57">
        <f t="shared" si="144"/>
        <v>11.582127477827358</v>
      </c>
      <c r="AO884" s="76">
        <f t="shared" si="147"/>
        <v>6.2858041300858307</v>
      </c>
      <c r="AP884" s="63" t="str">
        <f t="shared" si="148"/>
        <v>Buy Stocks</v>
      </c>
      <c r="AQ884" s="63" t="str">
        <f t="shared" si="149"/>
        <v/>
      </c>
      <c r="AR884" s="63" t="str">
        <f t="shared" si="150"/>
        <v/>
      </c>
      <c r="AS884" s="63" t="str">
        <f t="shared" si="151"/>
        <v/>
      </c>
      <c r="AT884" s="78" t="str">
        <f t="shared" si="152"/>
        <v/>
      </c>
      <c r="AU884" s="78" t="str">
        <f t="shared" si="153"/>
        <v/>
      </c>
      <c r="AV884" s="64" t="str">
        <f ca="1">IFERROR(__xludf.DUMMYFUNCTION("IF(TRIM(AU884)="""","""",AU884/INDEX(FILTER(AT$3:AT884,TRIM(AT$3:AT884)&lt;&gt;""""),ROWS(FILTER(AT$3:AT884,TRIM(AT$3:AT884)&lt;&gt;"""")))-1)"),"")</f>
        <v/>
      </c>
      <c r="AW884" s="65" t="e">
        <f t="shared" ca="1" si="145"/>
        <v>#VALUE!</v>
      </c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</row>
    <row r="885" spans="1:68" ht="19" x14ac:dyDescent="0.25">
      <c r="A885" s="5"/>
      <c r="B885" s="5"/>
      <c r="C885" s="5"/>
      <c r="D885" s="5"/>
      <c r="E885" s="5"/>
      <c r="F885" s="5"/>
      <c r="G885" s="5"/>
      <c r="H885" s="6"/>
      <c r="I885" s="5"/>
      <c r="J885" s="83"/>
      <c r="K885" s="83"/>
      <c r="L885" s="83"/>
      <c r="M885" s="83"/>
      <c r="N885" s="83"/>
      <c r="O885" s="83"/>
      <c r="P885" s="83"/>
      <c r="Q885" s="84"/>
      <c r="R885" s="83"/>
      <c r="S885" s="83"/>
      <c r="T885" s="85"/>
      <c r="U885" s="6"/>
      <c r="V885" s="44">
        <v>45201</v>
      </c>
      <c r="W885" s="45">
        <v>140.80000000000001</v>
      </c>
      <c r="X885" s="46"/>
      <c r="Y885" s="61"/>
      <c r="Z885" s="5"/>
      <c r="AA885" s="5"/>
      <c r="AB885" s="5"/>
      <c r="AC885" s="5"/>
      <c r="AD885" s="5"/>
      <c r="AE885" s="5"/>
      <c r="AF885" s="5"/>
      <c r="AG885" s="5"/>
      <c r="AH885" s="6"/>
      <c r="AI885" s="44">
        <v>45201</v>
      </c>
      <c r="AJ885" s="53">
        <v>140.80000000000001</v>
      </c>
      <c r="AK885" s="54">
        <f t="shared" si="143"/>
        <v>3.5637918745545782E-3</v>
      </c>
      <c r="AL885" s="55">
        <f t="shared" si="146"/>
        <v>15.876222507427473</v>
      </c>
      <c r="AM885" s="56">
        <v>25</v>
      </c>
      <c r="AN885" s="57">
        <f t="shared" si="144"/>
        <v>9.1237774925725272</v>
      </c>
      <c r="AO885" s="76">
        <f t="shared" si="147"/>
        <v>7.8027800762060195</v>
      </c>
      <c r="AP885" s="63" t="str">
        <f t="shared" si="148"/>
        <v>Buy Stocks</v>
      </c>
      <c r="AQ885" s="63" t="str">
        <f t="shared" si="149"/>
        <v/>
      </c>
      <c r="AR885" s="63" t="str">
        <f t="shared" si="150"/>
        <v/>
      </c>
      <c r="AS885" s="63" t="str">
        <f t="shared" si="151"/>
        <v/>
      </c>
      <c r="AT885" s="78" t="str">
        <f t="shared" si="152"/>
        <v/>
      </c>
      <c r="AU885" s="78" t="str">
        <f t="shared" si="153"/>
        <v/>
      </c>
      <c r="AV885" s="64" t="str">
        <f ca="1">IFERROR(__xludf.DUMMYFUNCTION("IF(TRIM(AU885)="""","""",AU885/INDEX(FILTER(AT$3:AT885,TRIM(AT$3:AT885)&lt;&gt;""""),ROWS(FILTER(AT$3:AT885,TRIM(AT$3:AT885)&lt;&gt;"""")))-1)"),"")</f>
        <v/>
      </c>
      <c r="AW885" s="65" t="e">
        <f t="shared" ca="1" si="145"/>
        <v>#VALUE!</v>
      </c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</row>
    <row r="886" spans="1:68" ht="19" x14ac:dyDescent="0.25">
      <c r="A886" s="5"/>
      <c r="B886" s="5"/>
      <c r="C886" s="5"/>
      <c r="D886" s="5"/>
      <c r="E886" s="5"/>
      <c r="F886" s="5"/>
      <c r="G886" s="5"/>
      <c r="H886" s="6"/>
      <c r="I886" s="5"/>
      <c r="J886" s="83"/>
      <c r="K886" s="83"/>
      <c r="L886" s="83"/>
      <c r="M886" s="83"/>
      <c r="N886" s="83"/>
      <c r="O886" s="83"/>
      <c r="P886" s="83"/>
      <c r="Q886" s="84"/>
      <c r="R886" s="83"/>
      <c r="S886" s="83"/>
      <c r="T886" s="85"/>
      <c r="U886" s="6"/>
      <c r="V886" s="44">
        <v>45202</v>
      </c>
      <c r="W886" s="45">
        <v>140.38999999999999</v>
      </c>
      <c r="X886" s="46"/>
      <c r="Y886" s="61"/>
      <c r="Z886" s="5"/>
      <c r="AA886" s="5"/>
      <c r="AB886" s="5"/>
      <c r="AC886" s="5"/>
      <c r="AD886" s="5"/>
      <c r="AE886" s="5"/>
      <c r="AF886" s="5"/>
      <c r="AG886" s="5"/>
      <c r="AH886" s="6"/>
      <c r="AI886" s="44">
        <v>45202</v>
      </c>
      <c r="AJ886" s="53">
        <v>140.38999999999999</v>
      </c>
      <c r="AK886" s="54">
        <f t="shared" si="143"/>
        <v>-2.9119318181819454E-3</v>
      </c>
      <c r="AL886" s="55">
        <f t="shared" si="146"/>
        <v>9.6111153644189073</v>
      </c>
      <c r="AM886" s="56">
        <v>25</v>
      </c>
      <c r="AN886" s="57">
        <f t="shared" si="144"/>
        <v>15.388884635581093</v>
      </c>
      <c r="AO886" s="76">
        <f t="shared" si="147"/>
        <v>11.354271185401171</v>
      </c>
      <c r="AP886" s="63" t="str">
        <f t="shared" si="148"/>
        <v>Buy Stocks</v>
      </c>
      <c r="AQ886" s="63" t="str">
        <f t="shared" si="149"/>
        <v/>
      </c>
      <c r="AR886" s="63" t="str">
        <f t="shared" si="150"/>
        <v/>
      </c>
      <c r="AS886" s="63" t="str">
        <f t="shared" si="151"/>
        <v/>
      </c>
      <c r="AT886" s="78" t="str">
        <f t="shared" si="152"/>
        <v/>
      </c>
      <c r="AU886" s="78" t="str">
        <f t="shared" si="153"/>
        <v/>
      </c>
      <c r="AV886" s="64" t="str">
        <f ca="1">IFERROR(__xludf.DUMMYFUNCTION("IF(TRIM(AU886)="""","""",AU886/INDEX(FILTER(AT$3:AT886,TRIM(AT$3:AT886)&lt;&gt;""""),ROWS(FILTER(AT$3:AT886,TRIM(AT$3:AT886)&lt;&gt;"""")))-1)"),"")</f>
        <v/>
      </c>
      <c r="AW886" s="65" t="e">
        <f t="shared" ca="1" si="145"/>
        <v>#VALUE!</v>
      </c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</row>
    <row r="887" spans="1:68" ht="19" x14ac:dyDescent="0.25">
      <c r="A887" s="5"/>
      <c r="B887" s="5"/>
      <c r="C887" s="5"/>
      <c r="D887" s="5"/>
      <c r="E887" s="5"/>
      <c r="F887" s="5"/>
      <c r="G887" s="5"/>
      <c r="H887" s="6"/>
      <c r="I887" s="5"/>
      <c r="J887" s="83"/>
      <c r="K887" s="83"/>
      <c r="L887" s="83"/>
      <c r="M887" s="83"/>
      <c r="N887" s="83"/>
      <c r="O887" s="83"/>
      <c r="P887" s="83"/>
      <c r="Q887" s="84"/>
      <c r="R887" s="83"/>
      <c r="S887" s="83"/>
      <c r="T887" s="85"/>
      <c r="U887" s="6"/>
      <c r="V887" s="44">
        <v>45203</v>
      </c>
      <c r="W887" s="45">
        <v>141.07</v>
      </c>
      <c r="X887" s="46"/>
      <c r="Y887" s="61"/>
      <c r="Z887" s="5"/>
      <c r="AA887" s="5"/>
      <c r="AB887" s="5"/>
      <c r="AC887" s="5"/>
      <c r="AD887" s="5"/>
      <c r="AE887" s="5"/>
      <c r="AF887" s="5"/>
      <c r="AG887" s="5"/>
      <c r="AH887" s="6"/>
      <c r="AI887" s="44">
        <v>45203</v>
      </c>
      <c r="AJ887" s="53">
        <v>141.07</v>
      </c>
      <c r="AK887" s="54">
        <f t="shared" si="143"/>
        <v>4.8436498326092092E-3</v>
      </c>
      <c r="AL887" s="55">
        <f t="shared" si="146"/>
        <v>11.413737837942032</v>
      </c>
      <c r="AM887" s="56">
        <v>25</v>
      </c>
      <c r="AN887" s="57">
        <f t="shared" si="144"/>
        <v>13.586262162057968</v>
      </c>
      <c r="AO887" s="76">
        <f t="shared" si="147"/>
        <v>12.121949934699469</v>
      </c>
      <c r="AP887" s="63" t="str">
        <f t="shared" si="148"/>
        <v>Buy Stocks</v>
      </c>
      <c r="AQ887" s="63" t="str">
        <f t="shared" si="149"/>
        <v/>
      </c>
      <c r="AR887" s="63" t="str">
        <f t="shared" si="150"/>
        <v/>
      </c>
      <c r="AS887" s="63" t="str">
        <f t="shared" si="151"/>
        <v/>
      </c>
      <c r="AT887" s="78" t="str">
        <f t="shared" si="152"/>
        <v/>
      </c>
      <c r="AU887" s="78" t="str">
        <f t="shared" si="153"/>
        <v/>
      </c>
      <c r="AV887" s="64" t="str">
        <f ca="1">IFERROR(__xludf.DUMMYFUNCTION("IF(TRIM(AU887)="""","""",AU887/INDEX(FILTER(AT$3:AT887,TRIM(AT$3:AT887)&lt;&gt;""""),ROWS(FILTER(AT$3:AT887,TRIM(AT$3:AT887)&lt;&gt;"""")))-1)"),"")</f>
        <v/>
      </c>
      <c r="AW887" s="65" t="e">
        <f t="shared" ca="1" si="145"/>
        <v>#VALUE!</v>
      </c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</row>
    <row r="888" spans="1:68" ht="19" x14ac:dyDescent="0.25">
      <c r="A888" s="5"/>
      <c r="B888" s="5"/>
      <c r="C888" s="5"/>
      <c r="D888" s="5"/>
      <c r="E888" s="5"/>
      <c r="F888" s="5"/>
      <c r="G888" s="5"/>
      <c r="H888" s="6"/>
      <c r="I888" s="5"/>
      <c r="J888" s="83"/>
      <c r="K888" s="83"/>
      <c r="L888" s="83"/>
      <c r="M888" s="83"/>
      <c r="N888" s="83"/>
      <c r="O888" s="83"/>
      <c r="P888" s="83"/>
      <c r="Q888" s="84"/>
      <c r="R888" s="83"/>
      <c r="S888" s="83"/>
      <c r="T888" s="85"/>
      <c r="U888" s="6"/>
      <c r="V888" s="44">
        <v>45204</v>
      </c>
      <c r="W888" s="45">
        <v>141.52000000000001</v>
      </c>
      <c r="X888" s="46"/>
      <c r="Y888" s="61"/>
      <c r="Z888" s="5"/>
      <c r="AA888" s="5"/>
      <c r="AB888" s="5"/>
      <c r="AC888" s="5"/>
      <c r="AD888" s="5"/>
      <c r="AE888" s="5"/>
      <c r="AF888" s="5"/>
      <c r="AG888" s="5"/>
      <c r="AH888" s="6"/>
      <c r="AI888" s="44">
        <v>45204</v>
      </c>
      <c r="AJ888" s="53">
        <v>141.52000000000001</v>
      </c>
      <c r="AK888" s="54">
        <f t="shared" si="143"/>
        <v>3.1899057205644343E-3</v>
      </c>
      <c r="AL888" s="55">
        <f t="shared" si="146"/>
        <v>9.2742882460668579</v>
      </c>
      <c r="AM888" s="56">
        <v>25</v>
      </c>
      <c r="AN888" s="57">
        <f t="shared" si="144"/>
        <v>15.725711753933142</v>
      </c>
      <c r="AO888" s="76">
        <f t="shared" si="147"/>
        <v>13.081352704394419</v>
      </c>
      <c r="AP888" s="63" t="str">
        <f t="shared" si="148"/>
        <v>Buy Stocks</v>
      </c>
      <c r="AQ888" s="63" t="str">
        <f t="shared" si="149"/>
        <v/>
      </c>
      <c r="AR888" s="63" t="str">
        <f t="shared" si="150"/>
        <v/>
      </c>
      <c r="AS888" s="63" t="str">
        <f t="shared" si="151"/>
        <v/>
      </c>
      <c r="AT888" s="78" t="str">
        <f t="shared" si="152"/>
        <v/>
      </c>
      <c r="AU888" s="78" t="str">
        <f t="shared" si="153"/>
        <v/>
      </c>
      <c r="AV888" s="64" t="str">
        <f ca="1">IFERROR(__xludf.DUMMYFUNCTION("IF(TRIM(AU888)="""","""",AU888/INDEX(FILTER(AT$3:AT888,TRIM(AT$3:AT888)&lt;&gt;""""),ROWS(FILTER(AT$3:AT888,TRIM(AT$3:AT888)&lt;&gt;"""")))-1)"),"")</f>
        <v/>
      </c>
      <c r="AW888" s="65" t="e">
        <f t="shared" ca="1" si="145"/>
        <v>#VALUE!</v>
      </c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</row>
    <row r="889" spans="1:68" ht="19" x14ac:dyDescent="0.25">
      <c r="A889" s="5"/>
      <c r="B889" s="5"/>
      <c r="C889" s="5"/>
      <c r="D889" s="5"/>
      <c r="E889" s="5"/>
      <c r="F889" s="5"/>
      <c r="G889" s="5"/>
      <c r="H889" s="6"/>
      <c r="I889" s="5"/>
      <c r="J889" s="83"/>
      <c r="K889" s="83"/>
      <c r="L889" s="83"/>
      <c r="M889" s="83"/>
      <c r="N889" s="83"/>
      <c r="O889" s="83"/>
      <c r="P889" s="83"/>
      <c r="Q889" s="84"/>
      <c r="R889" s="83"/>
      <c r="S889" s="83"/>
      <c r="T889" s="85"/>
      <c r="U889" s="6"/>
      <c r="V889" s="44">
        <v>45205</v>
      </c>
      <c r="W889" s="45">
        <v>142.03</v>
      </c>
      <c r="X889" s="46"/>
      <c r="Y889" s="61"/>
      <c r="Z889" s="5"/>
      <c r="AA889" s="5"/>
      <c r="AB889" s="5"/>
      <c r="AC889" s="5"/>
      <c r="AD889" s="5"/>
      <c r="AE889" s="5"/>
      <c r="AF889" s="5"/>
      <c r="AG889" s="5"/>
      <c r="AH889" s="6"/>
      <c r="AI889" s="44">
        <v>45205</v>
      </c>
      <c r="AJ889" s="53">
        <v>142.03</v>
      </c>
      <c r="AK889" s="54">
        <f t="shared" si="143"/>
        <v>3.6037309214245195E-3</v>
      </c>
      <c r="AL889" s="55">
        <f t="shared" si="146"/>
        <v>4.8669448153890329</v>
      </c>
      <c r="AM889" s="56">
        <v>25</v>
      </c>
      <c r="AN889" s="57">
        <f t="shared" si="144"/>
        <v>20.133055184610967</v>
      </c>
      <c r="AO889" s="76">
        <f t="shared" si="147"/>
        <v>14.791538245751138</v>
      </c>
      <c r="AP889" s="63" t="str">
        <f t="shared" si="148"/>
        <v>Buy Stocks</v>
      </c>
      <c r="AQ889" s="63" t="str">
        <f t="shared" si="149"/>
        <v/>
      </c>
      <c r="AR889" s="63" t="str">
        <f t="shared" si="150"/>
        <v/>
      </c>
      <c r="AS889" s="63" t="str">
        <f t="shared" si="151"/>
        <v/>
      </c>
      <c r="AT889" s="78" t="str">
        <f t="shared" si="152"/>
        <v/>
      </c>
      <c r="AU889" s="78" t="str">
        <f t="shared" si="153"/>
        <v/>
      </c>
      <c r="AV889" s="64" t="str">
        <f ca="1">IFERROR(__xludf.DUMMYFUNCTION("IF(TRIM(AU889)="""","""",AU889/INDEX(FILTER(AT$3:AT889,TRIM(AT$3:AT889)&lt;&gt;""""),ROWS(FILTER(AT$3:AT889,TRIM(AT$3:AT889)&lt;&gt;"""")))-1)"),"")</f>
        <v/>
      </c>
      <c r="AW889" s="65" t="e">
        <f t="shared" ca="1" si="145"/>
        <v>#VALUE!</v>
      </c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</row>
    <row r="890" spans="1:68" ht="19" x14ac:dyDescent="0.25">
      <c r="A890" s="5"/>
      <c r="B890" s="5"/>
      <c r="C890" s="5"/>
      <c r="D890" s="5"/>
      <c r="E890" s="5"/>
      <c r="F890" s="5"/>
      <c r="G890" s="5"/>
      <c r="H890" s="6"/>
      <c r="I890" s="5"/>
      <c r="J890" s="83"/>
      <c r="K890" s="83"/>
      <c r="L890" s="83"/>
      <c r="M890" s="83"/>
      <c r="N890" s="83"/>
      <c r="O890" s="83"/>
      <c r="P890" s="83"/>
      <c r="Q890" s="84"/>
      <c r="R890" s="83"/>
      <c r="S890" s="83"/>
      <c r="T890" s="85"/>
      <c r="U890" s="6"/>
      <c r="V890" s="44">
        <v>45208</v>
      </c>
      <c r="W890" s="45">
        <v>142.19999999999999</v>
      </c>
      <c r="X890" s="46"/>
      <c r="Y890" s="61"/>
      <c r="Z890" s="5"/>
      <c r="AA890" s="5"/>
      <c r="AB890" s="5"/>
      <c r="AC890" s="5"/>
      <c r="AD890" s="5"/>
      <c r="AE890" s="5"/>
      <c r="AF890" s="5"/>
      <c r="AG890" s="5"/>
      <c r="AH890" s="6"/>
      <c r="AI890" s="44">
        <v>45208</v>
      </c>
      <c r="AJ890" s="53">
        <v>142.19999999999999</v>
      </c>
      <c r="AK890" s="54">
        <f t="shared" si="143"/>
        <v>1.1969302260084191E-3</v>
      </c>
      <c r="AL890" s="55">
        <f t="shared" si="146"/>
        <v>4.8179170722805402</v>
      </c>
      <c r="AM890" s="56">
        <v>25</v>
      </c>
      <c r="AN890" s="57">
        <f t="shared" si="144"/>
        <v>20.18208292771946</v>
      </c>
      <c r="AO890" s="76">
        <f t="shared" si="147"/>
        <v>17.003199332780529</v>
      </c>
      <c r="AP890" s="63" t="str">
        <f t="shared" si="148"/>
        <v>Buy Stocks</v>
      </c>
      <c r="AQ890" s="63" t="str">
        <f t="shared" si="149"/>
        <v/>
      </c>
      <c r="AR890" s="63" t="str">
        <f t="shared" si="150"/>
        <v/>
      </c>
      <c r="AS890" s="63" t="str">
        <f t="shared" si="151"/>
        <v/>
      </c>
      <c r="AT890" s="78" t="str">
        <f t="shared" si="152"/>
        <v/>
      </c>
      <c r="AU890" s="78" t="str">
        <f t="shared" si="153"/>
        <v/>
      </c>
      <c r="AV890" s="64" t="str">
        <f ca="1">IFERROR(__xludf.DUMMYFUNCTION("IF(TRIM(AU890)="""","""",AU890/INDEX(FILTER(AT$3:AT890,TRIM(AT$3:AT890)&lt;&gt;""""),ROWS(FILTER(AT$3:AT890,TRIM(AT$3:AT890)&lt;&gt;"""")))-1)"),"")</f>
        <v/>
      </c>
      <c r="AW890" s="65" t="e">
        <f t="shared" ca="1" si="145"/>
        <v>#VALUE!</v>
      </c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</row>
    <row r="891" spans="1:68" ht="19" x14ac:dyDescent="0.25">
      <c r="A891" s="5"/>
      <c r="B891" s="5"/>
      <c r="C891" s="5"/>
      <c r="D891" s="5"/>
      <c r="E891" s="5"/>
      <c r="F891" s="5"/>
      <c r="G891" s="5"/>
      <c r="H891" s="6"/>
      <c r="I891" s="5"/>
      <c r="J891" s="83"/>
      <c r="K891" s="83"/>
      <c r="L891" s="83"/>
      <c r="M891" s="83"/>
      <c r="N891" s="83"/>
      <c r="O891" s="83"/>
      <c r="P891" s="83"/>
      <c r="Q891" s="84"/>
      <c r="R891" s="83"/>
      <c r="S891" s="83"/>
      <c r="T891" s="85"/>
      <c r="U891" s="6"/>
      <c r="V891" s="44">
        <v>45209</v>
      </c>
      <c r="W891" s="45">
        <v>142.11000000000001</v>
      </c>
      <c r="X891" s="46"/>
      <c r="Y891" s="61"/>
      <c r="Z891" s="5"/>
      <c r="AA891" s="5"/>
      <c r="AB891" s="5"/>
      <c r="AC891" s="5"/>
      <c r="AD891" s="5"/>
      <c r="AE891" s="5"/>
      <c r="AF891" s="5"/>
      <c r="AG891" s="5"/>
      <c r="AH891" s="6"/>
      <c r="AI891" s="44">
        <v>45209</v>
      </c>
      <c r="AJ891" s="53">
        <v>142.11000000000001</v>
      </c>
      <c r="AK891" s="54">
        <f t="shared" si="143"/>
        <v>-6.3291139240484462E-4</v>
      </c>
      <c r="AL891" s="55">
        <f t="shared" si="146"/>
        <v>3.430709169703186</v>
      </c>
      <c r="AM891" s="56">
        <v>25</v>
      </c>
      <c r="AN891" s="57">
        <f t="shared" si="144"/>
        <v>21.569290830296815</v>
      </c>
      <c r="AO891" s="76">
        <f t="shared" si="147"/>
        <v>18.239280571723668</v>
      </c>
      <c r="AP891" s="63" t="str">
        <f t="shared" si="148"/>
        <v>Buy Stocks</v>
      </c>
      <c r="AQ891" s="63" t="str">
        <f t="shared" si="149"/>
        <v/>
      </c>
      <c r="AR891" s="63" t="str">
        <f t="shared" si="150"/>
        <v/>
      </c>
      <c r="AS891" s="63" t="str">
        <f t="shared" si="151"/>
        <v/>
      </c>
      <c r="AT891" s="78" t="str">
        <f t="shared" si="152"/>
        <v/>
      </c>
      <c r="AU891" s="78" t="str">
        <f t="shared" si="153"/>
        <v/>
      </c>
      <c r="AV891" s="64" t="str">
        <f ca="1">IFERROR(__xludf.DUMMYFUNCTION("IF(TRIM(AU891)="""","""",AU891/INDEX(FILTER(AT$3:AT891,TRIM(AT$3:AT891)&lt;&gt;""""),ROWS(FILTER(AT$3:AT891,TRIM(AT$3:AT891)&lt;&gt;"""")))-1)"),"")</f>
        <v/>
      </c>
      <c r="AW891" s="65" t="e">
        <f t="shared" ca="1" si="145"/>
        <v>#VALUE!</v>
      </c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</row>
    <row r="892" spans="1:68" ht="19" x14ac:dyDescent="0.25">
      <c r="A892" s="5"/>
      <c r="B892" s="5"/>
      <c r="C892" s="5"/>
      <c r="D892" s="5"/>
      <c r="E892" s="5"/>
      <c r="F892" s="5"/>
      <c r="G892" s="5"/>
      <c r="H892" s="6"/>
      <c r="I892" s="5"/>
      <c r="J892" s="83"/>
      <c r="K892" s="83"/>
      <c r="L892" s="83"/>
      <c r="M892" s="83"/>
      <c r="N892" s="83"/>
      <c r="O892" s="83"/>
      <c r="P892" s="83"/>
      <c r="Q892" s="84"/>
      <c r="R892" s="83"/>
      <c r="S892" s="83"/>
      <c r="T892" s="85"/>
      <c r="U892" s="6"/>
      <c r="V892" s="44">
        <v>45210</v>
      </c>
      <c r="W892" s="45">
        <v>143.22999999999999</v>
      </c>
      <c r="X892" s="46"/>
      <c r="Y892" s="61"/>
      <c r="Z892" s="5"/>
      <c r="AA892" s="5"/>
      <c r="AB892" s="5"/>
      <c r="AC892" s="5"/>
      <c r="AD892" s="5"/>
      <c r="AE892" s="5"/>
      <c r="AF892" s="5"/>
      <c r="AG892" s="5"/>
      <c r="AH892" s="6"/>
      <c r="AI892" s="44">
        <v>45210</v>
      </c>
      <c r="AJ892" s="53">
        <v>143.22999999999999</v>
      </c>
      <c r="AK892" s="54">
        <f t="shared" si="143"/>
        <v>7.8812187741887918E-3</v>
      </c>
      <c r="AL892" s="55">
        <f t="shared" si="146"/>
        <v>5.0614882882613585</v>
      </c>
      <c r="AM892" s="56">
        <v>25</v>
      </c>
      <c r="AN892" s="57">
        <f t="shared" si="144"/>
        <v>19.938511711738641</v>
      </c>
      <c r="AO892" s="76">
        <f t="shared" si="147"/>
        <v>19.509730481659808</v>
      </c>
      <c r="AP892" s="63" t="str">
        <f t="shared" si="148"/>
        <v>Buy Stocks</v>
      </c>
      <c r="AQ892" s="63" t="str">
        <f t="shared" si="149"/>
        <v/>
      </c>
      <c r="AR892" s="63" t="str">
        <f t="shared" si="150"/>
        <v/>
      </c>
      <c r="AS892" s="63" t="str">
        <f t="shared" si="151"/>
        <v/>
      </c>
      <c r="AT892" s="78" t="str">
        <f t="shared" si="152"/>
        <v/>
      </c>
      <c r="AU892" s="78" t="str">
        <f t="shared" si="153"/>
        <v/>
      </c>
      <c r="AV892" s="64" t="str">
        <f ca="1">IFERROR(__xludf.DUMMYFUNCTION("IF(TRIM(AU892)="""","""",AU892/INDEX(FILTER(AT$3:AT892,TRIM(AT$3:AT892)&lt;&gt;""""),ROWS(FILTER(AT$3:AT892,TRIM(AT$3:AT892)&lt;&gt;"""")))-1)"),"")</f>
        <v/>
      </c>
      <c r="AW892" s="65" t="e">
        <f t="shared" ca="1" si="145"/>
        <v>#VALUE!</v>
      </c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</row>
    <row r="893" spans="1:68" ht="19" x14ac:dyDescent="0.25">
      <c r="A893" s="5"/>
      <c r="B893" s="5"/>
      <c r="C893" s="5"/>
      <c r="D893" s="5"/>
      <c r="E893" s="5"/>
      <c r="F893" s="5"/>
      <c r="G893" s="5"/>
      <c r="H893" s="6"/>
      <c r="I893" s="5"/>
      <c r="J893" s="83"/>
      <c r="K893" s="83"/>
      <c r="L893" s="83"/>
      <c r="M893" s="83"/>
      <c r="N893" s="83"/>
      <c r="O893" s="83"/>
      <c r="P893" s="83"/>
      <c r="Q893" s="84"/>
      <c r="R893" s="83"/>
      <c r="S893" s="83"/>
      <c r="T893" s="85"/>
      <c r="U893" s="6"/>
      <c r="V893" s="44">
        <v>45211</v>
      </c>
      <c r="W893" s="45">
        <v>141.24</v>
      </c>
      <c r="X893" s="46"/>
      <c r="Y893" s="61"/>
      <c r="Z893" s="5"/>
      <c r="AA893" s="5"/>
      <c r="AB893" s="5"/>
      <c r="AC893" s="5"/>
      <c r="AD893" s="5"/>
      <c r="AE893" s="5"/>
      <c r="AF893" s="5"/>
      <c r="AG893" s="5"/>
      <c r="AH893" s="6"/>
      <c r="AI893" s="44">
        <v>45211</v>
      </c>
      <c r="AJ893" s="53">
        <v>141.24</v>
      </c>
      <c r="AK893" s="54">
        <f t="shared" si="143"/>
        <v>-1.3893737345528012E-2</v>
      </c>
      <c r="AL893" s="55">
        <f t="shared" si="146"/>
        <v>13.025055657476848</v>
      </c>
      <c r="AM893" s="56">
        <v>25</v>
      </c>
      <c r="AN893" s="57">
        <f t="shared" si="144"/>
        <v>11.974944342523152</v>
      </c>
      <c r="AO893" s="76">
        <f t="shared" si="147"/>
        <v>18.759576999377806</v>
      </c>
      <c r="AP893" s="63" t="str">
        <f t="shared" si="148"/>
        <v>Buy Stocks</v>
      </c>
      <c r="AQ893" s="63" t="str">
        <f t="shared" si="149"/>
        <v/>
      </c>
      <c r="AR893" s="63" t="str">
        <f t="shared" si="150"/>
        <v/>
      </c>
      <c r="AS893" s="63" t="str">
        <f t="shared" si="151"/>
        <v/>
      </c>
      <c r="AT893" s="78" t="str">
        <f t="shared" si="152"/>
        <v/>
      </c>
      <c r="AU893" s="78" t="str">
        <f t="shared" si="153"/>
        <v/>
      </c>
      <c r="AV893" s="64" t="str">
        <f ca="1">IFERROR(__xludf.DUMMYFUNCTION("IF(TRIM(AU893)="""","""",AU893/INDEX(FILTER(AT$3:AT893,TRIM(AT$3:AT893)&lt;&gt;""""),ROWS(FILTER(AT$3:AT893,TRIM(AT$3:AT893)&lt;&gt;"""")))-1)"),"")</f>
        <v/>
      </c>
      <c r="AW893" s="65" t="e">
        <f t="shared" ca="1" si="145"/>
        <v>#VALUE!</v>
      </c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</row>
    <row r="894" spans="1:68" ht="19" x14ac:dyDescent="0.25">
      <c r="A894" s="5"/>
      <c r="B894" s="5"/>
      <c r="C894" s="5"/>
      <c r="D894" s="5"/>
      <c r="E894" s="5"/>
      <c r="F894" s="5"/>
      <c r="G894" s="5"/>
      <c r="H894" s="6"/>
      <c r="I894" s="5"/>
      <c r="J894" s="83"/>
      <c r="K894" s="83"/>
      <c r="L894" s="83"/>
      <c r="M894" s="83"/>
      <c r="N894" s="83"/>
      <c r="O894" s="83"/>
      <c r="P894" s="83"/>
      <c r="Q894" s="84"/>
      <c r="R894" s="83"/>
      <c r="S894" s="83"/>
      <c r="T894" s="85"/>
      <c r="U894" s="6"/>
      <c r="V894" s="44">
        <v>45212</v>
      </c>
      <c r="W894" s="45">
        <v>138.46</v>
      </c>
      <c r="X894" s="46"/>
      <c r="Y894" s="61"/>
      <c r="Z894" s="5"/>
      <c r="AA894" s="5"/>
      <c r="AB894" s="5"/>
      <c r="AC894" s="5"/>
      <c r="AD894" s="5"/>
      <c r="AE894" s="5"/>
      <c r="AF894" s="5"/>
      <c r="AG894" s="5"/>
      <c r="AH894" s="6"/>
      <c r="AI894" s="44">
        <v>45212</v>
      </c>
      <c r="AJ894" s="53">
        <v>138.46</v>
      </c>
      <c r="AK894" s="54">
        <f t="shared" si="143"/>
        <v>-1.9682809402435608E-2</v>
      </c>
      <c r="AL894" s="55">
        <f t="shared" si="146"/>
        <v>18.066264234694646</v>
      </c>
      <c r="AM894" s="56">
        <v>25</v>
      </c>
      <c r="AN894" s="57">
        <f t="shared" si="144"/>
        <v>6.9337357653053537</v>
      </c>
      <c r="AO894" s="76">
        <f t="shared" si="147"/>
        <v>16.119713115516685</v>
      </c>
      <c r="AP894" s="63" t="str">
        <f t="shared" si="148"/>
        <v>Buy Stocks</v>
      </c>
      <c r="AQ894" s="63" t="str">
        <f t="shared" si="149"/>
        <v/>
      </c>
      <c r="AR894" s="63" t="str">
        <f t="shared" si="150"/>
        <v/>
      </c>
      <c r="AS894" s="63" t="str">
        <f t="shared" si="151"/>
        <v/>
      </c>
      <c r="AT894" s="78" t="str">
        <f t="shared" si="152"/>
        <v/>
      </c>
      <c r="AU894" s="78" t="str">
        <f t="shared" si="153"/>
        <v/>
      </c>
      <c r="AV894" s="64" t="str">
        <f ca="1">IFERROR(__xludf.DUMMYFUNCTION("IF(TRIM(AU894)="""","""",AU894/INDEX(FILTER(AT$3:AT894,TRIM(AT$3:AT894)&lt;&gt;""""),ROWS(FILTER(AT$3:AT894,TRIM(AT$3:AT894)&lt;&gt;"""")))-1)"),"")</f>
        <v/>
      </c>
      <c r="AW894" s="65" t="e">
        <f t="shared" ca="1" si="145"/>
        <v>#VALUE!</v>
      </c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</row>
    <row r="895" spans="1:68" ht="19" x14ac:dyDescent="0.25">
      <c r="A895" s="5"/>
      <c r="B895" s="5"/>
      <c r="C895" s="5"/>
      <c r="D895" s="5"/>
      <c r="E895" s="5"/>
      <c r="F895" s="5"/>
      <c r="G895" s="5"/>
      <c r="H895" s="6"/>
      <c r="I895" s="5"/>
      <c r="J895" s="83"/>
      <c r="K895" s="83"/>
      <c r="L895" s="83"/>
      <c r="M895" s="83"/>
      <c r="N895" s="83"/>
      <c r="O895" s="83"/>
      <c r="P895" s="83"/>
      <c r="Q895" s="84"/>
      <c r="R895" s="83"/>
      <c r="S895" s="83"/>
      <c r="T895" s="85"/>
      <c r="U895" s="6"/>
      <c r="V895" s="44">
        <v>45215</v>
      </c>
      <c r="W895" s="45">
        <v>139.21</v>
      </c>
      <c r="X895" s="46"/>
      <c r="Y895" s="61"/>
      <c r="Z895" s="5"/>
      <c r="AA895" s="5"/>
      <c r="AB895" s="5"/>
      <c r="AC895" s="5"/>
      <c r="AD895" s="5"/>
      <c r="AE895" s="5"/>
      <c r="AF895" s="5"/>
      <c r="AG895" s="5"/>
      <c r="AH895" s="6"/>
      <c r="AI895" s="44">
        <v>45215</v>
      </c>
      <c r="AJ895" s="53">
        <v>139.21</v>
      </c>
      <c r="AK895" s="54">
        <f t="shared" si="143"/>
        <v>5.4167268525204815E-3</v>
      </c>
      <c r="AL895" s="55">
        <f t="shared" si="146"/>
        <v>19.195125266841448</v>
      </c>
      <c r="AM895" s="56">
        <v>25</v>
      </c>
      <c r="AN895" s="57">
        <f t="shared" si="144"/>
        <v>5.8048747331585524</v>
      </c>
      <c r="AO895" s="76">
        <f t="shared" si="147"/>
        <v>13.244271476604505</v>
      </c>
      <c r="AP895" s="63" t="str">
        <f t="shared" si="148"/>
        <v>Buy Stocks</v>
      </c>
      <c r="AQ895" s="63" t="str">
        <f t="shared" si="149"/>
        <v/>
      </c>
      <c r="AR895" s="63" t="str">
        <f t="shared" si="150"/>
        <v/>
      </c>
      <c r="AS895" s="63" t="str">
        <f t="shared" si="151"/>
        <v/>
      </c>
      <c r="AT895" s="78" t="str">
        <f t="shared" si="152"/>
        <v/>
      </c>
      <c r="AU895" s="78" t="str">
        <f t="shared" si="153"/>
        <v/>
      </c>
      <c r="AV895" s="64" t="str">
        <f ca="1">IFERROR(__xludf.DUMMYFUNCTION("IF(TRIM(AU895)="""","""",AU895/INDEX(FILTER(AT$3:AT895,TRIM(AT$3:AT895)&lt;&gt;""""),ROWS(FILTER(AT$3:AT895,TRIM(AT$3:AT895)&lt;&gt;"""")))-1)"),"")</f>
        <v/>
      </c>
      <c r="AW895" s="65" t="e">
        <f t="shared" ca="1" si="145"/>
        <v>#VALUE!</v>
      </c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</row>
    <row r="896" spans="1:68" ht="19" x14ac:dyDescent="0.25">
      <c r="A896" s="5"/>
      <c r="B896" s="5"/>
      <c r="C896" s="5"/>
      <c r="D896" s="5"/>
      <c r="E896" s="5"/>
      <c r="F896" s="5"/>
      <c r="G896" s="5"/>
      <c r="H896" s="6"/>
      <c r="I896" s="5"/>
      <c r="J896" s="83"/>
      <c r="K896" s="83"/>
      <c r="L896" s="83"/>
      <c r="M896" s="83"/>
      <c r="N896" s="83"/>
      <c r="O896" s="83"/>
      <c r="P896" s="83"/>
      <c r="Q896" s="84"/>
      <c r="R896" s="83"/>
      <c r="S896" s="83"/>
      <c r="T896" s="85"/>
      <c r="U896" s="6"/>
      <c r="V896" s="44">
        <v>45216</v>
      </c>
      <c r="W896" s="45">
        <v>140.32</v>
      </c>
      <c r="X896" s="46"/>
      <c r="Y896" s="61"/>
      <c r="Z896" s="5"/>
      <c r="AA896" s="5"/>
      <c r="AB896" s="5"/>
      <c r="AC896" s="5"/>
      <c r="AD896" s="5"/>
      <c r="AE896" s="5"/>
      <c r="AF896" s="5"/>
      <c r="AG896" s="5"/>
      <c r="AH896" s="6"/>
      <c r="AI896" s="44">
        <v>45216</v>
      </c>
      <c r="AJ896" s="53">
        <v>140.32</v>
      </c>
      <c r="AK896" s="54">
        <f t="shared" si="143"/>
        <v>7.9735651174484001E-3</v>
      </c>
      <c r="AL896" s="55">
        <f t="shared" si="146"/>
        <v>21.077832081360111</v>
      </c>
      <c r="AM896" s="56">
        <v>25</v>
      </c>
      <c r="AN896" s="57">
        <f t="shared" si="144"/>
        <v>3.9221679186398895</v>
      </c>
      <c r="AO896" s="76">
        <f t="shared" si="147"/>
        <v>9.7148468942731174</v>
      </c>
      <c r="AP896" s="63" t="str">
        <f t="shared" si="148"/>
        <v>Buy Stocks</v>
      </c>
      <c r="AQ896" s="63" t="str">
        <f t="shared" si="149"/>
        <v/>
      </c>
      <c r="AR896" s="63" t="str">
        <f t="shared" si="150"/>
        <v/>
      </c>
      <c r="AS896" s="63" t="str">
        <f t="shared" si="151"/>
        <v/>
      </c>
      <c r="AT896" s="78" t="str">
        <f t="shared" si="152"/>
        <v/>
      </c>
      <c r="AU896" s="78" t="str">
        <f t="shared" si="153"/>
        <v/>
      </c>
      <c r="AV896" s="64" t="str">
        <f ca="1">IFERROR(__xludf.DUMMYFUNCTION("IF(TRIM(AU896)="""","""",AU896/INDEX(FILTER(AT$3:AT896,TRIM(AT$3:AT896)&lt;&gt;""""),ROWS(FILTER(AT$3:AT896,TRIM(AT$3:AT896)&lt;&gt;"""")))-1)"),"")</f>
        <v/>
      </c>
      <c r="AW896" s="65" t="e">
        <f t="shared" ca="1" si="145"/>
        <v>#VALUE!</v>
      </c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</row>
    <row r="897" spans="1:68" ht="19" x14ac:dyDescent="0.25">
      <c r="A897" s="5"/>
      <c r="B897" s="5"/>
      <c r="C897" s="5"/>
      <c r="D897" s="5"/>
      <c r="E897" s="5"/>
      <c r="F897" s="5"/>
      <c r="G897" s="5"/>
      <c r="H897" s="6"/>
      <c r="I897" s="5"/>
      <c r="J897" s="83"/>
      <c r="K897" s="83"/>
      <c r="L897" s="83"/>
      <c r="M897" s="83"/>
      <c r="N897" s="83"/>
      <c r="O897" s="83"/>
      <c r="P897" s="83"/>
      <c r="Q897" s="84"/>
      <c r="R897" s="83"/>
      <c r="S897" s="83"/>
      <c r="T897" s="85"/>
      <c r="U897" s="6"/>
      <c r="V897" s="44">
        <v>45217</v>
      </c>
      <c r="W897" s="45">
        <v>139.97</v>
      </c>
      <c r="X897" s="46"/>
      <c r="Y897" s="61"/>
      <c r="Z897" s="5"/>
      <c r="AA897" s="5"/>
      <c r="AB897" s="5"/>
      <c r="AC897" s="5"/>
      <c r="AD897" s="5"/>
      <c r="AE897" s="5"/>
      <c r="AF897" s="5"/>
      <c r="AG897" s="5"/>
      <c r="AH897" s="6"/>
      <c r="AI897" s="44">
        <v>45217</v>
      </c>
      <c r="AJ897" s="53">
        <v>139.97</v>
      </c>
      <c r="AK897" s="54">
        <f t="shared" si="143"/>
        <v>-2.494298745724044E-3</v>
      </c>
      <c r="AL897" s="55">
        <f t="shared" si="146"/>
        <v>19.061106988912734</v>
      </c>
      <c r="AM897" s="56">
        <v>25</v>
      </c>
      <c r="AN897" s="57">
        <f t="shared" si="144"/>
        <v>5.9388930110872664</v>
      </c>
      <c r="AO897" s="76">
        <f t="shared" si="147"/>
        <v>6.9149231541428433</v>
      </c>
      <c r="AP897" s="63" t="str">
        <f t="shared" si="148"/>
        <v>Buy Stocks</v>
      </c>
      <c r="AQ897" s="63" t="str">
        <f t="shared" si="149"/>
        <v/>
      </c>
      <c r="AR897" s="63" t="str">
        <f t="shared" si="150"/>
        <v/>
      </c>
      <c r="AS897" s="63" t="str">
        <f t="shared" si="151"/>
        <v/>
      </c>
      <c r="AT897" s="78" t="str">
        <f t="shared" si="152"/>
        <v/>
      </c>
      <c r="AU897" s="78" t="str">
        <f t="shared" si="153"/>
        <v/>
      </c>
      <c r="AV897" s="64" t="str">
        <f ca="1">IFERROR(__xludf.DUMMYFUNCTION("IF(TRIM(AU897)="""","""",AU897/INDEX(FILTER(AT$3:AT897,TRIM(AT$3:AT897)&lt;&gt;""""),ROWS(FILTER(AT$3:AT897,TRIM(AT$3:AT897)&lt;&gt;"""")))-1)"),"")</f>
        <v/>
      </c>
      <c r="AW897" s="65" t="e">
        <f t="shared" ca="1" si="145"/>
        <v>#VALUE!</v>
      </c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</row>
    <row r="898" spans="1:68" ht="19" x14ac:dyDescent="0.25">
      <c r="A898" s="5"/>
      <c r="B898" s="5"/>
      <c r="C898" s="5"/>
      <c r="D898" s="5"/>
      <c r="E898" s="5"/>
      <c r="F898" s="5"/>
      <c r="G898" s="5"/>
      <c r="H898" s="6"/>
      <c r="I898" s="5"/>
      <c r="J898" s="83"/>
      <c r="K898" s="83"/>
      <c r="L898" s="83"/>
      <c r="M898" s="83"/>
      <c r="N898" s="83"/>
      <c r="O898" s="83"/>
      <c r="P898" s="83"/>
      <c r="Q898" s="84"/>
      <c r="R898" s="83"/>
      <c r="S898" s="83"/>
      <c r="T898" s="85"/>
      <c r="U898" s="6"/>
      <c r="V898" s="44">
        <v>45218</v>
      </c>
      <c r="W898" s="45">
        <v>138.01</v>
      </c>
      <c r="X898" s="46"/>
      <c r="Y898" s="61"/>
      <c r="Z898" s="5"/>
      <c r="AA898" s="5"/>
      <c r="AB898" s="5"/>
      <c r="AC898" s="5"/>
      <c r="AD898" s="5"/>
      <c r="AE898" s="5"/>
      <c r="AF898" s="5"/>
      <c r="AG898" s="5"/>
      <c r="AH898" s="6"/>
      <c r="AI898" s="44">
        <v>45218</v>
      </c>
      <c r="AJ898" s="53">
        <v>138.01</v>
      </c>
      <c r="AK898" s="54">
        <f t="shared" si="143"/>
        <v>-1.4003000642994978E-2</v>
      </c>
      <c r="AL898" s="55">
        <f t="shared" si="146"/>
        <v>19.0950280835409</v>
      </c>
      <c r="AM898" s="56">
        <v>25</v>
      </c>
      <c r="AN898" s="57">
        <f t="shared" si="144"/>
        <v>5.9049719164591004</v>
      </c>
      <c r="AO898" s="76">
        <f t="shared" si="147"/>
        <v>5.7009286689300325</v>
      </c>
      <c r="AP898" s="63" t="str">
        <f t="shared" si="148"/>
        <v>Buy Stocks</v>
      </c>
      <c r="AQ898" s="63" t="str">
        <f t="shared" si="149"/>
        <v/>
      </c>
      <c r="AR898" s="63" t="str">
        <f t="shared" si="150"/>
        <v/>
      </c>
      <c r="AS898" s="63" t="str">
        <f t="shared" si="151"/>
        <v/>
      </c>
      <c r="AT898" s="78" t="str">
        <f t="shared" si="152"/>
        <v/>
      </c>
      <c r="AU898" s="78" t="str">
        <f t="shared" si="153"/>
        <v/>
      </c>
      <c r="AV898" s="64" t="str">
        <f ca="1">IFERROR(__xludf.DUMMYFUNCTION("IF(TRIM(AU898)="""","""",AU898/INDEX(FILTER(AT$3:AT898,TRIM(AT$3:AT898)&lt;&gt;""""),ROWS(FILTER(AT$3:AT898,TRIM(AT$3:AT898)&lt;&gt;"""")))-1)"),"")</f>
        <v/>
      </c>
      <c r="AW898" s="65" t="e">
        <f t="shared" ca="1" si="145"/>
        <v>#VALUE!</v>
      </c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</row>
    <row r="899" spans="1:68" ht="19" x14ac:dyDescent="0.25">
      <c r="A899" s="5"/>
      <c r="B899" s="5"/>
      <c r="C899" s="5"/>
      <c r="D899" s="5"/>
      <c r="E899" s="5"/>
      <c r="F899" s="5"/>
      <c r="G899" s="5"/>
      <c r="H899" s="6"/>
      <c r="I899" s="5"/>
      <c r="J899" s="83"/>
      <c r="K899" s="83"/>
      <c r="L899" s="83"/>
      <c r="M899" s="83"/>
      <c r="N899" s="83"/>
      <c r="O899" s="83"/>
      <c r="P899" s="83"/>
      <c r="Q899" s="84"/>
      <c r="R899" s="83"/>
      <c r="S899" s="83"/>
      <c r="T899" s="85"/>
      <c r="U899" s="6"/>
      <c r="V899" s="44">
        <v>45219</v>
      </c>
      <c r="W899" s="45">
        <v>137.16</v>
      </c>
      <c r="X899" s="46"/>
      <c r="Y899" s="61"/>
      <c r="Z899" s="5"/>
      <c r="AA899" s="5"/>
      <c r="AB899" s="5"/>
      <c r="AC899" s="5"/>
      <c r="AD899" s="5"/>
      <c r="AE899" s="5"/>
      <c r="AF899" s="5"/>
      <c r="AG899" s="5"/>
      <c r="AH899" s="6"/>
      <c r="AI899" s="44">
        <v>45219</v>
      </c>
      <c r="AJ899" s="53">
        <v>137.16</v>
      </c>
      <c r="AK899" s="54">
        <f t="shared" ref="AK899:AK962" si="154">AJ899/AJ898-1</f>
        <v>-6.15897398739218E-3</v>
      </c>
      <c r="AL899" s="55">
        <f t="shared" si="146"/>
        <v>14.109247544326047</v>
      </c>
      <c r="AM899" s="56">
        <v>25</v>
      </c>
      <c r="AN899" s="57">
        <f t="shared" ref="AN899:AN962" si="155">AM899-AL899</f>
        <v>10.890752455673953</v>
      </c>
      <c r="AO899" s="76">
        <f t="shared" si="147"/>
        <v>6.4923320070037516</v>
      </c>
      <c r="AP899" s="63" t="str">
        <f t="shared" si="148"/>
        <v>Buy Stocks</v>
      </c>
      <c r="AQ899" s="63" t="str">
        <f t="shared" si="149"/>
        <v/>
      </c>
      <c r="AR899" s="63" t="str">
        <f t="shared" si="150"/>
        <v/>
      </c>
      <c r="AS899" s="63" t="str">
        <f t="shared" si="151"/>
        <v/>
      </c>
      <c r="AT899" s="78" t="str">
        <f t="shared" si="152"/>
        <v/>
      </c>
      <c r="AU899" s="78" t="str">
        <f t="shared" si="153"/>
        <v/>
      </c>
      <c r="AV899" s="64" t="str">
        <f ca="1">IFERROR(__xludf.DUMMYFUNCTION("IF(TRIM(AU899)="""","""",AU899/INDEX(FILTER(AT$3:AT899,TRIM(AT$3:AT899)&lt;&gt;""""),ROWS(FILTER(AT$3:AT899,TRIM(AT$3:AT899)&lt;&gt;"""")))-1)"),"")</f>
        <v/>
      </c>
      <c r="AW899" s="65" t="e">
        <f t="shared" ref="AW899:AW962" ca="1" si="156">AW898*(1+AV899)</f>
        <v>#VALUE!</v>
      </c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</row>
    <row r="900" spans="1:68" ht="19" x14ac:dyDescent="0.25">
      <c r="A900" s="5"/>
      <c r="B900" s="5"/>
      <c r="C900" s="5"/>
      <c r="D900" s="5"/>
      <c r="E900" s="5"/>
      <c r="F900" s="5"/>
      <c r="G900" s="5"/>
      <c r="H900" s="6"/>
      <c r="I900" s="5"/>
      <c r="J900" s="83"/>
      <c r="K900" s="83"/>
      <c r="L900" s="83"/>
      <c r="M900" s="83"/>
      <c r="N900" s="83"/>
      <c r="O900" s="83"/>
      <c r="P900" s="83"/>
      <c r="Q900" s="84"/>
      <c r="R900" s="83"/>
      <c r="S900" s="83"/>
      <c r="T900" s="85"/>
      <c r="U900" s="6"/>
      <c r="V900" s="44">
        <v>45222</v>
      </c>
      <c r="W900" s="45">
        <v>136.38</v>
      </c>
      <c r="X900" s="46"/>
      <c r="Y900" s="61"/>
      <c r="Z900" s="5"/>
      <c r="AA900" s="5"/>
      <c r="AB900" s="5"/>
      <c r="AC900" s="5"/>
      <c r="AD900" s="5"/>
      <c r="AE900" s="5"/>
      <c r="AF900" s="5"/>
      <c r="AG900" s="5"/>
      <c r="AH900" s="6"/>
      <c r="AI900" s="44">
        <v>45222</v>
      </c>
      <c r="AJ900" s="53">
        <v>136.38</v>
      </c>
      <c r="AK900" s="54">
        <f t="shared" si="154"/>
        <v>-5.6867891513561197E-3</v>
      </c>
      <c r="AL900" s="55">
        <f t="shared" si="146"/>
        <v>12.629279490732751</v>
      </c>
      <c r="AM900" s="56">
        <v>25</v>
      </c>
      <c r="AN900" s="57">
        <f t="shared" si="155"/>
        <v>12.370720509267249</v>
      </c>
      <c r="AO900" s="76">
        <f t="shared" si="147"/>
        <v>7.8055011622254922</v>
      </c>
      <c r="AP900" s="63" t="str">
        <f t="shared" si="148"/>
        <v>Buy Stocks</v>
      </c>
      <c r="AQ900" s="63" t="str">
        <f t="shared" si="149"/>
        <v/>
      </c>
      <c r="AR900" s="63" t="str">
        <f t="shared" si="150"/>
        <v/>
      </c>
      <c r="AS900" s="63" t="str">
        <f t="shared" si="151"/>
        <v/>
      </c>
      <c r="AT900" s="78" t="str">
        <f t="shared" si="152"/>
        <v/>
      </c>
      <c r="AU900" s="78" t="str">
        <f t="shared" si="153"/>
        <v/>
      </c>
      <c r="AV900" s="64" t="str">
        <f ca="1">IFERROR(__xludf.DUMMYFUNCTION("IF(TRIM(AU900)="""","""",AU900/INDEX(FILTER(AT$3:AT900,TRIM(AT$3:AT900)&lt;&gt;""""),ROWS(FILTER(AT$3:AT900,TRIM(AT$3:AT900)&lt;&gt;"""")))-1)"),"")</f>
        <v/>
      </c>
      <c r="AW900" s="65" t="e">
        <f t="shared" ca="1" si="156"/>
        <v>#VALUE!</v>
      </c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</row>
    <row r="901" spans="1:68" ht="19" x14ac:dyDescent="0.25">
      <c r="A901" s="5"/>
      <c r="B901" s="5"/>
      <c r="C901" s="5"/>
      <c r="D901" s="5"/>
      <c r="E901" s="5"/>
      <c r="F901" s="5"/>
      <c r="G901" s="5"/>
      <c r="H901" s="6"/>
      <c r="I901" s="5"/>
      <c r="J901" s="83"/>
      <c r="K901" s="83"/>
      <c r="L901" s="83"/>
      <c r="M901" s="83"/>
      <c r="N901" s="83"/>
      <c r="O901" s="83"/>
      <c r="P901" s="83"/>
      <c r="Q901" s="84"/>
      <c r="R901" s="83"/>
      <c r="S901" s="83"/>
      <c r="T901" s="85"/>
      <c r="U901" s="6"/>
      <c r="V901" s="44">
        <v>45223</v>
      </c>
      <c r="W901" s="45">
        <v>137.79</v>
      </c>
      <c r="X901" s="46"/>
      <c r="Y901" s="61"/>
      <c r="Z901" s="5"/>
      <c r="AA901" s="5"/>
      <c r="AB901" s="5"/>
      <c r="AC901" s="5"/>
      <c r="AD901" s="5"/>
      <c r="AE901" s="5"/>
      <c r="AF901" s="5"/>
      <c r="AG901" s="5"/>
      <c r="AH901" s="6"/>
      <c r="AI901" s="44">
        <v>45223</v>
      </c>
      <c r="AJ901" s="53">
        <v>137.79</v>
      </c>
      <c r="AK901" s="54">
        <f t="shared" si="154"/>
        <v>1.0338759348878179E-2</v>
      </c>
      <c r="AL901" s="55">
        <f t="shared" si="146"/>
        <v>14.079109952744176</v>
      </c>
      <c r="AM901" s="56">
        <v>25</v>
      </c>
      <c r="AN901" s="57">
        <f t="shared" si="155"/>
        <v>10.920890047255824</v>
      </c>
      <c r="AO901" s="76">
        <f t="shared" si="147"/>
        <v>9.2052455879486779</v>
      </c>
      <c r="AP901" s="63" t="str">
        <f t="shared" si="148"/>
        <v>Buy Stocks</v>
      </c>
      <c r="AQ901" s="63" t="str">
        <f t="shared" si="149"/>
        <v/>
      </c>
      <c r="AR901" s="63" t="str">
        <f t="shared" si="150"/>
        <v/>
      </c>
      <c r="AS901" s="63" t="str">
        <f t="shared" si="151"/>
        <v/>
      </c>
      <c r="AT901" s="78" t="str">
        <f t="shared" si="152"/>
        <v/>
      </c>
      <c r="AU901" s="78" t="str">
        <f t="shared" si="153"/>
        <v/>
      </c>
      <c r="AV901" s="64" t="str">
        <f ca="1">IFERROR(__xludf.DUMMYFUNCTION("IF(TRIM(AU901)="""","""",AU901/INDEX(FILTER(AT$3:AT901,TRIM(AT$3:AT901)&lt;&gt;""""),ROWS(FILTER(AT$3:AT901,TRIM(AT$3:AT901)&lt;&gt;"""")))-1)"),"")</f>
        <v/>
      </c>
      <c r="AW901" s="65" t="e">
        <f t="shared" ca="1" si="156"/>
        <v>#VALUE!</v>
      </c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</row>
    <row r="902" spans="1:68" ht="19" x14ac:dyDescent="0.25">
      <c r="A902" s="5"/>
      <c r="B902" s="5"/>
      <c r="C902" s="5"/>
      <c r="D902" s="5"/>
      <c r="E902" s="5"/>
      <c r="F902" s="5"/>
      <c r="G902" s="5"/>
      <c r="H902" s="6"/>
      <c r="I902" s="5"/>
      <c r="J902" s="83"/>
      <c r="K902" s="83"/>
      <c r="L902" s="83"/>
      <c r="M902" s="83"/>
      <c r="N902" s="83"/>
      <c r="O902" s="83"/>
      <c r="P902" s="83"/>
      <c r="Q902" s="84"/>
      <c r="R902" s="83"/>
      <c r="S902" s="83"/>
      <c r="T902" s="85"/>
      <c r="U902" s="6"/>
      <c r="V902" s="44">
        <v>45224</v>
      </c>
      <c r="W902" s="45">
        <v>137.08000000000001</v>
      </c>
      <c r="X902" s="46"/>
      <c r="Y902" s="61"/>
      <c r="Z902" s="5"/>
      <c r="AA902" s="5"/>
      <c r="AB902" s="5"/>
      <c r="AC902" s="5"/>
      <c r="AD902" s="5"/>
      <c r="AE902" s="5"/>
      <c r="AF902" s="5"/>
      <c r="AG902" s="5"/>
      <c r="AH902" s="6"/>
      <c r="AI902" s="44">
        <v>45224</v>
      </c>
      <c r="AJ902" s="53">
        <v>137.08000000000001</v>
      </c>
      <c r="AK902" s="54">
        <f t="shared" si="154"/>
        <v>-5.1527687060017868E-3</v>
      </c>
      <c r="AL902" s="55">
        <f t="shared" si="146"/>
        <v>14.07397309331378</v>
      </c>
      <c r="AM902" s="56">
        <v>25</v>
      </c>
      <c r="AN902" s="57">
        <f t="shared" si="155"/>
        <v>10.92602690668622</v>
      </c>
      <c r="AO902" s="76">
        <f t="shared" si="147"/>
        <v>10.20267236706847</v>
      </c>
      <c r="AP902" s="63" t="str">
        <f t="shared" si="148"/>
        <v>Buy Stocks</v>
      </c>
      <c r="AQ902" s="63" t="str">
        <f t="shared" si="149"/>
        <v/>
      </c>
      <c r="AR902" s="63" t="str">
        <f t="shared" si="150"/>
        <v/>
      </c>
      <c r="AS902" s="63" t="str">
        <f t="shared" si="151"/>
        <v/>
      </c>
      <c r="AT902" s="78" t="str">
        <f t="shared" si="152"/>
        <v/>
      </c>
      <c r="AU902" s="78" t="str">
        <f t="shared" si="153"/>
        <v/>
      </c>
      <c r="AV902" s="64" t="str">
        <f ca="1">IFERROR(__xludf.DUMMYFUNCTION("IF(TRIM(AU902)="""","""",AU902/INDEX(FILTER(AT$3:AT902,TRIM(AT$3:AT902)&lt;&gt;""""),ROWS(FILTER(AT$3:AT902,TRIM(AT$3:AT902)&lt;&gt;"""")))-1)"),"")</f>
        <v/>
      </c>
      <c r="AW902" s="65" t="e">
        <f t="shared" ca="1" si="156"/>
        <v>#VALUE!</v>
      </c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</row>
    <row r="903" spans="1:68" ht="19" x14ac:dyDescent="0.25">
      <c r="A903" s="5"/>
      <c r="B903" s="5"/>
      <c r="C903" s="5"/>
      <c r="D903" s="5"/>
      <c r="E903" s="5"/>
      <c r="F903" s="5"/>
      <c r="G903" s="5"/>
      <c r="H903" s="6"/>
      <c r="I903" s="5"/>
      <c r="J903" s="83"/>
      <c r="K903" s="83"/>
      <c r="L903" s="83"/>
      <c r="M903" s="83"/>
      <c r="N903" s="83"/>
      <c r="O903" s="83"/>
      <c r="P903" s="83"/>
      <c r="Q903" s="84"/>
      <c r="R903" s="83"/>
      <c r="S903" s="83"/>
      <c r="T903" s="85"/>
      <c r="U903" s="6"/>
      <c r="V903" s="44">
        <v>45225</v>
      </c>
      <c r="W903" s="45">
        <v>143.76</v>
      </c>
      <c r="X903" s="46"/>
      <c r="Y903" s="61"/>
      <c r="Z903" s="5"/>
      <c r="AA903" s="5"/>
      <c r="AB903" s="5"/>
      <c r="AC903" s="5"/>
      <c r="AD903" s="5"/>
      <c r="AE903" s="5"/>
      <c r="AF903" s="5"/>
      <c r="AG903" s="5"/>
      <c r="AH903" s="6"/>
      <c r="AI903" s="44">
        <v>45225</v>
      </c>
      <c r="AJ903" s="53">
        <v>143.76</v>
      </c>
      <c r="AK903" s="54">
        <f t="shared" si="154"/>
        <v>4.8730668222935369E-2</v>
      </c>
      <c r="AL903" s="55">
        <f t="shared" ref="AL903:AL966" si="157">_xlfn.STDEV.S(AK899:AK903)*SQRT(252)*100</f>
        <v>37.434899070155367</v>
      </c>
      <c r="AM903" s="56">
        <v>25</v>
      </c>
      <c r="AN903" s="57">
        <f t="shared" si="155"/>
        <v>-12.434899070155367</v>
      </c>
      <c r="AO903" s="76">
        <f t="shared" ref="AO903:AO966" si="158">AVERAGE(AN899:AN903)</f>
        <v>6.5346981697455764</v>
      </c>
      <c r="AP903" s="63" t="str">
        <f t="shared" ref="AP903:AP966" si="159">IF(AO903&gt;0,"Buy Stocks","")</f>
        <v>Buy Stocks</v>
      </c>
      <c r="AQ903" s="63" t="str">
        <f t="shared" ref="AQ903:AQ966" si="160">IF(AO903&lt;0,"Sell Stocks","")</f>
        <v/>
      </c>
      <c r="AR903" s="63" t="str">
        <f t="shared" ref="AR903:AR966" si="161">IF(AND(AP903="Buy Stocks",AP902=""),"Buy Stocks","")</f>
        <v/>
      </c>
      <c r="AS903" s="63" t="str">
        <f t="shared" ref="AS903:AS966" si="162">IF(AND(AQ903="Sell Stocks",AQ902=""),"Sell Stocks","")</f>
        <v/>
      </c>
      <c r="AT903" s="78" t="str">
        <f t="shared" ref="AT903:AT966" si="163">IF(AR903="Buy Stocks",AJ903,"")</f>
        <v/>
      </c>
      <c r="AU903" s="78" t="str">
        <f t="shared" ref="AU903:AU966" si="164">IF(AS903="Sell Stocks",AJ903,"")</f>
        <v/>
      </c>
      <c r="AV903" s="64" t="str">
        <f ca="1">IFERROR(__xludf.DUMMYFUNCTION("IF(TRIM(AU903)="""","""",AU903/INDEX(FILTER(AT$3:AT903,TRIM(AT$3:AT903)&lt;&gt;""""),ROWS(FILTER(AT$3:AT903,TRIM(AT$3:AT903)&lt;&gt;"""")))-1)"),"")</f>
        <v/>
      </c>
      <c r="AW903" s="65" t="e">
        <f t="shared" ca="1" si="156"/>
        <v>#VALUE!</v>
      </c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</row>
    <row r="904" spans="1:68" ht="19" x14ac:dyDescent="0.25">
      <c r="A904" s="5"/>
      <c r="B904" s="5"/>
      <c r="C904" s="5"/>
      <c r="D904" s="5"/>
      <c r="E904" s="5"/>
      <c r="F904" s="5"/>
      <c r="G904" s="5"/>
      <c r="H904" s="6"/>
      <c r="I904" s="5"/>
      <c r="J904" s="83"/>
      <c r="K904" s="83"/>
      <c r="L904" s="83"/>
      <c r="M904" s="83"/>
      <c r="N904" s="83"/>
      <c r="O904" s="83"/>
      <c r="P904" s="83"/>
      <c r="Q904" s="84"/>
      <c r="R904" s="83"/>
      <c r="S904" s="83"/>
      <c r="T904" s="85"/>
      <c r="U904" s="6"/>
      <c r="V904" s="44">
        <v>45226</v>
      </c>
      <c r="W904" s="45">
        <v>142.52000000000001</v>
      </c>
      <c r="X904" s="46"/>
      <c r="Y904" s="61"/>
      <c r="Z904" s="5"/>
      <c r="AA904" s="5"/>
      <c r="AB904" s="5"/>
      <c r="AC904" s="5"/>
      <c r="AD904" s="5"/>
      <c r="AE904" s="5"/>
      <c r="AF904" s="5"/>
      <c r="AG904" s="5"/>
      <c r="AH904" s="6"/>
      <c r="AI904" s="44">
        <v>45226</v>
      </c>
      <c r="AJ904" s="53">
        <v>142.52000000000001</v>
      </c>
      <c r="AK904" s="54">
        <f t="shared" si="154"/>
        <v>-8.6254869226487507E-3</v>
      </c>
      <c r="AL904" s="55">
        <f t="shared" si="157"/>
        <v>38.075298859770882</v>
      </c>
      <c r="AM904" s="56">
        <v>25</v>
      </c>
      <c r="AN904" s="57">
        <f t="shared" si="155"/>
        <v>-13.075298859770882</v>
      </c>
      <c r="AO904" s="76">
        <f t="shared" si="158"/>
        <v>1.7414879066566087</v>
      </c>
      <c r="AP904" s="63" t="str">
        <f t="shared" si="159"/>
        <v>Buy Stocks</v>
      </c>
      <c r="AQ904" s="63" t="str">
        <f t="shared" si="160"/>
        <v/>
      </c>
      <c r="AR904" s="63" t="str">
        <f t="shared" si="161"/>
        <v/>
      </c>
      <c r="AS904" s="63" t="str">
        <f t="shared" si="162"/>
        <v/>
      </c>
      <c r="AT904" s="78" t="str">
        <f t="shared" si="163"/>
        <v/>
      </c>
      <c r="AU904" s="78" t="str">
        <f t="shared" si="164"/>
        <v/>
      </c>
      <c r="AV904" s="64" t="str">
        <f ca="1">IFERROR(__xludf.DUMMYFUNCTION("IF(TRIM(AU904)="""","""",AU904/INDEX(FILTER(AT$3:AT904,TRIM(AT$3:AT904)&lt;&gt;""""),ROWS(FILTER(AT$3:AT904,TRIM(AT$3:AT904)&lt;&gt;"""")))-1)"),"")</f>
        <v/>
      </c>
      <c r="AW904" s="65" t="e">
        <f t="shared" ca="1" si="156"/>
        <v>#VALUE!</v>
      </c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</row>
    <row r="905" spans="1:68" ht="19" x14ac:dyDescent="0.25">
      <c r="A905" s="5"/>
      <c r="B905" s="5"/>
      <c r="C905" s="5"/>
      <c r="D905" s="5"/>
      <c r="E905" s="5"/>
      <c r="F905" s="5"/>
      <c r="G905" s="5"/>
      <c r="H905" s="6"/>
      <c r="I905" s="5"/>
      <c r="J905" s="83"/>
      <c r="K905" s="83"/>
      <c r="L905" s="83"/>
      <c r="M905" s="83"/>
      <c r="N905" s="83"/>
      <c r="O905" s="83"/>
      <c r="P905" s="83"/>
      <c r="Q905" s="84"/>
      <c r="R905" s="83"/>
      <c r="S905" s="83"/>
      <c r="T905" s="85"/>
      <c r="U905" s="6"/>
      <c r="V905" s="44">
        <v>45229</v>
      </c>
      <c r="W905" s="45">
        <v>142.63</v>
      </c>
      <c r="X905" s="46"/>
      <c r="Y905" s="61"/>
      <c r="Z905" s="5"/>
      <c r="AA905" s="5"/>
      <c r="AB905" s="5"/>
      <c r="AC905" s="5"/>
      <c r="AD905" s="5"/>
      <c r="AE905" s="5"/>
      <c r="AF905" s="5"/>
      <c r="AG905" s="5"/>
      <c r="AH905" s="6"/>
      <c r="AI905" s="44">
        <v>45229</v>
      </c>
      <c r="AJ905" s="53">
        <v>142.63</v>
      </c>
      <c r="AK905" s="54">
        <f t="shared" si="154"/>
        <v>7.7182149873689099E-4</v>
      </c>
      <c r="AL905" s="55">
        <f t="shared" si="157"/>
        <v>36.878380240194524</v>
      </c>
      <c r="AM905" s="56">
        <v>25</v>
      </c>
      <c r="AN905" s="57">
        <f t="shared" si="155"/>
        <v>-11.878380240194524</v>
      </c>
      <c r="AO905" s="76">
        <f t="shared" si="158"/>
        <v>-3.1083322432357461</v>
      </c>
      <c r="AP905" s="63" t="str">
        <f t="shared" si="159"/>
        <v/>
      </c>
      <c r="AQ905" s="63" t="str">
        <f t="shared" si="160"/>
        <v>Sell Stocks</v>
      </c>
      <c r="AR905" s="63" t="str">
        <f t="shared" si="161"/>
        <v/>
      </c>
      <c r="AS905" s="63" t="str">
        <f t="shared" si="162"/>
        <v>Sell Stocks</v>
      </c>
      <c r="AT905" s="78" t="str">
        <f t="shared" si="163"/>
        <v/>
      </c>
      <c r="AU905" s="77">
        <f t="shared" si="164"/>
        <v>142.63</v>
      </c>
      <c r="AV905" s="64">
        <f ca="1">IFERROR(__xludf.DUMMYFUNCTION("IF(TRIM(AU905)="""","""",AU905/INDEX(FILTER(AT$3:AT905,TRIM(AT$3:AT905)&lt;&gt;""""),ROWS(FILTER(AT$3:AT905,TRIM(AT$3:AT905)&lt;&gt;"""")))-1)"),0.0800393760411932)</f>
        <v>8.0039376041193197E-2</v>
      </c>
      <c r="AW905" s="65" t="e">
        <f t="shared" ca="1" si="156"/>
        <v>#VALUE!</v>
      </c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</row>
    <row r="906" spans="1:68" ht="19" x14ac:dyDescent="0.25">
      <c r="A906" s="5"/>
      <c r="B906" s="5"/>
      <c r="C906" s="5"/>
      <c r="D906" s="5"/>
      <c r="E906" s="5"/>
      <c r="F906" s="5"/>
      <c r="G906" s="5"/>
      <c r="H906" s="6"/>
      <c r="I906" s="5"/>
      <c r="J906" s="83"/>
      <c r="K906" s="83"/>
      <c r="L906" s="83"/>
      <c r="M906" s="83"/>
      <c r="N906" s="83"/>
      <c r="O906" s="83"/>
      <c r="P906" s="83"/>
      <c r="Q906" s="84"/>
      <c r="R906" s="83"/>
      <c r="S906" s="83"/>
      <c r="T906" s="85"/>
      <c r="U906" s="6"/>
      <c r="V906" s="44">
        <v>45230</v>
      </c>
      <c r="W906" s="45">
        <v>144.63999999999999</v>
      </c>
      <c r="X906" s="46"/>
      <c r="Y906" s="61"/>
      <c r="Z906" s="5"/>
      <c r="AA906" s="5"/>
      <c r="AB906" s="5"/>
      <c r="AC906" s="5"/>
      <c r="AD906" s="5"/>
      <c r="AE906" s="5"/>
      <c r="AF906" s="5"/>
      <c r="AG906" s="5"/>
      <c r="AH906" s="6"/>
      <c r="AI906" s="44">
        <v>45230</v>
      </c>
      <c r="AJ906" s="53">
        <v>144.63999999999999</v>
      </c>
      <c r="AK906" s="54">
        <f t="shared" si="154"/>
        <v>1.4092406927013856E-2</v>
      </c>
      <c r="AL906" s="55">
        <f t="shared" si="157"/>
        <v>37.046491177823469</v>
      </c>
      <c r="AM906" s="56">
        <v>25</v>
      </c>
      <c r="AN906" s="57">
        <f t="shared" si="155"/>
        <v>-12.046491177823469</v>
      </c>
      <c r="AO906" s="76">
        <f t="shared" si="158"/>
        <v>-7.7018084882516051</v>
      </c>
      <c r="AP906" s="63" t="str">
        <f t="shared" si="159"/>
        <v/>
      </c>
      <c r="AQ906" s="63" t="str">
        <f t="shared" si="160"/>
        <v>Sell Stocks</v>
      </c>
      <c r="AR906" s="63" t="str">
        <f t="shared" si="161"/>
        <v/>
      </c>
      <c r="AS906" s="63" t="str">
        <f t="shared" si="162"/>
        <v/>
      </c>
      <c r="AT906" s="78" t="str">
        <f t="shared" si="163"/>
        <v/>
      </c>
      <c r="AU906" s="78" t="str">
        <f t="shared" si="164"/>
        <v/>
      </c>
      <c r="AV906" s="64" t="str">
        <f ca="1">IFERROR(__xludf.DUMMYFUNCTION("IF(TRIM(AU906)="""","""",AU906/INDEX(FILTER(AT$3:AT906,TRIM(AT$3:AT906)&lt;&gt;""""),ROWS(FILTER(AT$3:AT906,TRIM(AT$3:AT906)&lt;&gt;"""")))-1)"),"")</f>
        <v/>
      </c>
      <c r="AW906" s="65" t="e">
        <f t="shared" ca="1" si="156"/>
        <v>#VALUE!</v>
      </c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</row>
    <row r="907" spans="1:68" ht="19" x14ac:dyDescent="0.25">
      <c r="A907" s="5"/>
      <c r="B907" s="5"/>
      <c r="C907" s="5"/>
      <c r="D907" s="5"/>
      <c r="E907" s="5"/>
      <c r="F907" s="5"/>
      <c r="G907" s="5"/>
      <c r="H907" s="6"/>
      <c r="I907" s="5"/>
      <c r="J907" s="83"/>
      <c r="K907" s="83"/>
      <c r="L907" s="83"/>
      <c r="M907" s="83"/>
      <c r="N907" s="83"/>
      <c r="O907" s="83"/>
      <c r="P907" s="83"/>
      <c r="Q907" s="84"/>
      <c r="R907" s="83"/>
      <c r="S907" s="83"/>
      <c r="T907" s="85"/>
      <c r="U907" s="6"/>
      <c r="V907" s="44">
        <v>45231</v>
      </c>
      <c r="W907" s="45">
        <v>145.4</v>
      </c>
      <c r="X907" s="46"/>
      <c r="Y907" s="61"/>
      <c r="Z907" s="5"/>
      <c r="AA907" s="5"/>
      <c r="AB907" s="5"/>
      <c r="AC907" s="5"/>
      <c r="AD907" s="5"/>
      <c r="AE907" s="5"/>
      <c r="AF907" s="5"/>
      <c r="AG907" s="5"/>
      <c r="AH907" s="6"/>
      <c r="AI907" s="44">
        <v>45231</v>
      </c>
      <c r="AJ907" s="53">
        <v>145.4</v>
      </c>
      <c r="AK907" s="54">
        <f t="shared" si="154"/>
        <v>5.2544247787611464E-3</v>
      </c>
      <c r="AL907" s="55">
        <f t="shared" si="157"/>
        <v>35.054418300112104</v>
      </c>
      <c r="AM907" s="56">
        <v>25</v>
      </c>
      <c r="AN907" s="57">
        <f t="shared" si="155"/>
        <v>-10.054418300112104</v>
      </c>
      <c r="AO907" s="76">
        <f t="shared" si="158"/>
        <v>-11.897897529611269</v>
      </c>
      <c r="AP907" s="63" t="str">
        <f t="shared" si="159"/>
        <v/>
      </c>
      <c r="AQ907" s="63" t="str">
        <f t="shared" si="160"/>
        <v>Sell Stocks</v>
      </c>
      <c r="AR907" s="63" t="str">
        <f t="shared" si="161"/>
        <v/>
      </c>
      <c r="AS907" s="63" t="str">
        <f t="shared" si="162"/>
        <v/>
      </c>
      <c r="AT907" s="78" t="str">
        <f t="shared" si="163"/>
        <v/>
      </c>
      <c r="AU907" s="78" t="str">
        <f t="shared" si="164"/>
        <v/>
      </c>
      <c r="AV907" s="64" t="str">
        <f ca="1">IFERROR(__xludf.DUMMYFUNCTION("IF(TRIM(AU907)="""","""",AU907/INDEX(FILTER(AT$3:AT907,TRIM(AT$3:AT907)&lt;&gt;""""),ROWS(FILTER(AT$3:AT907,TRIM(AT$3:AT907)&lt;&gt;"""")))-1)"),"")</f>
        <v/>
      </c>
      <c r="AW907" s="65" t="e">
        <f t="shared" ca="1" si="156"/>
        <v>#VALUE!</v>
      </c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</row>
    <row r="908" spans="1:68" ht="19" x14ac:dyDescent="0.25">
      <c r="A908" s="5"/>
      <c r="B908" s="5"/>
      <c r="C908" s="5"/>
      <c r="D908" s="5"/>
      <c r="E908" s="5"/>
      <c r="F908" s="5"/>
      <c r="G908" s="5"/>
      <c r="H908" s="6"/>
      <c r="I908" s="5"/>
      <c r="J908" s="83"/>
      <c r="K908" s="83"/>
      <c r="L908" s="83"/>
      <c r="M908" s="83"/>
      <c r="N908" s="83"/>
      <c r="O908" s="83"/>
      <c r="P908" s="83"/>
      <c r="Q908" s="84"/>
      <c r="R908" s="83"/>
      <c r="S908" s="83"/>
      <c r="T908" s="85"/>
      <c r="U908" s="6"/>
      <c r="V908" s="44">
        <v>45232</v>
      </c>
      <c r="W908" s="45">
        <v>147.01</v>
      </c>
      <c r="X908" s="46"/>
      <c r="Y908" s="61"/>
      <c r="Z908" s="5"/>
      <c r="AA908" s="5"/>
      <c r="AB908" s="5"/>
      <c r="AC908" s="5"/>
      <c r="AD908" s="5"/>
      <c r="AE908" s="5"/>
      <c r="AF908" s="5"/>
      <c r="AG908" s="5"/>
      <c r="AH908" s="6"/>
      <c r="AI908" s="44">
        <v>45232</v>
      </c>
      <c r="AJ908" s="53">
        <v>147.01</v>
      </c>
      <c r="AK908" s="54">
        <f t="shared" si="154"/>
        <v>1.1072902338376878E-2</v>
      </c>
      <c r="AL908" s="55">
        <f t="shared" si="157"/>
        <v>14.242081747477087</v>
      </c>
      <c r="AM908" s="56">
        <v>25</v>
      </c>
      <c r="AN908" s="57">
        <f t="shared" si="155"/>
        <v>10.757918252522913</v>
      </c>
      <c r="AO908" s="76">
        <f t="shared" si="158"/>
        <v>-7.2593340650756133</v>
      </c>
      <c r="AP908" s="63" t="str">
        <f t="shared" si="159"/>
        <v/>
      </c>
      <c r="AQ908" s="63" t="str">
        <f t="shared" si="160"/>
        <v>Sell Stocks</v>
      </c>
      <c r="AR908" s="63" t="str">
        <f t="shared" si="161"/>
        <v/>
      </c>
      <c r="AS908" s="63" t="str">
        <f t="shared" si="162"/>
        <v/>
      </c>
      <c r="AT908" s="78" t="str">
        <f t="shared" si="163"/>
        <v/>
      </c>
      <c r="AU908" s="78" t="str">
        <f t="shared" si="164"/>
        <v/>
      </c>
      <c r="AV908" s="64" t="str">
        <f ca="1">IFERROR(__xludf.DUMMYFUNCTION("IF(TRIM(AU908)="""","""",AU908/INDEX(FILTER(AT$3:AT908,TRIM(AT$3:AT908)&lt;&gt;""""),ROWS(FILTER(AT$3:AT908,TRIM(AT$3:AT908)&lt;&gt;"""")))-1)"),"")</f>
        <v/>
      </c>
      <c r="AW908" s="65" t="e">
        <f t="shared" ca="1" si="156"/>
        <v>#VALUE!</v>
      </c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</row>
    <row r="909" spans="1:68" ht="19" x14ac:dyDescent="0.25">
      <c r="A909" s="5"/>
      <c r="B909" s="5"/>
      <c r="C909" s="5"/>
      <c r="D909" s="5"/>
      <c r="E909" s="5"/>
      <c r="F909" s="5"/>
      <c r="G909" s="5"/>
      <c r="H909" s="6"/>
      <c r="I909" s="5"/>
      <c r="J909" s="83"/>
      <c r="K909" s="83"/>
      <c r="L909" s="83"/>
      <c r="M909" s="83"/>
      <c r="N909" s="83"/>
      <c r="O909" s="83"/>
      <c r="P909" s="83"/>
      <c r="Q909" s="84"/>
      <c r="R909" s="83"/>
      <c r="S909" s="83"/>
      <c r="T909" s="85"/>
      <c r="U909" s="6"/>
      <c r="V909" s="44">
        <v>45233</v>
      </c>
      <c r="W909" s="45">
        <v>147.9</v>
      </c>
      <c r="X909" s="46"/>
      <c r="Y909" s="61"/>
      <c r="Z909" s="5"/>
      <c r="AA909" s="5"/>
      <c r="AB909" s="5"/>
      <c r="AC909" s="5"/>
      <c r="AD909" s="5"/>
      <c r="AE909" s="5"/>
      <c r="AF909" s="5"/>
      <c r="AG909" s="5"/>
      <c r="AH909" s="6"/>
      <c r="AI909" s="44">
        <v>45233</v>
      </c>
      <c r="AJ909" s="53">
        <v>147.9</v>
      </c>
      <c r="AK909" s="54">
        <f t="shared" si="154"/>
        <v>6.0540099312973439E-3</v>
      </c>
      <c r="AL909" s="55">
        <f t="shared" si="157"/>
        <v>8.272065539974264</v>
      </c>
      <c r="AM909" s="56">
        <v>25</v>
      </c>
      <c r="AN909" s="57">
        <f t="shared" si="155"/>
        <v>16.727934460025736</v>
      </c>
      <c r="AO909" s="76">
        <f t="shared" si="158"/>
        <v>-1.2986874011162897</v>
      </c>
      <c r="AP909" s="63" t="str">
        <f t="shared" si="159"/>
        <v/>
      </c>
      <c r="AQ909" s="63" t="str">
        <f t="shared" si="160"/>
        <v>Sell Stocks</v>
      </c>
      <c r="AR909" s="63" t="str">
        <f t="shared" si="161"/>
        <v/>
      </c>
      <c r="AS909" s="63" t="str">
        <f t="shared" si="162"/>
        <v/>
      </c>
      <c r="AT909" s="78" t="str">
        <f t="shared" si="163"/>
        <v/>
      </c>
      <c r="AU909" s="78" t="str">
        <f t="shared" si="164"/>
        <v/>
      </c>
      <c r="AV909" s="64" t="str">
        <f ca="1">IFERROR(__xludf.DUMMYFUNCTION("IF(TRIM(AU909)="""","""",AU909/INDEX(FILTER(AT$3:AT909,TRIM(AT$3:AT909)&lt;&gt;""""),ROWS(FILTER(AT$3:AT909,TRIM(AT$3:AT909)&lt;&gt;"""")))-1)"),"")</f>
        <v/>
      </c>
      <c r="AW909" s="65" t="e">
        <f t="shared" ca="1" si="156"/>
        <v>#VALUE!</v>
      </c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</row>
    <row r="910" spans="1:68" ht="19" x14ac:dyDescent="0.25">
      <c r="A910" s="5"/>
      <c r="B910" s="5"/>
      <c r="C910" s="5"/>
      <c r="D910" s="5"/>
      <c r="E910" s="5"/>
      <c r="F910" s="5"/>
      <c r="G910" s="5"/>
      <c r="H910" s="6"/>
      <c r="I910" s="5"/>
      <c r="J910" s="83"/>
      <c r="K910" s="83"/>
      <c r="L910" s="83"/>
      <c r="M910" s="83"/>
      <c r="N910" s="83"/>
      <c r="O910" s="83"/>
      <c r="P910" s="83"/>
      <c r="Q910" s="84"/>
      <c r="R910" s="83"/>
      <c r="S910" s="83"/>
      <c r="T910" s="85"/>
      <c r="U910" s="6"/>
      <c r="V910" s="44">
        <v>45236</v>
      </c>
      <c r="W910" s="45">
        <v>148.97</v>
      </c>
      <c r="X910" s="46"/>
      <c r="Y910" s="61"/>
      <c r="Z910" s="5"/>
      <c r="AA910" s="5"/>
      <c r="AB910" s="5"/>
      <c r="AC910" s="5"/>
      <c r="AD910" s="5"/>
      <c r="AE910" s="5"/>
      <c r="AF910" s="5"/>
      <c r="AG910" s="5"/>
      <c r="AH910" s="6"/>
      <c r="AI910" s="44">
        <v>45236</v>
      </c>
      <c r="AJ910" s="53">
        <v>148.97</v>
      </c>
      <c r="AK910" s="54">
        <f t="shared" si="154"/>
        <v>7.2346179851250358E-3</v>
      </c>
      <c r="AL910" s="55">
        <f t="shared" si="157"/>
        <v>5.9248626874022579</v>
      </c>
      <c r="AM910" s="56">
        <v>25</v>
      </c>
      <c r="AN910" s="57">
        <f t="shared" si="155"/>
        <v>19.075137312597743</v>
      </c>
      <c r="AO910" s="76">
        <f t="shared" si="158"/>
        <v>4.8920161094421637</v>
      </c>
      <c r="AP910" s="63" t="str">
        <f t="shared" si="159"/>
        <v>Buy Stocks</v>
      </c>
      <c r="AQ910" s="63" t="str">
        <f t="shared" si="160"/>
        <v/>
      </c>
      <c r="AR910" s="63" t="str">
        <f t="shared" si="161"/>
        <v>Buy Stocks</v>
      </c>
      <c r="AS910" s="63" t="str">
        <f t="shared" si="162"/>
        <v/>
      </c>
      <c r="AT910" s="77">
        <f t="shared" si="163"/>
        <v>148.97</v>
      </c>
      <c r="AU910" s="78" t="str">
        <f t="shared" si="164"/>
        <v/>
      </c>
      <c r="AV910" s="64" t="str">
        <f ca="1">IFERROR(__xludf.DUMMYFUNCTION("IF(TRIM(AU910)="""","""",AU910/INDEX(FILTER(AT$3:AT910,TRIM(AT$3:AT910)&lt;&gt;""""),ROWS(FILTER(AT$3:AT910,TRIM(AT$3:AT910)&lt;&gt;"""")))-1)"),"")</f>
        <v/>
      </c>
      <c r="AW910" s="65" t="e">
        <f t="shared" ca="1" si="156"/>
        <v>#VALUE!</v>
      </c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</row>
    <row r="911" spans="1:68" ht="19" x14ac:dyDescent="0.25">
      <c r="A911" s="5"/>
      <c r="B911" s="5"/>
      <c r="C911" s="5"/>
      <c r="D911" s="5"/>
      <c r="E911" s="5"/>
      <c r="F911" s="5"/>
      <c r="G911" s="5"/>
      <c r="H911" s="6"/>
      <c r="I911" s="5"/>
      <c r="J911" s="83"/>
      <c r="K911" s="83"/>
      <c r="L911" s="83"/>
      <c r="M911" s="83"/>
      <c r="N911" s="83"/>
      <c r="O911" s="83"/>
      <c r="P911" s="83"/>
      <c r="Q911" s="84"/>
      <c r="R911" s="83"/>
      <c r="S911" s="83"/>
      <c r="T911" s="85"/>
      <c r="U911" s="6"/>
      <c r="V911" s="44">
        <v>45237</v>
      </c>
      <c r="W911" s="45">
        <v>148.83000000000001</v>
      </c>
      <c r="X911" s="46"/>
      <c r="Y911" s="61"/>
      <c r="Z911" s="5"/>
      <c r="AA911" s="5"/>
      <c r="AB911" s="5"/>
      <c r="AC911" s="5"/>
      <c r="AD911" s="5"/>
      <c r="AE911" s="5"/>
      <c r="AF911" s="5"/>
      <c r="AG911" s="5"/>
      <c r="AH911" s="6"/>
      <c r="AI911" s="44">
        <v>45237</v>
      </c>
      <c r="AJ911" s="53">
        <v>148.83000000000001</v>
      </c>
      <c r="AK911" s="54">
        <f t="shared" si="154"/>
        <v>-9.3978653420145886E-4</v>
      </c>
      <c r="AL911" s="55">
        <f t="shared" si="157"/>
        <v>6.9025616061107034</v>
      </c>
      <c r="AM911" s="56">
        <v>25</v>
      </c>
      <c r="AN911" s="57">
        <f t="shared" si="155"/>
        <v>18.097438393889298</v>
      </c>
      <c r="AO911" s="76">
        <f t="shared" si="158"/>
        <v>10.920802023784718</v>
      </c>
      <c r="AP911" s="63" t="str">
        <f t="shared" si="159"/>
        <v>Buy Stocks</v>
      </c>
      <c r="AQ911" s="63" t="str">
        <f t="shared" si="160"/>
        <v/>
      </c>
      <c r="AR911" s="63" t="str">
        <f t="shared" si="161"/>
        <v/>
      </c>
      <c r="AS911" s="63" t="str">
        <f t="shared" si="162"/>
        <v/>
      </c>
      <c r="AT911" s="78" t="str">
        <f t="shared" si="163"/>
        <v/>
      </c>
      <c r="AU911" s="78" t="str">
        <f t="shared" si="164"/>
        <v/>
      </c>
      <c r="AV911" s="64" t="str">
        <f ca="1">IFERROR(__xludf.DUMMYFUNCTION("IF(TRIM(AU911)="""","""",AU911/INDEX(FILTER(AT$3:AT911,TRIM(AT$3:AT911)&lt;&gt;""""),ROWS(FILTER(AT$3:AT911,TRIM(AT$3:AT911)&lt;&gt;"""")))-1)"),"")</f>
        <v/>
      </c>
      <c r="AW911" s="65" t="e">
        <f t="shared" ca="1" si="156"/>
        <v>#VALUE!</v>
      </c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</row>
    <row r="912" spans="1:68" ht="19" x14ac:dyDescent="0.25">
      <c r="A912" s="5"/>
      <c r="B912" s="5"/>
      <c r="C912" s="5"/>
      <c r="D912" s="5"/>
      <c r="E912" s="5"/>
      <c r="F912" s="5"/>
      <c r="G912" s="5"/>
      <c r="H912" s="6"/>
      <c r="I912" s="5"/>
      <c r="J912" s="83"/>
      <c r="K912" s="83"/>
      <c r="L912" s="83"/>
      <c r="M912" s="83"/>
      <c r="N912" s="83"/>
      <c r="O912" s="83"/>
      <c r="P912" s="83"/>
      <c r="Q912" s="84"/>
      <c r="R912" s="83"/>
      <c r="S912" s="83"/>
      <c r="T912" s="85"/>
      <c r="U912" s="6"/>
      <c r="V912" s="44">
        <v>45238</v>
      </c>
      <c r="W912" s="45">
        <v>148.03</v>
      </c>
      <c r="X912" s="46"/>
      <c r="Y912" s="61"/>
      <c r="Z912" s="5"/>
      <c r="AA912" s="5"/>
      <c r="AB912" s="5"/>
      <c r="AC912" s="5"/>
      <c r="AD912" s="5"/>
      <c r="AE912" s="5"/>
      <c r="AF912" s="5"/>
      <c r="AG912" s="5"/>
      <c r="AH912" s="6"/>
      <c r="AI912" s="44">
        <v>45238</v>
      </c>
      <c r="AJ912" s="53">
        <v>148.03</v>
      </c>
      <c r="AK912" s="54">
        <f t="shared" si="154"/>
        <v>-5.3752603641740171E-3</v>
      </c>
      <c r="AL912" s="55">
        <f t="shared" si="157"/>
        <v>10.537176493310596</v>
      </c>
      <c r="AM912" s="56">
        <v>25</v>
      </c>
      <c r="AN912" s="57">
        <f t="shared" si="155"/>
        <v>14.462823506689404</v>
      </c>
      <c r="AO912" s="76">
        <f t="shared" si="158"/>
        <v>15.824250385145017</v>
      </c>
      <c r="AP912" s="63" t="str">
        <f t="shared" si="159"/>
        <v>Buy Stocks</v>
      </c>
      <c r="AQ912" s="63" t="str">
        <f t="shared" si="160"/>
        <v/>
      </c>
      <c r="AR912" s="63" t="str">
        <f t="shared" si="161"/>
        <v/>
      </c>
      <c r="AS912" s="63" t="str">
        <f t="shared" si="162"/>
        <v/>
      </c>
      <c r="AT912" s="78" t="str">
        <f t="shared" si="163"/>
        <v/>
      </c>
      <c r="AU912" s="78" t="str">
        <f t="shared" si="164"/>
        <v/>
      </c>
      <c r="AV912" s="64" t="str">
        <f ca="1">IFERROR(__xludf.DUMMYFUNCTION("IF(TRIM(AU912)="""","""",AU912/INDEX(FILTER(AT$3:AT912,TRIM(AT$3:AT912)&lt;&gt;""""),ROWS(FILTER(AT$3:AT912,TRIM(AT$3:AT912)&lt;&gt;"""")))-1)"),"")</f>
        <v/>
      </c>
      <c r="AW912" s="65" t="e">
        <f t="shared" ca="1" si="156"/>
        <v>#VALUE!</v>
      </c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</row>
    <row r="913" spans="1:68" ht="19" x14ac:dyDescent="0.25">
      <c r="A913" s="5"/>
      <c r="B913" s="5"/>
      <c r="C913" s="5"/>
      <c r="D913" s="5"/>
      <c r="E913" s="5"/>
      <c r="F913" s="5"/>
      <c r="G913" s="5"/>
      <c r="H913" s="6"/>
      <c r="I913" s="5"/>
      <c r="J913" s="83"/>
      <c r="K913" s="83"/>
      <c r="L913" s="83"/>
      <c r="M913" s="83"/>
      <c r="N913" s="83"/>
      <c r="O913" s="83"/>
      <c r="P913" s="83"/>
      <c r="Q913" s="84"/>
      <c r="R913" s="83"/>
      <c r="S913" s="83"/>
      <c r="T913" s="85"/>
      <c r="U913" s="6"/>
      <c r="V913" s="44">
        <v>45239</v>
      </c>
      <c r="W913" s="45">
        <v>146.62</v>
      </c>
      <c r="X913" s="46"/>
      <c r="Y913" s="61"/>
      <c r="Z913" s="5"/>
      <c r="AA913" s="5"/>
      <c r="AB913" s="5"/>
      <c r="AC913" s="5"/>
      <c r="AD913" s="5"/>
      <c r="AE913" s="5"/>
      <c r="AF913" s="5"/>
      <c r="AG913" s="5"/>
      <c r="AH913" s="6"/>
      <c r="AI913" s="44">
        <v>45239</v>
      </c>
      <c r="AJ913" s="53">
        <v>146.62</v>
      </c>
      <c r="AK913" s="54">
        <f t="shared" si="154"/>
        <v>-9.5250962642707826E-3</v>
      </c>
      <c r="AL913" s="55">
        <f t="shared" si="157"/>
        <v>11.452573710148867</v>
      </c>
      <c r="AM913" s="56">
        <v>25</v>
      </c>
      <c r="AN913" s="57">
        <f t="shared" si="155"/>
        <v>13.547426289851133</v>
      </c>
      <c r="AO913" s="76">
        <f t="shared" si="158"/>
        <v>16.382151992610666</v>
      </c>
      <c r="AP913" s="63" t="str">
        <f t="shared" si="159"/>
        <v>Buy Stocks</v>
      </c>
      <c r="AQ913" s="63" t="str">
        <f t="shared" si="160"/>
        <v/>
      </c>
      <c r="AR913" s="63" t="str">
        <f t="shared" si="161"/>
        <v/>
      </c>
      <c r="AS913" s="63" t="str">
        <f t="shared" si="162"/>
        <v/>
      </c>
      <c r="AT913" s="78" t="str">
        <f t="shared" si="163"/>
        <v/>
      </c>
      <c r="AU913" s="78" t="str">
        <f t="shared" si="164"/>
        <v/>
      </c>
      <c r="AV913" s="64" t="str">
        <f ca="1">IFERROR(__xludf.DUMMYFUNCTION("IF(TRIM(AU913)="""","""",AU913/INDEX(FILTER(AT$3:AT913,TRIM(AT$3:AT913)&lt;&gt;""""),ROWS(FILTER(AT$3:AT913,TRIM(AT$3:AT913)&lt;&gt;"""")))-1)"),"")</f>
        <v/>
      </c>
      <c r="AW913" s="65" t="e">
        <f t="shared" ca="1" si="156"/>
        <v>#VALUE!</v>
      </c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</row>
    <row r="914" spans="1:68" ht="19" x14ac:dyDescent="0.25">
      <c r="A914" s="5"/>
      <c r="B914" s="5"/>
      <c r="C914" s="5"/>
      <c r="D914" s="5"/>
      <c r="E914" s="5"/>
      <c r="F914" s="5"/>
      <c r="G914" s="5"/>
      <c r="H914" s="6"/>
      <c r="I914" s="5"/>
      <c r="J914" s="83"/>
      <c r="K914" s="83"/>
      <c r="L914" s="83"/>
      <c r="M914" s="83"/>
      <c r="N914" s="83"/>
      <c r="O914" s="83"/>
      <c r="P914" s="83"/>
      <c r="Q914" s="84"/>
      <c r="R914" s="83"/>
      <c r="S914" s="83"/>
      <c r="T914" s="85"/>
      <c r="U914" s="6"/>
      <c r="V914" s="44">
        <v>45240</v>
      </c>
      <c r="W914" s="45">
        <v>149.02000000000001</v>
      </c>
      <c r="X914" s="46"/>
      <c r="Y914" s="61"/>
      <c r="Z914" s="5"/>
      <c r="AA914" s="5"/>
      <c r="AB914" s="5"/>
      <c r="AC914" s="5"/>
      <c r="AD914" s="5"/>
      <c r="AE914" s="5"/>
      <c r="AF914" s="5"/>
      <c r="AG914" s="5"/>
      <c r="AH914" s="6"/>
      <c r="AI914" s="44">
        <v>45240</v>
      </c>
      <c r="AJ914" s="53">
        <v>149.02000000000001</v>
      </c>
      <c r="AK914" s="54">
        <f t="shared" si="154"/>
        <v>1.6368844632383084E-2</v>
      </c>
      <c r="AL914" s="55">
        <f t="shared" si="157"/>
        <v>16.434697669418998</v>
      </c>
      <c r="AM914" s="56">
        <v>25</v>
      </c>
      <c r="AN914" s="57">
        <f t="shared" si="155"/>
        <v>8.5653023305810017</v>
      </c>
      <c r="AO914" s="76">
        <f t="shared" si="158"/>
        <v>14.749625566721715</v>
      </c>
      <c r="AP914" s="63" t="str">
        <f t="shared" si="159"/>
        <v>Buy Stocks</v>
      </c>
      <c r="AQ914" s="63" t="str">
        <f t="shared" si="160"/>
        <v/>
      </c>
      <c r="AR914" s="63" t="str">
        <f t="shared" si="161"/>
        <v/>
      </c>
      <c r="AS914" s="63" t="str">
        <f t="shared" si="162"/>
        <v/>
      </c>
      <c r="AT914" s="78" t="str">
        <f t="shared" si="163"/>
        <v/>
      </c>
      <c r="AU914" s="78" t="str">
        <f t="shared" si="164"/>
        <v/>
      </c>
      <c r="AV914" s="64" t="str">
        <f ca="1">IFERROR(__xludf.DUMMYFUNCTION("IF(TRIM(AU914)="""","""",AU914/INDEX(FILTER(AT$3:AT914,TRIM(AT$3:AT914)&lt;&gt;""""),ROWS(FILTER(AT$3:AT914,TRIM(AT$3:AT914)&lt;&gt;"""")))-1)"),"")</f>
        <v/>
      </c>
      <c r="AW914" s="65" t="e">
        <f t="shared" ca="1" si="156"/>
        <v>#VALUE!</v>
      </c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</row>
    <row r="915" spans="1:68" ht="19" x14ac:dyDescent="0.25">
      <c r="A915" s="5"/>
      <c r="B915" s="5"/>
      <c r="C915" s="5"/>
      <c r="D915" s="5"/>
      <c r="E915" s="5"/>
      <c r="F915" s="5"/>
      <c r="G915" s="5"/>
      <c r="H915" s="6"/>
      <c r="I915" s="5"/>
      <c r="J915" s="83"/>
      <c r="K915" s="83"/>
      <c r="L915" s="83"/>
      <c r="M915" s="83"/>
      <c r="N915" s="83"/>
      <c r="O915" s="83"/>
      <c r="P915" s="83"/>
      <c r="Q915" s="84"/>
      <c r="R915" s="83"/>
      <c r="S915" s="83"/>
      <c r="T915" s="85"/>
      <c r="U915" s="6"/>
      <c r="V915" s="44">
        <v>45243</v>
      </c>
      <c r="W915" s="45">
        <v>148.1</v>
      </c>
      <c r="X915" s="46"/>
      <c r="Y915" s="61"/>
      <c r="Z915" s="5"/>
      <c r="AA915" s="5"/>
      <c r="AB915" s="5"/>
      <c r="AC915" s="5"/>
      <c r="AD915" s="5"/>
      <c r="AE915" s="5"/>
      <c r="AF915" s="5"/>
      <c r="AG915" s="5"/>
      <c r="AH915" s="6"/>
      <c r="AI915" s="44">
        <v>45243</v>
      </c>
      <c r="AJ915" s="53">
        <v>148.1</v>
      </c>
      <c r="AK915" s="54">
        <f t="shared" si="154"/>
        <v>-6.1736679640317371E-3</v>
      </c>
      <c r="AL915" s="55">
        <f t="shared" si="157"/>
        <v>16.270096737660815</v>
      </c>
      <c r="AM915" s="56">
        <v>25</v>
      </c>
      <c r="AN915" s="57">
        <f t="shared" si="155"/>
        <v>8.7299032623391852</v>
      </c>
      <c r="AO915" s="76">
        <f t="shared" si="158"/>
        <v>12.680578756670004</v>
      </c>
      <c r="AP915" s="63" t="str">
        <f t="shared" si="159"/>
        <v>Buy Stocks</v>
      </c>
      <c r="AQ915" s="63" t="str">
        <f t="shared" si="160"/>
        <v/>
      </c>
      <c r="AR915" s="63" t="str">
        <f t="shared" si="161"/>
        <v/>
      </c>
      <c r="AS915" s="63" t="str">
        <f t="shared" si="162"/>
        <v/>
      </c>
      <c r="AT915" s="78" t="str">
        <f t="shared" si="163"/>
        <v/>
      </c>
      <c r="AU915" s="78" t="str">
        <f t="shared" si="164"/>
        <v/>
      </c>
      <c r="AV915" s="64" t="str">
        <f ca="1">IFERROR(__xludf.DUMMYFUNCTION("IF(TRIM(AU915)="""","""",AU915/INDEX(FILTER(AT$3:AT915,TRIM(AT$3:AT915)&lt;&gt;""""),ROWS(FILTER(AT$3:AT915,TRIM(AT$3:AT915)&lt;&gt;"""")))-1)"),"")</f>
        <v/>
      </c>
      <c r="AW915" s="65" t="e">
        <f t="shared" ca="1" si="156"/>
        <v>#VALUE!</v>
      </c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</row>
    <row r="916" spans="1:68" ht="19" x14ac:dyDescent="0.25">
      <c r="A916" s="5"/>
      <c r="B916" s="5"/>
      <c r="C916" s="5"/>
      <c r="D916" s="5"/>
      <c r="E916" s="5"/>
      <c r="F916" s="5"/>
      <c r="G916" s="5"/>
      <c r="H916" s="6"/>
      <c r="I916" s="5"/>
      <c r="J916" s="83"/>
      <c r="K916" s="83"/>
      <c r="L916" s="83"/>
      <c r="M916" s="83"/>
      <c r="N916" s="83"/>
      <c r="O916" s="83"/>
      <c r="P916" s="83"/>
      <c r="Q916" s="84"/>
      <c r="R916" s="83"/>
      <c r="S916" s="83"/>
      <c r="T916" s="85"/>
      <c r="U916" s="6"/>
      <c r="V916" s="44">
        <v>45244</v>
      </c>
      <c r="W916" s="45">
        <v>150.41</v>
      </c>
      <c r="X916" s="46"/>
      <c r="Y916" s="61"/>
      <c r="Z916" s="5"/>
      <c r="AA916" s="5"/>
      <c r="AB916" s="5"/>
      <c r="AC916" s="5"/>
      <c r="AD916" s="5"/>
      <c r="AE916" s="5"/>
      <c r="AF916" s="5"/>
      <c r="AG916" s="5"/>
      <c r="AH916" s="6"/>
      <c r="AI916" s="44">
        <v>45244</v>
      </c>
      <c r="AJ916" s="53">
        <v>150.41</v>
      </c>
      <c r="AK916" s="54">
        <f t="shared" si="154"/>
        <v>1.5597569209993223E-2</v>
      </c>
      <c r="AL916" s="55">
        <f t="shared" si="157"/>
        <v>20.161710397783871</v>
      </c>
      <c r="AM916" s="56">
        <v>25</v>
      </c>
      <c r="AN916" s="57">
        <f t="shared" si="155"/>
        <v>4.838289602216129</v>
      </c>
      <c r="AO916" s="76">
        <f t="shared" si="158"/>
        <v>10.02874899833537</v>
      </c>
      <c r="AP916" s="63" t="str">
        <f t="shared" si="159"/>
        <v>Buy Stocks</v>
      </c>
      <c r="AQ916" s="63" t="str">
        <f t="shared" si="160"/>
        <v/>
      </c>
      <c r="AR916" s="63" t="str">
        <f t="shared" si="161"/>
        <v/>
      </c>
      <c r="AS916" s="63" t="str">
        <f t="shared" si="162"/>
        <v/>
      </c>
      <c r="AT916" s="78" t="str">
        <f t="shared" si="163"/>
        <v/>
      </c>
      <c r="AU916" s="78" t="str">
        <f t="shared" si="164"/>
        <v/>
      </c>
      <c r="AV916" s="64" t="str">
        <f ca="1">IFERROR(__xludf.DUMMYFUNCTION("IF(TRIM(AU916)="""","""",AU916/INDEX(FILTER(AT$3:AT916,TRIM(AT$3:AT916)&lt;&gt;""""),ROWS(FILTER(AT$3:AT916,TRIM(AT$3:AT916)&lt;&gt;"""")))-1)"),"")</f>
        <v/>
      </c>
      <c r="AW916" s="65" t="e">
        <f t="shared" ca="1" si="156"/>
        <v>#VALUE!</v>
      </c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</row>
    <row r="917" spans="1:68" ht="19" x14ac:dyDescent="0.25">
      <c r="A917" s="5"/>
      <c r="B917" s="5"/>
      <c r="C917" s="5"/>
      <c r="D917" s="5"/>
      <c r="E917" s="5"/>
      <c r="F917" s="5"/>
      <c r="G917" s="5"/>
      <c r="H917" s="6"/>
      <c r="I917" s="5"/>
      <c r="J917" s="83"/>
      <c r="K917" s="83"/>
      <c r="L917" s="83"/>
      <c r="M917" s="83"/>
      <c r="N917" s="83"/>
      <c r="O917" s="83"/>
      <c r="P917" s="83"/>
      <c r="Q917" s="84"/>
      <c r="R917" s="83"/>
      <c r="S917" s="83"/>
      <c r="T917" s="85"/>
      <c r="U917" s="6"/>
      <c r="V917" s="44">
        <v>45245</v>
      </c>
      <c r="W917" s="45">
        <v>152.58000000000001</v>
      </c>
      <c r="X917" s="46"/>
      <c r="Y917" s="61"/>
      <c r="Z917" s="5"/>
      <c r="AA917" s="5"/>
      <c r="AB917" s="5"/>
      <c r="AC917" s="5"/>
      <c r="AD917" s="5"/>
      <c r="AE917" s="5"/>
      <c r="AF917" s="5"/>
      <c r="AG917" s="5"/>
      <c r="AH917" s="6"/>
      <c r="AI917" s="44">
        <v>45245</v>
      </c>
      <c r="AJ917" s="53">
        <v>152.58000000000001</v>
      </c>
      <c r="AK917" s="54">
        <f t="shared" si="154"/>
        <v>1.4427232231899678E-2</v>
      </c>
      <c r="AL917" s="55">
        <f t="shared" si="157"/>
        <v>20.387694640426854</v>
      </c>
      <c r="AM917" s="56">
        <v>25</v>
      </c>
      <c r="AN917" s="57">
        <f t="shared" si="155"/>
        <v>4.6123053595731456</v>
      </c>
      <c r="AO917" s="76">
        <f t="shared" si="158"/>
        <v>8.0586453689121189</v>
      </c>
      <c r="AP917" s="63" t="str">
        <f t="shared" si="159"/>
        <v>Buy Stocks</v>
      </c>
      <c r="AQ917" s="63" t="str">
        <f t="shared" si="160"/>
        <v/>
      </c>
      <c r="AR917" s="63" t="str">
        <f t="shared" si="161"/>
        <v/>
      </c>
      <c r="AS917" s="63" t="str">
        <f t="shared" si="162"/>
        <v/>
      </c>
      <c r="AT917" s="78" t="str">
        <f t="shared" si="163"/>
        <v/>
      </c>
      <c r="AU917" s="78" t="str">
        <f t="shared" si="164"/>
        <v/>
      </c>
      <c r="AV917" s="64" t="str">
        <f ca="1">IFERROR(__xludf.DUMMYFUNCTION("IF(TRIM(AU917)="""","""",AU917/INDEX(FILTER(AT$3:AT917,TRIM(AT$3:AT917)&lt;&gt;""""),ROWS(FILTER(AT$3:AT917,TRIM(AT$3:AT917)&lt;&gt;"""")))-1)"),"")</f>
        <v/>
      </c>
      <c r="AW917" s="65" t="e">
        <f t="shared" ca="1" si="156"/>
        <v>#VALUE!</v>
      </c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</row>
    <row r="918" spans="1:68" ht="19" x14ac:dyDescent="0.25">
      <c r="A918" s="5"/>
      <c r="B918" s="5"/>
      <c r="C918" s="5"/>
      <c r="D918" s="5"/>
      <c r="E918" s="5"/>
      <c r="F918" s="5"/>
      <c r="G918" s="5"/>
      <c r="H918" s="6"/>
      <c r="I918" s="5"/>
      <c r="J918" s="83"/>
      <c r="K918" s="83"/>
      <c r="L918" s="83"/>
      <c r="M918" s="83"/>
      <c r="N918" s="83"/>
      <c r="O918" s="83"/>
      <c r="P918" s="83"/>
      <c r="Q918" s="84"/>
      <c r="R918" s="83"/>
      <c r="S918" s="83"/>
      <c r="T918" s="85"/>
      <c r="U918" s="6"/>
      <c r="V918" s="44">
        <v>45246</v>
      </c>
      <c r="W918" s="45">
        <v>153.06</v>
      </c>
      <c r="X918" s="46"/>
      <c r="Y918" s="61"/>
      <c r="Z918" s="5"/>
      <c r="AA918" s="5"/>
      <c r="AB918" s="5"/>
      <c r="AC918" s="5"/>
      <c r="AD918" s="5"/>
      <c r="AE918" s="5"/>
      <c r="AF918" s="5"/>
      <c r="AG918" s="5"/>
      <c r="AH918" s="6"/>
      <c r="AI918" s="44">
        <v>45246</v>
      </c>
      <c r="AJ918" s="53">
        <v>153.06</v>
      </c>
      <c r="AK918" s="54">
        <f t="shared" si="154"/>
        <v>3.1458906802988018E-3</v>
      </c>
      <c r="AL918" s="55">
        <f t="shared" si="157"/>
        <v>15.700108154769232</v>
      </c>
      <c r="AM918" s="56">
        <v>25</v>
      </c>
      <c r="AN918" s="57">
        <f t="shared" si="155"/>
        <v>9.2998918452307677</v>
      </c>
      <c r="AO918" s="76">
        <f t="shared" si="158"/>
        <v>7.209138479988046</v>
      </c>
      <c r="AP918" s="63" t="str">
        <f t="shared" si="159"/>
        <v>Buy Stocks</v>
      </c>
      <c r="AQ918" s="63" t="str">
        <f t="shared" si="160"/>
        <v/>
      </c>
      <c r="AR918" s="63" t="str">
        <f t="shared" si="161"/>
        <v/>
      </c>
      <c r="AS918" s="63" t="str">
        <f t="shared" si="162"/>
        <v/>
      </c>
      <c r="AT918" s="78" t="str">
        <f t="shared" si="163"/>
        <v/>
      </c>
      <c r="AU918" s="78" t="str">
        <f t="shared" si="164"/>
        <v/>
      </c>
      <c r="AV918" s="64" t="str">
        <f ca="1">IFERROR(__xludf.DUMMYFUNCTION("IF(TRIM(AU918)="""","""",AU918/INDEX(FILTER(AT$3:AT918,TRIM(AT$3:AT918)&lt;&gt;""""),ROWS(FILTER(AT$3:AT918,TRIM(AT$3:AT918)&lt;&gt;"""")))-1)"),"")</f>
        <v/>
      </c>
      <c r="AW918" s="65" t="e">
        <f t="shared" ca="1" si="156"/>
        <v>#VALUE!</v>
      </c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</row>
    <row r="919" spans="1:68" ht="19" x14ac:dyDescent="0.25">
      <c r="A919" s="5"/>
      <c r="B919" s="5"/>
      <c r="C919" s="5"/>
      <c r="D919" s="5"/>
      <c r="E919" s="5"/>
      <c r="F919" s="5"/>
      <c r="G919" s="5"/>
      <c r="H919" s="6"/>
      <c r="I919" s="5"/>
      <c r="J919" s="83"/>
      <c r="K919" s="83"/>
      <c r="L919" s="83"/>
      <c r="M919" s="83"/>
      <c r="N919" s="83"/>
      <c r="O919" s="83"/>
      <c r="P919" s="83"/>
      <c r="Q919" s="84"/>
      <c r="R919" s="83"/>
      <c r="S919" s="83"/>
      <c r="T919" s="85"/>
      <c r="U919" s="6"/>
      <c r="V919" s="44">
        <v>45247</v>
      </c>
      <c r="W919" s="45">
        <v>152.88999999999999</v>
      </c>
      <c r="X919" s="46"/>
      <c r="Y919" s="61"/>
      <c r="Z919" s="5"/>
      <c r="AA919" s="5"/>
      <c r="AB919" s="5"/>
      <c r="AC919" s="5"/>
      <c r="AD919" s="5"/>
      <c r="AE919" s="5"/>
      <c r="AF919" s="5"/>
      <c r="AG919" s="5"/>
      <c r="AH919" s="6"/>
      <c r="AI919" s="44">
        <v>45247</v>
      </c>
      <c r="AJ919" s="53">
        <v>152.88999999999999</v>
      </c>
      <c r="AK919" s="54">
        <f t="shared" si="154"/>
        <v>-1.1106755520712275E-3</v>
      </c>
      <c r="AL919" s="55">
        <f t="shared" si="157"/>
        <v>15.198400711778657</v>
      </c>
      <c r="AM919" s="56">
        <v>25</v>
      </c>
      <c r="AN919" s="57">
        <f t="shared" si="155"/>
        <v>9.8015992882213432</v>
      </c>
      <c r="AO919" s="76">
        <f t="shared" si="158"/>
        <v>7.4563978715161143</v>
      </c>
      <c r="AP919" s="63" t="str">
        <f t="shared" si="159"/>
        <v>Buy Stocks</v>
      </c>
      <c r="AQ919" s="63" t="str">
        <f t="shared" si="160"/>
        <v/>
      </c>
      <c r="AR919" s="63" t="str">
        <f t="shared" si="161"/>
        <v/>
      </c>
      <c r="AS919" s="63" t="str">
        <f t="shared" si="162"/>
        <v/>
      </c>
      <c r="AT919" s="78" t="str">
        <f t="shared" si="163"/>
        <v/>
      </c>
      <c r="AU919" s="78" t="str">
        <f t="shared" si="164"/>
        <v/>
      </c>
      <c r="AV919" s="64" t="str">
        <f ca="1">IFERROR(__xludf.DUMMYFUNCTION("IF(TRIM(AU919)="""","""",AU919/INDEX(FILTER(AT$3:AT919,TRIM(AT$3:AT919)&lt;&gt;""""),ROWS(FILTER(AT$3:AT919,TRIM(AT$3:AT919)&lt;&gt;"""")))-1)"),"")</f>
        <v/>
      </c>
      <c r="AW919" s="65" t="e">
        <f t="shared" ca="1" si="156"/>
        <v>#VALUE!</v>
      </c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</row>
    <row r="920" spans="1:68" ht="19" x14ac:dyDescent="0.25">
      <c r="A920" s="5"/>
      <c r="B920" s="5"/>
      <c r="C920" s="5"/>
      <c r="D920" s="5"/>
      <c r="E920" s="5"/>
      <c r="F920" s="5"/>
      <c r="G920" s="5"/>
      <c r="H920" s="6"/>
      <c r="I920" s="5"/>
      <c r="J920" s="83"/>
      <c r="K920" s="83"/>
      <c r="L920" s="83"/>
      <c r="M920" s="83"/>
      <c r="N920" s="83"/>
      <c r="O920" s="83"/>
      <c r="P920" s="83"/>
      <c r="Q920" s="84"/>
      <c r="R920" s="83"/>
      <c r="S920" s="83"/>
      <c r="T920" s="85"/>
      <c r="U920" s="6"/>
      <c r="V920" s="44">
        <v>45250</v>
      </c>
      <c r="W920" s="45">
        <v>154.35</v>
      </c>
      <c r="X920" s="46"/>
      <c r="Y920" s="61"/>
      <c r="Z920" s="5"/>
      <c r="AA920" s="5"/>
      <c r="AB920" s="5"/>
      <c r="AC920" s="5"/>
      <c r="AD920" s="5"/>
      <c r="AE920" s="5"/>
      <c r="AF920" s="5"/>
      <c r="AG920" s="5"/>
      <c r="AH920" s="6"/>
      <c r="AI920" s="44">
        <v>45250</v>
      </c>
      <c r="AJ920" s="53">
        <v>154.35</v>
      </c>
      <c r="AK920" s="54">
        <f t="shared" si="154"/>
        <v>9.5493492053111417E-3</v>
      </c>
      <c r="AL920" s="55">
        <f t="shared" si="157"/>
        <v>11.432997275533987</v>
      </c>
      <c r="AM920" s="56">
        <v>25</v>
      </c>
      <c r="AN920" s="57">
        <f t="shared" si="155"/>
        <v>13.567002724466013</v>
      </c>
      <c r="AO920" s="76">
        <f t="shared" si="158"/>
        <v>8.4238177639414804</v>
      </c>
      <c r="AP920" s="63" t="str">
        <f t="shared" si="159"/>
        <v>Buy Stocks</v>
      </c>
      <c r="AQ920" s="63" t="str">
        <f t="shared" si="160"/>
        <v/>
      </c>
      <c r="AR920" s="63" t="str">
        <f t="shared" si="161"/>
        <v/>
      </c>
      <c r="AS920" s="63" t="str">
        <f t="shared" si="162"/>
        <v/>
      </c>
      <c r="AT920" s="78" t="str">
        <f t="shared" si="163"/>
        <v/>
      </c>
      <c r="AU920" s="78" t="str">
        <f t="shared" si="164"/>
        <v/>
      </c>
      <c r="AV920" s="64" t="str">
        <f ca="1">IFERROR(__xludf.DUMMYFUNCTION("IF(TRIM(AU920)="""","""",AU920/INDEX(FILTER(AT$3:AT920,TRIM(AT$3:AT920)&lt;&gt;""""),ROWS(FILTER(AT$3:AT920,TRIM(AT$3:AT920)&lt;&gt;"""")))-1)"),"")</f>
        <v/>
      </c>
      <c r="AW920" s="65" t="e">
        <f t="shared" ca="1" si="156"/>
        <v>#VALUE!</v>
      </c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</row>
    <row r="921" spans="1:68" ht="19" x14ac:dyDescent="0.25">
      <c r="A921" s="5"/>
      <c r="B921" s="5"/>
      <c r="C921" s="5"/>
      <c r="D921" s="5"/>
      <c r="E921" s="5"/>
      <c r="F921" s="5"/>
      <c r="G921" s="5"/>
      <c r="H921" s="6"/>
      <c r="I921" s="5"/>
      <c r="J921" s="83"/>
      <c r="K921" s="83"/>
      <c r="L921" s="83"/>
      <c r="M921" s="83"/>
      <c r="N921" s="83"/>
      <c r="O921" s="83"/>
      <c r="P921" s="83"/>
      <c r="Q921" s="84"/>
      <c r="R921" s="83"/>
      <c r="S921" s="83"/>
      <c r="T921" s="85"/>
      <c r="U921" s="6"/>
      <c r="V921" s="44">
        <v>45251</v>
      </c>
      <c r="W921" s="45">
        <v>153.91</v>
      </c>
      <c r="X921" s="46"/>
      <c r="Y921" s="61"/>
      <c r="Z921" s="5"/>
      <c r="AA921" s="5"/>
      <c r="AB921" s="5"/>
      <c r="AC921" s="5"/>
      <c r="AD921" s="5"/>
      <c r="AE921" s="5"/>
      <c r="AF921" s="5"/>
      <c r="AG921" s="5"/>
      <c r="AH921" s="6"/>
      <c r="AI921" s="44">
        <v>45251</v>
      </c>
      <c r="AJ921" s="53">
        <v>153.91</v>
      </c>
      <c r="AK921" s="54">
        <f t="shared" si="154"/>
        <v>-2.8506640751538859E-3</v>
      </c>
      <c r="AL921" s="55">
        <f t="shared" si="157"/>
        <v>11.537830020072406</v>
      </c>
      <c r="AM921" s="56">
        <v>25</v>
      </c>
      <c r="AN921" s="57">
        <f t="shared" si="155"/>
        <v>13.462169979927594</v>
      </c>
      <c r="AO921" s="76">
        <f t="shared" si="158"/>
        <v>10.148593839483773</v>
      </c>
      <c r="AP921" s="63" t="str">
        <f t="shared" si="159"/>
        <v>Buy Stocks</v>
      </c>
      <c r="AQ921" s="63" t="str">
        <f t="shared" si="160"/>
        <v/>
      </c>
      <c r="AR921" s="63" t="str">
        <f t="shared" si="161"/>
        <v/>
      </c>
      <c r="AS921" s="63" t="str">
        <f t="shared" si="162"/>
        <v/>
      </c>
      <c r="AT921" s="78" t="str">
        <f t="shared" si="163"/>
        <v/>
      </c>
      <c r="AU921" s="78" t="str">
        <f t="shared" si="164"/>
        <v/>
      </c>
      <c r="AV921" s="64" t="str">
        <f ca="1">IFERROR(__xludf.DUMMYFUNCTION("IF(TRIM(AU921)="""","""",AU921/INDEX(FILTER(AT$3:AT921,TRIM(AT$3:AT921)&lt;&gt;""""),ROWS(FILTER(AT$3:AT921,TRIM(AT$3:AT921)&lt;&gt;"""")))-1)"),"")</f>
        <v/>
      </c>
      <c r="AW921" s="65" t="e">
        <f t="shared" ca="1" si="156"/>
        <v>#VALUE!</v>
      </c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</row>
    <row r="922" spans="1:68" ht="19" x14ac:dyDescent="0.25">
      <c r="A922" s="5"/>
      <c r="B922" s="5"/>
      <c r="C922" s="5"/>
      <c r="D922" s="5"/>
      <c r="E922" s="5"/>
      <c r="F922" s="5"/>
      <c r="G922" s="5"/>
      <c r="H922" s="6"/>
      <c r="I922" s="5"/>
      <c r="J922" s="83"/>
      <c r="K922" s="83"/>
      <c r="L922" s="83"/>
      <c r="M922" s="83"/>
      <c r="N922" s="83"/>
      <c r="O922" s="83"/>
      <c r="P922" s="83"/>
      <c r="Q922" s="84"/>
      <c r="R922" s="83"/>
      <c r="S922" s="83"/>
      <c r="T922" s="85"/>
      <c r="U922" s="6"/>
      <c r="V922" s="44">
        <v>45252</v>
      </c>
      <c r="W922" s="45">
        <v>155.13</v>
      </c>
      <c r="X922" s="46"/>
      <c r="Y922" s="61"/>
      <c r="Z922" s="5"/>
      <c r="AA922" s="5"/>
      <c r="AB922" s="5"/>
      <c r="AC922" s="5"/>
      <c r="AD922" s="5"/>
      <c r="AE922" s="5"/>
      <c r="AF922" s="5"/>
      <c r="AG922" s="5"/>
      <c r="AH922" s="6"/>
      <c r="AI922" s="44">
        <v>45252</v>
      </c>
      <c r="AJ922" s="53">
        <v>155.13</v>
      </c>
      <c r="AK922" s="54">
        <f t="shared" si="154"/>
        <v>7.9267104151776735E-3</v>
      </c>
      <c r="AL922" s="55">
        <f t="shared" si="157"/>
        <v>8.6134431897529762</v>
      </c>
      <c r="AM922" s="56">
        <v>25</v>
      </c>
      <c r="AN922" s="57">
        <f t="shared" si="155"/>
        <v>16.386556810247022</v>
      </c>
      <c r="AO922" s="76">
        <f t="shared" si="158"/>
        <v>12.503444129618547</v>
      </c>
      <c r="AP922" s="63" t="str">
        <f t="shared" si="159"/>
        <v>Buy Stocks</v>
      </c>
      <c r="AQ922" s="63" t="str">
        <f t="shared" si="160"/>
        <v/>
      </c>
      <c r="AR922" s="63" t="str">
        <f t="shared" si="161"/>
        <v/>
      </c>
      <c r="AS922" s="63" t="str">
        <f t="shared" si="162"/>
        <v/>
      </c>
      <c r="AT922" s="78" t="str">
        <f t="shared" si="163"/>
        <v/>
      </c>
      <c r="AU922" s="78" t="str">
        <f t="shared" si="164"/>
        <v/>
      </c>
      <c r="AV922" s="64" t="str">
        <f ca="1">IFERROR(__xludf.DUMMYFUNCTION("IF(TRIM(AU922)="""","""",AU922/INDEX(FILTER(AT$3:AT922,TRIM(AT$3:AT922)&lt;&gt;""""),ROWS(FILTER(AT$3:AT922,TRIM(AT$3:AT922)&lt;&gt;"""")))-1)"),"")</f>
        <v/>
      </c>
      <c r="AW922" s="65" t="e">
        <f t="shared" ca="1" si="156"/>
        <v>#VALUE!</v>
      </c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</row>
    <row r="923" spans="1:68" ht="19" x14ac:dyDescent="0.25">
      <c r="A923" s="5"/>
      <c r="B923" s="5"/>
      <c r="C923" s="5"/>
      <c r="D923" s="5"/>
      <c r="E923" s="5"/>
      <c r="F923" s="5"/>
      <c r="G923" s="5"/>
      <c r="H923" s="6"/>
      <c r="I923" s="5"/>
      <c r="J923" s="83"/>
      <c r="K923" s="83"/>
      <c r="L923" s="83"/>
      <c r="M923" s="83"/>
      <c r="N923" s="83"/>
      <c r="O923" s="83"/>
      <c r="P923" s="83"/>
      <c r="Q923" s="84"/>
      <c r="R923" s="83"/>
      <c r="S923" s="83"/>
      <c r="T923" s="85"/>
      <c r="U923" s="6"/>
      <c r="V923" s="44">
        <v>45254</v>
      </c>
      <c r="W923" s="45">
        <v>155.18</v>
      </c>
      <c r="X923" s="46"/>
      <c r="Y923" s="61"/>
      <c r="Z923" s="5"/>
      <c r="AA923" s="5"/>
      <c r="AB923" s="5"/>
      <c r="AC923" s="5"/>
      <c r="AD923" s="5"/>
      <c r="AE923" s="5"/>
      <c r="AF923" s="5"/>
      <c r="AG923" s="5"/>
      <c r="AH923" s="6"/>
      <c r="AI923" s="44">
        <v>45254</v>
      </c>
      <c r="AJ923" s="53">
        <v>155.18</v>
      </c>
      <c r="AK923" s="54">
        <f t="shared" si="154"/>
        <v>3.2231032037643992E-4</v>
      </c>
      <c r="AL923" s="55">
        <f t="shared" si="157"/>
        <v>8.8809996494139654</v>
      </c>
      <c r="AM923" s="56">
        <v>25</v>
      </c>
      <c r="AN923" s="57">
        <f t="shared" si="155"/>
        <v>16.119000350586035</v>
      </c>
      <c r="AO923" s="76">
        <f t="shared" si="158"/>
        <v>13.8672658306896</v>
      </c>
      <c r="AP923" s="63" t="str">
        <f t="shared" si="159"/>
        <v>Buy Stocks</v>
      </c>
      <c r="AQ923" s="63" t="str">
        <f t="shared" si="160"/>
        <v/>
      </c>
      <c r="AR923" s="63" t="str">
        <f t="shared" si="161"/>
        <v/>
      </c>
      <c r="AS923" s="63" t="str">
        <f t="shared" si="162"/>
        <v/>
      </c>
      <c r="AT923" s="78" t="str">
        <f t="shared" si="163"/>
        <v/>
      </c>
      <c r="AU923" s="78" t="str">
        <f t="shared" si="164"/>
        <v/>
      </c>
      <c r="AV923" s="64" t="str">
        <f ca="1">IFERROR(__xludf.DUMMYFUNCTION("IF(TRIM(AU923)="""","""",AU923/INDEX(FILTER(AT$3:AT923,TRIM(AT$3:AT923)&lt;&gt;""""),ROWS(FILTER(AT$3:AT923,TRIM(AT$3:AT923)&lt;&gt;"""")))-1)"),"")</f>
        <v/>
      </c>
      <c r="AW923" s="65" t="e">
        <f t="shared" ca="1" si="156"/>
        <v>#VALUE!</v>
      </c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</row>
    <row r="924" spans="1:68" ht="19" x14ac:dyDescent="0.25">
      <c r="A924" s="5"/>
      <c r="B924" s="5"/>
      <c r="C924" s="5"/>
      <c r="D924" s="5"/>
      <c r="E924" s="5"/>
      <c r="F924" s="5"/>
      <c r="G924" s="5"/>
      <c r="H924" s="6"/>
      <c r="I924" s="5"/>
      <c r="J924" s="83"/>
      <c r="K924" s="83"/>
      <c r="L924" s="83"/>
      <c r="M924" s="83"/>
      <c r="N924" s="83"/>
      <c r="O924" s="83"/>
      <c r="P924" s="83"/>
      <c r="Q924" s="84"/>
      <c r="R924" s="83"/>
      <c r="S924" s="83"/>
      <c r="T924" s="85"/>
      <c r="U924" s="6"/>
      <c r="V924" s="44">
        <v>45257</v>
      </c>
      <c r="W924" s="45">
        <v>155.57</v>
      </c>
      <c r="X924" s="46"/>
      <c r="Y924" s="61"/>
      <c r="Z924" s="5"/>
      <c r="AA924" s="5"/>
      <c r="AB924" s="5"/>
      <c r="AC924" s="5"/>
      <c r="AD924" s="5"/>
      <c r="AE924" s="5"/>
      <c r="AF924" s="5"/>
      <c r="AG924" s="5"/>
      <c r="AH924" s="6"/>
      <c r="AI924" s="44">
        <v>45257</v>
      </c>
      <c r="AJ924" s="53">
        <v>155.57</v>
      </c>
      <c r="AK924" s="54">
        <f t="shared" si="154"/>
        <v>2.5132104652660914E-3</v>
      </c>
      <c r="AL924" s="55">
        <f t="shared" si="157"/>
        <v>8.2330593023401395</v>
      </c>
      <c r="AM924" s="56">
        <v>25</v>
      </c>
      <c r="AN924" s="57">
        <f t="shared" si="155"/>
        <v>16.766940697659862</v>
      </c>
      <c r="AO924" s="76">
        <f t="shared" si="158"/>
        <v>15.260334112577306</v>
      </c>
      <c r="AP924" s="63" t="str">
        <f t="shared" si="159"/>
        <v>Buy Stocks</v>
      </c>
      <c r="AQ924" s="63" t="str">
        <f t="shared" si="160"/>
        <v/>
      </c>
      <c r="AR924" s="63" t="str">
        <f t="shared" si="161"/>
        <v/>
      </c>
      <c r="AS924" s="63" t="str">
        <f t="shared" si="162"/>
        <v/>
      </c>
      <c r="AT924" s="78" t="str">
        <f t="shared" si="163"/>
        <v/>
      </c>
      <c r="AU924" s="78" t="str">
        <f t="shared" si="164"/>
        <v/>
      </c>
      <c r="AV924" s="64" t="str">
        <f ca="1">IFERROR(__xludf.DUMMYFUNCTION("IF(TRIM(AU924)="""","""",AU924/INDEX(FILTER(AT$3:AT924,TRIM(AT$3:AT924)&lt;&gt;""""),ROWS(FILTER(AT$3:AT924,TRIM(AT$3:AT924)&lt;&gt;"""")))-1)"),"")</f>
        <v/>
      </c>
      <c r="AW924" s="65" t="e">
        <f t="shared" ca="1" si="156"/>
        <v>#VALUE!</v>
      </c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</row>
    <row r="925" spans="1:68" ht="19" x14ac:dyDescent="0.25">
      <c r="A925" s="5"/>
      <c r="B925" s="5"/>
      <c r="C925" s="5"/>
      <c r="D925" s="5"/>
      <c r="E925" s="5"/>
      <c r="F925" s="5"/>
      <c r="G925" s="5"/>
      <c r="H925" s="6"/>
      <c r="I925" s="5"/>
      <c r="J925" s="83"/>
      <c r="K925" s="83"/>
      <c r="L925" s="83"/>
      <c r="M925" s="83"/>
      <c r="N925" s="83"/>
      <c r="O925" s="83"/>
      <c r="P925" s="83"/>
      <c r="Q925" s="84"/>
      <c r="R925" s="83"/>
      <c r="S925" s="83"/>
      <c r="T925" s="85"/>
      <c r="U925" s="6"/>
      <c r="V925" s="44">
        <v>45258</v>
      </c>
      <c r="W925" s="45">
        <v>155.65</v>
      </c>
      <c r="X925" s="46"/>
      <c r="Y925" s="61"/>
      <c r="Z925" s="5"/>
      <c r="AA925" s="5"/>
      <c r="AB925" s="5"/>
      <c r="AC925" s="5"/>
      <c r="AD925" s="5"/>
      <c r="AE925" s="5"/>
      <c r="AF925" s="5"/>
      <c r="AG925" s="5"/>
      <c r="AH925" s="6"/>
      <c r="AI925" s="44">
        <v>45258</v>
      </c>
      <c r="AJ925" s="53">
        <v>155.65</v>
      </c>
      <c r="AK925" s="54">
        <f t="shared" si="154"/>
        <v>5.1423796361782514E-4</v>
      </c>
      <c r="AL925" s="55">
        <f t="shared" si="157"/>
        <v>6.322197736864128</v>
      </c>
      <c r="AM925" s="56">
        <v>25</v>
      </c>
      <c r="AN925" s="57">
        <f t="shared" si="155"/>
        <v>18.677802263135874</v>
      </c>
      <c r="AO925" s="76">
        <f t="shared" si="158"/>
        <v>16.282494020311276</v>
      </c>
      <c r="AP925" s="63" t="str">
        <f t="shared" si="159"/>
        <v>Buy Stocks</v>
      </c>
      <c r="AQ925" s="63" t="str">
        <f t="shared" si="160"/>
        <v/>
      </c>
      <c r="AR925" s="63" t="str">
        <f t="shared" si="161"/>
        <v/>
      </c>
      <c r="AS925" s="63" t="str">
        <f t="shared" si="162"/>
        <v/>
      </c>
      <c r="AT925" s="78" t="str">
        <f t="shared" si="163"/>
        <v/>
      </c>
      <c r="AU925" s="78" t="str">
        <f t="shared" si="164"/>
        <v/>
      </c>
      <c r="AV925" s="64" t="str">
        <f ca="1">IFERROR(__xludf.DUMMYFUNCTION("IF(TRIM(AU925)="""","""",AU925/INDEX(FILTER(AT$3:AT925,TRIM(AT$3:AT925)&lt;&gt;""""),ROWS(FILTER(AT$3:AT925,TRIM(AT$3:AT925)&lt;&gt;"""")))-1)"),"")</f>
        <v/>
      </c>
      <c r="AW925" s="65" t="e">
        <f t="shared" ca="1" si="156"/>
        <v>#VALUE!</v>
      </c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</row>
    <row r="926" spans="1:68" ht="19" x14ac:dyDescent="0.25">
      <c r="A926" s="5"/>
      <c r="B926" s="5"/>
      <c r="C926" s="5"/>
      <c r="D926" s="5"/>
      <c r="E926" s="5"/>
      <c r="F926" s="5"/>
      <c r="G926" s="5"/>
      <c r="H926" s="6"/>
      <c r="I926" s="5"/>
      <c r="J926" s="83"/>
      <c r="K926" s="83"/>
      <c r="L926" s="83"/>
      <c r="M926" s="83"/>
      <c r="N926" s="83"/>
      <c r="O926" s="83"/>
      <c r="P926" s="83"/>
      <c r="Q926" s="84"/>
      <c r="R926" s="83"/>
      <c r="S926" s="83"/>
      <c r="T926" s="85"/>
      <c r="U926" s="6"/>
      <c r="V926" s="44">
        <v>45259</v>
      </c>
      <c r="W926" s="45">
        <v>156.41</v>
      </c>
      <c r="X926" s="46"/>
      <c r="Y926" s="61"/>
      <c r="Z926" s="5"/>
      <c r="AA926" s="5"/>
      <c r="AB926" s="5"/>
      <c r="AC926" s="5"/>
      <c r="AD926" s="5"/>
      <c r="AE926" s="5"/>
      <c r="AF926" s="5"/>
      <c r="AG926" s="5"/>
      <c r="AH926" s="6"/>
      <c r="AI926" s="44">
        <v>45259</v>
      </c>
      <c r="AJ926" s="53">
        <v>156.41</v>
      </c>
      <c r="AK926" s="54">
        <f t="shared" si="154"/>
        <v>4.8827497590748781E-3</v>
      </c>
      <c r="AL926" s="55">
        <f t="shared" si="157"/>
        <v>5.0906494642337146</v>
      </c>
      <c r="AM926" s="56">
        <v>25</v>
      </c>
      <c r="AN926" s="57">
        <f t="shared" si="155"/>
        <v>19.909350535766286</v>
      </c>
      <c r="AO926" s="76">
        <f t="shared" si="158"/>
        <v>17.571930131479018</v>
      </c>
      <c r="AP926" s="63" t="str">
        <f t="shared" si="159"/>
        <v>Buy Stocks</v>
      </c>
      <c r="AQ926" s="63" t="str">
        <f t="shared" si="160"/>
        <v/>
      </c>
      <c r="AR926" s="63" t="str">
        <f t="shared" si="161"/>
        <v/>
      </c>
      <c r="AS926" s="63" t="str">
        <f t="shared" si="162"/>
        <v/>
      </c>
      <c r="AT926" s="78" t="str">
        <f t="shared" si="163"/>
        <v/>
      </c>
      <c r="AU926" s="78" t="str">
        <f t="shared" si="164"/>
        <v/>
      </c>
      <c r="AV926" s="64" t="str">
        <f ca="1">IFERROR(__xludf.DUMMYFUNCTION("IF(TRIM(AU926)="""","""",AU926/INDEX(FILTER(AT$3:AT926,TRIM(AT$3:AT926)&lt;&gt;""""),ROWS(FILTER(AT$3:AT926,TRIM(AT$3:AT926)&lt;&gt;"""")))-1)"),"")</f>
        <v/>
      </c>
      <c r="AW926" s="65" t="e">
        <f t="shared" ca="1" si="156"/>
        <v>#VALUE!</v>
      </c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</row>
    <row r="927" spans="1:68" ht="19" x14ac:dyDescent="0.25">
      <c r="A927" s="5"/>
      <c r="B927" s="5"/>
      <c r="C927" s="5"/>
      <c r="D927" s="5"/>
      <c r="E927" s="5"/>
      <c r="F927" s="5"/>
      <c r="G927" s="5"/>
      <c r="H927" s="6"/>
      <c r="I927" s="5"/>
      <c r="J927" s="83"/>
      <c r="K927" s="83"/>
      <c r="L927" s="83"/>
      <c r="M927" s="83"/>
      <c r="N927" s="83"/>
      <c r="O927" s="83"/>
      <c r="P927" s="83"/>
      <c r="Q927" s="84"/>
      <c r="R927" s="83"/>
      <c r="S927" s="83"/>
      <c r="T927" s="85"/>
      <c r="U927" s="6"/>
      <c r="V927" s="44">
        <v>45260</v>
      </c>
      <c r="W927" s="45">
        <v>158.56</v>
      </c>
      <c r="X927" s="46"/>
      <c r="Y927" s="61"/>
      <c r="Z927" s="5"/>
      <c r="AA927" s="5"/>
      <c r="AB927" s="5"/>
      <c r="AC927" s="5"/>
      <c r="AD927" s="5"/>
      <c r="AE927" s="5"/>
      <c r="AF927" s="5"/>
      <c r="AG927" s="5"/>
      <c r="AH927" s="6"/>
      <c r="AI927" s="44">
        <v>45260</v>
      </c>
      <c r="AJ927" s="53">
        <v>158.56</v>
      </c>
      <c r="AK927" s="54">
        <f t="shared" si="154"/>
        <v>1.3745924173646173E-2</v>
      </c>
      <c r="AL927" s="55">
        <f t="shared" si="157"/>
        <v>8.7980415027346304</v>
      </c>
      <c r="AM927" s="56">
        <v>25</v>
      </c>
      <c r="AN927" s="57">
        <f t="shared" si="155"/>
        <v>16.20195849726537</v>
      </c>
      <c r="AO927" s="76">
        <f t="shared" si="158"/>
        <v>17.535010468882682</v>
      </c>
      <c r="AP927" s="63" t="str">
        <f t="shared" si="159"/>
        <v>Buy Stocks</v>
      </c>
      <c r="AQ927" s="63" t="str">
        <f t="shared" si="160"/>
        <v/>
      </c>
      <c r="AR927" s="63" t="str">
        <f t="shared" si="161"/>
        <v/>
      </c>
      <c r="AS927" s="63" t="str">
        <f t="shared" si="162"/>
        <v/>
      </c>
      <c r="AT927" s="78" t="str">
        <f t="shared" si="163"/>
        <v/>
      </c>
      <c r="AU927" s="78" t="str">
        <f t="shared" si="164"/>
        <v/>
      </c>
      <c r="AV927" s="64" t="str">
        <f ca="1">IFERROR(__xludf.DUMMYFUNCTION("IF(TRIM(AU927)="""","""",AU927/INDEX(FILTER(AT$3:AT927,TRIM(AT$3:AT927)&lt;&gt;""""),ROWS(FILTER(AT$3:AT927,TRIM(AT$3:AT927)&lt;&gt;"""")))-1)"),"")</f>
        <v/>
      </c>
      <c r="AW927" s="65" t="e">
        <f t="shared" ca="1" si="156"/>
        <v>#VALUE!</v>
      </c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</row>
    <row r="928" spans="1:68" ht="19" x14ac:dyDescent="0.25">
      <c r="A928" s="5"/>
      <c r="B928" s="5"/>
      <c r="C928" s="5"/>
      <c r="D928" s="5"/>
      <c r="E928" s="5"/>
      <c r="F928" s="5"/>
      <c r="G928" s="5"/>
      <c r="H928" s="6"/>
      <c r="I928" s="5"/>
      <c r="J928" s="83"/>
      <c r="K928" s="83"/>
      <c r="L928" s="83"/>
      <c r="M928" s="83"/>
      <c r="N928" s="83"/>
      <c r="O928" s="83"/>
      <c r="P928" s="83"/>
      <c r="Q928" s="84"/>
      <c r="R928" s="83"/>
      <c r="S928" s="83"/>
      <c r="T928" s="85"/>
      <c r="U928" s="6"/>
      <c r="V928" s="44">
        <v>45261</v>
      </c>
      <c r="W928" s="45">
        <v>160.55000000000001</v>
      </c>
      <c r="X928" s="46"/>
      <c r="Y928" s="61"/>
      <c r="Z928" s="5"/>
      <c r="AA928" s="5"/>
      <c r="AB928" s="5"/>
      <c r="AC928" s="5"/>
      <c r="AD928" s="5"/>
      <c r="AE928" s="5"/>
      <c r="AF928" s="5"/>
      <c r="AG928" s="5"/>
      <c r="AH928" s="6"/>
      <c r="AI928" s="44">
        <v>45261</v>
      </c>
      <c r="AJ928" s="53">
        <v>160.55000000000001</v>
      </c>
      <c r="AK928" s="54">
        <f t="shared" si="154"/>
        <v>1.2550454086781127E-2</v>
      </c>
      <c r="AL928" s="55">
        <f t="shared" si="157"/>
        <v>9.4872023531512077</v>
      </c>
      <c r="AM928" s="56">
        <v>25</v>
      </c>
      <c r="AN928" s="57">
        <f t="shared" si="155"/>
        <v>15.512797646848792</v>
      </c>
      <c r="AO928" s="76">
        <f t="shared" si="158"/>
        <v>17.413769928135238</v>
      </c>
      <c r="AP928" s="63" t="str">
        <f t="shared" si="159"/>
        <v>Buy Stocks</v>
      </c>
      <c r="AQ928" s="63" t="str">
        <f t="shared" si="160"/>
        <v/>
      </c>
      <c r="AR928" s="63" t="str">
        <f t="shared" si="161"/>
        <v/>
      </c>
      <c r="AS928" s="63" t="str">
        <f t="shared" si="162"/>
        <v/>
      </c>
      <c r="AT928" s="78" t="str">
        <f t="shared" si="163"/>
        <v/>
      </c>
      <c r="AU928" s="78" t="str">
        <f t="shared" si="164"/>
        <v/>
      </c>
      <c r="AV928" s="64" t="str">
        <f ca="1">IFERROR(__xludf.DUMMYFUNCTION("IF(TRIM(AU928)="""","""",AU928/INDEX(FILTER(AT$3:AT928,TRIM(AT$3:AT928)&lt;&gt;""""),ROWS(FILTER(AT$3:AT928,TRIM(AT$3:AT928)&lt;&gt;"""")))-1)"),"")</f>
        <v/>
      </c>
      <c r="AW928" s="65" t="e">
        <f t="shared" ca="1" si="156"/>
        <v>#VALUE!</v>
      </c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</row>
    <row r="929" spans="1:68" ht="19" x14ac:dyDescent="0.25">
      <c r="A929" s="5"/>
      <c r="B929" s="5"/>
      <c r="C929" s="5"/>
      <c r="D929" s="5"/>
      <c r="E929" s="5"/>
      <c r="F929" s="5"/>
      <c r="G929" s="5"/>
      <c r="H929" s="6"/>
      <c r="I929" s="5"/>
      <c r="J929" s="83"/>
      <c r="K929" s="83"/>
      <c r="L929" s="83"/>
      <c r="M929" s="83"/>
      <c r="N929" s="83"/>
      <c r="O929" s="83"/>
      <c r="P929" s="83"/>
      <c r="Q929" s="84"/>
      <c r="R929" s="83"/>
      <c r="S929" s="83"/>
      <c r="T929" s="85"/>
      <c r="U929" s="6"/>
      <c r="V929" s="44">
        <v>45264</v>
      </c>
      <c r="W929" s="45">
        <v>161.1</v>
      </c>
      <c r="X929" s="46"/>
      <c r="Y929" s="61"/>
      <c r="Z929" s="5"/>
      <c r="AA929" s="5"/>
      <c r="AB929" s="5"/>
      <c r="AC929" s="5"/>
      <c r="AD929" s="5"/>
      <c r="AE929" s="5"/>
      <c r="AF929" s="5"/>
      <c r="AG929" s="5"/>
      <c r="AH929" s="6"/>
      <c r="AI929" s="44">
        <v>45264</v>
      </c>
      <c r="AJ929" s="53">
        <v>161.1</v>
      </c>
      <c r="AK929" s="54">
        <f t="shared" si="154"/>
        <v>3.4257240734971717E-3</v>
      </c>
      <c r="AL929" s="55">
        <f t="shared" si="157"/>
        <v>9.243936770847343</v>
      </c>
      <c r="AM929" s="56">
        <v>25</v>
      </c>
      <c r="AN929" s="57">
        <f t="shared" si="155"/>
        <v>15.756063229152657</v>
      </c>
      <c r="AO929" s="76">
        <f t="shared" si="158"/>
        <v>17.211594434433799</v>
      </c>
      <c r="AP929" s="63" t="str">
        <f t="shared" si="159"/>
        <v>Buy Stocks</v>
      </c>
      <c r="AQ929" s="63" t="str">
        <f t="shared" si="160"/>
        <v/>
      </c>
      <c r="AR929" s="63" t="str">
        <f t="shared" si="161"/>
        <v/>
      </c>
      <c r="AS929" s="63" t="str">
        <f t="shared" si="162"/>
        <v/>
      </c>
      <c r="AT929" s="78" t="str">
        <f t="shared" si="163"/>
        <v/>
      </c>
      <c r="AU929" s="78" t="str">
        <f t="shared" si="164"/>
        <v/>
      </c>
      <c r="AV929" s="64" t="str">
        <f ca="1">IFERROR(__xludf.DUMMYFUNCTION("IF(TRIM(AU929)="""","""",AU929/INDEX(FILTER(AT$3:AT929,TRIM(AT$3:AT929)&lt;&gt;""""),ROWS(FILTER(AT$3:AT929,TRIM(AT$3:AT929)&lt;&gt;"""")))-1)"),"")</f>
        <v/>
      </c>
      <c r="AW929" s="65" t="e">
        <f t="shared" ca="1" si="156"/>
        <v>#VALUE!</v>
      </c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</row>
    <row r="930" spans="1:68" ht="19" x14ac:dyDescent="0.25">
      <c r="A930" s="5"/>
      <c r="B930" s="5"/>
      <c r="C930" s="5"/>
      <c r="D930" s="5"/>
      <c r="E930" s="5"/>
      <c r="F930" s="5"/>
      <c r="G930" s="5"/>
      <c r="H930" s="6"/>
      <c r="I930" s="5"/>
      <c r="J930" s="83"/>
      <c r="K930" s="83"/>
      <c r="L930" s="83"/>
      <c r="M930" s="83"/>
      <c r="N930" s="83"/>
      <c r="O930" s="83"/>
      <c r="P930" s="83"/>
      <c r="Q930" s="84"/>
      <c r="R930" s="83"/>
      <c r="S930" s="83"/>
      <c r="T930" s="85"/>
      <c r="U930" s="6"/>
      <c r="V930" s="44">
        <v>45265</v>
      </c>
      <c r="W930" s="45">
        <v>161.38999999999999</v>
      </c>
      <c r="X930" s="46"/>
      <c r="Y930" s="61"/>
      <c r="Z930" s="5"/>
      <c r="AA930" s="5"/>
      <c r="AB930" s="5"/>
      <c r="AC930" s="5"/>
      <c r="AD930" s="5"/>
      <c r="AE930" s="5"/>
      <c r="AF930" s="5"/>
      <c r="AG930" s="5"/>
      <c r="AH930" s="6"/>
      <c r="AI930" s="44">
        <v>45265</v>
      </c>
      <c r="AJ930" s="53">
        <v>161.38999999999999</v>
      </c>
      <c r="AK930" s="54">
        <f t="shared" si="154"/>
        <v>1.8001241464928874E-3</v>
      </c>
      <c r="AL930" s="55">
        <f t="shared" si="157"/>
        <v>8.7026894167379609</v>
      </c>
      <c r="AM930" s="56">
        <v>25</v>
      </c>
      <c r="AN930" s="57">
        <f t="shared" si="155"/>
        <v>16.297310583262039</v>
      </c>
      <c r="AO930" s="76">
        <f t="shared" si="158"/>
        <v>16.735496098459031</v>
      </c>
      <c r="AP930" s="63" t="str">
        <f t="shared" si="159"/>
        <v>Buy Stocks</v>
      </c>
      <c r="AQ930" s="63" t="str">
        <f t="shared" si="160"/>
        <v/>
      </c>
      <c r="AR930" s="63" t="str">
        <f t="shared" si="161"/>
        <v/>
      </c>
      <c r="AS930" s="63" t="str">
        <f t="shared" si="162"/>
        <v/>
      </c>
      <c r="AT930" s="78" t="str">
        <f t="shared" si="163"/>
        <v/>
      </c>
      <c r="AU930" s="78" t="str">
        <f t="shared" si="164"/>
        <v/>
      </c>
      <c r="AV930" s="64" t="str">
        <f ca="1">IFERROR(__xludf.DUMMYFUNCTION("IF(TRIM(AU930)="""","""",AU930/INDEX(FILTER(AT$3:AT930,TRIM(AT$3:AT930)&lt;&gt;""""),ROWS(FILTER(AT$3:AT930,TRIM(AT$3:AT930)&lt;&gt;"""")))-1)"),"")</f>
        <v/>
      </c>
      <c r="AW930" s="65" t="e">
        <f t="shared" ca="1" si="156"/>
        <v>#VALUE!</v>
      </c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</row>
    <row r="931" spans="1:68" ht="19" x14ac:dyDescent="0.25">
      <c r="A931" s="5"/>
      <c r="B931" s="5"/>
      <c r="C931" s="5"/>
      <c r="D931" s="5"/>
      <c r="E931" s="5"/>
      <c r="F931" s="5"/>
      <c r="G931" s="5"/>
      <c r="H931" s="6"/>
      <c r="I931" s="5"/>
      <c r="J931" s="83"/>
      <c r="K931" s="83"/>
      <c r="L931" s="83"/>
      <c r="M931" s="83"/>
      <c r="N931" s="83"/>
      <c r="O931" s="83"/>
      <c r="P931" s="83"/>
      <c r="Q931" s="84"/>
      <c r="R931" s="83"/>
      <c r="S931" s="83"/>
      <c r="T931" s="85"/>
      <c r="U931" s="6"/>
      <c r="V931" s="44">
        <v>45266</v>
      </c>
      <c r="W931" s="45">
        <v>160.28</v>
      </c>
      <c r="X931" s="46"/>
      <c r="Y931" s="61"/>
      <c r="Z931" s="5"/>
      <c r="AA931" s="5"/>
      <c r="AB931" s="5"/>
      <c r="AC931" s="5"/>
      <c r="AD931" s="5"/>
      <c r="AE931" s="5"/>
      <c r="AF931" s="5"/>
      <c r="AG931" s="5"/>
      <c r="AH931" s="6"/>
      <c r="AI931" s="44">
        <v>45266</v>
      </c>
      <c r="AJ931" s="53">
        <v>160.28</v>
      </c>
      <c r="AK931" s="54">
        <f t="shared" si="154"/>
        <v>-6.8777495507775788E-3</v>
      </c>
      <c r="AL931" s="55">
        <f t="shared" si="157"/>
        <v>13.452972297346069</v>
      </c>
      <c r="AM931" s="56">
        <v>25</v>
      </c>
      <c r="AN931" s="57">
        <f t="shared" si="155"/>
        <v>11.547027702653931</v>
      </c>
      <c r="AO931" s="76">
        <f t="shared" si="158"/>
        <v>15.063031531836558</v>
      </c>
      <c r="AP931" s="63" t="str">
        <f t="shared" si="159"/>
        <v>Buy Stocks</v>
      </c>
      <c r="AQ931" s="63" t="str">
        <f t="shared" si="160"/>
        <v/>
      </c>
      <c r="AR931" s="63" t="str">
        <f t="shared" si="161"/>
        <v/>
      </c>
      <c r="AS931" s="63" t="str">
        <f t="shared" si="162"/>
        <v/>
      </c>
      <c r="AT931" s="78" t="str">
        <f t="shared" si="163"/>
        <v/>
      </c>
      <c r="AU931" s="78" t="str">
        <f t="shared" si="164"/>
        <v/>
      </c>
      <c r="AV931" s="64" t="str">
        <f ca="1">IFERROR(__xludf.DUMMYFUNCTION("IF(TRIM(AU931)="""","""",AU931/INDEX(FILTER(AT$3:AT931,TRIM(AT$3:AT931)&lt;&gt;""""),ROWS(FILTER(AT$3:AT931,TRIM(AT$3:AT931)&lt;&gt;"""")))-1)"),"")</f>
        <v/>
      </c>
      <c r="AW931" s="65" t="e">
        <f t="shared" ca="1" si="156"/>
        <v>#VALUE!</v>
      </c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</row>
    <row r="932" spans="1:68" ht="19" x14ac:dyDescent="0.25">
      <c r="A932" s="5"/>
      <c r="B932" s="5"/>
      <c r="C932" s="5"/>
      <c r="D932" s="5"/>
      <c r="E932" s="5"/>
      <c r="F932" s="5"/>
      <c r="G932" s="5"/>
      <c r="H932" s="6"/>
      <c r="I932" s="5"/>
      <c r="J932" s="83"/>
      <c r="K932" s="83"/>
      <c r="L932" s="83"/>
      <c r="M932" s="83"/>
      <c r="N932" s="83"/>
      <c r="O932" s="83"/>
      <c r="P932" s="83"/>
      <c r="Q932" s="84"/>
      <c r="R932" s="83"/>
      <c r="S932" s="83"/>
      <c r="T932" s="85"/>
      <c r="U932" s="6"/>
      <c r="V932" s="44">
        <v>45267</v>
      </c>
      <c r="W932" s="45">
        <v>160.22</v>
      </c>
      <c r="X932" s="46"/>
      <c r="Y932" s="61"/>
      <c r="Z932" s="5"/>
      <c r="AA932" s="5"/>
      <c r="AB932" s="5"/>
      <c r="AC932" s="5"/>
      <c r="AD932" s="5"/>
      <c r="AE932" s="5"/>
      <c r="AF932" s="5"/>
      <c r="AG932" s="5"/>
      <c r="AH932" s="6"/>
      <c r="AI932" s="44">
        <v>45267</v>
      </c>
      <c r="AJ932" s="53">
        <v>160.22</v>
      </c>
      <c r="AK932" s="54">
        <f t="shared" si="154"/>
        <v>-3.7434489643128899E-4</v>
      </c>
      <c r="AL932" s="55">
        <f t="shared" si="157"/>
        <v>11.162548057813112</v>
      </c>
      <c r="AM932" s="56">
        <v>25</v>
      </c>
      <c r="AN932" s="57">
        <f t="shared" si="155"/>
        <v>13.837451942186888</v>
      </c>
      <c r="AO932" s="76">
        <f t="shared" si="158"/>
        <v>14.590130220820862</v>
      </c>
      <c r="AP932" s="63" t="str">
        <f t="shared" si="159"/>
        <v>Buy Stocks</v>
      </c>
      <c r="AQ932" s="63" t="str">
        <f t="shared" si="160"/>
        <v/>
      </c>
      <c r="AR932" s="63" t="str">
        <f t="shared" si="161"/>
        <v/>
      </c>
      <c r="AS932" s="63" t="str">
        <f t="shared" si="162"/>
        <v/>
      </c>
      <c r="AT932" s="78" t="str">
        <f t="shared" si="163"/>
        <v/>
      </c>
      <c r="AU932" s="78" t="str">
        <f t="shared" si="164"/>
        <v/>
      </c>
      <c r="AV932" s="64" t="str">
        <f ca="1">IFERROR(__xludf.DUMMYFUNCTION("IF(TRIM(AU932)="""","""",AU932/INDEX(FILTER(AT$3:AT932,TRIM(AT$3:AT932)&lt;&gt;""""),ROWS(FILTER(AT$3:AT932,TRIM(AT$3:AT932)&lt;&gt;"""")))-1)"),"")</f>
        <v/>
      </c>
      <c r="AW932" s="65" t="e">
        <f t="shared" ca="1" si="156"/>
        <v>#VALUE!</v>
      </c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</row>
    <row r="933" spans="1:68" ht="19" x14ac:dyDescent="0.25">
      <c r="A933" s="5"/>
      <c r="B933" s="5"/>
      <c r="C933" s="5"/>
      <c r="D933" s="5"/>
      <c r="E933" s="5"/>
      <c r="F933" s="5"/>
      <c r="G933" s="5"/>
      <c r="H933" s="6"/>
      <c r="I933" s="5"/>
      <c r="J933" s="83"/>
      <c r="K933" s="83"/>
      <c r="L933" s="83"/>
      <c r="M933" s="83"/>
      <c r="N933" s="83"/>
      <c r="O933" s="83"/>
      <c r="P933" s="83"/>
      <c r="Q933" s="84"/>
      <c r="R933" s="83"/>
      <c r="S933" s="83"/>
      <c r="T933" s="85"/>
      <c r="U933" s="6"/>
      <c r="V933" s="44">
        <v>45268</v>
      </c>
      <c r="W933" s="45">
        <v>161.96</v>
      </c>
      <c r="X933" s="46"/>
      <c r="Y933" s="61"/>
      <c r="Z933" s="5"/>
      <c r="AA933" s="5"/>
      <c r="AB933" s="5"/>
      <c r="AC933" s="5"/>
      <c r="AD933" s="5"/>
      <c r="AE933" s="5"/>
      <c r="AF933" s="5"/>
      <c r="AG933" s="5"/>
      <c r="AH933" s="6"/>
      <c r="AI933" s="44">
        <v>45268</v>
      </c>
      <c r="AJ933" s="53">
        <v>161.96</v>
      </c>
      <c r="AK933" s="54">
        <f t="shared" si="154"/>
        <v>1.0860067407314933E-2</v>
      </c>
      <c r="AL933" s="55">
        <f t="shared" si="157"/>
        <v>10.187965242113407</v>
      </c>
      <c r="AM933" s="56">
        <v>25</v>
      </c>
      <c r="AN933" s="57">
        <f t="shared" si="155"/>
        <v>14.812034757886593</v>
      </c>
      <c r="AO933" s="76">
        <f t="shared" si="158"/>
        <v>14.449977643028422</v>
      </c>
      <c r="AP933" s="63" t="str">
        <f t="shared" si="159"/>
        <v>Buy Stocks</v>
      </c>
      <c r="AQ933" s="63" t="str">
        <f t="shared" si="160"/>
        <v/>
      </c>
      <c r="AR933" s="63" t="str">
        <f t="shared" si="161"/>
        <v/>
      </c>
      <c r="AS933" s="63" t="str">
        <f t="shared" si="162"/>
        <v/>
      </c>
      <c r="AT933" s="78" t="str">
        <f t="shared" si="163"/>
        <v/>
      </c>
      <c r="AU933" s="78" t="str">
        <f t="shared" si="164"/>
        <v/>
      </c>
      <c r="AV933" s="64" t="str">
        <f ca="1">IFERROR(__xludf.DUMMYFUNCTION("IF(TRIM(AU933)="""","""",AU933/INDEX(FILTER(AT$3:AT933,TRIM(AT$3:AT933)&lt;&gt;""""),ROWS(FILTER(AT$3:AT933,TRIM(AT$3:AT933)&lt;&gt;"""")))-1)"),"")</f>
        <v/>
      </c>
      <c r="AW933" s="65" t="e">
        <f t="shared" ca="1" si="156"/>
        <v>#VALUE!</v>
      </c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</row>
    <row r="934" spans="1:68" ht="19" x14ac:dyDescent="0.25">
      <c r="A934" s="5"/>
      <c r="B934" s="5"/>
      <c r="C934" s="5"/>
      <c r="D934" s="5"/>
      <c r="E934" s="5"/>
      <c r="F934" s="5"/>
      <c r="G934" s="5"/>
      <c r="H934" s="6"/>
      <c r="I934" s="5"/>
      <c r="J934" s="83"/>
      <c r="K934" s="83"/>
      <c r="L934" s="83"/>
      <c r="M934" s="83"/>
      <c r="N934" s="83"/>
      <c r="O934" s="83"/>
      <c r="P934" s="83"/>
      <c r="Q934" s="84"/>
      <c r="R934" s="83"/>
      <c r="S934" s="83"/>
      <c r="T934" s="85"/>
      <c r="U934" s="6"/>
      <c r="V934" s="44">
        <v>45271</v>
      </c>
      <c r="W934" s="45">
        <v>163.51</v>
      </c>
      <c r="X934" s="46"/>
      <c r="Y934" s="61"/>
      <c r="Z934" s="5"/>
      <c r="AA934" s="5"/>
      <c r="AB934" s="5"/>
      <c r="AC934" s="5"/>
      <c r="AD934" s="5"/>
      <c r="AE934" s="5"/>
      <c r="AF934" s="5"/>
      <c r="AG934" s="5"/>
      <c r="AH934" s="6"/>
      <c r="AI934" s="44">
        <v>45271</v>
      </c>
      <c r="AJ934" s="53">
        <v>163.51</v>
      </c>
      <c r="AK934" s="54">
        <f t="shared" si="154"/>
        <v>9.5702642627808476E-3</v>
      </c>
      <c r="AL934" s="55">
        <f t="shared" si="157"/>
        <v>11.647626862846323</v>
      </c>
      <c r="AM934" s="56">
        <v>25</v>
      </c>
      <c r="AN934" s="57">
        <f t="shared" si="155"/>
        <v>13.352373137153677</v>
      </c>
      <c r="AO934" s="76">
        <f t="shared" si="158"/>
        <v>13.969239624628624</v>
      </c>
      <c r="AP934" s="63" t="str">
        <f t="shared" si="159"/>
        <v>Buy Stocks</v>
      </c>
      <c r="AQ934" s="63" t="str">
        <f t="shared" si="160"/>
        <v/>
      </c>
      <c r="AR934" s="63" t="str">
        <f t="shared" si="161"/>
        <v/>
      </c>
      <c r="AS934" s="63" t="str">
        <f t="shared" si="162"/>
        <v/>
      </c>
      <c r="AT934" s="78" t="str">
        <f t="shared" si="163"/>
        <v/>
      </c>
      <c r="AU934" s="78" t="str">
        <f t="shared" si="164"/>
        <v/>
      </c>
      <c r="AV934" s="64" t="str">
        <f ca="1">IFERROR(__xludf.DUMMYFUNCTION("IF(TRIM(AU934)="""","""",AU934/INDEX(FILTER(AT$3:AT934,TRIM(AT$3:AT934)&lt;&gt;""""),ROWS(FILTER(AT$3:AT934,TRIM(AT$3:AT934)&lt;&gt;"""")))-1)"),"")</f>
        <v/>
      </c>
      <c r="AW934" s="65" t="e">
        <f t="shared" ca="1" si="156"/>
        <v>#VALUE!</v>
      </c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</row>
    <row r="935" spans="1:68" ht="19" x14ac:dyDescent="0.25">
      <c r="A935" s="5"/>
      <c r="B935" s="5"/>
      <c r="C935" s="5"/>
      <c r="D935" s="5"/>
      <c r="E935" s="5"/>
      <c r="F935" s="5"/>
      <c r="G935" s="5"/>
      <c r="H935" s="6"/>
      <c r="I935" s="5"/>
      <c r="J935" s="83"/>
      <c r="K935" s="83"/>
      <c r="L935" s="83"/>
      <c r="M935" s="83"/>
      <c r="N935" s="83"/>
      <c r="O935" s="83"/>
      <c r="P935" s="83"/>
      <c r="Q935" s="84"/>
      <c r="R935" s="83"/>
      <c r="S935" s="83"/>
      <c r="T935" s="85"/>
      <c r="U935" s="6"/>
      <c r="V935" s="44">
        <v>45272</v>
      </c>
      <c r="W935" s="45">
        <v>164.71</v>
      </c>
      <c r="X935" s="46"/>
      <c r="Y935" s="61"/>
      <c r="Z935" s="5"/>
      <c r="AA935" s="5"/>
      <c r="AB935" s="5"/>
      <c r="AC935" s="5"/>
      <c r="AD935" s="5"/>
      <c r="AE935" s="5"/>
      <c r="AF935" s="5"/>
      <c r="AG935" s="5"/>
      <c r="AH935" s="6"/>
      <c r="AI935" s="44">
        <v>45272</v>
      </c>
      <c r="AJ935" s="53">
        <v>164.71</v>
      </c>
      <c r="AK935" s="54">
        <f t="shared" si="154"/>
        <v>7.3390006727418466E-3</v>
      </c>
      <c r="AL935" s="55">
        <f t="shared" si="157"/>
        <v>11.949300940944868</v>
      </c>
      <c r="AM935" s="56">
        <v>25</v>
      </c>
      <c r="AN935" s="57">
        <f t="shared" si="155"/>
        <v>13.050699059055132</v>
      </c>
      <c r="AO935" s="76">
        <f t="shared" si="158"/>
        <v>13.319917319787246</v>
      </c>
      <c r="AP935" s="63" t="str">
        <f t="shared" si="159"/>
        <v>Buy Stocks</v>
      </c>
      <c r="AQ935" s="63" t="str">
        <f t="shared" si="160"/>
        <v/>
      </c>
      <c r="AR935" s="63" t="str">
        <f t="shared" si="161"/>
        <v/>
      </c>
      <c r="AS935" s="63" t="str">
        <f t="shared" si="162"/>
        <v/>
      </c>
      <c r="AT935" s="78" t="str">
        <f t="shared" si="163"/>
        <v/>
      </c>
      <c r="AU935" s="78" t="str">
        <f t="shared" si="164"/>
        <v/>
      </c>
      <c r="AV935" s="64" t="str">
        <f ca="1">IFERROR(__xludf.DUMMYFUNCTION("IF(TRIM(AU935)="""","""",AU935/INDEX(FILTER(AT$3:AT935,TRIM(AT$3:AT935)&lt;&gt;""""),ROWS(FILTER(AT$3:AT935,TRIM(AT$3:AT935)&lt;&gt;"""")))-1)"),"")</f>
        <v/>
      </c>
      <c r="AW935" s="65" t="e">
        <f t="shared" ca="1" si="156"/>
        <v>#VALUE!</v>
      </c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</row>
    <row r="936" spans="1:68" ht="19" x14ac:dyDescent="0.25">
      <c r="A936" s="5"/>
      <c r="B936" s="5"/>
      <c r="C936" s="5"/>
      <c r="D936" s="5"/>
      <c r="E936" s="5"/>
      <c r="F936" s="5"/>
      <c r="G936" s="5"/>
      <c r="H936" s="6"/>
      <c r="I936" s="5"/>
      <c r="J936" s="83"/>
      <c r="K936" s="83"/>
      <c r="L936" s="83"/>
      <c r="M936" s="83"/>
      <c r="N936" s="83"/>
      <c r="O936" s="83"/>
      <c r="P936" s="83"/>
      <c r="Q936" s="84"/>
      <c r="R936" s="83"/>
      <c r="S936" s="83"/>
      <c r="T936" s="85"/>
      <c r="U936" s="6"/>
      <c r="V936" s="44">
        <v>45273</v>
      </c>
      <c r="W936" s="45">
        <v>163.62</v>
      </c>
      <c r="X936" s="46"/>
      <c r="Y936" s="61"/>
      <c r="Z936" s="5"/>
      <c r="AA936" s="5"/>
      <c r="AB936" s="5"/>
      <c r="AC936" s="5"/>
      <c r="AD936" s="5"/>
      <c r="AE936" s="5"/>
      <c r="AF936" s="5"/>
      <c r="AG936" s="5"/>
      <c r="AH936" s="6"/>
      <c r="AI936" s="44">
        <v>45273</v>
      </c>
      <c r="AJ936" s="53">
        <v>163.62</v>
      </c>
      <c r="AK936" s="54">
        <f t="shared" si="154"/>
        <v>-6.6176917005646985E-3</v>
      </c>
      <c r="AL936" s="55">
        <f t="shared" si="157"/>
        <v>11.799221920414693</v>
      </c>
      <c r="AM936" s="56">
        <v>25</v>
      </c>
      <c r="AN936" s="57">
        <f t="shared" si="155"/>
        <v>13.200778079585307</v>
      </c>
      <c r="AO936" s="76">
        <f t="shared" si="158"/>
        <v>13.650667395173519</v>
      </c>
      <c r="AP936" s="63" t="str">
        <f t="shared" si="159"/>
        <v>Buy Stocks</v>
      </c>
      <c r="AQ936" s="63" t="str">
        <f t="shared" si="160"/>
        <v/>
      </c>
      <c r="AR936" s="63" t="str">
        <f t="shared" si="161"/>
        <v/>
      </c>
      <c r="AS936" s="63" t="str">
        <f t="shared" si="162"/>
        <v/>
      </c>
      <c r="AT936" s="78" t="str">
        <f t="shared" si="163"/>
        <v/>
      </c>
      <c r="AU936" s="78" t="str">
        <f t="shared" si="164"/>
        <v/>
      </c>
      <c r="AV936" s="64" t="str">
        <f ca="1">IFERROR(__xludf.DUMMYFUNCTION("IF(TRIM(AU936)="""","""",AU936/INDEX(FILTER(AT$3:AT936,TRIM(AT$3:AT936)&lt;&gt;""""),ROWS(FILTER(AT$3:AT936,TRIM(AT$3:AT936)&lt;&gt;"""")))-1)"),"")</f>
        <v/>
      </c>
      <c r="AW936" s="65" t="e">
        <f t="shared" ca="1" si="156"/>
        <v>#VALUE!</v>
      </c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</row>
    <row r="937" spans="1:68" ht="19" x14ac:dyDescent="0.25">
      <c r="A937" s="5"/>
      <c r="B937" s="5"/>
      <c r="C937" s="5"/>
      <c r="D937" s="5"/>
      <c r="E937" s="5"/>
      <c r="F937" s="5"/>
      <c r="G937" s="5"/>
      <c r="H937" s="6"/>
      <c r="I937" s="5"/>
      <c r="J937" s="83"/>
      <c r="K937" s="83"/>
      <c r="L937" s="83"/>
      <c r="M937" s="83"/>
      <c r="N937" s="83"/>
      <c r="O937" s="83"/>
      <c r="P937" s="83"/>
      <c r="Q937" s="84"/>
      <c r="R937" s="83"/>
      <c r="S937" s="83"/>
      <c r="T937" s="85"/>
      <c r="U937" s="6"/>
      <c r="V937" s="44">
        <v>45274</v>
      </c>
      <c r="W937" s="45">
        <v>162.91</v>
      </c>
      <c r="X937" s="46"/>
      <c r="Y937" s="61"/>
      <c r="Z937" s="5"/>
      <c r="AA937" s="5"/>
      <c r="AB937" s="5"/>
      <c r="AC937" s="5"/>
      <c r="AD937" s="5"/>
      <c r="AE937" s="5"/>
      <c r="AF937" s="5"/>
      <c r="AG937" s="5"/>
      <c r="AH937" s="6"/>
      <c r="AI937" s="44">
        <v>45274</v>
      </c>
      <c r="AJ937" s="53">
        <v>162.91</v>
      </c>
      <c r="AK937" s="54">
        <f t="shared" si="154"/>
        <v>-4.3393228211711099E-3</v>
      </c>
      <c r="AL937" s="55">
        <f t="shared" si="157"/>
        <v>13.029787762450232</v>
      </c>
      <c r="AM937" s="56">
        <v>25</v>
      </c>
      <c r="AN937" s="57">
        <f t="shared" si="155"/>
        <v>11.970212237549768</v>
      </c>
      <c r="AO937" s="76">
        <f t="shared" si="158"/>
        <v>13.277219454246097</v>
      </c>
      <c r="AP937" s="63" t="str">
        <f t="shared" si="159"/>
        <v>Buy Stocks</v>
      </c>
      <c r="AQ937" s="63" t="str">
        <f t="shared" si="160"/>
        <v/>
      </c>
      <c r="AR937" s="63" t="str">
        <f t="shared" si="161"/>
        <v/>
      </c>
      <c r="AS937" s="63" t="str">
        <f t="shared" si="162"/>
        <v/>
      </c>
      <c r="AT937" s="78" t="str">
        <f t="shared" si="163"/>
        <v/>
      </c>
      <c r="AU937" s="78" t="str">
        <f t="shared" si="164"/>
        <v/>
      </c>
      <c r="AV937" s="64" t="str">
        <f ca="1">IFERROR(__xludf.DUMMYFUNCTION("IF(TRIM(AU937)="""","""",AU937/INDEX(FILTER(AT$3:AT937,TRIM(AT$3:AT937)&lt;&gt;""""),ROWS(FILTER(AT$3:AT937,TRIM(AT$3:AT937)&lt;&gt;"""")))-1)"),"")</f>
        <v/>
      </c>
      <c r="AW937" s="65" t="e">
        <f t="shared" ca="1" si="156"/>
        <v>#VALUE!</v>
      </c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</row>
    <row r="938" spans="1:68" ht="19" x14ac:dyDescent="0.25">
      <c r="A938" s="5"/>
      <c r="B938" s="5"/>
      <c r="C938" s="5"/>
      <c r="D938" s="5"/>
      <c r="E938" s="5"/>
      <c r="F938" s="5"/>
      <c r="G938" s="5"/>
      <c r="H938" s="6"/>
      <c r="I938" s="5"/>
      <c r="J938" s="83"/>
      <c r="K938" s="83"/>
      <c r="L938" s="83"/>
      <c r="M938" s="83"/>
      <c r="N938" s="83"/>
      <c r="O938" s="83"/>
      <c r="P938" s="83"/>
      <c r="Q938" s="84"/>
      <c r="R938" s="83"/>
      <c r="S938" s="83"/>
      <c r="T938" s="85"/>
      <c r="U938" s="6"/>
      <c r="V938" s="44">
        <v>45275</v>
      </c>
      <c r="W938" s="45">
        <v>162.22999999999999</v>
      </c>
      <c r="X938" s="46"/>
      <c r="Y938" s="61"/>
      <c r="Z938" s="5"/>
      <c r="AA938" s="5"/>
      <c r="AB938" s="5"/>
      <c r="AC938" s="5"/>
      <c r="AD938" s="5"/>
      <c r="AE938" s="5"/>
      <c r="AF938" s="5"/>
      <c r="AG938" s="5"/>
      <c r="AH938" s="6"/>
      <c r="AI938" s="44">
        <v>45275</v>
      </c>
      <c r="AJ938" s="53">
        <v>162.22999999999999</v>
      </c>
      <c r="AK938" s="54">
        <f t="shared" si="154"/>
        <v>-4.1740838499785271E-3</v>
      </c>
      <c r="AL938" s="55">
        <f t="shared" si="157"/>
        <v>11.902310072263985</v>
      </c>
      <c r="AM938" s="56">
        <v>25</v>
      </c>
      <c r="AN938" s="57">
        <f t="shared" si="155"/>
        <v>13.097689927736015</v>
      </c>
      <c r="AO938" s="76">
        <f t="shared" si="158"/>
        <v>12.93435048821598</v>
      </c>
      <c r="AP938" s="63" t="str">
        <f t="shared" si="159"/>
        <v>Buy Stocks</v>
      </c>
      <c r="AQ938" s="63" t="str">
        <f t="shared" si="160"/>
        <v/>
      </c>
      <c r="AR938" s="63" t="str">
        <f t="shared" si="161"/>
        <v/>
      </c>
      <c r="AS938" s="63" t="str">
        <f t="shared" si="162"/>
        <v/>
      </c>
      <c r="AT938" s="78" t="str">
        <f t="shared" si="163"/>
        <v/>
      </c>
      <c r="AU938" s="78" t="str">
        <f t="shared" si="164"/>
        <v/>
      </c>
      <c r="AV938" s="64" t="str">
        <f ca="1">IFERROR(__xludf.DUMMYFUNCTION("IF(TRIM(AU938)="""","""",AU938/INDEX(FILTER(AT$3:AT938,TRIM(AT$3:AT938)&lt;&gt;""""),ROWS(FILTER(AT$3:AT938,TRIM(AT$3:AT938)&lt;&gt;"""")))-1)"),"")</f>
        <v/>
      </c>
      <c r="AW938" s="65" t="e">
        <f t="shared" ca="1" si="156"/>
        <v>#VALUE!</v>
      </c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</row>
    <row r="939" spans="1:68" ht="19" x14ac:dyDescent="0.25">
      <c r="A939" s="5"/>
      <c r="B939" s="5"/>
      <c r="C939" s="5"/>
      <c r="D939" s="5"/>
      <c r="E939" s="5"/>
      <c r="F939" s="5"/>
      <c r="G939" s="5"/>
      <c r="H939" s="6"/>
      <c r="I939" s="5"/>
      <c r="J939" s="83"/>
      <c r="K939" s="83"/>
      <c r="L939" s="83"/>
      <c r="M939" s="83"/>
      <c r="N939" s="83"/>
      <c r="O939" s="83"/>
      <c r="P939" s="83"/>
      <c r="Q939" s="84"/>
      <c r="R939" s="83"/>
      <c r="S939" s="83"/>
      <c r="T939" s="85"/>
      <c r="U939" s="6"/>
      <c r="V939" s="44">
        <v>45278</v>
      </c>
      <c r="W939" s="45">
        <v>162.74</v>
      </c>
      <c r="X939" s="46"/>
      <c r="Y939" s="61"/>
      <c r="Z939" s="5"/>
      <c r="AA939" s="5"/>
      <c r="AB939" s="5"/>
      <c r="AC939" s="5"/>
      <c r="AD939" s="5"/>
      <c r="AE939" s="5"/>
      <c r="AF939" s="5"/>
      <c r="AG939" s="5"/>
      <c r="AH939" s="6"/>
      <c r="AI939" s="44">
        <v>45278</v>
      </c>
      <c r="AJ939" s="53">
        <v>162.74</v>
      </c>
      <c r="AK939" s="54">
        <f t="shared" si="154"/>
        <v>3.1436848918202642E-3</v>
      </c>
      <c r="AL939" s="55">
        <f t="shared" si="157"/>
        <v>9.3736475244077493</v>
      </c>
      <c r="AM939" s="56">
        <v>25</v>
      </c>
      <c r="AN939" s="57">
        <f t="shared" si="155"/>
        <v>15.626352475592251</v>
      </c>
      <c r="AO939" s="76">
        <f t="shared" si="158"/>
        <v>13.389146355903694</v>
      </c>
      <c r="AP939" s="63" t="str">
        <f t="shared" si="159"/>
        <v>Buy Stocks</v>
      </c>
      <c r="AQ939" s="63" t="str">
        <f t="shared" si="160"/>
        <v/>
      </c>
      <c r="AR939" s="63" t="str">
        <f t="shared" si="161"/>
        <v/>
      </c>
      <c r="AS939" s="63" t="str">
        <f t="shared" si="162"/>
        <v/>
      </c>
      <c r="AT939" s="78" t="str">
        <f t="shared" si="163"/>
        <v/>
      </c>
      <c r="AU939" s="78" t="str">
        <f t="shared" si="164"/>
        <v/>
      </c>
      <c r="AV939" s="64" t="str">
        <f ca="1">IFERROR(__xludf.DUMMYFUNCTION("IF(TRIM(AU939)="""","""",AU939/INDEX(FILTER(AT$3:AT939,TRIM(AT$3:AT939)&lt;&gt;""""),ROWS(FILTER(AT$3:AT939,TRIM(AT$3:AT939)&lt;&gt;"""")))-1)"),"")</f>
        <v/>
      </c>
      <c r="AW939" s="65" t="e">
        <f t="shared" ca="1" si="156"/>
        <v>#VALUE!</v>
      </c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</row>
    <row r="940" spans="1:68" ht="19" x14ac:dyDescent="0.25">
      <c r="A940" s="5"/>
      <c r="B940" s="5"/>
      <c r="C940" s="5"/>
      <c r="D940" s="5"/>
      <c r="E940" s="5"/>
      <c r="F940" s="5"/>
      <c r="G940" s="5"/>
      <c r="H940" s="6"/>
      <c r="I940" s="5"/>
      <c r="J940" s="83"/>
      <c r="K940" s="83"/>
      <c r="L940" s="83"/>
      <c r="M940" s="83"/>
      <c r="N940" s="83"/>
      <c r="O940" s="83"/>
      <c r="P940" s="83"/>
      <c r="Q940" s="84"/>
      <c r="R940" s="83"/>
      <c r="S940" s="83"/>
      <c r="T940" s="85"/>
      <c r="U940" s="6"/>
      <c r="V940" s="44">
        <v>45279</v>
      </c>
      <c r="W940" s="45">
        <v>161.56</v>
      </c>
      <c r="X940" s="46"/>
      <c r="Y940" s="61"/>
      <c r="Z940" s="5"/>
      <c r="AA940" s="5"/>
      <c r="AB940" s="5"/>
      <c r="AC940" s="5"/>
      <c r="AD940" s="5"/>
      <c r="AE940" s="5"/>
      <c r="AF940" s="5"/>
      <c r="AG940" s="5"/>
      <c r="AH940" s="6"/>
      <c r="AI940" s="44">
        <v>45279</v>
      </c>
      <c r="AJ940" s="53">
        <v>161.56</v>
      </c>
      <c r="AK940" s="54">
        <f t="shared" si="154"/>
        <v>-7.2508295440580905E-3</v>
      </c>
      <c r="AL940" s="55">
        <f t="shared" si="157"/>
        <v>6.5683750576917292</v>
      </c>
      <c r="AM940" s="56">
        <v>25</v>
      </c>
      <c r="AN940" s="57">
        <f t="shared" si="155"/>
        <v>18.431624942308272</v>
      </c>
      <c r="AO940" s="76">
        <f t="shared" si="158"/>
        <v>14.465331532554321</v>
      </c>
      <c r="AP940" s="63" t="str">
        <f t="shared" si="159"/>
        <v>Buy Stocks</v>
      </c>
      <c r="AQ940" s="63" t="str">
        <f t="shared" si="160"/>
        <v/>
      </c>
      <c r="AR940" s="63" t="str">
        <f t="shared" si="161"/>
        <v/>
      </c>
      <c r="AS940" s="63" t="str">
        <f t="shared" si="162"/>
        <v/>
      </c>
      <c r="AT940" s="78" t="str">
        <f t="shared" si="163"/>
        <v/>
      </c>
      <c r="AU940" s="78" t="str">
        <f t="shared" si="164"/>
        <v/>
      </c>
      <c r="AV940" s="64" t="str">
        <f ca="1">IFERROR(__xludf.DUMMYFUNCTION("IF(TRIM(AU940)="""","""",AU940/INDEX(FILTER(AT$3:AT940,TRIM(AT$3:AT940)&lt;&gt;""""),ROWS(FILTER(AT$3:AT940,TRIM(AT$3:AT940)&lt;&gt;"""")))-1)"),"")</f>
        <v/>
      </c>
      <c r="AW940" s="65" t="e">
        <f t="shared" ca="1" si="156"/>
        <v>#VALUE!</v>
      </c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</row>
    <row r="941" spans="1:68" ht="19" x14ac:dyDescent="0.25">
      <c r="A941" s="5"/>
      <c r="B941" s="5"/>
      <c r="C941" s="5"/>
      <c r="D941" s="5"/>
      <c r="E941" s="5"/>
      <c r="F941" s="5"/>
      <c r="G941" s="5"/>
      <c r="H941" s="6"/>
      <c r="I941" s="5"/>
      <c r="J941" s="83"/>
      <c r="K941" s="83"/>
      <c r="L941" s="83"/>
      <c r="M941" s="83"/>
      <c r="N941" s="83"/>
      <c r="O941" s="83"/>
      <c r="P941" s="83"/>
      <c r="Q941" s="84"/>
      <c r="R941" s="83"/>
      <c r="S941" s="83"/>
      <c r="T941" s="85"/>
      <c r="U941" s="6"/>
      <c r="V941" s="44">
        <v>45280</v>
      </c>
      <c r="W941" s="45">
        <v>160.05000000000001</v>
      </c>
      <c r="X941" s="46"/>
      <c r="Y941" s="61"/>
      <c r="Z941" s="5"/>
      <c r="AA941" s="5"/>
      <c r="AB941" s="5"/>
      <c r="AC941" s="5"/>
      <c r="AD941" s="5"/>
      <c r="AE941" s="5"/>
      <c r="AF941" s="5"/>
      <c r="AG941" s="5"/>
      <c r="AH941" s="6"/>
      <c r="AI941" s="44">
        <v>45280</v>
      </c>
      <c r="AJ941" s="53">
        <v>160.05000000000001</v>
      </c>
      <c r="AK941" s="54">
        <f t="shared" si="154"/>
        <v>-9.3463728645704069E-3</v>
      </c>
      <c r="AL941" s="55">
        <f t="shared" si="157"/>
        <v>7.5113231402549285</v>
      </c>
      <c r="AM941" s="56">
        <v>25</v>
      </c>
      <c r="AN941" s="57">
        <f t="shared" si="155"/>
        <v>17.48867685974507</v>
      </c>
      <c r="AO941" s="76">
        <f t="shared" si="158"/>
        <v>15.322911288586274</v>
      </c>
      <c r="AP941" s="63" t="str">
        <f t="shared" si="159"/>
        <v>Buy Stocks</v>
      </c>
      <c r="AQ941" s="63" t="str">
        <f t="shared" si="160"/>
        <v/>
      </c>
      <c r="AR941" s="63" t="str">
        <f t="shared" si="161"/>
        <v/>
      </c>
      <c r="AS941" s="63" t="str">
        <f t="shared" si="162"/>
        <v/>
      </c>
      <c r="AT941" s="78" t="str">
        <f t="shared" si="163"/>
        <v/>
      </c>
      <c r="AU941" s="78" t="str">
        <f t="shared" si="164"/>
        <v/>
      </c>
      <c r="AV941" s="64" t="str">
        <f ca="1">IFERROR(__xludf.DUMMYFUNCTION("IF(TRIM(AU941)="""","""",AU941/INDEX(FILTER(AT$3:AT941,TRIM(AT$3:AT941)&lt;&gt;""""),ROWS(FILTER(AT$3:AT941,TRIM(AT$3:AT941)&lt;&gt;"""")))-1)"),"")</f>
        <v/>
      </c>
      <c r="AW941" s="65" t="e">
        <f t="shared" ca="1" si="156"/>
        <v>#VALUE!</v>
      </c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</row>
    <row r="942" spans="1:68" ht="19" x14ac:dyDescent="0.25">
      <c r="A942" s="5"/>
      <c r="B942" s="5"/>
      <c r="C942" s="5"/>
      <c r="D942" s="5"/>
      <c r="E942" s="5"/>
      <c r="F942" s="5"/>
      <c r="G942" s="5"/>
      <c r="H942" s="6"/>
      <c r="I942" s="5"/>
      <c r="J942" s="83"/>
      <c r="K942" s="83"/>
      <c r="L942" s="83"/>
      <c r="M942" s="83"/>
      <c r="N942" s="83"/>
      <c r="O942" s="83"/>
      <c r="P942" s="83"/>
      <c r="Q942" s="84"/>
      <c r="R942" s="83"/>
      <c r="S942" s="83"/>
      <c r="T942" s="85"/>
      <c r="U942" s="6"/>
      <c r="V942" s="44">
        <v>45281</v>
      </c>
      <c r="W942" s="45">
        <v>160.78</v>
      </c>
      <c r="X942" s="46"/>
      <c r="Y942" s="61"/>
      <c r="Z942" s="5"/>
      <c r="AA942" s="5"/>
      <c r="AB942" s="5"/>
      <c r="AC942" s="5"/>
      <c r="AD942" s="5"/>
      <c r="AE942" s="5"/>
      <c r="AF942" s="5"/>
      <c r="AG942" s="5"/>
      <c r="AH942" s="6"/>
      <c r="AI942" s="44">
        <v>45281</v>
      </c>
      <c r="AJ942" s="53">
        <v>160.78</v>
      </c>
      <c r="AK942" s="54">
        <f t="shared" si="154"/>
        <v>4.5610746641673305E-3</v>
      </c>
      <c r="AL942" s="55">
        <f t="shared" si="157"/>
        <v>9.8464033964452184</v>
      </c>
      <c r="AM942" s="56">
        <v>25</v>
      </c>
      <c r="AN942" s="57">
        <f t="shared" si="155"/>
        <v>15.153596603554782</v>
      </c>
      <c r="AO942" s="76">
        <f t="shared" si="158"/>
        <v>15.959588161787275</v>
      </c>
      <c r="AP942" s="63" t="str">
        <f t="shared" si="159"/>
        <v>Buy Stocks</v>
      </c>
      <c r="AQ942" s="63" t="str">
        <f t="shared" si="160"/>
        <v/>
      </c>
      <c r="AR942" s="63" t="str">
        <f t="shared" si="161"/>
        <v/>
      </c>
      <c r="AS942" s="63" t="str">
        <f t="shared" si="162"/>
        <v/>
      </c>
      <c r="AT942" s="78" t="str">
        <f t="shared" si="163"/>
        <v/>
      </c>
      <c r="AU942" s="78" t="str">
        <f t="shared" si="164"/>
        <v/>
      </c>
      <c r="AV942" s="64" t="str">
        <f ca="1">IFERROR(__xludf.DUMMYFUNCTION("IF(TRIM(AU942)="""","""",AU942/INDEX(FILTER(AT$3:AT942,TRIM(AT$3:AT942)&lt;&gt;""""),ROWS(FILTER(AT$3:AT942,TRIM(AT$3:AT942)&lt;&gt;"""")))-1)"),"")</f>
        <v/>
      </c>
      <c r="AW942" s="65" t="e">
        <f t="shared" ca="1" si="156"/>
        <v>#VALUE!</v>
      </c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</row>
    <row r="943" spans="1:68" ht="19" x14ac:dyDescent="0.25">
      <c r="A943" s="5"/>
      <c r="B943" s="5"/>
      <c r="C943" s="5"/>
      <c r="D943" s="5"/>
      <c r="E943" s="5"/>
      <c r="F943" s="5"/>
      <c r="G943" s="5"/>
      <c r="H943" s="6"/>
      <c r="I943" s="5"/>
      <c r="J943" s="83"/>
      <c r="K943" s="83"/>
      <c r="L943" s="83"/>
      <c r="M943" s="83"/>
      <c r="N943" s="83"/>
      <c r="O943" s="83"/>
      <c r="P943" s="83"/>
      <c r="Q943" s="84"/>
      <c r="R943" s="83"/>
      <c r="S943" s="83"/>
      <c r="T943" s="85"/>
      <c r="U943" s="6"/>
      <c r="V943" s="44">
        <v>45282</v>
      </c>
      <c r="W943" s="45">
        <v>162.13999999999999</v>
      </c>
      <c r="X943" s="46"/>
      <c r="Y943" s="61"/>
      <c r="Z943" s="5"/>
      <c r="AA943" s="5"/>
      <c r="AB943" s="5"/>
      <c r="AC943" s="5"/>
      <c r="AD943" s="5"/>
      <c r="AE943" s="5"/>
      <c r="AF943" s="5"/>
      <c r="AG943" s="5"/>
      <c r="AH943" s="6"/>
      <c r="AI943" s="44">
        <v>45282</v>
      </c>
      <c r="AJ943" s="53">
        <v>162.13999999999999</v>
      </c>
      <c r="AK943" s="54">
        <f t="shared" si="154"/>
        <v>8.4587635278019491E-3</v>
      </c>
      <c r="AL943" s="55">
        <f t="shared" si="157"/>
        <v>12.3507455228248</v>
      </c>
      <c r="AM943" s="56">
        <v>25</v>
      </c>
      <c r="AN943" s="57">
        <f t="shared" si="155"/>
        <v>12.6492544771752</v>
      </c>
      <c r="AO943" s="76">
        <f t="shared" si="158"/>
        <v>15.869901071675116</v>
      </c>
      <c r="AP943" s="63" t="str">
        <f t="shared" si="159"/>
        <v>Buy Stocks</v>
      </c>
      <c r="AQ943" s="63" t="str">
        <f t="shared" si="160"/>
        <v/>
      </c>
      <c r="AR943" s="63" t="str">
        <f t="shared" si="161"/>
        <v/>
      </c>
      <c r="AS943" s="63" t="str">
        <f t="shared" si="162"/>
        <v/>
      </c>
      <c r="AT943" s="78" t="str">
        <f t="shared" si="163"/>
        <v/>
      </c>
      <c r="AU943" s="78" t="str">
        <f t="shared" si="164"/>
        <v/>
      </c>
      <c r="AV943" s="64" t="str">
        <f ca="1">IFERROR(__xludf.DUMMYFUNCTION("IF(TRIM(AU943)="""","""",AU943/INDEX(FILTER(AT$3:AT943,TRIM(AT$3:AT943)&lt;&gt;""""),ROWS(FILTER(AT$3:AT943,TRIM(AT$3:AT943)&lt;&gt;"""")))-1)"),"")</f>
        <v/>
      </c>
      <c r="AW943" s="65" t="e">
        <f t="shared" ca="1" si="156"/>
        <v>#VALUE!</v>
      </c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</row>
    <row r="944" spans="1:68" ht="19" x14ac:dyDescent="0.25">
      <c r="A944" s="5"/>
      <c r="B944" s="5"/>
      <c r="C944" s="5"/>
      <c r="D944" s="5"/>
      <c r="E944" s="5"/>
      <c r="F944" s="5"/>
      <c r="G944" s="5"/>
      <c r="H944" s="6"/>
      <c r="I944" s="5"/>
      <c r="J944" s="83"/>
      <c r="K944" s="83"/>
      <c r="L944" s="83"/>
      <c r="M944" s="83"/>
      <c r="N944" s="83"/>
      <c r="O944" s="83"/>
      <c r="P944" s="83"/>
      <c r="Q944" s="84"/>
      <c r="R944" s="83"/>
      <c r="S944" s="83"/>
      <c r="T944" s="85"/>
      <c r="U944" s="6"/>
      <c r="V944" s="44">
        <v>45286</v>
      </c>
      <c r="W944" s="45">
        <v>163.21</v>
      </c>
      <c r="X944" s="46"/>
      <c r="Y944" s="61"/>
      <c r="Z944" s="5"/>
      <c r="AA944" s="5"/>
      <c r="AB944" s="5"/>
      <c r="AC944" s="5"/>
      <c r="AD944" s="5"/>
      <c r="AE944" s="5"/>
      <c r="AF944" s="5"/>
      <c r="AG944" s="5"/>
      <c r="AH944" s="6"/>
      <c r="AI944" s="44">
        <v>45286</v>
      </c>
      <c r="AJ944" s="53">
        <v>163.21</v>
      </c>
      <c r="AK944" s="54">
        <f t="shared" si="154"/>
        <v>6.5992352288146705E-3</v>
      </c>
      <c r="AL944" s="55">
        <f t="shared" si="157"/>
        <v>13.138657582936025</v>
      </c>
      <c r="AM944" s="56">
        <v>25</v>
      </c>
      <c r="AN944" s="57">
        <f t="shared" si="155"/>
        <v>11.861342417063975</v>
      </c>
      <c r="AO944" s="76">
        <f t="shared" si="158"/>
        <v>15.116899059969461</v>
      </c>
      <c r="AP944" s="63" t="str">
        <f t="shared" si="159"/>
        <v>Buy Stocks</v>
      </c>
      <c r="AQ944" s="63" t="str">
        <f t="shared" si="160"/>
        <v/>
      </c>
      <c r="AR944" s="63" t="str">
        <f t="shared" si="161"/>
        <v/>
      </c>
      <c r="AS944" s="63" t="str">
        <f t="shared" si="162"/>
        <v/>
      </c>
      <c r="AT944" s="78" t="str">
        <f t="shared" si="163"/>
        <v/>
      </c>
      <c r="AU944" s="78" t="str">
        <f t="shared" si="164"/>
        <v/>
      </c>
      <c r="AV944" s="64" t="str">
        <f ca="1">IFERROR(__xludf.DUMMYFUNCTION("IF(TRIM(AU944)="""","""",AU944/INDEX(FILTER(AT$3:AT944,TRIM(AT$3:AT944)&lt;&gt;""""),ROWS(FILTER(AT$3:AT944,TRIM(AT$3:AT944)&lt;&gt;"""")))-1)"),"")</f>
        <v/>
      </c>
      <c r="AW944" s="65" t="e">
        <f t="shared" ca="1" si="156"/>
        <v>#VALUE!</v>
      </c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</row>
    <row r="945" spans="1:68" ht="19" x14ac:dyDescent="0.25">
      <c r="A945" s="5"/>
      <c r="B945" s="5"/>
      <c r="C945" s="5"/>
      <c r="D945" s="5"/>
      <c r="E945" s="5"/>
      <c r="F945" s="5"/>
      <c r="G945" s="5"/>
      <c r="H945" s="6"/>
      <c r="I945" s="5"/>
      <c r="J945" s="83"/>
      <c r="K945" s="83"/>
      <c r="L945" s="83"/>
      <c r="M945" s="83"/>
      <c r="N945" s="83"/>
      <c r="O945" s="83"/>
      <c r="P945" s="83"/>
      <c r="Q945" s="84"/>
      <c r="R945" s="83"/>
      <c r="S945" s="83"/>
      <c r="T945" s="85"/>
      <c r="U945" s="6"/>
      <c r="V945" s="44">
        <v>45287</v>
      </c>
      <c r="W945" s="45">
        <v>163.46</v>
      </c>
      <c r="X945" s="46"/>
      <c r="Y945" s="61"/>
      <c r="Z945" s="5"/>
      <c r="AA945" s="5"/>
      <c r="AB945" s="5"/>
      <c r="AC945" s="5"/>
      <c r="AD945" s="5"/>
      <c r="AE945" s="5"/>
      <c r="AF945" s="5"/>
      <c r="AG945" s="5"/>
      <c r="AH945" s="6"/>
      <c r="AI945" s="44">
        <v>45287</v>
      </c>
      <c r="AJ945" s="53">
        <v>163.46</v>
      </c>
      <c r="AK945" s="54">
        <f t="shared" si="154"/>
        <v>1.5317688867104717E-3</v>
      </c>
      <c r="AL945" s="55">
        <f t="shared" si="157"/>
        <v>11.161254889031035</v>
      </c>
      <c r="AM945" s="56">
        <v>25</v>
      </c>
      <c r="AN945" s="57">
        <f t="shared" si="155"/>
        <v>13.838745110968965</v>
      </c>
      <c r="AO945" s="76">
        <f t="shared" si="158"/>
        <v>14.198323093701598</v>
      </c>
      <c r="AP945" s="63" t="str">
        <f t="shared" si="159"/>
        <v>Buy Stocks</v>
      </c>
      <c r="AQ945" s="63" t="str">
        <f t="shared" si="160"/>
        <v/>
      </c>
      <c r="AR945" s="63" t="str">
        <f t="shared" si="161"/>
        <v/>
      </c>
      <c r="AS945" s="63" t="str">
        <f t="shared" si="162"/>
        <v/>
      </c>
      <c r="AT945" s="78" t="str">
        <f t="shared" si="163"/>
        <v/>
      </c>
      <c r="AU945" s="78" t="str">
        <f t="shared" si="164"/>
        <v/>
      </c>
      <c r="AV945" s="64" t="str">
        <f ca="1">IFERROR(__xludf.DUMMYFUNCTION("IF(TRIM(AU945)="""","""",AU945/INDEX(FILTER(AT$3:AT945,TRIM(AT$3:AT945)&lt;&gt;""""),ROWS(FILTER(AT$3:AT945,TRIM(AT$3:AT945)&lt;&gt;"""")))-1)"),"")</f>
        <v/>
      </c>
      <c r="AW945" s="65" t="e">
        <f t="shared" ca="1" si="156"/>
        <v>#VALUE!</v>
      </c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</row>
    <row r="946" spans="1:68" ht="19" x14ac:dyDescent="0.25">
      <c r="A946" s="5"/>
      <c r="B946" s="5"/>
      <c r="C946" s="5"/>
      <c r="D946" s="5"/>
      <c r="E946" s="5"/>
      <c r="F946" s="5"/>
      <c r="G946" s="5"/>
      <c r="H946" s="6"/>
      <c r="I946" s="5"/>
      <c r="J946" s="83"/>
      <c r="K946" s="83"/>
      <c r="L946" s="83"/>
      <c r="M946" s="83"/>
      <c r="N946" s="83"/>
      <c r="O946" s="83"/>
      <c r="P946" s="83"/>
      <c r="Q946" s="84"/>
      <c r="R946" s="83"/>
      <c r="S946" s="83"/>
      <c r="T946" s="85"/>
      <c r="U946" s="6"/>
      <c r="V946" s="44">
        <v>45288</v>
      </c>
      <c r="W946" s="45">
        <v>163.75</v>
      </c>
      <c r="X946" s="46"/>
      <c r="Y946" s="61"/>
      <c r="Z946" s="5"/>
      <c r="AA946" s="5"/>
      <c r="AB946" s="5"/>
      <c r="AC946" s="5"/>
      <c r="AD946" s="5"/>
      <c r="AE946" s="5"/>
      <c r="AF946" s="5"/>
      <c r="AG946" s="5"/>
      <c r="AH946" s="6"/>
      <c r="AI946" s="44">
        <v>45288</v>
      </c>
      <c r="AJ946" s="53">
        <v>163.75</v>
      </c>
      <c r="AK946" s="54">
        <f t="shared" si="154"/>
        <v>1.7741343447936764E-3</v>
      </c>
      <c r="AL946" s="55">
        <f t="shared" si="157"/>
        <v>4.7812943708513433</v>
      </c>
      <c r="AM946" s="56">
        <v>25</v>
      </c>
      <c r="AN946" s="57">
        <f t="shared" si="155"/>
        <v>20.218705629148658</v>
      </c>
      <c r="AO946" s="76">
        <f t="shared" si="158"/>
        <v>14.744328847582315</v>
      </c>
      <c r="AP946" s="63" t="str">
        <f t="shared" si="159"/>
        <v>Buy Stocks</v>
      </c>
      <c r="AQ946" s="63" t="str">
        <f t="shared" si="160"/>
        <v/>
      </c>
      <c r="AR946" s="63" t="str">
        <f t="shared" si="161"/>
        <v/>
      </c>
      <c r="AS946" s="63" t="str">
        <f t="shared" si="162"/>
        <v/>
      </c>
      <c r="AT946" s="78" t="str">
        <f t="shared" si="163"/>
        <v/>
      </c>
      <c r="AU946" s="78" t="str">
        <f t="shared" si="164"/>
        <v/>
      </c>
      <c r="AV946" s="64" t="str">
        <f ca="1">IFERROR(__xludf.DUMMYFUNCTION("IF(TRIM(AU946)="""","""",AU946/INDEX(FILTER(AT$3:AT946,TRIM(AT$3:AT946)&lt;&gt;""""),ROWS(FILTER(AT$3:AT946,TRIM(AT$3:AT946)&lt;&gt;"""")))-1)"),"")</f>
        <v/>
      </c>
      <c r="AW946" s="65" t="e">
        <f t="shared" ca="1" si="156"/>
        <v>#VALUE!</v>
      </c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</row>
    <row r="947" spans="1:68" ht="19" x14ac:dyDescent="0.25">
      <c r="A947" s="5"/>
      <c r="B947" s="5"/>
      <c r="C947" s="5"/>
      <c r="D947" s="5"/>
      <c r="E947" s="5"/>
      <c r="F947" s="5"/>
      <c r="G947" s="5"/>
      <c r="H947" s="6"/>
      <c r="I947" s="5"/>
      <c r="J947" s="83"/>
      <c r="K947" s="83"/>
      <c r="L947" s="83"/>
      <c r="M947" s="83"/>
      <c r="N947" s="83"/>
      <c r="O947" s="83"/>
      <c r="P947" s="83"/>
      <c r="Q947" s="84"/>
      <c r="R947" s="83"/>
      <c r="S947" s="83"/>
      <c r="T947" s="85"/>
      <c r="U947" s="6"/>
      <c r="V947" s="44">
        <v>45289</v>
      </c>
      <c r="W947" s="45">
        <v>163.55000000000001</v>
      </c>
      <c r="X947" s="46"/>
      <c r="Y947" s="61"/>
      <c r="Z947" s="5"/>
      <c r="AA947" s="5"/>
      <c r="AB947" s="5"/>
      <c r="AC947" s="5"/>
      <c r="AD947" s="5"/>
      <c r="AE947" s="5"/>
      <c r="AF947" s="5"/>
      <c r="AG947" s="5"/>
      <c r="AH947" s="6"/>
      <c r="AI947" s="44">
        <v>45289</v>
      </c>
      <c r="AJ947" s="53">
        <v>163.55000000000001</v>
      </c>
      <c r="AK947" s="54">
        <f t="shared" si="154"/>
        <v>-1.221374045801471E-3</v>
      </c>
      <c r="AL947" s="55">
        <f t="shared" si="157"/>
        <v>6.3156284317122804</v>
      </c>
      <c r="AM947" s="56">
        <v>25</v>
      </c>
      <c r="AN947" s="57">
        <f t="shared" si="155"/>
        <v>18.68437156828772</v>
      </c>
      <c r="AO947" s="76">
        <f t="shared" si="158"/>
        <v>15.450483840528904</v>
      </c>
      <c r="AP947" s="63" t="str">
        <f t="shared" si="159"/>
        <v>Buy Stocks</v>
      </c>
      <c r="AQ947" s="63" t="str">
        <f t="shared" si="160"/>
        <v/>
      </c>
      <c r="AR947" s="63" t="str">
        <f t="shared" si="161"/>
        <v/>
      </c>
      <c r="AS947" s="63" t="str">
        <f t="shared" si="162"/>
        <v/>
      </c>
      <c r="AT947" s="78" t="str">
        <f t="shared" si="163"/>
        <v/>
      </c>
      <c r="AU947" s="78" t="str">
        <f t="shared" si="164"/>
        <v/>
      </c>
      <c r="AV947" s="64" t="str">
        <f ca="1">IFERROR(__xludf.DUMMYFUNCTION("IF(TRIM(AU947)="""","""",AU947/INDEX(FILTER(AT$3:AT947,TRIM(AT$3:AT947)&lt;&gt;""""),ROWS(FILTER(AT$3:AT947,TRIM(AT$3:AT947)&lt;&gt;"""")))-1)"),"")</f>
        <v/>
      </c>
      <c r="AW947" s="65" t="e">
        <f t="shared" ca="1" si="156"/>
        <v>#VALUE!</v>
      </c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</row>
    <row r="948" spans="1:68" ht="19" x14ac:dyDescent="0.25">
      <c r="A948" s="5"/>
      <c r="B948" s="5"/>
      <c r="C948" s="5"/>
      <c r="D948" s="5"/>
      <c r="E948" s="5"/>
      <c r="F948" s="5"/>
      <c r="G948" s="5"/>
      <c r="H948" s="6"/>
      <c r="I948" s="5"/>
      <c r="J948" s="83"/>
      <c r="K948" s="83"/>
      <c r="L948" s="83"/>
      <c r="M948" s="83"/>
      <c r="N948" s="83"/>
      <c r="O948" s="83"/>
      <c r="P948" s="83"/>
      <c r="Q948" s="84"/>
      <c r="R948" s="83"/>
      <c r="S948" s="83"/>
      <c r="T948" s="85"/>
      <c r="U948" s="6"/>
      <c r="V948" s="44">
        <v>45293</v>
      </c>
      <c r="W948" s="45">
        <v>161.5</v>
      </c>
      <c r="X948" s="46"/>
      <c r="Y948" s="61"/>
      <c r="Z948" s="5"/>
      <c r="AA948" s="5"/>
      <c r="AB948" s="5"/>
      <c r="AC948" s="5"/>
      <c r="AD948" s="5"/>
      <c r="AE948" s="5"/>
      <c r="AF948" s="5"/>
      <c r="AG948" s="5"/>
      <c r="AH948" s="6"/>
      <c r="AI948" s="44">
        <v>45293</v>
      </c>
      <c r="AJ948" s="53">
        <v>161.5</v>
      </c>
      <c r="AK948" s="54">
        <f t="shared" si="154"/>
        <v>-1.2534393151941381E-2</v>
      </c>
      <c r="AL948" s="55">
        <f t="shared" si="157"/>
        <v>11.355574641181303</v>
      </c>
      <c r="AM948" s="56">
        <v>25</v>
      </c>
      <c r="AN948" s="57">
        <f t="shared" si="155"/>
        <v>13.644425358818697</v>
      </c>
      <c r="AO948" s="76">
        <f t="shared" si="158"/>
        <v>15.649518016857602</v>
      </c>
      <c r="AP948" s="63" t="str">
        <f t="shared" si="159"/>
        <v>Buy Stocks</v>
      </c>
      <c r="AQ948" s="63" t="str">
        <f t="shared" si="160"/>
        <v/>
      </c>
      <c r="AR948" s="63" t="str">
        <f t="shared" si="161"/>
        <v/>
      </c>
      <c r="AS948" s="63" t="str">
        <f t="shared" si="162"/>
        <v/>
      </c>
      <c r="AT948" s="78" t="str">
        <f t="shared" si="163"/>
        <v/>
      </c>
      <c r="AU948" s="78" t="str">
        <f t="shared" si="164"/>
        <v/>
      </c>
      <c r="AV948" s="64" t="str">
        <f ca="1">IFERROR(__xludf.DUMMYFUNCTION("IF(TRIM(AU948)="""","""",AU948/INDEX(FILTER(AT$3:AT948,TRIM(AT$3:AT948)&lt;&gt;""""),ROWS(FILTER(AT$3:AT948,TRIM(AT$3:AT948)&lt;&gt;"""")))-1)"),"")</f>
        <v/>
      </c>
      <c r="AW948" s="65" t="e">
        <f t="shared" ca="1" si="156"/>
        <v>#VALUE!</v>
      </c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</row>
    <row r="949" spans="1:68" ht="19" x14ac:dyDescent="0.25">
      <c r="A949" s="5"/>
      <c r="B949" s="5"/>
      <c r="C949" s="5"/>
      <c r="D949" s="5"/>
      <c r="E949" s="5"/>
      <c r="F949" s="5"/>
      <c r="G949" s="5"/>
      <c r="H949" s="6"/>
      <c r="I949" s="5"/>
      <c r="J949" s="83"/>
      <c r="K949" s="83"/>
      <c r="L949" s="83"/>
      <c r="M949" s="83"/>
      <c r="N949" s="83"/>
      <c r="O949" s="83"/>
      <c r="P949" s="83"/>
      <c r="Q949" s="84"/>
      <c r="R949" s="83"/>
      <c r="S949" s="83"/>
      <c r="T949" s="85"/>
      <c r="U949" s="6"/>
      <c r="V949" s="44">
        <v>45294</v>
      </c>
      <c r="W949" s="45">
        <v>160.1</v>
      </c>
      <c r="X949" s="46"/>
      <c r="Y949" s="61"/>
      <c r="Z949" s="5"/>
      <c r="AA949" s="5"/>
      <c r="AB949" s="5"/>
      <c r="AC949" s="5"/>
      <c r="AD949" s="5"/>
      <c r="AE949" s="5"/>
      <c r="AF949" s="5"/>
      <c r="AG949" s="5"/>
      <c r="AH949" s="6"/>
      <c r="AI949" s="44">
        <v>45294</v>
      </c>
      <c r="AJ949" s="53">
        <v>160.1</v>
      </c>
      <c r="AK949" s="54">
        <f t="shared" si="154"/>
        <v>-8.6687306501548322E-3</v>
      </c>
      <c r="AL949" s="55">
        <f t="shared" si="157"/>
        <v>10.230729111903861</v>
      </c>
      <c r="AM949" s="56">
        <v>25</v>
      </c>
      <c r="AN949" s="57">
        <f t="shared" si="155"/>
        <v>14.769270888096139</v>
      </c>
      <c r="AO949" s="76">
        <f t="shared" si="158"/>
        <v>16.231103711064037</v>
      </c>
      <c r="AP949" s="63" t="str">
        <f t="shared" si="159"/>
        <v>Buy Stocks</v>
      </c>
      <c r="AQ949" s="63" t="str">
        <f t="shared" si="160"/>
        <v/>
      </c>
      <c r="AR949" s="63" t="str">
        <f t="shared" si="161"/>
        <v/>
      </c>
      <c r="AS949" s="63" t="str">
        <f t="shared" si="162"/>
        <v/>
      </c>
      <c r="AT949" s="78" t="str">
        <f t="shared" si="163"/>
        <v/>
      </c>
      <c r="AU949" s="78" t="str">
        <f t="shared" si="164"/>
        <v/>
      </c>
      <c r="AV949" s="64" t="str">
        <f ca="1">IFERROR(__xludf.DUMMYFUNCTION("IF(TRIM(AU949)="""","""",AU949/INDEX(FILTER(AT$3:AT949,TRIM(AT$3:AT949)&lt;&gt;""""),ROWS(FILTER(AT$3:AT949,TRIM(AT$3:AT949)&lt;&gt;"""")))-1)"),"")</f>
        <v/>
      </c>
      <c r="AW949" s="65" t="e">
        <f t="shared" ca="1" si="156"/>
        <v>#VALUE!</v>
      </c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</row>
    <row r="950" spans="1:68" ht="19" x14ac:dyDescent="0.25">
      <c r="A950" s="5"/>
      <c r="B950" s="5"/>
      <c r="C950" s="5"/>
      <c r="D950" s="5"/>
      <c r="E950" s="5"/>
      <c r="F950" s="5"/>
      <c r="G950" s="5"/>
      <c r="H950" s="6"/>
      <c r="I950" s="5"/>
      <c r="J950" s="83"/>
      <c r="K950" s="83"/>
      <c r="L950" s="83"/>
      <c r="M950" s="83"/>
      <c r="N950" s="83"/>
      <c r="O950" s="83"/>
      <c r="P950" s="83"/>
      <c r="Q950" s="84"/>
      <c r="R950" s="83"/>
      <c r="S950" s="83"/>
      <c r="T950" s="85"/>
      <c r="U950" s="6"/>
      <c r="V950" s="44">
        <v>45295</v>
      </c>
      <c r="W950" s="45">
        <v>160.86000000000001</v>
      </c>
      <c r="X950" s="46"/>
      <c r="Y950" s="61"/>
      <c r="Z950" s="5"/>
      <c r="AA950" s="5"/>
      <c r="AB950" s="5"/>
      <c r="AC950" s="5"/>
      <c r="AD950" s="5"/>
      <c r="AE950" s="5"/>
      <c r="AF950" s="5"/>
      <c r="AG950" s="5"/>
      <c r="AH950" s="6"/>
      <c r="AI950" s="44">
        <v>45295</v>
      </c>
      <c r="AJ950" s="53">
        <v>160.86000000000001</v>
      </c>
      <c r="AK950" s="54">
        <f t="shared" si="154"/>
        <v>4.7470331043100167E-3</v>
      </c>
      <c r="AL950" s="55">
        <f t="shared" si="157"/>
        <v>11.470591106777997</v>
      </c>
      <c r="AM950" s="56">
        <v>25</v>
      </c>
      <c r="AN950" s="57">
        <f t="shared" si="155"/>
        <v>13.529408893222003</v>
      </c>
      <c r="AO950" s="76">
        <f t="shared" si="158"/>
        <v>16.169236467514644</v>
      </c>
      <c r="AP950" s="63" t="str">
        <f t="shared" si="159"/>
        <v>Buy Stocks</v>
      </c>
      <c r="AQ950" s="63" t="str">
        <f t="shared" si="160"/>
        <v/>
      </c>
      <c r="AR950" s="63" t="str">
        <f t="shared" si="161"/>
        <v/>
      </c>
      <c r="AS950" s="63" t="str">
        <f t="shared" si="162"/>
        <v/>
      </c>
      <c r="AT950" s="78" t="str">
        <f t="shared" si="163"/>
        <v/>
      </c>
      <c r="AU950" s="78" t="str">
        <f t="shared" si="164"/>
        <v/>
      </c>
      <c r="AV950" s="64" t="str">
        <f ca="1">IFERROR(__xludf.DUMMYFUNCTION("IF(TRIM(AU950)="""","""",AU950/INDEX(FILTER(AT$3:AT950,TRIM(AT$3:AT950)&lt;&gt;""""),ROWS(FILTER(AT$3:AT950,TRIM(AT$3:AT950)&lt;&gt;"""")))-1)"),"")</f>
        <v/>
      </c>
      <c r="AW950" s="65" t="e">
        <f t="shared" ca="1" si="156"/>
        <v>#VALUE!</v>
      </c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</row>
    <row r="951" spans="1:68" ht="19" x14ac:dyDescent="0.25">
      <c r="A951" s="5"/>
      <c r="B951" s="5"/>
      <c r="C951" s="5"/>
      <c r="D951" s="5"/>
      <c r="E951" s="5"/>
      <c r="F951" s="5"/>
      <c r="G951" s="5"/>
      <c r="H951" s="6"/>
      <c r="I951" s="5"/>
      <c r="J951" s="83"/>
      <c r="K951" s="83"/>
      <c r="L951" s="83"/>
      <c r="M951" s="83"/>
      <c r="N951" s="83"/>
      <c r="O951" s="83"/>
      <c r="P951" s="83"/>
      <c r="Q951" s="84"/>
      <c r="R951" s="83"/>
      <c r="S951" s="83"/>
      <c r="T951" s="85"/>
      <c r="U951" s="6"/>
      <c r="V951" s="44">
        <v>45296</v>
      </c>
      <c r="W951" s="45">
        <v>159.16</v>
      </c>
      <c r="X951" s="46"/>
      <c r="Y951" s="61"/>
      <c r="Z951" s="5"/>
      <c r="AA951" s="5"/>
      <c r="AB951" s="5"/>
      <c r="AC951" s="5"/>
      <c r="AD951" s="5"/>
      <c r="AE951" s="5"/>
      <c r="AF951" s="5"/>
      <c r="AG951" s="5"/>
      <c r="AH951" s="6"/>
      <c r="AI951" s="44">
        <v>45296</v>
      </c>
      <c r="AJ951" s="53">
        <v>159.16</v>
      </c>
      <c r="AK951" s="54">
        <f t="shared" si="154"/>
        <v>-1.0568195946786152E-2</v>
      </c>
      <c r="AL951" s="55">
        <f t="shared" si="157"/>
        <v>11.458472161491672</v>
      </c>
      <c r="AM951" s="56">
        <v>25</v>
      </c>
      <c r="AN951" s="57">
        <f t="shared" si="155"/>
        <v>13.541527838508328</v>
      </c>
      <c r="AO951" s="76">
        <f t="shared" si="158"/>
        <v>14.833800909386577</v>
      </c>
      <c r="AP951" s="63" t="str">
        <f t="shared" si="159"/>
        <v>Buy Stocks</v>
      </c>
      <c r="AQ951" s="63" t="str">
        <f t="shared" si="160"/>
        <v/>
      </c>
      <c r="AR951" s="63" t="str">
        <f t="shared" si="161"/>
        <v/>
      </c>
      <c r="AS951" s="63" t="str">
        <f t="shared" si="162"/>
        <v/>
      </c>
      <c r="AT951" s="78" t="str">
        <f t="shared" si="163"/>
        <v/>
      </c>
      <c r="AU951" s="78" t="str">
        <f t="shared" si="164"/>
        <v/>
      </c>
      <c r="AV951" s="64" t="str">
        <f ca="1">IFERROR(__xludf.DUMMYFUNCTION("IF(TRIM(AU951)="""","""",AU951/INDEX(FILTER(AT$3:AT951,TRIM(AT$3:AT951)&lt;&gt;""""),ROWS(FILTER(AT$3:AT951,TRIM(AT$3:AT951)&lt;&gt;"""")))-1)"),"")</f>
        <v/>
      </c>
      <c r="AW951" s="65" t="e">
        <f t="shared" ca="1" si="156"/>
        <v>#VALUE!</v>
      </c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</row>
    <row r="952" spans="1:68" ht="19" x14ac:dyDescent="0.25">
      <c r="A952" s="5"/>
      <c r="B952" s="5"/>
      <c r="C952" s="5"/>
      <c r="D952" s="5"/>
      <c r="E952" s="5"/>
      <c r="F952" s="5"/>
      <c r="G952" s="5"/>
      <c r="H952" s="6"/>
      <c r="I952" s="5"/>
      <c r="J952" s="83"/>
      <c r="K952" s="83"/>
      <c r="L952" s="83"/>
      <c r="M952" s="83"/>
      <c r="N952" s="83"/>
      <c r="O952" s="83"/>
      <c r="P952" s="83"/>
      <c r="Q952" s="84"/>
      <c r="R952" s="83"/>
      <c r="S952" s="83"/>
      <c r="T952" s="85"/>
      <c r="U952" s="6"/>
      <c r="V952" s="44">
        <v>45299</v>
      </c>
      <c r="W952" s="45">
        <v>161.13999999999999</v>
      </c>
      <c r="X952" s="46"/>
      <c r="Y952" s="61"/>
      <c r="Z952" s="5"/>
      <c r="AA952" s="5"/>
      <c r="AB952" s="5"/>
      <c r="AC952" s="5"/>
      <c r="AD952" s="5"/>
      <c r="AE952" s="5"/>
      <c r="AF952" s="5"/>
      <c r="AG952" s="5"/>
      <c r="AH952" s="6"/>
      <c r="AI952" s="44">
        <v>45299</v>
      </c>
      <c r="AJ952" s="53">
        <v>161.13999999999999</v>
      </c>
      <c r="AK952" s="54">
        <f t="shared" si="154"/>
        <v>1.2440311636089385E-2</v>
      </c>
      <c r="AL952" s="55">
        <f t="shared" si="157"/>
        <v>17.366121740106006</v>
      </c>
      <c r="AM952" s="56">
        <v>25</v>
      </c>
      <c r="AN952" s="57">
        <f t="shared" si="155"/>
        <v>7.6338782598939936</v>
      </c>
      <c r="AO952" s="76">
        <f t="shared" si="158"/>
        <v>12.623702247707834</v>
      </c>
      <c r="AP952" s="63" t="str">
        <f t="shared" si="159"/>
        <v>Buy Stocks</v>
      </c>
      <c r="AQ952" s="63" t="str">
        <f t="shared" si="160"/>
        <v/>
      </c>
      <c r="AR952" s="63" t="str">
        <f t="shared" si="161"/>
        <v/>
      </c>
      <c r="AS952" s="63" t="str">
        <f t="shared" si="162"/>
        <v/>
      </c>
      <c r="AT952" s="78" t="str">
        <f t="shared" si="163"/>
        <v/>
      </c>
      <c r="AU952" s="78" t="str">
        <f t="shared" si="164"/>
        <v/>
      </c>
      <c r="AV952" s="64" t="str">
        <f ca="1">IFERROR(__xludf.DUMMYFUNCTION("IF(TRIM(AU952)="""","""",AU952/INDEX(FILTER(AT$3:AT952,TRIM(AT$3:AT952)&lt;&gt;""""),ROWS(FILTER(AT$3:AT952,TRIM(AT$3:AT952)&lt;&gt;"""")))-1)"),"")</f>
        <v/>
      </c>
      <c r="AW952" s="65" t="e">
        <f t="shared" ca="1" si="156"/>
        <v>#VALUE!</v>
      </c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</row>
    <row r="953" spans="1:68" ht="19" x14ac:dyDescent="0.25">
      <c r="A953" s="5"/>
      <c r="B953" s="5"/>
      <c r="C953" s="5"/>
      <c r="D953" s="5"/>
      <c r="E953" s="5"/>
      <c r="F953" s="5"/>
      <c r="G953" s="5"/>
      <c r="H953" s="6"/>
      <c r="I953" s="5"/>
      <c r="J953" s="83"/>
      <c r="K953" s="83"/>
      <c r="L953" s="83"/>
      <c r="M953" s="83"/>
      <c r="N953" s="83"/>
      <c r="O953" s="83"/>
      <c r="P953" s="83"/>
      <c r="Q953" s="84"/>
      <c r="R953" s="83"/>
      <c r="S953" s="83"/>
      <c r="T953" s="85"/>
      <c r="U953" s="6"/>
      <c r="V953" s="44">
        <v>45300</v>
      </c>
      <c r="W953" s="45">
        <v>160.08000000000001</v>
      </c>
      <c r="X953" s="46"/>
      <c r="Y953" s="61"/>
      <c r="Z953" s="5"/>
      <c r="AA953" s="5"/>
      <c r="AB953" s="5"/>
      <c r="AC953" s="5"/>
      <c r="AD953" s="5"/>
      <c r="AE953" s="5"/>
      <c r="AF953" s="5"/>
      <c r="AG953" s="5"/>
      <c r="AH953" s="6"/>
      <c r="AI953" s="44">
        <v>45300</v>
      </c>
      <c r="AJ953" s="53">
        <v>160.08000000000001</v>
      </c>
      <c r="AK953" s="54">
        <f t="shared" si="154"/>
        <v>-6.5781308179221343E-3</v>
      </c>
      <c r="AL953" s="55">
        <f t="shared" si="157"/>
        <v>15.725253627473601</v>
      </c>
      <c r="AM953" s="56">
        <v>25</v>
      </c>
      <c r="AN953" s="57">
        <f t="shared" si="155"/>
        <v>9.2747463725263994</v>
      </c>
      <c r="AO953" s="76">
        <f t="shared" si="158"/>
        <v>11.749766450449373</v>
      </c>
      <c r="AP953" s="63" t="str">
        <f t="shared" si="159"/>
        <v>Buy Stocks</v>
      </c>
      <c r="AQ953" s="63" t="str">
        <f t="shared" si="160"/>
        <v/>
      </c>
      <c r="AR953" s="63" t="str">
        <f t="shared" si="161"/>
        <v/>
      </c>
      <c r="AS953" s="63" t="str">
        <f t="shared" si="162"/>
        <v/>
      </c>
      <c r="AT953" s="78" t="str">
        <f t="shared" si="163"/>
        <v/>
      </c>
      <c r="AU953" s="78" t="str">
        <f t="shared" si="164"/>
        <v/>
      </c>
      <c r="AV953" s="64" t="str">
        <f ca="1">IFERROR(__xludf.DUMMYFUNCTION("IF(TRIM(AU953)="""","""",AU953/INDEX(FILTER(AT$3:AT953,TRIM(AT$3:AT953)&lt;&gt;""""),ROWS(FILTER(AT$3:AT953,TRIM(AT$3:AT953)&lt;&gt;"""")))-1)"),"")</f>
        <v/>
      </c>
      <c r="AW953" s="65" t="e">
        <f t="shared" ca="1" si="156"/>
        <v>#VALUE!</v>
      </c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</row>
    <row r="954" spans="1:68" ht="19" x14ac:dyDescent="0.25">
      <c r="A954" s="5"/>
      <c r="B954" s="5"/>
      <c r="C954" s="5"/>
      <c r="D954" s="5"/>
      <c r="E954" s="5"/>
      <c r="F954" s="5"/>
      <c r="G954" s="5"/>
      <c r="H954" s="6"/>
      <c r="I954" s="5"/>
      <c r="J954" s="83"/>
      <c r="K954" s="83"/>
      <c r="L954" s="83"/>
      <c r="M954" s="83"/>
      <c r="N954" s="83"/>
      <c r="O954" s="83"/>
      <c r="P954" s="83"/>
      <c r="Q954" s="84"/>
      <c r="R954" s="83"/>
      <c r="S954" s="83"/>
      <c r="T954" s="85"/>
      <c r="U954" s="6"/>
      <c r="V954" s="44">
        <v>45301</v>
      </c>
      <c r="W954" s="45">
        <v>161.22999999999999</v>
      </c>
      <c r="X954" s="46"/>
      <c r="Y954" s="61"/>
      <c r="Z954" s="5"/>
      <c r="AA954" s="5"/>
      <c r="AB954" s="5"/>
      <c r="AC954" s="5"/>
      <c r="AD954" s="5"/>
      <c r="AE954" s="5"/>
      <c r="AF954" s="5"/>
      <c r="AG954" s="5"/>
      <c r="AH954" s="6"/>
      <c r="AI954" s="44">
        <v>45301</v>
      </c>
      <c r="AJ954" s="53">
        <v>161.22999999999999</v>
      </c>
      <c r="AK954" s="54">
        <f t="shared" si="154"/>
        <v>7.1839080459767946E-3</v>
      </c>
      <c r="AL954" s="55">
        <f t="shared" si="157"/>
        <v>15.338070570116551</v>
      </c>
      <c r="AM954" s="56">
        <v>25</v>
      </c>
      <c r="AN954" s="57">
        <f t="shared" si="155"/>
        <v>9.6619294298834486</v>
      </c>
      <c r="AO954" s="76">
        <f t="shared" si="158"/>
        <v>10.728298158806835</v>
      </c>
      <c r="AP954" s="63" t="str">
        <f t="shared" si="159"/>
        <v>Buy Stocks</v>
      </c>
      <c r="AQ954" s="63" t="str">
        <f t="shared" si="160"/>
        <v/>
      </c>
      <c r="AR954" s="63" t="str">
        <f t="shared" si="161"/>
        <v/>
      </c>
      <c r="AS954" s="63" t="str">
        <f t="shared" si="162"/>
        <v/>
      </c>
      <c r="AT954" s="78" t="str">
        <f t="shared" si="163"/>
        <v/>
      </c>
      <c r="AU954" s="78" t="str">
        <f t="shared" si="164"/>
        <v/>
      </c>
      <c r="AV954" s="64" t="str">
        <f ca="1">IFERROR(__xludf.DUMMYFUNCTION("IF(TRIM(AU954)="""","""",AU954/INDEX(FILTER(AT$3:AT954,TRIM(AT$3:AT954)&lt;&gt;""""),ROWS(FILTER(AT$3:AT954,TRIM(AT$3:AT954)&lt;&gt;"""")))-1)"),"")</f>
        <v/>
      </c>
      <c r="AW954" s="65" t="e">
        <f t="shared" ca="1" si="156"/>
        <v>#VALUE!</v>
      </c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</row>
    <row r="955" spans="1:68" ht="19" x14ac:dyDescent="0.25">
      <c r="A955" s="5"/>
      <c r="B955" s="5"/>
      <c r="C955" s="5"/>
      <c r="D955" s="5"/>
      <c r="E955" s="5"/>
      <c r="F955" s="5"/>
      <c r="G955" s="5"/>
      <c r="H955" s="6"/>
      <c r="I955" s="5"/>
      <c r="J955" s="83"/>
      <c r="K955" s="83"/>
      <c r="L955" s="83"/>
      <c r="M955" s="83"/>
      <c r="N955" s="83"/>
      <c r="O955" s="83"/>
      <c r="P955" s="83"/>
      <c r="Q955" s="84"/>
      <c r="R955" s="83"/>
      <c r="S955" s="83"/>
      <c r="T955" s="85"/>
      <c r="U955" s="6"/>
      <c r="V955" s="44">
        <v>45302</v>
      </c>
      <c r="W955" s="45">
        <v>162.16</v>
      </c>
      <c r="X955" s="46"/>
      <c r="Y955" s="61"/>
      <c r="Z955" s="5"/>
      <c r="AA955" s="5"/>
      <c r="AB955" s="5"/>
      <c r="AC955" s="5"/>
      <c r="AD955" s="5"/>
      <c r="AE955" s="5"/>
      <c r="AF955" s="5"/>
      <c r="AG955" s="5"/>
      <c r="AH955" s="6"/>
      <c r="AI955" s="44">
        <v>45302</v>
      </c>
      <c r="AJ955" s="53">
        <v>162.16</v>
      </c>
      <c r="AK955" s="54">
        <f t="shared" si="154"/>
        <v>5.7681572908268031E-3</v>
      </c>
      <c r="AL955" s="55">
        <f t="shared" si="157"/>
        <v>15.492914384447593</v>
      </c>
      <c r="AM955" s="56">
        <v>25</v>
      </c>
      <c r="AN955" s="57">
        <f t="shared" si="155"/>
        <v>9.5070856155524073</v>
      </c>
      <c r="AO955" s="76">
        <f t="shared" si="158"/>
        <v>9.923833503272915</v>
      </c>
      <c r="AP955" s="63" t="str">
        <f t="shared" si="159"/>
        <v>Buy Stocks</v>
      </c>
      <c r="AQ955" s="63" t="str">
        <f t="shared" si="160"/>
        <v/>
      </c>
      <c r="AR955" s="63" t="str">
        <f t="shared" si="161"/>
        <v/>
      </c>
      <c r="AS955" s="63" t="str">
        <f t="shared" si="162"/>
        <v/>
      </c>
      <c r="AT955" s="78" t="str">
        <f t="shared" si="163"/>
        <v/>
      </c>
      <c r="AU955" s="78" t="str">
        <f t="shared" si="164"/>
        <v/>
      </c>
      <c r="AV955" s="64" t="str">
        <f ca="1">IFERROR(__xludf.DUMMYFUNCTION("IF(TRIM(AU955)="""","""",AU955/INDEX(FILTER(AT$3:AT955,TRIM(AT$3:AT955)&lt;&gt;""""),ROWS(FILTER(AT$3:AT955,TRIM(AT$3:AT955)&lt;&gt;"""")))-1)"),"")</f>
        <v/>
      </c>
      <c r="AW955" s="65" t="e">
        <f t="shared" ca="1" si="156"/>
        <v>#VALUE!</v>
      </c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</row>
    <row r="956" spans="1:68" ht="19" x14ac:dyDescent="0.25">
      <c r="A956" s="5"/>
      <c r="B956" s="5"/>
      <c r="C956" s="5"/>
      <c r="D956" s="5"/>
      <c r="E956" s="5"/>
      <c r="F956" s="5"/>
      <c r="G956" s="5"/>
      <c r="H956" s="6"/>
      <c r="I956" s="5"/>
      <c r="J956" s="83"/>
      <c r="K956" s="83"/>
      <c r="L956" s="83"/>
      <c r="M956" s="83"/>
      <c r="N956" s="83"/>
      <c r="O956" s="83"/>
      <c r="P956" s="83"/>
      <c r="Q956" s="84"/>
      <c r="R956" s="83"/>
      <c r="S956" s="83"/>
      <c r="T956" s="85"/>
      <c r="U956" s="6"/>
      <c r="V956" s="44">
        <v>45303</v>
      </c>
      <c r="W956" s="45">
        <v>165.8</v>
      </c>
      <c r="X956" s="46"/>
      <c r="Y956" s="61"/>
      <c r="Z956" s="5"/>
      <c r="AA956" s="5"/>
      <c r="AB956" s="5"/>
      <c r="AC956" s="5"/>
      <c r="AD956" s="5"/>
      <c r="AE956" s="5"/>
      <c r="AF956" s="5"/>
      <c r="AG956" s="5"/>
      <c r="AH956" s="6"/>
      <c r="AI956" s="44">
        <v>45303</v>
      </c>
      <c r="AJ956" s="53">
        <v>165.8</v>
      </c>
      <c r="AK956" s="54">
        <f t="shared" si="154"/>
        <v>2.2446965959546317E-2</v>
      </c>
      <c r="AL956" s="55">
        <f t="shared" si="157"/>
        <v>16.767758207061835</v>
      </c>
      <c r="AM956" s="56">
        <v>25</v>
      </c>
      <c r="AN956" s="57">
        <f t="shared" si="155"/>
        <v>8.232241792938165</v>
      </c>
      <c r="AO956" s="76">
        <f t="shared" si="158"/>
        <v>8.8619762941588824</v>
      </c>
      <c r="AP956" s="63" t="str">
        <f t="shared" si="159"/>
        <v>Buy Stocks</v>
      </c>
      <c r="AQ956" s="63" t="str">
        <f t="shared" si="160"/>
        <v/>
      </c>
      <c r="AR956" s="63" t="str">
        <f t="shared" si="161"/>
        <v/>
      </c>
      <c r="AS956" s="63" t="str">
        <f t="shared" si="162"/>
        <v/>
      </c>
      <c r="AT956" s="78" t="str">
        <f t="shared" si="163"/>
        <v/>
      </c>
      <c r="AU956" s="78" t="str">
        <f t="shared" si="164"/>
        <v/>
      </c>
      <c r="AV956" s="64" t="str">
        <f ca="1">IFERROR(__xludf.DUMMYFUNCTION("IF(TRIM(AU956)="""","""",AU956/INDEX(FILTER(AT$3:AT956,TRIM(AT$3:AT956)&lt;&gt;""""),ROWS(FILTER(AT$3:AT956,TRIM(AT$3:AT956)&lt;&gt;"""")))-1)"),"")</f>
        <v/>
      </c>
      <c r="AW956" s="65" t="e">
        <f t="shared" ca="1" si="156"/>
        <v>#VALUE!</v>
      </c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</row>
    <row r="957" spans="1:68" ht="19" x14ac:dyDescent="0.25">
      <c r="A957" s="5"/>
      <c r="B957" s="5"/>
      <c r="C957" s="5"/>
      <c r="D957" s="5"/>
      <c r="E957" s="5"/>
      <c r="F957" s="5"/>
      <c r="G957" s="5"/>
      <c r="H957" s="6"/>
      <c r="I957" s="5"/>
      <c r="J957" s="83"/>
      <c r="K957" s="83"/>
      <c r="L957" s="83"/>
      <c r="M957" s="83"/>
      <c r="N957" s="83"/>
      <c r="O957" s="83"/>
      <c r="P957" s="83"/>
      <c r="Q957" s="84"/>
      <c r="R957" s="83"/>
      <c r="S957" s="83"/>
      <c r="T957" s="85"/>
      <c r="U957" s="6"/>
      <c r="V957" s="44">
        <v>45307</v>
      </c>
      <c r="W957" s="45">
        <v>166.96</v>
      </c>
      <c r="X957" s="46"/>
      <c r="Y957" s="61"/>
      <c r="Z957" s="5"/>
      <c r="AA957" s="5"/>
      <c r="AB957" s="5"/>
      <c r="AC957" s="5"/>
      <c r="AD957" s="5"/>
      <c r="AE957" s="5"/>
      <c r="AF957" s="5"/>
      <c r="AG957" s="5"/>
      <c r="AH957" s="6"/>
      <c r="AI957" s="44">
        <v>45307</v>
      </c>
      <c r="AJ957" s="53">
        <v>166.96</v>
      </c>
      <c r="AK957" s="54">
        <f t="shared" si="154"/>
        <v>6.9963811821471822E-3</v>
      </c>
      <c r="AL957" s="55">
        <f t="shared" si="157"/>
        <v>16.351361035335529</v>
      </c>
      <c r="AM957" s="56">
        <v>25</v>
      </c>
      <c r="AN957" s="57">
        <f t="shared" si="155"/>
        <v>8.648638964664471</v>
      </c>
      <c r="AO957" s="76">
        <f t="shared" si="158"/>
        <v>9.0649284351129786</v>
      </c>
      <c r="AP957" s="63" t="str">
        <f t="shared" si="159"/>
        <v>Buy Stocks</v>
      </c>
      <c r="AQ957" s="63" t="str">
        <f t="shared" si="160"/>
        <v/>
      </c>
      <c r="AR957" s="63" t="str">
        <f t="shared" si="161"/>
        <v/>
      </c>
      <c r="AS957" s="63" t="str">
        <f t="shared" si="162"/>
        <v/>
      </c>
      <c r="AT957" s="78" t="str">
        <f t="shared" si="163"/>
        <v/>
      </c>
      <c r="AU957" s="78" t="str">
        <f t="shared" si="164"/>
        <v/>
      </c>
      <c r="AV957" s="64" t="str">
        <f ca="1">IFERROR(__xludf.DUMMYFUNCTION("IF(TRIM(AU957)="""","""",AU957/INDEX(FILTER(AT$3:AT957,TRIM(AT$3:AT957)&lt;&gt;""""),ROWS(FILTER(AT$3:AT957,TRIM(AT$3:AT957)&lt;&gt;"""")))-1)"),"")</f>
        <v/>
      </c>
      <c r="AW957" s="65" t="e">
        <f t="shared" ca="1" si="156"/>
        <v>#VALUE!</v>
      </c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</row>
    <row r="958" spans="1:68" ht="19" x14ac:dyDescent="0.25">
      <c r="A958" s="5"/>
      <c r="B958" s="5"/>
      <c r="C958" s="5"/>
      <c r="D958" s="5"/>
      <c r="E958" s="5"/>
      <c r="F958" s="5"/>
      <c r="G958" s="5"/>
      <c r="H958" s="6"/>
      <c r="I958" s="5"/>
      <c r="J958" s="83"/>
      <c r="K958" s="83"/>
      <c r="L958" s="83"/>
      <c r="M958" s="83"/>
      <c r="N958" s="83"/>
      <c r="O958" s="83"/>
      <c r="P958" s="83"/>
      <c r="Q958" s="84"/>
      <c r="R958" s="83"/>
      <c r="S958" s="83"/>
      <c r="T958" s="85"/>
      <c r="U958" s="6"/>
      <c r="V958" s="44">
        <v>45308</v>
      </c>
      <c r="W958" s="45">
        <v>166.08</v>
      </c>
      <c r="X958" s="46"/>
      <c r="Y958" s="61"/>
      <c r="Z958" s="5"/>
      <c r="AA958" s="5"/>
      <c r="AB958" s="5"/>
      <c r="AC958" s="5"/>
      <c r="AD958" s="5"/>
      <c r="AE958" s="5"/>
      <c r="AF958" s="5"/>
      <c r="AG958" s="5"/>
      <c r="AH958" s="6"/>
      <c r="AI958" s="44">
        <v>45308</v>
      </c>
      <c r="AJ958" s="53">
        <v>166.08</v>
      </c>
      <c r="AK958" s="54">
        <f t="shared" si="154"/>
        <v>-5.2707235265931907E-3</v>
      </c>
      <c r="AL958" s="55">
        <f t="shared" si="157"/>
        <v>15.67136016179095</v>
      </c>
      <c r="AM958" s="56">
        <v>25</v>
      </c>
      <c r="AN958" s="57">
        <f t="shared" si="155"/>
        <v>9.3286398382090496</v>
      </c>
      <c r="AO958" s="76">
        <f t="shared" si="158"/>
        <v>9.0757071282495083</v>
      </c>
      <c r="AP958" s="63" t="str">
        <f t="shared" si="159"/>
        <v>Buy Stocks</v>
      </c>
      <c r="AQ958" s="63" t="str">
        <f t="shared" si="160"/>
        <v/>
      </c>
      <c r="AR958" s="63" t="str">
        <f t="shared" si="161"/>
        <v/>
      </c>
      <c r="AS958" s="63" t="str">
        <f t="shared" si="162"/>
        <v/>
      </c>
      <c r="AT958" s="78" t="str">
        <f t="shared" si="163"/>
        <v/>
      </c>
      <c r="AU958" s="78" t="str">
        <f t="shared" si="164"/>
        <v/>
      </c>
      <c r="AV958" s="64" t="str">
        <f ca="1">IFERROR(__xludf.DUMMYFUNCTION("IF(TRIM(AU958)="""","""",AU958/INDEX(FILTER(AT$3:AT958,TRIM(AT$3:AT958)&lt;&gt;""""),ROWS(FILTER(AT$3:AT958,TRIM(AT$3:AT958)&lt;&gt;"""")))-1)"),"")</f>
        <v/>
      </c>
      <c r="AW958" s="65" t="e">
        <f t="shared" ca="1" si="156"/>
        <v>#VALUE!</v>
      </c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</row>
    <row r="959" spans="1:68" ht="19" x14ac:dyDescent="0.25">
      <c r="A959" s="5"/>
      <c r="B959" s="5"/>
      <c r="C959" s="5"/>
      <c r="D959" s="5"/>
      <c r="E959" s="5"/>
      <c r="F959" s="5"/>
      <c r="G959" s="5"/>
      <c r="H959" s="6"/>
      <c r="I959" s="5"/>
      <c r="J959" s="83"/>
      <c r="K959" s="83"/>
      <c r="L959" s="83"/>
      <c r="M959" s="83"/>
      <c r="N959" s="83"/>
      <c r="O959" s="83"/>
      <c r="P959" s="83"/>
      <c r="Q959" s="84"/>
      <c r="R959" s="83"/>
      <c r="S959" s="83"/>
      <c r="T959" s="85"/>
      <c r="U959" s="6"/>
      <c r="V959" s="44">
        <v>45309</v>
      </c>
      <c r="W959" s="45">
        <v>166.84</v>
      </c>
      <c r="X959" s="46"/>
      <c r="Y959" s="61"/>
      <c r="Z959" s="5"/>
      <c r="AA959" s="5"/>
      <c r="AB959" s="5"/>
      <c r="AC959" s="5"/>
      <c r="AD959" s="5"/>
      <c r="AE959" s="5"/>
      <c r="AF959" s="5"/>
      <c r="AG959" s="5"/>
      <c r="AH959" s="6"/>
      <c r="AI959" s="44">
        <v>45309</v>
      </c>
      <c r="AJ959" s="53">
        <v>166.84</v>
      </c>
      <c r="AK959" s="54">
        <f t="shared" si="154"/>
        <v>4.5761078998072247E-3</v>
      </c>
      <c r="AL959" s="55">
        <f t="shared" si="157"/>
        <v>15.805411254869192</v>
      </c>
      <c r="AM959" s="56">
        <v>25</v>
      </c>
      <c r="AN959" s="57">
        <f t="shared" si="155"/>
        <v>9.1945887451308081</v>
      </c>
      <c r="AO959" s="76">
        <f t="shared" si="158"/>
        <v>8.9822389912989813</v>
      </c>
      <c r="AP959" s="63" t="str">
        <f t="shared" si="159"/>
        <v>Buy Stocks</v>
      </c>
      <c r="AQ959" s="63" t="str">
        <f t="shared" si="160"/>
        <v/>
      </c>
      <c r="AR959" s="63" t="str">
        <f t="shared" si="161"/>
        <v/>
      </c>
      <c r="AS959" s="63" t="str">
        <f t="shared" si="162"/>
        <v/>
      </c>
      <c r="AT959" s="78" t="str">
        <f t="shared" si="163"/>
        <v/>
      </c>
      <c r="AU959" s="78" t="str">
        <f t="shared" si="164"/>
        <v/>
      </c>
      <c r="AV959" s="64" t="str">
        <f ca="1">IFERROR(__xludf.DUMMYFUNCTION("IF(TRIM(AU959)="""","""",AU959/INDEX(FILTER(AT$3:AT959,TRIM(AT$3:AT959)&lt;&gt;""""),ROWS(FILTER(AT$3:AT959,TRIM(AT$3:AT959)&lt;&gt;"""")))-1)"),"")</f>
        <v/>
      </c>
      <c r="AW959" s="65" t="e">
        <f t="shared" ca="1" si="156"/>
        <v>#VALUE!</v>
      </c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</row>
    <row r="960" spans="1:68" ht="19" x14ac:dyDescent="0.25">
      <c r="A960" s="5"/>
      <c r="B960" s="5"/>
      <c r="C960" s="5"/>
      <c r="D960" s="5"/>
      <c r="E960" s="5"/>
      <c r="F960" s="5"/>
      <c r="G960" s="5"/>
      <c r="H960" s="6"/>
      <c r="I960" s="5"/>
      <c r="J960" s="83"/>
      <c r="K960" s="83"/>
      <c r="L960" s="83"/>
      <c r="M960" s="83"/>
      <c r="N960" s="83"/>
      <c r="O960" s="83"/>
      <c r="P960" s="83"/>
      <c r="Q960" s="84"/>
      <c r="R960" s="83"/>
      <c r="S960" s="83"/>
      <c r="T960" s="85"/>
      <c r="U960" s="6"/>
      <c r="V960" s="44">
        <v>45310</v>
      </c>
      <c r="W960" s="45">
        <v>171.48</v>
      </c>
      <c r="X960" s="46"/>
      <c r="Y960" s="61"/>
      <c r="Z960" s="5"/>
      <c r="AA960" s="5"/>
      <c r="AB960" s="5"/>
      <c r="AC960" s="5"/>
      <c r="AD960" s="5"/>
      <c r="AE960" s="5"/>
      <c r="AF960" s="5"/>
      <c r="AG960" s="5"/>
      <c r="AH960" s="6"/>
      <c r="AI960" s="44">
        <v>45310</v>
      </c>
      <c r="AJ960" s="53">
        <v>171.48</v>
      </c>
      <c r="AK960" s="54">
        <f t="shared" si="154"/>
        <v>2.7811076480460217E-2</v>
      </c>
      <c r="AL960" s="55">
        <f t="shared" si="157"/>
        <v>21.52138534547678</v>
      </c>
      <c r="AM960" s="56">
        <v>25</v>
      </c>
      <c r="AN960" s="57">
        <f t="shared" si="155"/>
        <v>3.4786146545232199</v>
      </c>
      <c r="AO960" s="76">
        <f t="shared" si="158"/>
        <v>7.7765447990931431</v>
      </c>
      <c r="AP960" s="63" t="str">
        <f t="shared" si="159"/>
        <v>Buy Stocks</v>
      </c>
      <c r="AQ960" s="63" t="str">
        <f t="shared" si="160"/>
        <v/>
      </c>
      <c r="AR960" s="63" t="str">
        <f t="shared" si="161"/>
        <v/>
      </c>
      <c r="AS960" s="63" t="str">
        <f t="shared" si="162"/>
        <v/>
      </c>
      <c r="AT960" s="78" t="str">
        <f t="shared" si="163"/>
        <v/>
      </c>
      <c r="AU960" s="78" t="str">
        <f t="shared" si="164"/>
        <v/>
      </c>
      <c r="AV960" s="64" t="str">
        <f ca="1">IFERROR(__xludf.DUMMYFUNCTION("IF(TRIM(AU960)="""","""",AU960/INDEX(FILTER(AT$3:AT960,TRIM(AT$3:AT960)&lt;&gt;""""),ROWS(FILTER(AT$3:AT960,TRIM(AT$3:AT960)&lt;&gt;"""")))-1)"),"")</f>
        <v/>
      </c>
      <c r="AW960" s="65" t="e">
        <f t="shared" ca="1" si="156"/>
        <v>#VALUE!</v>
      </c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</row>
    <row r="961" spans="1:68" ht="19" x14ac:dyDescent="0.25">
      <c r="A961" s="5"/>
      <c r="B961" s="5"/>
      <c r="C961" s="5"/>
      <c r="D961" s="5"/>
      <c r="E961" s="5"/>
      <c r="F961" s="5"/>
      <c r="G961" s="5"/>
      <c r="H961" s="6"/>
      <c r="I961" s="5"/>
      <c r="J961" s="83"/>
      <c r="K961" s="83"/>
      <c r="L961" s="83"/>
      <c r="M961" s="83"/>
      <c r="N961" s="83"/>
      <c r="O961" s="83"/>
      <c r="P961" s="83"/>
      <c r="Q961" s="84"/>
      <c r="R961" s="83"/>
      <c r="S961" s="83"/>
      <c r="T961" s="85"/>
      <c r="U961" s="6"/>
      <c r="V961" s="44">
        <v>45313</v>
      </c>
      <c r="W961" s="45">
        <v>172.83</v>
      </c>
      <c r="X961" s="46"/>
      <c r="Y961" s="61"/>
      <c r="Z961" s="5"/>
      <c r="AA961" s="5"/>
      <c r="AB961" s="5"/>
      <c r="AC961" s="5"/>
      <c r="AD961" s="5"/>
      <c r="AE961" s="5"/>
      <c r="AF961" s="5"/>
      <c r="AG961" s="5"/>
      <c r="AH961" s="6"/>
      <c r="AI961" s="44">
        <v>45313</v>
      </c>
      <c r="AJ961" s="53">
        <v>172.83</v>
      </c>
      <c r="AK961" s="54">
        <f t="shared" si="154"/>
        <v>7.8726382085376745E-3</v>
      </c>
      <c r="AL961" s="55">
        <f t="shared" si="157"/>
        <v>19.124482480562797</v>
      </c>
      <c r="AM961" s="56">
        <v>25</v>
      </c>
      <c r="AN961" s="57">
        <f t="shared" si="155"/>
        <v>5.8755175194372029</v>
      </c>
      <c r="AO961" s="76">
        <f t="shared" si="158"/>
        <v>7.3051999443929505</v>
      </c>
      <c r="AP961" s="63" t="str">
        <f t="shared" si="159"/>
        <v>Buy Stocks</v>
      </c>
      <c r="AQ961" s="63" t="str">
        <f t="shared" si="160"/>
        <v/>
      </c>
      <c r="AR961" s="63" t="str">
        <f t="shared" si="161"/>
        <v/>
      </c>
      <c r="AS961" s="63" t="str">
        <f t="shared" si="162"/>
        <v/>
      </c>
      <c r="AT961" s="78" t="str">
        <f t="shared" si="163"/>
        <v/>
      </c>
      <c r="AU961" s="78" t="str">
        <f t="shared" si="164"/>
        <v/>
      </c>
      <c r="AV961" s="64" t="str">
        <f ca="1">IFERROR(__xludf.DUMMYFUNCTION("IF(TRIM(AU961)="""","""",AU961/INDEX(FILTER(AT$3:AT961,TRIM(AT$3:AT961)&lt;&gt;""""),ROWS(FILTER(AT$3:AT961,TRIM(AT$3:AT961)&lt;&gt;"""")))-1)"),"")</f>
        <v/>
      </c>
      <c r="AW961" s="65" t="e">
        <f t="shared" ca="1" si="156"/>
        <v>#VALUE!</v>
      </c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</row>
    <row r="962" spans="1:68" ht="19" x14ac:dyDescent="0.25">
      <c r="A962" s="5"/>
      <c r="B962" s="5"/>
      <c r="C962" s="5"/>
      <c r="D962" s="5"/>
      <c r="E962" s="5"/>
      <c r="F962" s="5"/>
      <c r="G962" s="5"/>
      <c r="H962" s="6"/>
      <c r="I962" s="5"/>
      <c r="J962" s="83"/>
      <c r="K962" s="83"/>
      <c r="L962" s="83"/>
      <c r="M962" s="83"/>
      <c r="N962" s="83"/>
      <c r="O962" s="83"/>
      <c r="P962" s="83"/>
      <c r="Q962" s="84"/>
      <c r="R962" s="83"/>
      <c r="S962" s="83"/>
      <c r="T962" s="85"/>
      <c r="U962" s="6"/>
      <c r="V962" s="44">
        <v>45314</v>
      </c>
      <c r="W962" s="45">
        <v>173.94</v>
      </c>
      <c r="X962" s="46"/>
      <c r="Y962" s="61"/>
      <c r="Z962" s="5"/>
      <c r="AA962" s="5"/>
      <c r="AB962" s="5"/>
      <c r="AC962" s="5"/>
      <c r="AD962" s="5"/>
      <c r="AE962" s="5"/>
      <c r="AF962" s="5"/>
      <c r="AG962" s="5"/>
      <c r="AH962" s="6"/>
      <c r="AI962" s="44">
        <v>45314</v>
      </c>
      <c r="AJ962" s="53">
        <v>173.94</v>
      </c>
      <c r="AK962" s="54">
        <f t="shared" si="154"/>
        <v>6.4224960944279097E-3</v>
      </c>
      <c r="AL962" s="55">
        <f t="shared" si="157"/>
        <v>19.155277857137019</v>
      </c>
      <c r="AM962" s="56">
        <v>25</v>
      </c>
      <c r="AN962" s="57">
        <f t="shared" si="155"/>
        <v>5.844722142862981</v>
      </c>
      <c r="AO962" s="76">
        <f t="shared" si="158"/>
        <v>6.7444165800326514</v>
      </c>
      <c r="AP962" s="63" t="str">
        <f t="shared" si="159"/>
        <v>Buy Stocks</v>
      </c>
      <c r="AQ962" s="63" t="str">
        <f t="shared" si="160"/>
        <v/>
      </c>
      <c r="AR962" s="63" t="str">
        <f t="shared" si="161"/>
        <v/>
      </c>
      <c r="AS962" s="63" t="str">
        <f t="shared" si="162"/>
        <v/>
      </c>
      <c r="AT962" s="78" t="str">
        <f t="shared" si="163"/>
        <v/>
      </c>
      <c r="AU962" s="78" t="str">
        <f t="shared" si="164"/>
        <v/>
      </c>
      <c r="AV962" s="64" t="str">
        <f ca="1">IFERROR(__xludf.DUMMYFUNCTION("IF(TRIM(AU962)="""","""",AU962/INDEX(FILTER(AT$3:AT962,TRIM(AT$3:AT962)&lt;&gt;""""),ROWS(FILTER(AT$3:AT962,TRIM(AT$3:AT962)&lt;&gt;"""")))-1)"),"")</f>
        <v/>
      </c>
      <c r="AW962" s="65" t="e">
        <f t="shared" ca="1" si="156"/>
        <v>#VALUE!</v>
      </c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</row>
    <row r="963" spans="1:68" ht="19" x14ac:dyDescent="0.25">
      <c r="A963" s="5"/>
      <c r="B963" s="5"/>
      <c r="C963" s="5"/>
      <c r="D963" s="5"/>
      <c r="E963" s="5"/>
      <c r="F963" s="5"/>
      <c r="G963" s="5"/>
      <c r="H963" s="6"/>
      <c r="I963" s="5"/>
      <c r="J963" s="83"/>
      <c r="K963" s="83"/>
      <c r="L963" s="83"/>
      <c r="M963" s="83"/>
      <c r="N963" s="83"/>
      <c r="O963" s="83"/>
      <c r="P963" s="83"/>
      <c r="Q963" s="84"/>
      <c r="R963" s="83"/>
      <c r="S963" s="83"/>
      <c r="T963" s="85"/>
      <c r="U963" s="6"/>
      <c r="V963" s="44">
        <v>45315</v>
      </c>
      <c r="W963" s="45">
        <v>173.93</v>
      </c>
      <c r="X963" s="46"/>
      <c r="Y963" s="61"/>
      <c r="Z963" s="5"/>
      <c r="AA963" s="5"/>
      <c r="AB963" s="5"/>
      <c r="AC963" s="5"/>
      <c r="AD963" s="5"/>
      <c r="AE963" s="5"/>
      <c r="AF963" s="5"/>
      <c r="AG963" s="5"/>
      <c r="AH963" s="6"/>
      <c r="AI963" s="44">
        <v>45315</v>
      </c>
      <c r="AJ963" s="53">
        <v>173.93</v>
      </c>
      <c r="AK963" s="54">
        <f t="shared" ref="AK963:AK1026" si="165">AJ963/AJ962-1</f>
        <v>-5.7491088881200803E-5</v>
      </c>
      <c r="AL963" s="55">
        <f t="shared" si="157"/>
        <v>17.076204912157586</v>
      </c>
      <c r="AM963" s="56">
        <v>25</v>
      </c>
      <c r="AN963" s="57">
        <f t="shared" ref="AN963:AN1026" si="166">AM963-AL963</f>
        <v>7.9237950878424144</v>
      </c>
      <c r="AO963" s="76">
        <f t="shared" si="158"/>
        <v>6.4634476299593242</v>
      </c>
      <c r="AP963" s="63" t="str">
        <f t="shared" si="159"/>
        <v>Buy Stocks</v>
      </c>
      <c r="AQ963" s="63" t="str">
        <f t="shared" si="160"/>
        <v/>
      </c>
      <c r="AR963" s="63" t="str">
        <f t="shared" si="161"/>
        <v/>
      </c>
      <c r="AS963" s="63" t="str">
        <f t="shared" si="162"/>
        <v/>
      </c>
      <c r="AT963" s="78" t="str">
        <f t="shared" si="163"/>
        <v/>
      </c>
      <c r="AU963" s="78" t="str">
        <f t="shared" si="164"/>
        <v/>
      </c>
      <c r="AV963" s="64" t="str">
        <f ca="1">IFERROR(__xludf.DUMMYFUNCTION("IF(TRIM(AU963)="""","""",AU963/INDEX(FILTER(AT$3:AT963,TRIM(AT$3:AT963)&lt;&gt;""""),ROWS(FILTER(AT$3:AT963,TRIM(AT$3:AT963)&lt;&gt;"""")))-1)"),"")</f>
        <v/>
      </c>
      <c r="AW963" s="65" t="e">
        <f t="shared" ref="AW963:AW1026" ca="1" si="167">AW962*(1+AV963)</f>
        <v>#VALUE!</v>
      </c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</row>
    <row r="964" spans="1:68" ht="19" x14ac:dyDescent="0.25">
      <c r="A964" s="5"/>
      <c r="B964" s="5"/>
      <c r="C964" s="5"/>
      <c r="D964" s="5"/>
      <c r="E964" s="5"/>
      <c r="F964" s="5"/>
      <c r="G964" s="5"/>
      <c r="H964" s="6"/>
      <c r="I964" s="5"/>
      <c r="J964" s="83"/>
      <c r="K964" s="83"/>
      <c r="L964" s="83"/>
      <c r="M964" s="83"/>
      <c r="N964" s="83"/>
      <c r="O964" s="83"/>
      <c r="P964" s="83"/>
      <c r="Q964" s="84"/>
      <c r="R964" s="83"/>
      <c r="S964" s="83"/>
      <c r="T964" s="85"/>
      <c r="U964" s="6"/>
      <c r="V964" s="44">
        <v>45316</v>
      </c>
      <c r="W964" s="45">
        <v>190.43</v>
      </c>
      <c r="X964" s="46"/>
      <c r="Y964" s="61"/>
      <c r="Z964" s="5"/>
      <c r="AA964" s="5"/>
      <c r="AB964" s="5"/>
      <c r="AC964" s="5"/>
      <c r="AD964" s="5"/>
      <c r="AE964" s="5"/>
      <c r="AF964" s="5"/>
      <c r="AG964" s="5"/>
      <c r="AH964" s="6"/>
      <c r="AI964" s="44">
        <v>45316</v>
      </c>
      <c r="AJ964" s="53">
        <v>190.43</v>
      </c>
      <c r="AK964" s="54">
        <f t="shared" si="165"/>
        <v>9.4865750589317566E-2</v>
      </c>
      <c r="AL964" s="55">
        <f t="shared" si="157"/>
        <v>62.129396362936916</v>
      </c>
      <c r="AM964" s="56">
        <v>25</v>
      </c>
      <c r="AN964" s="57">
        <f t="shared" si="166"/>
        <v>-37.129396362936916</v>
      </c>
      <c r="AO964" s="76">
        <f t="shared" si="158"/>
        <v>-2.8013493916542194</v>
      </c>
      <c r="AP964" s="63" t="str">
        <f t="shared" si="159"/>
        <v/>
      </c>
      <c r="AQ964" s="63" t="str">
        <f t="shared" si="160"/>
        <v>Sell Stocks</v>
      </c>
      <c r="AR964" s="63" t="str">
        <f t="shared" si="161"/>
        <v/>
      </c>
      <c r="AS964" s="63" t="str">
        <f t="shared" si="162"/>
        <v>Sell Stocks</v>
      </c>
      <c r="AT964" s="78" t="str">
        <f t="shared" si="163"/>
        <v/>
      </c>
      <c r="AU964" s="77">
        <f t="shared" si="164"/>
        <v>190.43</v>
      </c>
      <c r="AV964" s="64">
        <f ca="1">IFERROR(__xludf.DUMMYFUNCTION("IF(TRIM(AU964)="""","""",AU964/INDEX(FILTER(AT$3:AT964,TRIM(AT$3:AT964)&lt;&gt;""""),ROWS(FILTER(AT$3:AT964,TRIM(AT$3:AT964)&lt;&gt;"""")))-1)"),0.27831106934282)</f>
        <v>0.27831106934282002</v>
      </c>
      <c r="AW964" s="65" t="e">
        <f t="shared" ca="1" si="167"/>
        <v>#VALUE!</v>
      </c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</row>
    <row r="965" spans="1:68" ht="19" x14ac:dyDescent="0.25">
      <c r="A965" s="5"/>
      <c r="B965" s="5"/>
      <c r="C965" s="5"/>
      <c r="D965" s="5"/>
      <c r="E965" s="5"/>
      <c r="F965" s="5"/>
      <c r="G965" s="5"/>
      <c r="H965" s="6"/>
      <c r="I965" s="5"/>
      <c r="J965" s="83"/>
      <c r="K965" s="83"/>
      <c r="L965" s="83"/>
      <c r="M965" s="83"/>
      <c r="N965" s="83"/>
      <c r="O965" s="83"/>
      <c r="P965" s="83"/>
      <c r="Q965" s="84"/>
      <c r="R965" s="83"/>
      <c r="S965" s="83"/>
      <c r="T965" s="85"/>
      <c r="U965" s="6"/>
      <c r="V965" s="44">
        <v>45317</v>
      </c>
      <c r="W965" s="45">
        <v>187.42</v>
      </c>
      <c r="X965" s="46"/>
      <c r="Y965" s="61"/>
      <c r="Z965" s="5"/>
      <c r="AA965" s="5"/>
      <c r="AB965" s="5"/>
      <c r="AC965" s="5"/>
      <c r="AD965" s="5"/>
      <c r="AE965" s="5"/>
      <c r="AF965" s="5"/>
      <c r="AG965" s="5"/>
      <c r="AH965" s="6"/>
      <c r="AI965" s="44">
        <v>45317</v>
      </c>
      <c r="AJ965" s="53">
        <v>187.42</v>
      </c>
      <c r="AK965" s="54">
        <f t="shared" si="165"/>
        <v>-1.5806333035761289E-2</v>
      </c>
      <c r="AL965" s="55">
        <f t="shared" si="157"/>
        <v>69.248675007498633</v>
      </c>
      <c r="AM965" s="56">
        <v>25</v>
      </c>
      <c r="AN965" s="57">
        <f t="shared" si="166"/>
        <v>-44.248675007498633</v>
      </c>
      <c r="AO965" s="76">
        <f t="shared" si="158"/>
        <v>-12.346807324058592</v>
      </c>
      <c r="AP965" s="63" t="str">
        <f t="shared" si="159"/>
        <v/>
      </c>
      <c r="AQ965" s="63" t="str">
        <f t="shared" si="160"/>
        <v>Sell Stocks</v>
      </c>
      <c r="AR965" s="63" t="str">
        <f t="shared" si="161"/>
        <v/>
      </c>
      <c r="AS965" s="63" t="str">
        <f t="shared" si="162"/>
        <v/>
      </c>
      <c r="AT965" s="78" t="str">
        <f t="shared" si="163"/>
        <v/>
      </c>
      <c r="AU965" s="78" t="str">
        <f t="shared" si="164"/>
        <v/>
      </c>
      <c r="AV965" s="64" t="str">
        <f ca="1">IFERROR(__xludf.DUMMYFUNCTION("IF(TRIM(AU965)="""","""",AU965/INDEX(FILTER(AT$3:AT965,TRIM(AT$3:AT965)&lt;&gt;""""),ROWS(FILTER(AT$3:AT965,TRIM(AT$3:AT965)&lt;&gt;"""")))-1)"),"")</f>
        <v/>
      </c>
      <c r="AW965" s="65" t="e">
        <f t="shared" ca="1" si="167"/>
        <v>#VALUE!</v>
      </c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</row>
    <row r="966" spans="1:68" ht="19" x14ac:dyDescent="0.25">
      <c r="A966" s="5"/>
      <c r="B966" s="5"/>
      <c r="C966" s="5"/>
      <c r="D966" s="5"/>
      <c r="E966" s="5"/>
      <c r="F966" s="5"/>
      <c r="G966" s="5"/>
      <c r="H966" s="6"/>
      <c r="I966" s="5"/>
      <c r="J966" s="83"/>
      <c r="K966" s="83"/>
      <c r="L966" s="83"/>
      <c r="M966" s="83"/>
      <c r="N966" s="83"/>
      <c r="O966" s="83"/>
      <c r="P966" s="83"/>
      <c r="Q966" s="84"/>
      <c r="R966" s="83"/>
      <c r="S966" s="83"/>
      <c r="T966" s="85"/>
      <c r="U966" s="6"/>
      <c r="V966" s="44">
        <v>45320</v>
      </c>
      <c r="W966" s="45">
        <v>187.14</v>
      </c>
      <c r="X966" s="46"/>
      <c r="Y966" s="61"/>
      <c r="Z966" s="5"/>
      <c r="AA966" s="5"/>
      <c r="AB966" s="5"/>
      <c r="AC966" s="5"/>
      <c r="AD966" s="5"/>
      <c r="AE966" s="5"/>
      <c r="AF966" s="5"/>
      <c r="AG966" s="5"/>
      <c r="AH966" s="6"/>
      <c r="AI966" s="44">
        <v>45320</v>
      </c>
      <c r="AJ966" s="53">
        <v>187.14</v>
      </c>
      <c r="AK966" s="54">
        <f t="shared" si="165"/>
        <v>-1.4939707608579988E-3</v>
      </c>
      <c r="AL966" s="55">
        <f t="shared" si="157"/>
        <v>70.476246547734902</v>
      </c>
      <c r="AM966" s="56">
        <v>25</v>
      </c>
      <c r="AN966" s="57">
        <f t="shared" si="166"/>
        <v>-45.476246547734902</v>
      </c>
      <c r="AO966" s="76">
        <f t="shared" si="158"/>
        <v>-22.617160137493009</v>
      </c>
      <c r="AP966" s="63" t="str">
        <f t="shared" si="159"/>
        <v/>
      </c>
      <c r="AQ966" s="63" t="str">
        <f t="shared" si="160"/>
        <v>Sell Stocks</v>
      </c>
      <c r="AR966" s="63" t="str">
        <f t="shared" si="161"/>
        <v/>
      </c>
      <c r="AS966" s="63" t="str">
        <f t="shared" si="162"/>
        <v/>
      </c>
      <c r="AT966" s="78" t="str">
        <f t="shared" si="163"/>
        <v/>
      </c>
      <c r="AU966" s="78" t="str">
        <f t="shared" si="164"/>
        <v/>
      </c>
      <c r="AV966" s="64" t="str">
        <f ca="1">IFERROR(__xludf.DUMMYFUNCTION("IF(TRIM(AU966)="""","""",AU966/INDEX(FILTER(AT$3:AT966,TRIM(AT$3:AT966)&lt;&gt;""""),ROWS(FILTER(AT$3:AT966,TRIM(AT$3:AT966)&lt;&gt;"""")))-1)"),"")</f>
        <v/>
      </c>
      <c r="AW966" s="65" t="e">
        <f t="shared" ca="1" si="167"/>
        <v>#VALUE!</v>
      </c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</row>
    <row r="967" spans="1:68" ht="19" x14ac:dyDescent="0.25">
      <c r="A967" s="5"/>
      <c r="B967" s="5"/>
      <c r="C967" s="5"/>
      <c r="D967" s="5"/>
      <c r="E967" s="5"/>
      <c r="F967" s="5"/>
      <c r="G967" s="5"/>
      <c r="H967" s="6"/>
      <c r="I967" s="5"/>
      <c r="J967" s="83"/>
      <c r="K967" s="83"/>
      <c r="L967" s="83"/>
      <c r="M967" s="83"/>
      <c r="N967" s="83"/>
      <c r="O967" s="83"/>
      <c r="P967" s="83"/>
      <c r="Q967" s="84"/>
      <c r="R967" s="83"/>
      <c r="S967" s="83"/>
      <c r="T967" s="85"/>
      <c r="U967" s="6"/>
      <c r="V967" s="44">
        <v>45321</v>
      </c>
      <c r="W967" s="45">
        <v>187.87</v>
      </c>
      <c r="X967" s="46"/>
      <c r="Y967" s="61"/>
      <c r="Z967" s="5"/>
      <c r="AA967" s="5"/>
      <c r="AB967" s="5"/>
      <c r="AC967" s="5"/>
      <c r="AD967" s="5"/>
      <c r="AE967" s="5"/>
      <c r="AF967" s="5"/>
      <c r="AG967" s="5"/>
      <c r="AH967" s="6"/>
      <c r="AI967" s="44">
        <v>45321</v>
      </c>
      <c r="AJ967" s="53">
        <v>187.87</v>
      </c>
      <c r="AK967" s="54">
        <f t="shared" si="165"/>
        <v>3.9008229133270511E-3</v>
      </c>
      <c r="AL967" s="55">
        <f t="shared" ref="AL967:AL1030" si="168">_xlfn.STDEV.S(AK963:AK967)*SQRT(252)*100</f>
        <v>70.732132116464541</v>
      </c>
      <c r="AM967" s="56">
        <v>25</v>
      </c>
      <c r="AN967" s="57">
        <f t="shared" si="166"/>
        <v>-45.732132116464541</v>
      </c>
      <c r="AO967" s="76">
        <f t="shared" ref="AO967:AO1030" si="169">AVERAGE(AN963:AN967)</f>
        <v>-32.932530989358511</v>
      </c>
      <c r="AP967" s="63" t="str">
        <f t="shared" ref="AP967:AP1030" si="170">IF(AO967&gt;0,"Buy Stocks","")</f>
        <v/>
      </c>
      <c r="AQ967" s="63" t="str">
        <f t="shared" ref="AQ967:AQ1030" si="171">IF(AO967&lt;0,"Sell Stocks","")</f>
        <v>Sell Stocks</v>
      </c>
      <c r="AR967" s="63" t="str">
        <f t="shared" ref="AR967:AR1030" si="172">IF(AND(AP967="Buy Stocks",AP966=""),"Buy Stocks","")</f>
        <v/>
      </c>
      <c r="AS967" s="63" t="str">
        <f t="shared" ref="AS967:AS1030" si="173">IF(AND(AQ967="Sell Stocks",AQ966=""),"Sell Stocks","")</f>
        <v/>
      </c>
      <c r="AT967" s="78" t="str">
        <f t="shared" ref="AT967:AT1030" si="174">IF(AR967="Buy Stocks",AJ967,"")</f>
        <v/>
      </c>
      <c r="AU967" s="78" t="str">
        <f t="shared" ref="AU967:AU1030" si="175">IF(AS967="Sell Stocks",AJ967,"")</f>
        <v/>
      </c>
      <c r="AV967" s="64" t="str">
        <f ca="1">IFERROR(__xludf.DUMMYFUNCTION("IF(TRIM(AU967)="""","""",AU967/INDEX(FILTER(AT$3:AT967,TRIM(AT$3:AT967)&lt;&gt;""""),ROWS(FILTER(AT$3:AT967,TRIM(AT$3:AT967)&lt;&gt;"""")))-1)"),"")</f>
        <v/>
      </c>
      <c r="AW967" s="65" t="e">
        <f t="shared" ca="1" si="167"/>
        <v>#VALUE!</v>
      </c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</row>
    <row r="968" spans="1:68" ht="19" x14ac:dyDescent="0.25">
      <c r="A968" s="5"/>
      <c r="B968" s="5"/>
      <c r="C968" s="5"/>
      <c r="D968" s="5"/>
      <c r="E968" s="5"/>
      <c r="F968" s="5"/>
      <c r="G968" s="5"/>
      <c r="H968" s="6"/>
      <c r="I968" s="5"/>
      <c r="J968" s="83"/>
      <c r="K968" s="83"/>
      <c r="L968" s="83"/>
      <c r="M968" s="83"/>
      <c r="N968" s="83"/>
      <c r="O968" s="83"/>
      <c r="P968" s="83"/>
      <c r="Q968" s="84"/>
      <c r="R968" s="83"/>
      <c r="S968" s="83"/>
      <c r="T968" s="85"/>
      <c r="U968" s="6"/>
      <c r="V968" s="44">
        <v>45322</v>
      </c>
      <c r="W968" s="45">
        <v>183.66</v>
      </c>
      <c r="X968" s="46"/>
      <c r="Y968" s="61"/>
      <c r="Z968" s="5"/>
      <c r="AA968" s="5"/>
      <c r="AB968" s="5"/>
      <c r="AC968" s="5"/>
      <c r="AD968" s="5"/>
      <c r="AE968" s="5"/>
      <c r="AF968" s="5"/>
      <c r="AG968" s="5"/>
      <c r="AH968" s="6"/>
      <c r="AI968" s="44">
        <v>45322</v>
      </c>
      <c r="AJ968" s="53">
        <v>183.66</v>
      </c>
      <c r="AK968" s="54">
        <f t="shared" si="165"/>
        <v>-2.2409112684303012E-2</v>
      </c>
      <c r="AL968" s="55">
        <f t="shared" si="168"/>
        <v>75.59757470754576</v>
      </c>
      <c r="AM968" s="56">
        <v>25</v>
      </c>
      <c r="AN968" s="57">
        <f t="shared" si="166"/>
        <v>-50.59757470754576</v>
      </c>
      <c r="AO968" s="76">
        <f t="shared" si="169"/>
        <v>-44.636804948436151</v>
      </c>
      <c r="AP968" s="63" t="str">
        <f t="shared" si="170"/>
        <v/>
      </c>
      <c r="AQ968" s="63" t="str">
        <f t="shared" si="171"/>
        <v>Sell Stocks</v>
      </c>
      <c r="AR968" s="63" t="str">
        <f t="shared" si="172"/>
        <v/>
      </c>
      <c r="AS968" s="63" t="str">
        <f t="shared" si="173"/>
        <v/>
      </c>
      <c r="AT968" s="78" t="str">
        <f t="shared" si="174"/>
        <v/>
      </c>
      <c r="AU968" s="78" t="str">
        <f t="shared" si="175"/>
        <v/>
      </c>
      <c r="AV968" s="64" t="str">
        <f ca="1">IFERROR(__xludf.DUMMYFUNCTION("IF(TRIM(AU968)="""","""",AU968/INDEX(FILTER(AT$3:AT968,TRIM(AT$3:AT968)&lt;&gt;""""),ROWS(FILTER(AT$3:AT968,TRIM(AT$3:AT968)&lt;&gt;"""")))-1)"),"")</f>
        <v/>
      </c>
      <c r="AW968" s="65" t="e">
        <f t="shared" ca="1" si="167"/>
        <v>#VALUE!</v>
      </c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</row>
    <row r="969" spans="1:68" ht="19" x14ac:dyDescent="0.25">
      <c r="A969" s="5"/>
      <c r="B969" s="5"/>
      <c r="C969" s="5"/>
      <c r="D969" s="5"/>
      <c r="E969" s="5"/>
      <c r="F969" s="5"/>
      <c r="G969" s="5"/>
      <c r="H969" s="6"/>
      <c r="I969" s="5"/>
      <c r="J969" s="83"/>
      <c r="K969" s="83"/>
      <c r="L969" s="83"/>
      <c r="M969" s="83"/>
      <c r="N969" s="83"/>
      <c r="O969" s="83"/>
      <c r="P969" s="83"/>
      <c r="Q969" s="84"/>
      <c r="R969" s="83"/>
      <c r="S969" s="83"/>
      <c r="T969" s="85"/>
      <c r="U969" s="6"/>
      <c r="V969" s="44">
        <v>45323</v>
      </c>
      <c r="W969" s="45">
        <v>186.9</v>
      </c>
      <c r="X969" s="46"/>
      <c r="Y969" s="61"/>
      <c r="Z969" s="5"/>
      <c r="AA969" s="5"/>
      <c r="AB969" s="5"/>
      <c r="AC969" s="5"/>
      <c r="AD969" s="5"/>
      <c r="AE969" s="5"/>
      <c r="AF969" s="5"/>
      <c r="AG969" s="5"/>
      <c r="AH969" s="6"/>
      <c r="AI969" s="44">
        <v>45323</v>
      </c>
      <c r="AJ969" s="53">
        <v>186.9</v>
      </c>
      <c r="AK969" s="54">
        <f t="shared" si="165"/>
        <v>1.7641293694871107E-2</v>
      </c>
      <c r="AL969" s="55">
        <f t="shared" si="168"/>
        <v>25.283137231952114</v>
      </c>
      <c r="AM969" s="56">
        <v>25</v>
      </c>
      <c r="AN969" s="57">
        <f t="shared" si="166"/>
        <v>-0.28313723195211438</v>
      </c>
      <c r="AO969" s="76">
        <f t="shared" si="169"/>
        <v>-37.267553122239192</v>
      </c>
      <c r="AP969" s="63" t="str">
        <f t="shared" si="170"/>
        <v/>
      </c>
      <c r="AQ969" s="63" t="str">
        <f t="shared" si="171"/>
        <v>Sell Stocks</v>
      </c>
      <c r="AR969" s="63" t="str">
        <f t="shared" si="172"/>
        <v/>
      </c>
      <c r="AS969" s="63" t="str">
        <f t="shared" si="173"/>
        <v/>
      </c>
      <c r="AT969" s="78" t="str">
        <f t="shared" si="174"/>
        <v/>
      </c>
      <c r="AU969" s="78" t="str">
        <f t="shared" si="175"/>
        <v/>
      </c>
      <c r="AV969" s="64" t="str">
        <f ca="1">IFERROR(__xludf.DUMMYFUNCTION("IF(TRIM(AU969)="""","""",AU969/INDEX(FILTER(AT$3:AT969,TRIM(AT$3:AT969)&lt;&gt;""""),ROWS(FILTER(AT$3:AT969,TRIM(AT$3:AT969)&lt;&gt;"""")))-1)"),"")</f>
        <v/>
      </c>
      <c r="AW969" s="65" t="e">
        <f t="shared" ca="1" si="167"/>
        <v>#VALUE!</v>
      </c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</row>
    <row r="970" spans="1:68" ht="19" x14ac:dyDescent="0.25">
      <c r="A970" s="5"/>
      <c r="B970" s="5"/>
      <c r="C970" s="5"/>
      <c r="D970" s="5"/>
      <c r="E970" s="5"/>
      <c r="F970" s="5"/>
      <c r="G970" s="5"/>
      <c r="H970" s="6"/>
      <c r="I970" s="5"/>
      <c r="J970" s="83"/>
      <c r="K970" s="83"/>
      <c r="L970" s="83"/>
      <c r="M970" s="83"/>
      <c r="N970" s="83"/>
      <c r="O970" s="83"/>
      <c r="P970" s="83"/>
      <c r="Q970" s="84"/>
      <c r="R970" s="83"/>
      <c r="S970" s="83"/>
      <c r="T970" s="85"/>
      <c r="U970" s="6"/>
      <c r="V970" s="44">
        <v>45324</v>
      </c>
      <c r="W970" s="45">
        <v>185.79</v>
      </c>
      <c r="X970" s="46"/>
      <c r="Y970" s="61"/>
      <c r="Z970" s="5"/>
      <c r="AA970" s="5"/>
      <c r="AB970" s="5"/>
      <c r="AC970" s="5"/>
      <c r="AD970" s="5"/>
      <c r="AE970" s="5"/>
      <c r="AF970" s="5"/>
      <c r="AG970" s="5"/>
      <c r="AH970" s="6"/>
      <c r="AI970" s="44">
        <v>45324</v>
      </c>
      <c r="AJ970" s="53">
        <v>185.79</v>
      </c>
      <c r="AK970" s="54">
        <f t="shared" si="165"/>
        <v>-5.9390048154094321E-3</v>
      </c>
      <c r="AL970" s="55">
        <f t="shared" si="168"/>
        <v>23.172510942282614</v>
      </c>
      <c r="AM970" s="56">
        <v>25</v>
      </c>
      <c r="AN970" s="57">
        <f t="shared" si="166"/>
        <v>1.8274890577173863</v>
      </c>
      <c r="AO970" s="76">
        <f t="shared" si="169"/>
        <v>-28.052320309195988</v>
      </c>
      <c r="AP970" s="63" t="str">
        <f t="shared" si="170"/>
        <v/>
      </c>
      <c r="AQ970" s="63" t="str">
        <f t="shared" si="171"/>
        <v>Sell Stocks</v>
      </c>
      <c r="AR970" s="63" t="str">
        <f t="shared" si="172"/>
        <v/>
      </c>
      <c r="AS970" s="63" t="str">
        <f t="shared" si="173"/>
        <v/>
      </c>
      <c r="AT970" s="78" t="str">
        <f t="shared" si="174"/>
        <v/>
      </c>
      <c r="AU970" s="78" t="str">
        <f t="shared" si="175"/>
        <v/>
      </c>
      <c r="AV970" s="64" t="str">
        <f ca="1">IFERROR(__xludf.DUMMYFUNCTION("IF(TRIM(AU970)="""","""",AU970/INDEX(FILTER(AT$3:AT970,TRIM(AT$3:AT970)&lt;&gt;""""),ROWS(FILTER(AT$3:AT970,TRIM(AT$3:AT970)&lt;&gt;"""")))-1)"),"")</f>
        <v/>
      </c>
      <c r="AW970" s="65" t="e">
        <f t="shared" ca="1" si="167"/>
        <v>#VALUE!</v>
      </c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</row>
    <row r="971" spans="1:68" ht="19" x14ac:dyDescent="0.25">
      <c r="A971" s="5"/>
      <c r="B971" s="5"/>
      <c r="C971" s="5"/>
      <c r="D971" s="5"/>
      <c r="E971" s="5"/>
      <c r="F971" s="5"/>
      <c r="G971" s="5"/>
      <c r="H971" s="6"/>
      <c r="I971" s="5"/>
      <c r="J971" s="83"/>
      <c r="K971" s="83"/>
      <c r="L971" s="83"/>
      <c r="M971" s="83"/>
      <c r="N971" s="83"/>
      <c r="O971" s="83"/>
      <c r="P971" s="83"/>
      <c r="Q971" s="84"/>
      <c r="R971" s="83"/>
      <c r="S971" s="83"/>
      <c r="T971" s="85"/>
      <c r="U971" s="6"/>
      <c r="V971" s="44">
        <v>45327</v>
      </c>
      <c r="W971" s="45">
        <v>183.42</v>
      </c>
      <c r="X971" s="46"/>
      <c r="Y971" s="61"/>
      <c r="Z971" s="5"/>
      <c r="AA971" s="5"/>
      <c r="AB971" s="5"/>
      <c r="AC971" s="5"/>
      <c r="AD971" s="5"/>
      <c r="AE971" s="5"/>
      <c r="AF971" s="5"/>
      <c r="AG971" s="5"/>
      <c r="AH971" s="6"/>
      <c r="AI971" s="44">
        <v>45327</v>
      </c>
      <c r="AJ971" s="53">
        <v>183.42</v>
      </c>
      <c r="AK971" s="54">
        <f t="shared" si="165"/>
        <v>-1.2756337800742812E-2</v>
      </c>
      <c r="AL971" s="55">
        <f t="shared" si="168"/>
        <v>24.465018118314674</v>
      </c>
      <c r="AM971" s="56">
        <v>25</v>
      </c>
      <c r="AN971" s="57">
        <f t="shared" si="166"/>
        <v>0.53498188168532579</v>
      </c>
      <c r="AO971" s="76">
        <f t="shared" si="169"/>
        <v>-18.85007462331194</v>
      </c>
      <c r="AP971" s="63" t="str">
        <f t="shared" si="170"/>
        <v/>
      </c>
      <c r="AQ971" s="63" t="str">
        <f t="shared" si="171"/>
        <v>Sell Stocks</v>
      </c>
      <c r="AR971" s="63" t="str">
        <f t="shared" si="172"/>
        <v/>
      </c>
      <c r="AS971" s="63" t="str">
        <f t="shared" si="173"/>
        <v/>
      </c>
      <c r="AT971" s="78" t="str">
        <f t="shared" si="174"/>
        <v/>
      </c>
      <c r="AU971" s="78" t="str">
        <f t="shared" si="175"/>
        <v/>
      </c>
      <c r="AV971" s="64" t="str">
        <f ca="1">IFERROR(__xludf.DUMMYFUNCTION("IF(TRIM(AU971)="""","""",AU971/INDEX(FILTER(AT$3:AT971,TRIM(AT$3:AT971)&lt;&gt;""""),ROWS(FILTER(AT$3:AT971,TRIM(AT$3:AT971)&lt;&gt;"""")))-1)"),"")</f>
        <v/>
      </c>
      <c r="AW971" s="65" t="e">
        <f t="shared" ca="1" si="167"/>
        <v>#VALUE!</v>
      </c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</row>
    <row r="972" spans="1:68" ht="19" x14ac:dyDescent="0.25">
      <c r="A972" s="5"/>
      <c r="B972" s="5"/>
      <c r="C972" s="5"/>
      <c r="D972" s="5"/>
      <c r="E972" s="5"/>
      <c r="F972" s="5"/>
      <c r="G972" s="5"/>
      <c r="H972" s="6"/>
      <c r="I972" s="5"/>
      <c r="J972" s="83"/>
      <c r="K972" s="83"/>
      <c r="L972" s="83"/>
      <c r="M972" s="83"/>
      <c r="N972" s="83"/>
      <c r="O972" s="83"/>
      <c r="P972" s="83"/>
      <c r="Q972" s="84"/>
      <c r="R972" s="83"/>
      <c r="S972" s="83"/>
      <c r="T972" s="85"/>
      <c r="U972" s="6"/>
      <c r="V972" s="44">
        <v>45328</v>
      </c>
      <c r="W972" s="45">
        <v>183.41</v>
      </c>
      <c r="X972" s="46"/>
      <c r="Y972" s="61"/>
      <c r="Z972" s="5"/>
      <c r="AA972" s="5"/>
      <c r="AB972" s="5"/>
      <c r="AC972" s="5"/>
      <c r="AD972" s="5"/>
      <c r="AE972" s="5"/>
      <c r="AF972" s="5"/>
      <c r="AG972" s="5"/>
      <c r="AH972" s="6"/>
      <c r="AI972" s="44">
        <v>45328</v>
      </c>
      <c r="AJ972" s="53">
        <v>183.41</v>
      </c>
      <c r="AK972" s="54">
        <f t="shared" si="165"/>
        <v>-5.4519681604969783E-5</v>
      </c>
      <c r="AL972" s="55">
        <f t="shared" si="168"/>
        <v>23.821895682881959</v>
      </c>
      <c r="AM972" s="56">
        <v>25</v>
      </c>
      <c r="AN972" s="57">
        <f t="shared" si="166"/>
        <v>1.1781043171180414</v>
      </c>
      <c r="AO972" s="76">
        <f t="shared" si="169"/>
        <v>-9.4680273365954228</v>
      </c>
      <c r="AP972" s="63" t="str">
        <f t="shared" si="170"/>
        <v/>
      </c>
      <c r="AQ972" s="63" t="str">
        <f t="shared" si="171"/>
        <v>Sell Stocks</v>
      </c>
      <c r="AR972" s="63" t="str">
        <f t="shared" si="172"/>
        <v/>
      </c>
      <c r="AS972" s="63" t="str">
        <f t="shared" si="173"/>
        <v/>
      </c>
      <c r="AT972" s="78" t="str">
        <f t="shared" si="174"/>
        <v/>
      </c>
      <c r="AU972" s="78" t="str">
        <f t="shared" si="175"/>
        <v/>
      </c>
      <c r="AV972" s="64" t="str">
        <f ca="1">IFERROR(__xludf.DUMMYFUNCTION("IF(TRIM(AU972)="""","""",AU972/INDEX(FILTER(AT$3:AT972,TRIM(AT$3:AT972)&lt;&gt;""""),ROWS(FILTER(AT$3:AT972,TRIM(AT$3:AT972)&lt;&gt;"""")))-1)"),"")</f>
        <v/>
      </c>
      <c r="AW972" s="65" t="e">
        <f t="shared" ca="1" si="167"/>
        <v>#VALUE!</v>
      </c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</row>
    <row r="973" spans="1:68" ht="19" x14ac:dyDescent="0.25">
      <c r="A973" s="5"/>
      <c r="B973" s="5"/>
      <c r="C973" s="5"/>
      <c r="D973" s="5"/>
      <c r="E973" s="5"/>
      <c r="F973" s="5"/>
      <c r="G973" s="5"/>
      <c r="H973" s="6"/>
      <c r="I973" s="5"/>
      <c r="J973" s="83"/>
      <c r="K973" s="83"/>
      <c r="L973" s="83"/>
      <c r="M973" s="83"/>
      <c r="N973" s="83"/>
      <c r="O973" s="83"/>
      <c r="P973" s="83"/>
      <c r="Q973" s="84"/>
      <c r="R973" s="83"/>
      <c r="S973" s="83"/>
      <c r="T973" s="85"/>
      <c r="U973" s="6"/>
      <c r="V973" s="44">
        <v>45329</v>
      </c>
      <c r="W973" s="45">
        <v>183.74</v>
      </c>
      <c r="X973" s="46"/>
      <c r="Y973" s="61"/>
      <c r="Z973" s="5"/>
      <c r="AA973" s="5"/>
      <c r="AB973" s="5"/>
      <c r="AC973" s="5"/>
      <c r="AD973" s="5"/>
      <c r="AE973" s="5"/>
      <c r="AF973" s="5"/>
      <c r="AG973" s="5"/>
      <c r="AH973" s="6"/>
      <c r="AI973" s="44">
        <v>45329</v>
      </c>
      <c r="AJ973" s="53">
        <v>183.74</v>
      </c>
      <c r="AK973" s="54">
        <f t="shared" si="165"/>
        <v>1.7992475873727098E-3</v>
      </c>
      <c r="AL973" s="55">
        <f t="shared" si="168"/>
        <v>17.966198828557548</v>
      </c>
      <c r="AM973" s="56">
        <v>25</v>
      </c>
      <c r="AN973" s="57">
        <f t="shared" si="166"/>
        <v>7.0338011714424518</v>
      </c>
      <c r="AO973" s="76">
        <f t="shared" si="169"/>
        <v>2.0582478392022181</v>
      </c>
      <c r="AP973" s="63" t="str">
        <f t="shared" si="170"/>
        <v>Buy Stocks</v>
      </c>
      <c r="AQ973" s="63" t="str">
        <f t="shared" si="171"/>
        <v/>
      </c>
      <c r="AR973" s="63" t="str">
        <f t="shared" si="172"/>
        <v>Buy Stocks</v>
      </c>
      <c r="AS973" s="63" t="str">
        <f t="shared" si="173"/>
        <v/>
      </c>
      <c r="AT973" s="77">
        <f t="shared" si="174"/>
        <v>183.74</v>
      </c>
      <c r="AU973" s="78" t="str">
        <f t="shared" si="175"/>
        <v/>
      </c>
      <c r="AV973" s="64" t="str">
        <f ca="1">IFERROR(__xludf.DUMMYFUNCTION("IF(TRIM(AU973)="""","""",AU973/INDEX(FILTER(AT$3:AT973,TRIM(AT$3:AT973)&lt;&gt;""""),ROWS(FILTER(AT$3:AT973,TRIM(AT$3:AT973)&lt;&gt;"""")))-1)"),"")</f>
        <v/>
      </c>
      <c r="AW973" s="65" t="e">
        <f t="shared" ca="1" si="167"/>
        <v>#VALUE!</v>
      </c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</row>
    <row r="974" spans="1:68" ht="19" x14ac:dyDescent="0.25">
      <c r="A974" s="5"/>
      <c r="B974" s="5"/>
      <c r="C974" s="5"/>
      <c r="D974" s="5"/>
      <c r="E974" s="5"/>
      <c r="F974" s="5"/>
      <c r="G974" s="5"/>
      <c r="H974" s="6"/>
      <c r="I974" s="5"/>
      <c r="J974" s="83"/>
      <c r="K974" s="83"/>
      <c r="L974" s="83"/>
      <c r="M974" s="83"/>
      <c r="N974" s="83"/>
      <c r="O974" s="83"/>
      <c r="P974" s="83"/>
      <c r="Q974" s="84"/>
      <c r="R974" s="83"/>
      <c r="S974" s="83"/>
      <c r="T974" s="85"/>
      <c r="U974" s="6"/>
      <c r="V974" s="44">
        <v>45330</v>
      </c>
      <c r="W974" s="45">
        <v>184.36</v>
      </c>
      <c r="X974" s="46"/>
      <c r="Y974" s="61"/>
      <c r="Z974" s="5"/>
      <c r="AA974" s="5"/>
      <c r="AB974" s="5"/>
      <c r="AC974" s="5"/>
      <c r="AD974" s="5"/>
      <c r="AE974" s="5"/>
      <c r="AF974" s="5"/>
      <c r="AG974" s="5"/>
      <c r="AH974" s="6"/>
      <c r="AI974" s="44">
        <v>45330</v>
      </c>
      <c r="AJ974" s="53">
        <v>184.36</v>
      </c>
      <c r="AK974" s="54">
        <f t="shared" si="165"/>
        <v>3.3743332970501694E-3</v>
      </c>
      <c r="AL974" s="55">
        <f t="shared" si="168"/>
        <v>10.522752499467972</v>
      </c>
      <c r="AM974" s="56">
        <v>25</v>
      </c>
      <c r="AN974" s="57">
        <f t="shared" si="166"/>
        <v>14.477247500532028</v>
      </c>
      <c r="AO974" s="76">
        <f t="shared" si="169"/>
        <v>5.010324785699046</v>
      </c>
      <c r="AP974" s="63" t="str">
        <f t="shared" si="170"/>
        <v>Buy Stocks</v>
      </c>
      <c r="AQ974" s="63" t="str">
        <f t="shared" si="171"/>
        <v/>
      </c>
      <c r="AR974" s="63" t="str">
        <f t="shared" si="172"/>
        <v/>
      </c>
      <c r="AS974" s="63" t="str">
        <f t="shared" si="173"/>
        <v/>
      </c>
      <c r="AT974" s="78" t="str">
        <f t="shared" si="174"/>
        <v/>
      </c>
      <c r="AU974" s="78" t="str">
        <f t="shared" si="175"/>
        <v/>
      </c>
      <c r="AV974" s="64" t="str">
        <f ca="1">IFERROR(__xludf.DUMMYFUNCTION("IF(TRIM(AU974)="""","""",AU974/INDEX(FILTER(AT$3:AT974,TRIM(AT$3:AT974)&lt;&gt;""""),ROWS(FILTER(AT$3:AT974,TRIM(AT$3:AT974)&lt;&gt;"""")))-1)"),"")</f>
        <v/>
      </c>
      <c r="AW974" s="65" t="e">
        <f t="shared" ca="1" si="167"/>
        <v>#VALUE!</v>
      </c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</row>
    <row r="975" spans="1:68" ht="19" x14ac:dyDescent="0.25">
      <c r="A975" s="5"/>
      <c r="B975" s="5"/>
      <c r="C975" s="5"/>
      <c r="D975" s="5"/>
      <c r="E975" s="5"/>
      <c r="F975" s="5"/>
      <c r="G975" s="5"/>
      <c r="H975" s="6"/>
      <c r="I975" s="5"/>
      <c r="J975" s="83"/>
      <c r="K975" s="83"/>
      <c r="L975" s="83"/>
      <c r="M975" s="83"/>
      <c r="N975" s="83"/>
      <c r="O975" s="83"/>
      <c r="P975" s="83"/>
      <c r="Q975" s="84"/>
      <c r="R975" s="83"/>
      <c r="S975" s="83"/>
      <c r="T975" s="85"/>
      <c r="U975" s="6"/>
      <c r="V975" s="44">
        <v>45331</v>
      </c>
      <c r="W975" s="45">
        <v>186.34</v>
      </c>
      <c r="X975" s="46"/>
      <c r="Y975" s="61"/>
      <c r="Z975" s="5"/>
      <c r="AA975" s="5"/>
      <c r="AB975" s="5"/>
      <c r="AC975" s="5"/>
      <c r="AD975" s="5"/>
      <c r="AE975" s="5"/>
      <c r="AF975" s="5"/>
      <c r="AG975" s="5"/>
      <c r="AH975" s="6"/>
      <c r="AI975" s="44">
        <v>45331</v>
      </c>
      <c r="AJ975" s="53">
        <v>186.34</v>
      </c>
      <c r="AK975" s="54">
        <f t="shared" si="165"/>
        <v>1.0739856801909253E-2</v>
      </c>
      <c r="AL975" s="55">
        <f t="shared" si="168"/>
        <v>13.534585924560663</v>
      </c>
      <c r="AM975" s="56">
        <v>25</v>
      </c>
      <c r="AN975" s="57">
        <f t="shared" si="166"/>
        <v>11.465414075439337</v>
      </c>
      <c r="AO975" s="76">
        <f t="shared" si="169"/>
        <v>6.9379097892434372</v>
      </c>
      <c r="AP975" s="63" t="str">
        <f t="shared" si="170"/>
        <v>Buy Stocks</v>
      </c>
      <c r="AQ975" s="63" t="str">
        <f t="shared" si="171"/>
        <v/>
      </c>
      <c r="AR975" s="63" t="str">
        <f t="shared" si="172"/>
        <v/>
      </c>
      <c r="AS975" s="63" t="str">
        <f t="shared" si="173"/>
        <v/>
      </c>
      <c r="AT975" s="78" t="str">
        <f t="shared" si="174"/>
        <v/>
      </c>
      <c r="AU975" s="78" t="str">
        <f t="shared" si="175"/>
        <v/>
      </c>
      <c r="AV975" s="64" t="str">
        <f ca="1">IFERROR(__xludf.DUMMYFUNCTION("IF(TRIM(AU975)="""","""",AU975/INDEX(FILTER(AT$3:AT975,TRIM(AT$3:AT975)&lt;&gt;""""),ROWS(FILTER(AT$3:AT975,TRIM(AT$3:AT975)&lt;&gt;"""")))-1)"),"")</f>
        <v/>
      </c>
      <c r="AW975" s="65" t="e">
        <f t="shared" ca="1" si="167"/>
        <v>#VALUE!</v>
      </c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</row>
    <row r="976" spans="1:68" ht="19" x14ac:dyDescent="0.25">
      <c r="A976" s="5"/>
      <c r="B976" s="5"/>
      <c r="C976" s="5"/>
      <c r="D976" s="5"/>
      <c r="E976" s="5"/>
      <c r="F976" s="5"/>
      <c r="G976" s="5"/>
      <c r="H976" s="6"/>
      <c r="I976" s="5"/>
      <c r="J976" s="83"/>
      <c r="K976" s="83"/>
      <c r="L976" s="83"/>
      <c r="M976" s="83"/>
      <c r="N976" s="83"/>
      <c r="O976" s="83"/>
      <c r="P976" s="83"/>
      <c r="Q976" s="84"/>
      <c r="R976" s="83"/>
      <c r="S976" s="83"/>
      <c r="T976" s="85"/>
      <c r="U976" s="6"/>
      <c r="V976" s="44">
        <v>45334</v>
      </c>
      <c r="W976" s="45">
        <v>186.16</v>
      </c>
      <c r="X976" s="46"/>
      <c r="Y976" s="61"/>
      <c r="Z976" s="5"/>
      <c r="AA976" s="5"/>
      <c r="AB976" s="5"/>
      <c r="AC976" s="5"/>
      <c r="AD976" s="5"/>
      <c r="AE976" s="5"/>
      <c r="AF976" s="5"/>
      <c r="AG976" s="5"/>
      <c r="AH976" s="6"/>
      <c r="AI976" s="44">
        <v>45334</v>
      </c>
      <c r="AJ976" s="53">
        <v>186.16</v>
      </c>
      <c r="AK976" s="54">
        <f t="shared" si="165"/>
        <v>-9.6597617258775692E-4</v>
      </c>
      <c r="AL976" s="55">
        <f t="shared" si="168"/>
        <v>7.3839535872826687</v>
      </c>
      <c r="AM976" s="56">
        <v>25</v>
      </c>
      <c r="AN976" s="57">
        <f t="shared" si="166"/>
        <v>17.616046412717331</v>
      </c>
      <c r="AO976" s="76">
        <f t="shared" si="169"/>
        <v>10.354122695449838</v>
      </c>
      <c r="AP976" s="63" t="str">
        <f t="shared" si="170"/>
        <v>Buy Stocks</v>
      </c>
      <c r="AQ976" s="63" t="str">
        <f t="shared" si="171"/>
        <v/>
      </c>
      <c r="AR976" s="63" t="str">
        <f t="shared" si="172"/>
        <v/>
      </c>
      <c r="AS976" s="63" t="str">
        <f t="shared" si="173"/>
        <v/>
      </c>
      <c r="AT976" s="78" t="str">
        <f t="shared" si="174"/>
        <v/>
      </c>
      <c r="AU976" s="78" t="str">
        <f t="shared" si="175"/>
        <v/>
      </c>
      <c r="AV976" s="64" t="str">
        <f ca="1">IFERROR(__xludf.DUMMYFUNCTION("IF(TRIM(AU976)="""","""",AU976/INDEX(FILTER(AT$3:AT976,TRIM(AT$3:AT976)&lt;&gt;""""),ROWS(FILTER(AT$3:AT976,TRIM(AT$3:AT976)&lt;&gt;"""")))-1)"),"")</f>
        <v/>
      </c>
      <c r="AW976" s="65" t="e">
        <f t="shared" ca="1" si="167"/>
        <v>#VALUE!</v>
      </c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</row>
    <row r="977" spans="1:68" ht="19" x14ac:dyDescent="0.25">
      <c r="A977" s="5"/>
      <c r="B977" s="5"/>
      <c r="C977" s="5"/>
      <c r="D977" s="5"/>
      <c r="E977" s="5"/>
      <c r="F977" s="5"/>
      <c r="G977" s="5"/>
      <c r="H977" s="6"/>
      <c r="I977" s="5"/>
      <c r="J977" s="83"/>
      <c r="K977" s="83"/>
      <c r="L977" s="83"/>
      <c r="M977" s="83"/>
      <c r="N977" s="83"/>
      <c r="O977" s="83"/>
      <c r="P977" s="83"/>
      <c r="Q977" s="84"/>
      <c r="R977" s="83"/>
      <c r="S977" s="83"/>
      <c r="T977" s="85"/>
      <c r="U977" s="6"/>
      <c r="V977" s="44">
        <v>45335</v>
      </c>
      <c r="W977" s="45">
        <v>183.7</v>
      </c>
      <c r="X977" s="46"/>
      <c r="Y977" s="61"/>
      <c r="Z977" s="5"/>
      <c r="AA977" s="5"/>
      <c r="AB977" s="5"/>
      <c r="AC977" s="5"/>
      <c r="AD977" s="5"/>
      <c r="AE977" s="5"/>
      <c r="AF977" s="5"/>
      <c r="AG977" s="5"/>
      <c r="AH977" s="6"/>
      <c r="AI977" s="44">
        <v>45335</v>
      </c>
      <c r="AJ977" s="53">
        <v>183.7</v>
      </c>
      <c r="AK977" s="54">
        <f t="shared" si="165"/>
        <v>-1.3214439192092864E-2</v>
      </c>
      <c r="AL977" s="55">
        <f t="shared" si="168"/>
        <v>13.860040478573236</v>
      </c>
      <c r="AM977" s="56">
        <v>25</v>
      </c>
      <c r="AN977" s="57">
        <f t="shared" si="166"/>
        <v>11.139959521426764</v>
      </c>
      <c r="AO977" s="76">
        <f t="shared" si="169"/>
        <v>12.346493736311583</v>
      </c>
      <c r="AP977" s="63" t="str">
        <f t="shared" si="170"/>
        <v>Buy Stocks</v>
      </c>
      <c r="AQ977" s="63" t="str">
        <f t="shared" si="171"/>
        <v/>
      </c>
      <c r="AR977" s="63" t="str">
        <f t="shared" si="172"/>
        <v/>
      </c>
      <c r="AS977" s="63" t="str">
        <f t="shared" si="173"/>
        <v/>
      </c>
      <c r="AT977" s="78" t="str">
        <f t="shared" si="174"/>
        <v/>
      </c>
      <c r="AU977" s="78" t="str">
        <f t="shared" si="175"/>
        <v/>
      </c>
      <c r="AV977" s="64" t="str">
        <f ca="1">IFERROR(__xludf.DUMMYFUNCTION("IF(TRIM(AU977)="""","""",AU977/INDEX(FILTER(AT$3:AT977,TRIM(AT$3:AT977)&lt;&gt;""""),ROWS(FILTER(AT$3:AT977,TRIM(AT$3:AT977)&lt;&gt;"""")))-1)"),"")</f>
        <v/>
      </c>
      <c r="AW977" s="65" t="e">
        <f t="shared" ca="1" si="167"/>
        <v>#VALUE!</v>
      </c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</row>
    <row r="978" spans="1:68" ht="19" x14ac:dyDescent="0.25">
      <c r="A978" s="5"/>
      <c r="B978" s="5"/>
      <c r="C978" s="5"/>
      <c r="D978" s="5"/>
      <c r="E978" s="5"/>
      <c r="F978" s="5"/>
      <c r="G978" s="5"/>
      <c r="H978" s="6"/>
      <c r="I978" s="5"/>
      <c r="J978" s="83"/>
      <c r="K978" s="83"/>
      <c r="L978" s="83"/>
      <c r="M978" s="83"/>
      <c r="N978" s="83"/>
      <c r="O978" s="83"/>
      <c r="P978" s="83"/>
      <c r="Q978" s="84"/>
      <c r="R978" s="83"/>
      <c r="S978" s="83"/>
      <c r="T978" s="85"/>
      <c r="U978" s="6"/>
      <c r="V978" s="44">
        <v>45336</v>
      </c>
      <c r="W978" s="45">
        <v>183.57</v>
      </c>
      <c r="X978" s="46"/>
      <c r="Y978" s="61"/>
      <c r="Z978" s="5"/>
      <c r="AA978" s="5"/>
      <c r="AB978" s="5"/>
      <c r="AC978" s="5"/>
      <c r="AD978" s="5"/>
      <c r="AE978" s="5"/>
      <c r="AF978" s="5"/>
      <c r="AG978" s="5"/>
      <c r="AH978" s="6"/>
      <c r="AI978" s="44">
        <v>45336</v>
      </c>
      <c r="AJ978" s="53">
        <v>183.57</v>
      </c>
      <c r="AK978" s="54">
        <f t="shared" si="165"/>
        <v>-7.0767555797490722E-4</v>
      </c>
      <c r="AL978" s="55">
        <f t="shared" si="168"/>
        <v>13.808681873014816</v>
      </c>
      <c r="AM978" s="56">
        <v>25</v>
      </c>
      <c r="AN978" s="57">
        <f t="shared" si="166"/>
        <v>11.191318126985184</v>
      </c>
      <c r="AO978" s="76">
        <f t="shared" si="169"/>
        <v>13.177997127420127</v>
      </c>
      <c r="AP978" s="63" t="str">
        <f t="shared" si="170"/>
        <v>Buy Stocks</v>
      </c>
      <c r="AQ978" s="63" t="str">
        <f t="shared" si="171"/>
        <v/>
      </c>
      <c r="AR978" s="63" t="str">
        <f t="shared" si="172"/>
        <v/>
      </c>
      <c r="AS978" s="63" t="str">
        <f t="shared" si="173"/>
        <v/>
      </c>
      <c r="AT978" s="78" t="str">
        <f t="shared" si="174"/>
        <v/>
      </c>
      <c r="AU978" s="78" t="str">
        <f t="shared" si="175"/>
        <v/>
      </c>
      <c r="AV978" s="64" t="str">
        <f ca="1">IFERROR(__xludf.DUMMYFUNCTION("IF(TRIM(AU978)="""","""",AU978/INDEX(FILTER(AT$3:AT978,TRIM(AT$3:AT978)&lt;&gt;""""),ROWS(FILTER(AT$3:AT978,TRIM(AT$3:AT978)&lt;&gt;"""")))-1)"),"")</f>
        <v/>
      </c>
      <c r="AW978" s="65" t="e">
        <f t="shared" ca="1" si="167"/>
        <v>#VALUE!</v>
      </c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</row>
    <row r="979" spans="1:68" ht="19" x14ac:dyDescent="0.25">
      <c r="A979" s="5"/>
      <c r="B979" s="5"/>
      <c r="C979" s="5"/>
      <c r="D979" s="5"/>
      <c r="E979" s="5"/>
      <c r="F979" s="5"/>
      <c r="G979" s="5"/>
      <c r="H979" s="6"/>
      <c r="I979" s="5"/>
      <c r="J979" s="83"/>
      <c r="K979" s="83"/>
      <c r="L979" s="83"/>
      <c r="M979" s="83"/>
      <c r="N979" s="83"/>
      <c r="O979" s="83"/>
      <c r="P979" s="83"/>
      <c r="Q979" s="84"/>
      <c r="R979" s="83"/>
      <c r="S979" s="83"/>
      <c r="T979" s="85"/>
      <c r="U979" s="6"/>
      <c r="V979" s="44">
        <v>45337</v>
      </c>
      <c r="W979" s="45">
        <v>186.87</v>
      </c>
      <c r="X979" s="46"/>
      <c r="Y979" s="61"/>
      <c r="Z979" s="5"/>
      <c r="AA979" s="5"/>
      <c r="AB979" s="5"/>
      <c r="AC979" s="5"/>
      <c r="AD979" s="5"/>
      <c r="AE979" s="5"/>
      <c r="AF979" s="5"/>
      <c r="AG979" s="5"/>
      <c r="AH979" s="6"/>
      <c r="AI979" s="44">
        <v>45337</v>
      </c>
      <c r="AJ979" s="53">
        <v>186.87</v>
      </c>
      <c r="AK979" s="54">
        <f t="shared" si="165"/>
        <v>1.7976793593724505E-2</v>
      </c>
      <c r="AL979" s="55">
        <f t="shared" si="168"/>
        <v>19.05468596480528</v>
      </c>
      <c r="AM979" s="56">
        <v>25</v>
      </c>
      <c r="AN979" s="57">
        <f t="shared" si="166"/>
        <v>5.9453140351947198</v>
      </c>
      <c r="AO979" s="76">
        <f t="shared" si="169"/>
        <v>11.471610434352668</v>
      </c>
      <c r="AP979" s="63" t="str">
        <f t="shared" si="170"/>
        <v>Buy Stocks</v>
      </c>
      <c r="AQ979" s="63" t="str">
        <f t="shared" si="171"/>
        <v/>
      </c>
      <c r="AR979" s="63" t="str">
        <f t="shared" si="172"/>
        <v/>
      </c>
      <c r="AS979" s="63" t="str">
        <f t="shared" si="173"/>
        <v/>
      </c>
      <c r="AT979" s="78" t="str">
        <f t="shared" si="174"/>
        <v/>
      </c>
      <c r="AU979" s="78" t="str">
        <f t="shared" si="175"/>
        <v/>
      </c>
      <c r="AV979" s="64" t="str">
        <f ca="1">IFERROR(__xludf.DUMMYFUNCTION("IF(TRIM(AU979)="""","""",AU979/INDEX(FILTER(AT$3:AT979,TRIM(AT$3:AT979)&lt;&gt;""""),ROWS(FILTER(AT$3:AT979,TRIM(AT$3:AT979)&lt;&gt;"""")))-1)"),"")</f>
        <v/>
      </c>
      <c r="AW979" s="65" t="e">
        <f t="shared" ca="1" si="167"/>
        <v>#VALUE!</v>
      </c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</row>
    <row r="980" spans="1:68" ht="19" x14ac:dyDescent="0.25">
      <c r="A980" s="5"/>
      <c r="B980" s="5"/>
      <c r="C980" s="5"/>
      <c r="D980" s="5"/>
      <c r="E980" s="5"/>
      <c r="F980" s="5"/>
      <c r="G980" s="5"/>
      <c r="H980" s="6"/>
      <c r="I980" s="5"/>
      <c r="J980" s="83"/>
      <c r="K980" s="83"/>
      <c r="L980" s="83"/>
      <c r="M980" s="83"/>
      <c r="N980" s="83"/>
      <c r="O980" s="83"/>
      <c r="P980" s="83"/>
      <c r="Q980" s="84"/>
      <c r="R980" s="83"/>
      <c r="S980" s="83"/>
      <c r="T980" s="85"/>
      <c r="U980" s="6"/>
      <c r="V980" s="44">
        <v>45338</v>
      </c>
      <c r="W980" s="45">
        <v>187.64</v>
      </c>
      <c r="X980" s="46"/>
      <c r="Y980" s="61"/>
      <c r="Z980" s="5"/>
      <c r="AA980" s="5"/>
      <c r="AB980" s="5"/>
      <c r="AC980" s="5"/>
      <c r="AD980" s="5"/>
      <c r="AE980" s="5"/>
      <c r="AF980" s="5"/>
      <c r="AG980" s="5"/>
      <c r="AH980" s="6"/>
      <c r="AI980" s="44">
        <v>45338</v>
      </c>
      <c r="AJ980" s="53">
        <v>187.64</v>
      </c>
      <c r="AK980" s="54">
        <f t="shared" si="165"/>
        <v>4.1205115855942331E-3</v>
      </c>
      <c r="AL980" s="55">
        <f t="shared" si="168"/>
        <v>17.850961516836954</v>
      </c>
      <c r="AM980" s="56">
        <v>25</v>
      </c>
      <c r="AN980" s="57">
        <f t="shared" si="166"/>
        <v>7.1490384831630465</v>
      </c>
      <c r="AO980" s="76">
        <f t="shared" si="169"/>
        <v>10.60833531589741</v>
      </c>
      <c r="AP980" s="63" t="str">
        <f t="shared" si="170"/>
        <v>Buy Stocks</v>
      </c>
      <c r="AQ980" s="63" t="str">
        <f t="shared" si="171"/>
        <v/>
      </c>
      <c r="AR980" s="63" t="str">
        <f t="shared" si="172"/>
        <v/>
      </c>
      <c r="AS980" s="63" t="str">
        <f t="shared" si="173"/>
        <v/>
      </c>
      <c r="AT980" s="78" t="str">
        <f t="shared" si="174"/>
        <v/>
      </c>
      <c r="AU980" s="78" t="str">
        <f t="shared" si="175"/>
        <v/>
      </c>
      <c r="AV980" s="64" t="str">
        <f ca="1">IFERROR(__xludf.DUMMYFUNCTION("IF(TRIM(AU980)="""","""",AU980/INDEX(FILTER(AT$3:AT980,TRIM(AT$3:AT980)&lt;&gt;""""),ROWS(FILTER(AT$3:AT980,TRIM(AT$3:AT980)&lt;&gt;"""")))-1)"),"")</f>
        <v/>
      </c>
      <c r="AW980" s="65" t="e">
        <f t="shared" ca="1" si="167"/>
        <v>#VALUE!</v>
      </c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</row>
    <row r="981" spans="1:68" ht="19" x14ac:dyDescent="0.25">
      <c r="A981" s="5"/>
      <c r="B981" s="5"/>
      <c r="C981" s="5"/>
      <c r="D981" s="5"/>
      <c r="E981" s="5"/>
      <c r="F981" s="5"/>
      <c r="G981" s="5"/>
      <c r="H981" s="6"/>
      <c r="I981" s="5"/>
      <c r="J981" s="83"/>
      <c r="K981" s="83"/>
      <c r="L981" s="83"/>
      <c r="M981" s="83"/>
      <c r="N981" s="83"/>
      <c r="O981" s="83"/>
      <c r="P981" s="83"/>
      <c r="Q981" s="84"/>
      <c r="R981" s="83"/>
      <c r="S981" s="83"/>
      <c r="T981" s="85"/>
      <c r="U981" s="6"/>
      <c r="V981" s="44">
        <v>45342</v>
      </c>
      <c r="W981" s="45">
        <v>183.44</v>
      </c>
      <c r="X981" s="46"/>
      <c r="Y981" s="61"/>
      <c r="Z981" s="5"/>
      <c r="AA981" s="5"/>
      <c r="AB981" s="5"/>
      <c r="AC981" s="5"/>
      <c r="AD981" s="5"/>
      <c r="AE981" s="5"/>
      <c r="AF981" s="5"/>
      <c r="AG981" s="5"/>
      <c r="AH981" s="6"/>
      <c r="AI981" s="44">
        <v>45342</v>
      </c>
      <c r="AJ981" s="53">
        <v>183.44</v>
      </c>
      <c r="AK981" s="54">
        <f t="shared" si="165"/>
        <v>-2.2383287145597897E-2</v>
      </c>
      <c r="AL981" s="55">
        <f t="shared" si="168"/>
        <v>24.795547738671235</v>
      </c>
      <c r="AM981" s="56">
        <v>25</v>
      </c>
      <c r="AN981" s="57">
        <f t="shared" si="166"/>
        <v>0.20445226132876471</v>
      </c>
      <c r="AO981" s="76">
        <f t="shared" si="169"/>
        <v>7.1260164856196955</v>
      </c>
      <c r="AP981" s="63" t="str">
        <f t="shared" si="170"/>
        <v>Buy Stocks</v>
      </c>
      <c r="AQ981" s="63" t="str">
        <f t="shared" si="171"/>
        <v/>
      </c>
      <c r="AR981" s="63" t="str">
        <f t="shared" si="172"/>
        <v/>
      </c>
      <c r="AS981" s="63" t="str">
        <f t="shared" si="173"/>
        <v/>
      </c>
      <c r="AT981" s="78" t="str">
        <f t="shared" si="174"/>
        <v/>
      </c>
      <c r="AU981" s="78" t="str">
        <f t="shared" si="175"/>
        <v/>
      </c>
      <c r="AV981" s="64" t="str">
        <f ca="1">IFERROR(__xludf.DUMMYFUNCTION("IF(TRIM(AU981)="""","""",AU981/INDEX(FILTER(AT$3:AT981,TRIM(AT$3:AT981)&lt;&gt;""""),ROWS(FILTER(AT$3:AT981,TRIM(AT$3:AT981)&lt;&gt;"""")))-1)"),"")</f>
        <v/>
      </c>
      <c r="AW981" s="65" t="e">
        <f t="shared" ca="1" si="167"/>
        <v>#VALUE!</v>
      </c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</row>
    <row r="982" spans="1:68" ht="19" x14ac:dyDescent="0.25">
      <c r="A982" s="5"/>
      <c r="B982" s="5"/>
      <c r="C982" s="5"/>
      <c r="D982" s="5"/>
      <c r="E982" s="5"/>
      <c r="F982" s="5"/>
      <c r="G982" s="5"/>
      <c r="H982" s="6"/>
      <c r="I982" s="5"/>
      <c r="J982" s="83"/>
      <c r="K982" s="83"/>
      <c r="L982" s="83"/>
      <c r="M982" s="83"/>
      <c r="N982" s="83"/>
      <c r="O982" s="83"/>
      <c r="P982" s="83"/>
      <c r="Q982" s="84"/>
      <c r="R982" s="83"/>
      <c r="S982" s="83"/>
      <c r="T982" s="85"/>
      <c r="U982" s="6"/>
      <c r="V982" s="44">
        <v>45343</v>
      </c>
      <c r="W982" s="45">
        <v>179.7</v>
      </c>
      <c r="X982" s="46"/>
      <c r="Y982" s="61"/>
      <c r="Z982" s="5"/>
      <c r="AA982" s="5"/>
      <c r="AB982" s="5"/>
      <c r="AC982" s="5"/>
      <c r="AD982" s="5"/>
      <c r="AE982" s="5"/>
      <c r="AF982" s="5"/>
      <c r="AG982" s="5"/>
      <c r="AH982" s="6"/>
      <c r="AI982" s="44">
        <v>45343</v>
      </c>
      <c r="AJ982" s="53">
        <v>179.7</v>
      </c>
      <c r="AK982" s="54">
        <f t="shared" si="165"/>
        <v>-2.0388137810728346E-2</v>
      </c>
      <c r="AL982" s="55">
        <f t="shared" si="168"/>
        <v>27.10192761620468</v>
      </c>
      <c r="AM982" s="56">
        <v>25</v>
      </c>
      <c r="AN982" s="57">
        <f t="shared" si="166"/>
        <v>-2.10192761620468</v>
      </c>
      <c r="AO982" s="76">
        <f t="shared" si="169"/>
        <v>4.4776390580934073</v>
      </c>
      <c r="AP982" s="63" t="str">
        <f t="shared" si="170"/>
        <v>Buy Stocks</v>
      </c>
      <c r="AQ982" s="63" t="str">
        <f t="shared" si="171"/>
        <v/>
      </c>
      <c r="AR982" s="63" t="str">
        <f t="shared" si="172"/>
        <v/>
      </c>
      <c r="AS982" s="63" t="str">
        <f t="shared" si="173"/>
        <v/>
      </c>
      <c r="AT982" s="78" t="str">
        <f t="shared" si="174"/>
        <v/>
      </c>
      <c r="AU982" s="78" t="str">
        <f t="shared" si="175"/>
        <v/>
      </c>
      <c r="AV982" s="64" t="str">
        <f ca="1">IFERROR(__xludf.DUMMYFUNCTION("IF(TRIM(AU982)="""","""",AU982/INDEX(FILTER(AT$3:AT982,TRIM(AT$3:AT982)&lt;&gt;""""),ROWS(FILTER(AT$3:AT982,TRIM(AT$3:AT982)&lt;&gt;"""")))-1)"),"")</f>
        <v/>
      </c>
      <c r="AW982" s="65" t="e">
        <f t="shared" ca="1" si="167"/>
        <v>#VALUE!</v>
      </c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</row>
    <row r="983" spans="1:68" ht="19" x14ac:dyDescent="0.25">
      <c r="A983" s="5"/>
      <c r="B983" s="5"/>
      <c r="C983" s="5"/>
      <c r="D983" s="5"/>
      <c r="E983" s="5"/>
      <c r="F983" s="5"/>
      <c r="G983" s="5"/>
      <c r="H983" s="6"/>
      <c r="I983" s="5"/>
      <c r="J983" s="83"/>
      <c r="K983" s="83"/>
      <c r="L983" s="83"/>
      <c r="M983" s="83"/>
      <c r="N983" s="83"/>
      <c r="O983" s="83"/>
      <c r="P983" s="83"/>
      <c r="Q983" s="84"/>
      <c r="R983" s="83"/>
      <c r="S983" s="83"/>
      <c r="T983" s="85"/>
      <c r="U983" s="6"/>
      <c r="V983" s="44">
        <v>45344</v>
      </c>
      <c r="W983" s="45">
        <v>184.21</v>
      </c>
      <c r="X983" s="46"/>
      <c r="Y983" s="61"/>
      <c r="Z983" s="5"/>
      <c r="AA983" s="5"/>
      <c r="AB983" s="5"/>
      <c r="AC983" s="5"/>
      <c r="AD983" s="5"/>
      <c r="AE983" s="5"/>
      <c r="AF983" s="5"/>
      <c r="AG983" s="5"/>
      <c r="AH983" s="6"/>
      <c r="AI983" s="44">
        <v>45344</v>
      </c>
      <c r="AJ983" s="53">
        <v>184.21</v>
      </c>
      <c r="AK983" s="54">
        <f t="shared" si="165"/>
        <v>2.5097384529771949E-2</v>
      </c>
      <c r="AL983" s="55">
        <f t="shared" si="168"/>
        <v>34.440705052147969</v>
      </c>
      <c r="AM983" s="56">
        <v>25</v>
      </c>
      <c r="AN983" s="57">
        <f t="shared" si="166"/>
        <v>-9.440705052147969</v>
      </c>
      <c r="AO983" s="76">
        <f t="shared" si="169"/>
        <v>0.35123442226677637</v>
      </c>
      <c r="AP983" s="63" t="str">
        <f t="shared" si="170"/>
        <v>Buy Stocks</v>
      </c>
      <c r="AQ983" s="63" t="str">
        <f t="shared" si="171"/>
        <v/>
      </c>
      <c r="AR983" s="63" t="str">
        <f t="shared" si="172"/>
        <v/>
      </c>
      <c r="AS983" s="63" t="str">
        <f t="shared" si="173"/>
        <v/>
      </c>
      <c r="AT983" s="78" t="str">
        <f t="shared" si="174"/>
        <v/>
      </c>
      <c r="AU983" s="78" t="str">
        <f t="shared" si="175"/>
        <v/>
      </c>
      <c r="AV983" s="64" t="str">
        <f ca="1">IFERROR(__xludf.DUMMYFUNCTION("IF(TRIM(AU983)="""","""",AU983/INDEX(FILTER(AT$3:AT983,TRIM(AT$3:AT983)&lt;&gt;""""),ROWS(FILTER(AT$3:AT983,TRIM(AT$3:AT983)&lt;&gt;"""")))-1)"),"")</f>
        <v/>
      </c>
      <c r="AW983" s="65" t="e">
        <f t="shared" ca="1" si="167"/>
        <v>#VALUE!</v>
      </c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</row>
    <row r="984" spans="1:68" ht="19" x14ac:dyDescent="0.25">
      <c r="A984" s="5"/>
      <c r="B984" s="5"/>
      <c r="C984" s="5"/>
      <c r="D984" s="5"/>
      <c r="E984" s="5"/>
      <c r="F984" s="5"/>
      <c r="G984" s="5"/>
      <c r="H984" s="6"/>
      <c r="I984" s="5"/>
      <c r="J984" s="83"/>
      <c r="K984" s="83"/>
      <c r="L984" s="83"/>
      <c r="M984" s="83"/>
      <c r="N984" s="83"/>
      <c r="O984" s="83"/>
      <c r="P984" s="83"/>
      <c r="Q984" s="84"/>
      <c r="R984" s="83"/>
      <c r="S984" s="83"/>
      <c r="T984" s="85"/>
      <c r="U984" s="6"/>
      <c r="V984" s="44">
        <v>45345</v>
      </c>
      <c r="W984" s="45">
        <v>185.72</v>
      </c>
      <c r="X984" s="46"/>
      <c r="Y984" s="61"/>
      <c r="Z984" s="5"/>
      <c r="AA984" s="5"/>
      <c r="AB984" s="5"/>
      <c r="AC984" s="5"/>
      <c r="AD984" s="5"/>
      <c r="AE984" s="5"/>
      <c r="AF984" s="5"/>
      <c r="AG984" s="5"/>
      <c r="AH984" s="6"/>
      <c r="AI984" s="44">
        <v>45345</v>
      </c>
      <c r="AJ984" s="53">
        <v>185.72</v>
      </c>
      <c r="AK984" s="54">
        <f t="shared" si="165"/>
        <v>8.1971662776179066E-3</v>
      </c>
      <c r="AL984" s="55">
        <f t="shared" si="168"/>
        <v>31.996097880689593</v>
      </c>
      <c r="AM984" s="56">
        <v>25</v>
      </c>
      <c r="AN984" s="57">
        <f t="shared" si="166"/>
        <v>-6.996097880689593</v>
      </c>
      <c r="AO984" s="76">
        <f t="shared" si="169"/>
        <v>-2.2370479609100862</v>
      </c>
      <c r="AP984" s="63" t="str">
        <f t="shared" si="170"/>
        <v/>
      </c>
      <c r="AQ984" s="63" t="str">
        <f t="shared" si="171"/>
        <v>Sell Stocks</v>
      </c>
      <c r="AR984" s="63" t="str">
        <f t="shared" si="172"/>
        <v/>
      </c>
      <c r="AS984" s="63" t="str">
        <f t="shared" si="173"/>
        <v>Sell Stocks</v>
      </c>
      <c r="AT984" s="78" t="str">
        <f t="shared" si="174"/>
        <v/>
      </c>
      <c r="AU984" s="77">
        <f t="shared" si="175"/>
        <v>185.72</v>
      </c>
      <c r="AV984" s="64">
        <f ca="1">IFERROR(__xludf.DUMMYFUNCTION("IF(TRIM(AU984)="""","""",AU984/INDEX(FILTER(AT$3:AT984,TRIM(AT$3:AT984)&lt;&gt;""""),ROWS(FILTER(AT$3:AT984,TRIM(AT$3:AT984)&lt;&gt;"""")))-1)"),0.0107760966583214)</f>
        <v>1.07760966583214E-2</v>
      </c>
      <c r="AW984" s="65" t="e">
        <f t="shared" ca="1" si="167"/>
        <v>#VALUE!</v>
      </c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</row>
    <row r="985" spans="1:68" ht="19" x14ac:dyDescent="0.25">
      <c r="A985" s="5"/>
      <c r="B985" s="5"/>
      <c r="C985" s="5"/>
      <c r="D985" s="5"/>
      <c r="E985" s="5"/>
      <c r="F985" s="5"/>
      <c r="G985" s="5"/>
      <c r="H985" s="6"/>
      <c r="I985" s="5"/>
      <c r="J985" s="83"/>
      <c r="K985" s="83"/>
      <c r="L985" s="83"/>
      <c r="M985" s="83"/>
      <c r="N985" s="83"/>
      <c r="O985" s="83"/>
      <c r="P985" s="83"/>
      <c r="Q985" s="84"/>
      <c r="R985" s="83"/>
      <c r="S985" s="83"/>
      <c r="T985" s="85"/>
      <c r="U985" s="6"/>
      <c r="V985" s="44">
        <v>45348</v>
      </c>
      <c r="W985" s="45">
        <v>184.13</v>
      </c>
      <c r="X985" s="46"/>
      <c r="Y985" s="61"/>
      <c r="Z985" s="5"/>
      <c r="AA985" s="5"/>
      <c r="AB985" s="5"/>
      <c r="AC985" s="5"/>
      <c r="AD985" s="5"/>
      <c r="AE985" s="5"/>
      <c r="AF985" s="5"/>
      <c r="AG985" s="5"/>
      <c r="AH985" s="6"/>
      <c r="AI985" s="44">
        <v>45348</v>
      </c>
      <c r="AJ985" s="53">
        <v>184.13</v>
      </c>
      <c r="AK985" s="54">
        <f t="shared" si="165"/>
        <v>-8.5612750376912183E-3</v>
      </c>
      <c r="AL985" s="55">
        <f t="shared" si="168"/>
        <v>31.966352040482725</v>
      </c>
      <c r="AM985" s="56">
        <v>25</v>
      </c>
      <c r="AN985" s="57">
        <f t="shared" si="166"/>
        <v>-6.9663520404827253</v>
      </c>
      <c r="AO985" s="76">
        <f t="shared" si="169"/>
        <v>-5.0601260656392402</v>
      </c>
      <c r="AP985" s="63" t="str">
        <f t="shared" si="170"/>
        <v/>
      </c>
      <c r="AQ985" s="63" t="str">
        <f t="shared" si="171"/>
        <v>Sell Stocks</v>
      </c>
      <c r="AR985" s="63" t="str">
        <f t="shared" si="172"/>
        <v/>
      </c>
      <c r="AS985" s="63" t="str">
        <f t="shared" si="173"/>
        <v/>
      </c>
      <c r="AT985" s="78" t="str">
        <f t="shared" si="174"/>
        <v/>
      </c>
      <c r="AU985" s="78" t="str">
        <f t="shared" si="175"/>
        <v/>
      </c>
      <c r="AV985" s="64" t="str">
        <f ca="1">IFERROR(__xludf.DUMMYFUNCTION("IF(TRIM(AU985)="""","""",AU985/INDEX(FILTER(AT$3:AT985,TRIM(AT$3:AT985)&lt;&gt;""""),ROWS(FILTER(AT$3:AT985,TRIM(AT$3:AT985)&lt;&gt;"""")))-1)"),"")</f>
        <v/>
      </c>
      <c r="AW985" s="65" t="e">
        <f t="shared" ca="1" si="167"/>
        <v>#VALUE!</v>
      </c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</row>
    <row r="986" spans="1:68" ht="19" x14ac:dyDescent="0.25">
      <c r="A986" s="5"/>
      <c r="B986" s="5"/>
      <c r="C986" s="5"/>
      <c r="D986" s="5"/>
      <c r="E986" s="5"/>
      <c r="F986" s="5"/>
      <c r="G986" s="5"/>
      <c r="H986" s="6"/>
      <c r="I986" s="5"/>
      <c r="J986" s="83"/>
      <c r="K986" s="83"/>
      <c r="L986" s="83"/>
      <c r="M986" s="83"/>
      <c r="N986" s="83"/>
      <c r="O986" s="83"/>
      <c r="P986" s="83"/>
      <c r="Q986" s="84"/>
      <c r="R986" s="83"/>
      <c r="S986" s="83"/>
      <c r="T986" s="85"/>
      <c r="U986" s="6"/>
      <c r="V986" s="44">
        <v>45349</v>
      </c>
      <c r="W986" s="45">
        <v>184.87</v>
      </c>
      <c r="X986" s="46"/>
      <c r="Y986" s="61"/>
      <c r="Z986" s="5"/>
      <c r="AA986" s="5"/>
      <c r="AB986" s="5"/>
      <c r="AC986" s="5"/>
      <c r="AD986" s="5"/>
      <c r="AE986" s="5"/>
      <c r="AF986" s="5"/>
      <c r="AG986" s="5"/>
      <c r="AH986" s="6"/>
      <c r="AI986" s="44">
        <v>45349</v>
      </c>
      <c r="AJ986" s="53">
        <v>184.87</v>
      </c>
      <c r="AK986" s="54">
        <f t="shared" si="165"/>
        <v>4.0188996904362284E-3</v>
      </c>
      <c r="AL986" s="55">
        <f t="shared" si="168"/>
        <v>27.359979899795807</v>
      </c>
      <c r="AM986" s="56">
        <v>25</v>
      </c>
      <c r="AN986" s="57">
        <f t="shared" si="166"/>
        <v>-2.3599798997958068</v>
      </c>
      <c r="AO986" s="76">
        <f t="shared" si="169"/>
        <v>-5.5730124978641546</v>
      </c>
      <c r="AP986" s="63" t="str">
        <f t="shared" si="170"/>
        <v/>
      </c>
      <c r="AQ986" s="63" t="str">
        <f t="shared" si="171"/>
        <v>Sell Stocks</v>
      </c>
      <c r="AR986" s="63" t="str">
        <f t="shared" si="172"/>
        <v/>
      </c>
      <c r="AS986" s="63" t="str">
        <f t="shared" si="173"/>
        <v/>
      </c>
      <c r="AT986" s="78" t="str">
        <f t="shared" si="174"/>
        <v/>
      </c>
      <c r="AU986" s="78" t="str">
        <f t="shared" si="175"/>
        <v/>
      </c>
      <c r="AV986" s="64" t="str">
        <f ca="1">IFERROR(__xludf.DUMMYFUNCTION("IF(TRIM(AU986)="""","""",AU986/INDEX(FILTER(AT$3:AT986,TRIM(AT$3:AT986)&lt;&gt;""""),ROWS(FILTER(AT$3:AT986,TRIM(AT$3:AT986)&lt;&gt;"""")))-1)"),"")</f>
        <v/>
      </c>
      <c r="AW986" s="65" t="e">
        <f t="shared" ca="1" si="167"/>
        <v>#VALUE!</v>
      </c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</row>
    <row r="987" spans="1:68" ht="19" x14ac:dyDescent="0.25">
      <c r="A987" s="5"/>
      <c r="B987" s="5"/>
      <c r="C987" s="5"/>
      <c r="D987" s="5"/>
      <c r="E987" s="5"/>
      <c r="F987" s="5"/>
      <c r="G987" s="5"/>
      <c r="H987" s="6"/>
      <c r="I987" s="5"/>
      <c r="J987" s="83"/>
      <c r="K987" s="83"/>
      <c r="L987" s="83"/>
      <c r="M987" s="83"/>
      <c r="N987" s="83"/>
      <c r="O987" s="83"/>
      <c r="P987" s="83"/>
      <c r="Q987" s="84"/>
      <c r="R987" s="83"/>
      <c r="S987" s="83"/>
      <c r="T987" s="85"/>
      <c r="U987" s="6"/>
      <c r="V987" s="44">
        <v>45350</v>
      </c>
      <c r="W987" s="45">
        <v>185.3</v>
      </c>
      <c r="X987" s="46"/>
      <c r="Y987" s="61"/>
      <c r="Z987" s="5"/>
      <c r="AA987" s="5"/>
      <c r="AB987" s="5"/>
      <c r="AC987" s="5"/>
      <c r="AD987" s="5"/>
      <c r="AE987" s="5"/>
      <c r="AF987" s="5"/>
      <c r="AG987" s="5"/>
      <c r="AH987" s="6"/>
      <c r="AI987" s="44">
        <v>45350</v>
      </c>
      <c r="AJ987" s="53">
        <v>185.3</v>
      </c>
      <c r="AK987" s="54">
        <f t="shared" si="165"/>
        <v>2.3259587818467153E-3</v>
      </c>
      <c r="AL987" s="55">
        <f t="shared" si="168"/>
        <v>19.422108901716975</v>
      </c>
      <c r="AM987" s="56">
        <v>25</v>
      </c>
      <c r="AN987" s="57">
        <f t="shared" si="166"/>
        <v>5.5778910982830254</v>
      </c>
      <c r="AO987" s="76">
        <f t="shared" si="169"/>
        <v>-4.0370487549666141</v>
      </c>
      <c r="AP987" s="63" t="str">
        <f t="shared" si="170"/>
        <v/>
      </c>
      <c r="AQ987" s="63" t="str">
        <f t="shared" si="171"/>
        <v>Sell Stocks</v>
      </c>
      <c r="AR987" s="63" t="str">
        <f t="shared" si="172"/>
        <v/>
      </c>
      <c r="AS987" s="63" t="str">
        <f t="shared" si="173"/>
        <v/>
      </c>
      <c r="AT987" s="78" t="str">
        <f t="shared" si="174"/>
        <v/>
      </c>
      <c r="AU987" s="78" t="str">
        <f t="shared" si="175"/>
        <v/>
      </c>
      <c r="AV987" s="64" t="str">
        <f ca="1">IFERROR(__xludf.DUMMYFUNCTION("IF(TRIM(AU987)="""","""",AU987/INDEX(FILTER(AT$3:AT987,TRIM(AT$3:AT987)&lt;&gt;""""),ROWS(FILTER(AT$3:AT987,TRIM(AT$3:AT987)&lt;&gt;"""")))-1)"),"")</f>
        <v/>
      </c>
      <c r="AW987" s="65" t="e">
        <f t="shared" ca="1" si="167"/>
        <v>#VALUE!</v>
      </c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</row>
    <row r="988" spans="1:68" ht="19" x14ac:dyDescent="0.25">
      <c r="A988" s="5"/>
      <c r="B988" s="5"/>
      <c r="C988" s="5"/>
      <c r="D988" s="5"/>
      <c r="E988" s="5"/>
      <c r="F988" s="5"/>
      <c r="G988" s="5"/>
      <c r="H988" s="6"/>
      <c r="I988" s="5"/>
      <c r="J988" s="83"/>
      <c r="K988" s="83"/>
      <c r="L988" s="83"/>
      <c r="M988" s="83"/>
      <c r="N988" s="83"/>
      <c r="O988" s="83"/>
      <c r="P988" s="83"/>
      <c r="Q988" s="84"/>
      <c r="R988" s="83"/>
      <c r="S988" s="83"/>
      <c r="T988" s="85"/>
      <c r="U988" s="6"/>
      <c r="V988" s="44">
        <v>45351</v>
      </c>
      <c r="W988" s="45">
        <v>185.03</v>
      </c>
      <c r="X988" s="46"/>
      <c r="Y988" s="61"/>
      <c r="Z988" s="5"/>
      <c r="AA988" s="5"/>
      <c r="AB988" s="5"/>
      <c r="AC988" s="5"/>
      <c r="AD988" s="5"/>
      <c r="AE988" s="5"/>
      <c r="AF988" s="5"/>
      <c r="AG988" s="5"/>
      <c r="AH988" s="6"/>
      <c r="AI988" s="44">
        <v>45351</v>
      </c>
      <c r="AJ988" s="53">
        <v>185.03</v>
      </c>
      <c r="AK988" s="54">
        <f t="shared" si="165"/>
        <v>-1.4570966001079544E-3</v>
      </c>
      <c r="AL988" s="55">
        <f t="shared" si="168"/>
        <v>10.042462833350598</v>
      </c>
      <c r="AM988" s="56">
        <v>25</v>
      </c>
      <c r="AN988" s="57">
        <f t="shared" si="166"/>
        <v>14.957537166649402</v>
      </c>
      <c r="AO988" s="76">
        <f t="shared" si="169"/>
        <v>0.84259968879286051</v>
      </c>
      <c r="AP988" s="63" t="str">
        <f t="shared" si="170"/>
        <v>Buy Stocks</v>
      </c>
      <c r="AQ988" s="63" t="str">
        <f t="shared" si="171"/>
        <v/>
      </c>
      <c r="AR988" s="63" t="str">
        <f t="shared" si="172"/>
        <v>Buy Stocks</v>
      </c>
      <c r="AS988" s="63" t="str">
        <f t="shared" si="173"/>
        <v/>
      </c>
      <c r="AT988" s="77">
        <f t="shared" si="174"/>
        <v>185.03</v>
      </c>
      <c r="AU988" s="78" t="str">
        <f t="shared" si="175"/>
        <v/>
      </c>
      <c r="AV988" s="64" t="str">
        <f ca="1">IFERROR(__xludf.DUMMYFUNCTION("IF(TRIM(AU988)="""","""",AU988/INDEX(FILTER(AT$3:AT988,TRIM(AT$3:AT988)&lt;&gt;""""),ROWS(FILTER(AT$3:AT988,TRIM(AT$3:AT988)&lt;&gt;"""")))-1)"),"")</f>
        <v/>
      </c>
      <c r="AW988" s="65" t="e">
        <f t="shared" ca="1" si="167"/>
        <v>#VALUE!</v>
      </c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</row>
    <row r="989" spans="1:68" ht="19" x14ac:dyDescent="0.25">
      <c r="A989" s="5"/>
      <c r="B989" s="5"/>
      <c r="C989" s="5"/>
      <c r="D989" s="5"/>
      <c r="E989" s="5"/>
      <c r="F989" s="5"/>
      <c r="G989" s="5"/>
      <c r="H989" s="6"/>
      <c r="I989" s="5"/>
      <c r="J989" s="83"/>
      <c r="K989" s="83"/>
      <c r="L989" s="83"/>
      <c r="M989" s="83"/>
      <c r="N989" s="83"/>
      <c r="O989" s="83"/>
      <c r="P989" s="83"/>
      <c r="Q989" s="84"/>
      <c r="R989" s="83"/>
      <c r="S989" s="83"/>
      <c r="T989" s="85"/>
      <c r="U989" s="6"/>
      <c r="V989" s="44">
        <v>45352</v>
      </c>
      <c r="W989" s="45">
        <v>188.2</v>
      </c>
      <c r="X989" s="46"/>
      <c r="Y989" s="61"/>
      <c r="Z989" s="5"/>
      <c r="AA989" s="5"/>
      <c r="AB989" s="5"/>
      <c r="AC989" s="5"/>
      <c r="AD989" s="5"/>
      <c r="AE989" s="5"/>
      <c r="AF989" s="5"/>
      <c r="AG989" s="5"/>
      <c r="AH989" s="6"/>
      <c r="AI989" s="44">
        <v>45352</v>
      </c>
      <c r="AJ989" s="53">
        <v>188.2</v>
      </c>
      <c r="AK989" s="54">
        <f t="shared" si="165"/>
        <v>1.7132356915094737E-2</v>
      </c>
      <c r="AL989" s="55">
        <f t="shared" si="168"/>
        <v>14.939543087607424</v>
      </c>
      <c r="AM989" s="56">
        <v>25</v>
      </c>
      <c r="AN989" s="57">
        <f t="shared" si="166"/>
        <v>10.060456912392576</v>
      </c>
      <c r="AO989" s="76">
        <f t="shared" si="169"/>
        <v>4.2539106474092945</v>
      </c>
      <c r="AP989" s="63" t="str">
        <f t="shared" si="170"/>
        <v>Buy Stocks</v>
      </c>
      <c r="AQ989" s="63" t="str">
        <f t="shared" si="171"/>
        <v/>
      </c>
      <c r="AR989" s="63" t="str">
        <f t="shared" si="172"/>
        <v/>
      </c>
      <c r="AS989" s="63" t="str">
        <f t="shared" si="173"/>
        <v/>
      </c>
      <c r="AT989" s="78" t="str">
        <f t="shared" si="174"/>
        <v/>
      </c>
      <c r="AU989" s="78" t="str">
        <f t="shared" si="175"/>
        <v/>
      </c>
      <c r="AV989" s="64" t="str">
        <f ca="1">IFERROR(__xludf.DUMMYFUNCTION("IF(TRIM(AU989)="""","""",AU989/INDEX(FILTER(AT$3:AT989,TRIM(AT$3:AT989)&lt;&gt;""""),ROWS(FILTER(AT$3:AT989,TRIM(AT$3:AT989)&lt;&gt;"""")))-1)"),"")</f>
        <v/>
      </c>
      <c r="AW989" s="65" t="e">
        <f t="shared" ca="1" si="167"/>
        <v>#VALUE!</v>
      </c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</row>
    <row r="990" spans="1:68" ht="19" x14ac:dyDescent="0.25">
      <c r="A990" s="5"/>
      <c r="B990" s="5"/>
      <c r="C990" s="5"/>
      <c r="D990" s="5"/>
      <c r="E990" s="5"/>
      <c r="F990" s="5"/>
      <c r="G990" s="5"/>
      <c r="H990" s="6"/>
      <c r="I990" s="5"/>
      <c r="J990" s="83"/>
      <c r="K990" s="83"/>
      <c r="L990" s="83"/>
      <c r="M990" s="83"/>
      <c r="N990" s="83"/>
      <c r="O990" s="83"/>
      <c r="P990" s="83"/>
      <c r="Q990" s="84"/>
      <c r="R990" s="83"/>
      <c r="S990" s="83"/>
      <c r="T990" s="85"/>
      <c r="U990" s="6"/>
      <c r="V990" s="44">
        <v>45355</v>
      </c>
      <c r="W990" s="45">
        <v>193.06</v>
      </c>
      <c r="X990" s="46"/>
      <c r="Y990" s="61"/>
      <c r="Z990" s="5"/>
      <c r="AA990" s="5"/>
      <c r="AB990" s="5"/>
      <c r="AC990" s="5"/>
      <c r="AD990" s="5"/>
      <c r="AE990" s="5"/>
      <c r="AF990" s="5"/>
      <c r="AG990" s="5"/>
      <c r="AH990" s="6"/>
      <c r="AI990" s="44">
        <v>45355</v>
      </c>
      <c r="AJ990" s="53">
        <v>193.06</v>
      </c>
      <c r="AK990" s="54">
        <f t="shared" si="165"/>
        <v>2.5823591923485711E-2</v>
      </c>
      <c r="AL990" s="55">
        <f t="shared" si="168"/>
        <v>18.20827836101601</v>
      </c>
      <c r="AM990" s="56">
        <v>25</v>
      </c>
      <c r="AN990" s="57">
        <f t="shared" si="166"/>
        <v>6.7917216389839901</v>
      </c>
      <c r="AO990" s="76">
        <f t="shared" si="169"/>
        <v>7.0055253833026372</v>
      </c>
      <c r="AP990" s="63" t="str">
        <f t="shared" si="170"/>
        <v>Buy Stocks</v>
      </c>
      <c r="AQ990" s="63" t="str">
        <f t="shared" si="171"/>
        <v/>
      </c>
      <c r="AR990" s="63" t="str">
        <f t="shared" si="172"/>
        <v/>
      </c>
      <c r="AS990" s="63" t="str">
        <f t="shared" si="173"/>
        <v/>
      </c>
      <c r="AT990" s="78" t="str">
        <f t="shared" si="174"/>
        <v/>
      </c>
      <c r="AU990" s="78" t="str">
        <f t="shared" si="175"/>
        <v/>
      </c>
      <c r="AV990" s="64" t="str">
        <f ca="1">IFERROR(__xludf.DUMMYFUNCTION("IF(TRIM(AU990)="""","""",AU990/INDEX(FILTER(AT$3:AT990,TRIM(AT$3:AT990)&lt;&gt;""""),ROWS(FILTER(AT$3:AT990,TRIM(AT$3:AT990)&lt;&gt;"""")))-1)"),"")</f>
        <v/>
      </c>
      <c r="AW990" s="65" t="e">
        <f t="shared" ca="1" si="167"/>
        <v>#VALUE!</v>
      </c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</row>
    <row r="991" spans="1:68" ht="19" x14ac:dyDescent="0.25">
      <c r="A991" s="5"/>
      <c r="B991" s="5"/>
      <c r="C991" s="5"/>
      <c r="D991" s="5"/>
      <c r="E991" s="5"/>
      <c r="F991" s="5"/>
      <c r="G991" s="5"/>
      <c r="H991" s="6"/>
      <c r="I991" s="5"/>
      <c r="J991" s="83"/>
      <c r="K991" s="83"/>
      <c r="L991" s="83"/>
      <c r="M991" s="83"/>
      <c r="N991" s="83"/>
      <c r="O991" s="83"/>
      <c r="P991" s="83"/>
      <c r="Q991" s="84"/>
      <c r="R991" s="83"/>
      <c r="S991" s="83"/>
      <c r="T991" s="85"/>
      <c r="U991" s="6"/>
      <c r="V991" s="44">
        <v>45356</v>
      </c>
      <c r="W991" s="45">
        <v>191.95</v>
      </c>
      <c r="X991" s="46"/>
      <c r="Y991" s="61"/>
      <c r="Z991" s="5"/>
      <c r="AA991" s="5"/>
      <c r="AB991" s="5"/>
      <c r="AC991" s="5"/>
      <c r="AD991" s="5"/>
      <c r="AE991" s="5"/>
      <c r="AF991" s="5"/>
      <c r="AG991" s="5"/>
      <c r="AH991" s="6"/>
      <c r="AI991" s="44">
        <v>45356</v>
      </c>
      <c r="AJ991" s="53">
        <v>191.95</v>
      </c>
      <c r="AK991" s="54">
        <f t="shared" si="165"/>
        <v>-5.7495079249975101E-3</v>
      </c>
      <c r="AL991" s="55">
        <f t="shared" si="168"/>
        <v>21.164652537005534</v>
      </c>
      <c r="AM991" s="56">
        <v>25</v>
      </c>
      <c r="AN991" s="57">
        <f t="shared" si="166"/>
        <v>3.8353474629944664</v>
      </c>
      <c r="AO991" s="76">
        <f t="shared" si="169"/>
        <v>8.2445908558606895</v>
      </c>
      <c r="AP991" s="63" t="str">
        <f t="shared" si="170"/>
        <v>Buy Stocks</v>
      </c>
      <c r="AQ991" s="63" t="str">
        <f t="shared" si="171"/>
        <v/>
      </c>
      <c r="AR991" s="63" t="str">
        <f t="shared" si="172"/>
        <v/>
      </c>
      <c r="AS991" s="63" t="str">
        <f t="shared" si="173"/>
        <v/>
      </c>
      <c r="AT991" s="78" t="str">
        <f t="shared" si="174"/>
        <v/>
      </c>
      <c r="AU991" s="78" t="str">
        <f t="shared" si="175"/>
        <v/>
      </c>
      <c r="AV991" s="64" t="str">
        <f ca="1">IFERROR(__xludf.DUMMYFUNCTION("IF(TRIM(AU991)="""","""",AU991/INDEX(FILTER(AT$3:AT991,TRIM(AT$3:AT991)&lt;&gt;""""),ROWS(FILTER(AT$3:AT991,TRIM(AT$3:AT991)&lt;&gt;"""")))-1)"),"")</f>
        <v/>
      </c>
      <c r="AW991" s="65" t="e">
        <f t="shared" ca="1" si="167"/>
        <v>#VALUE!</v>
      </c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</row>
    <row r="992" spans="1:68" ht="19" x14ac:dyDescent="0.25">
      <c r="A992" s="5"/>
      <c r="B992" s="5"/>
      <c r="C992" s="5"/>
      <c r="D992" s="5"/>
      <c r="E992" s="5"/>
      <c r="F992" s="5"/>
      <c r="G992" s="5"/>
      <c r="H992" s="6"/>
      <c r="I992" s="5"/>
      <c r="J992" s="83"/>
      <c r="K992" s="83"/>
      <c r="L992" s="83"/>
      <c r="M992" s="83"/>
      <c r="N992" s="83"/>
      <c r="O992" s="83"/>
      <c r="P992" s="83"/>
      <c r="Q992" s="84"/>
      <c r="R992" s="83"/>
      <c r="S992" s="83"/>
      <c r="T992" s="85"/>
      <c r="U992" s="6"/>
      <c r="V992" s="44">
        <v>45357</v>
      </c>
      <c r="W992" s="45">
        <v>196.16</v>
      </c>
      <c r="X992" s="46"/>
      <c r="Y992" s="61"/>
      <c r="Z992" s="5"/>
      <c r="AA992" s="5"/>
      <c r="AB992" s="5"/>
      <c r="AC992" s="5"/>
      <c r="AD992" s="5"/>
      <c r="AE992" s="5"/>
      <c r="AF992" s="5"/>
      <c r="AG992" s="5"/>
      <c r="AH992" s="6"/>
      <c r="AI992" s="44">
        <v>45357</v>
      </c>
      <c r="AJ992" s="53">
        <v>196.16</v>
      </c>
      <c r="AK992" s="54">
        <f t="shared" si="165"/>
        <v>2.1932794998697602E-2</v>
      </c>
      <c r="AL992" s="55">
        <f t="shared" si="168"/>
        <v>22.605951096555103</v>
      </c>
      <c r="AM992" s="56">
        <v>25</v>
      </c>
      <c r="AN992" s="57">
        <f t="shared" si="166"/>
        <v>2.3940489034448973</v>
      </c>
      <c r="AO992" s="76">
        <f t="shared" si="169"/>
        <v>7.6078224168930664</v>
      </c>
      <c r="AP992" s="63" t="str">
        <f t="shared" si="170"/>
        <v>Buy Stocks</v>
      </c>
      <c r="AQ992" s="63" t="str">
        <f t="shared" si="171"/>
        <v/>
      </c>
      <c r="AR992" s="63" t="str">
        <f t="shared" si="172"/>
        <v/>
      </c>
      <c r="AS992" s="63" t="str">
        <f t="shared" si="173"/>
        <v/>
      </c>
      <c r="AT992" s="78" t="str">
        <f t="shared" si="174"/>
        <v/>
      </c>
      <c r="AU992" s="78" t="str">
        <f t="shared" si="175"/>
        <v/>
      </c>
      <c r="AV992" s="64" t="str">
        <f ca="1">IFERROR(__xludf.DUMMYFUNCTION("IF(TRIM(AU992)="""","""",AU992/INDEX(FILTER(AT$3:AT992,TRIM(AT$3:AT992)&lt;&gt;""""),ROWS(FILTER(AT$3:AT992,TRIM(AT$3:AT992)&lt;&gt;"""")))-1)"),"")</f>
        <v/>
      </c>
      <c r="AW992" s="65" t="e">
        <f t="shared" ca="1" si="167"/>
        <v>#VALUE!</v>
      </c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</row>
    <row r="993" spans="1:68" ht="19" x14ac:dyDescent="0.25">
      <c r="A993" s="5"/>
      <c r="B993" s="5"/>
      <c r="C993" s="5"/>
      <c r="D993" s="5"/>
      <c r="E993" s="5"/>
      <c r="F993" s="5"/>
      <c r="G993" s="5"/>
      <c r="H993" s="6"/>
      <c r="I993" s="5"/>
      <c r="J993" s="83"/>
      <c r="K993" s="83"/>
      <c r="L993" s="83"/>
      <c r="M993" s="83"/>
      <c r="N993" s="83"/>
      <c r="O993" s="83"/>
      <c r="P993" s="83"/>
      <c r="Q993" s="84"/>
      <c r="R993" s="83"/>
      <c r="S993" s="83"/>
      <c r="T993" s="85"/>
      <c r="U993" s="6"/>
      <c r="V993" s="44">
        <v>45358</v>
      </c>
      <c r="W993" s="45">
        <v>196.54</v>
      </c>
      <c r="X993" s="46"/>
      <c r="Y993" s="61"/>
      <c r="Z993" s="5"/>
      <c r="AA993" s="5"/>
      <c r="AB993" s="5"/>
      <c r="AC993" s="5"/>
      <c r="AD993" s="5"/>
      <c r="AE993" s="5"/>
      <c r="AF993" s="5"/>
      <c r="AG993" s="5"/>
      <c r="AH993" s="6"/>
      <c r="AI993" s="44">
        <v>45358</v>
      </c>
      <c r="AJ993" s="53">
        <v>196.54</v>
      </c>
      <c r="AK993" s="54">
        <f t="shared" si="165"/>
        <v>1.9371941272430249E-3</v>
      </c>
      <c r="AL993" s="55">
        <f t="shared" si="168"/>
        <v>21.477079109934625</v>
      </c>
      <c r="AM993" s="56">
        <v>25</v>
      </c>
      <c r="AN993" s="57">
        <f t="shared" si="166"/>
        <v>3.5229208900653752</v>
      </c>
      <c r="AO993" s="76">
        <f t="shared" si="169"/>
        <v>5.3208991615762615</v>
      </c>
      <c r="AP993" s="63" t="str">
        <f t="shared" si="170"/>
        <v>Buy Stocks</v>
      </c>
      <c r="AQ993" s="63" t="str">
        <f t="shared" si="171"/>
        <v/>
      </c>
      <c r="AR993" s="63" t="str">
        <f t="shared" si="172"/>
        <v/>
      </c>
      <c r="AS993" s="63" t="str">
        <f t="shared" si="173"/>
        <v/>
      </c>
      <c r="AT993" s="78" t="str">
        <f t="shared" si="174"/>
        <v/>
      </c>
      <c r="AU993" s="78" t="str">
        <f t="shared" si="175"/>
        <v/>
      </c>
      <c r="AV993" s="64" t="str">
        <f ca="1">IFERROR(__xludf.DUMMYFUNCTION("IF(TRIM(AU993)="""","""",AU993/INDEX(FILTER(AT$3:AT993,TRIM(AT$3:AT993)&lt;&gt;""""),ROWS(FILTER(AT$3:AT993,TRIM(AT$3:AT993)&lt;&gt;"""")))-1)"),"")</f>
        <v/>
      </c>
      <c r="AW993" s="65" t="e">
        <f t="shared" ca="1" si="167"/>
        <v>#VALUE!</v>
      </c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</row>
    <row r="994" spans="1:68" ht="19" x14ac:dyDescent="0.25">
      <c r="A994" s="5"/>
      <c r="B994" s="5"/>
      <c r="C994" s="5"/>
      <c r="D994" s="5"/>
      <c r="E994" s="5"/>
      <c r="F994" s="5"/>
      <c r="G994" s="5"/>
      <c r="H994" s="6"/>
      <c r="I994" s="5"/>
      <c r="J994" s="83"/>
      <c r="K994" s="83"/>
      <c r="L994" s="83"/>
      <c r="M994" s="83"/>
      <c r="N994" s="83"/>
      <c r="O994" s="83"/>
      <c r="P994" s="83"/>
      <c r="Q994" s="84"/>
      <c r="R994" s="83"/>
      <c r="S994" s="83"/>
      <c r="T994" s="85"/>
      <c r="U994" s="6"/>
      <c r="V994" s="44">
        <v>45359</v>
      </c>
      <c r="W994" s="45">
        <v>195.95</v>
      </c>
      <c r="X994" s="46"/>
      <c r="Y994" s="61"/>
      <c r="Z994" s="5"/>
      <c r="AA994" s="5"/>
      <c r="AB994" s="5"/>
      <c r="AC994" s="5"/>
      <c r="AD994" s="5"/>
      <c r="AE994" s="5"/>
      <c r="AF994" s="5"/>
      <c r="AG994" s="5"/>
      <c r="AH994" s="6"/>
      <c r="AI994" s="44">
        <v>45359</v>
      </c>
      <c r="AJ994" s="53">
        <v>195.95</v>
      </c>
      <c r="AK994" s="54">
        <f t="shared" si="165"/>
        <v>-3.0019334486618421E-3</v>
      </c>
      <c r="AL994" s="55">
        <f t="shared" si="168"/>
        <v>23.25594818212544</v>
      </c>
      <c r="AM994" s="56">
        <v>25</v>
      </c>
      <c r="AN994" s="57">
        <f t="shared" si="166"/>
        <v>1.7440518178745599</v>
      </c>
      <c r="AO994" s="76">
        <f t="shared" si="169"/>
        <v>3.6576181426726579</v>
      </c>
      <c r="AP994" s="63" t="str">
        <f t="shared" si="170"/>
        <v>Buy Stocks</v>
      </c>
      <c r="AQ994" s="63" t="str">
        <f t="shared" si="171"/>
        <v/>
      </c>
      <c r="AR994" s="63" t="str">
        <f t="shared" si="172"/>
        <v/>
      </c>
      <c r="AS994" s="63" t="str">
        <f t="shared" si="173"/>
        <v/>
      </c>
      <c r="AT994" s="78" t="str">
        <f t="shared" si="174"/>
        <v/>
      </c>
      <c r="AU994" s="78" t="str">
        <f t="shared" si="175"/>
        <v/>
      </c>
      <c r="AV994" s="64" t="str">
        <f ca="1">IFERROR(__xludf.DUMMYFUNCTION("IF(TRIM(AU994)="""","""",AU994/INDEX(FILTER(AT$3:AT994,TRIM(AT$3:AT994)&lt;&gt;""""),ROWS(FILTER(AT$3:AT994,TRIM(AT$3:AT994)&lt;&gt;"""")))-1)"),"")</f>
        <v/>
      </c>
      <c r="AW994" s="65" t="e">
        <f t="shared" ca="1" si="167"/>
        <v>#VALUE!</v>
      </c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</row>
    <row r="995" spans="1:68" ht="19" x14ac:dyDescent="0.25">
      <c r="A995" s="5"/>
      <c r="B995" s="5"/>
      <c r="C995" s="5"/>
      <c r="D995" s="5"/>
      <c r="E995" s="5"/>
      <c r="F995" s="5"/>
      <c r="G995" s="5"/>
      <c r="H995" s="6"/>
      <c r="I995" s="5"/>
      <c r="J995" s="83"/>
      <c r="K995" s="83"/>
      <c r="L995" s="83"/>
      <c r="M995" s="83"/>
      <c r="N995" s="83"/>
      <c r="O995" s="83"/>
      <c r="P995" s="83"/>
      <c r="Q995" s="84"/>
      <c r="R995" s="83"/>
      <c r="S995" s="83"/>
      <c r="T995" s="85"/>
      <c r="U995" s="6"/>
      <c r="V995" s="44">
        <v>45362</v>
      </c>
      <c r="W995" s="45">
        <v>191.73</v>
      </c>
      <c r="X995" s="46"/>
      <c r="Y995" s="61"/>
      <c r="Z995" s="5"/>
      <c r="AA995" s="5"/>
      <c r="AB995" s="5"/>
      <c r="AC995" s="5"/>
      <c r="AD995" s="5"/>
      <c r="AE995" s="5"/>
      <c r="AF995" s="5"/>
      <c r="AG995" s="5"/>
      <c r="AH995" s="6"/>
      <c r="AI995" s="44">
        <v>45362</v>
      </c>
      <c r="AJ995" s="53">
        <v>191.73</v>
      </c>
      <c r="AK995" s="54">
        <f t="shared" si="165"/>
        <v>-2.1536106149527945E-2</v>
      </c>
      <c r="AL995" s="55">
        <f t="shared" si="168"/>
        <v>24.878391784348644</v>
      </c>
      <c r="AM995" s="56">
        <v>25</v>
      </c>
      <c r="AN995" s="57">
        <f t="shared" si="166"/>
        <v>0.12160821565135649</v>
      </c>
      <c r="AO995" s="76">
        <f t="shared" si="169"/>
        <v>2.3235954580061309</v>
      </c>
      <c r="AP995" s="63" t="str">
        <f t="shared" si="170"/>
        <v>Buy Stocks</v>
      </c>
      <c r="AQ995" s="63" t="str">
        <f t="shared" si="171"/>
        <v/>
      </c>
      <c r="AR995" s="63" t="str">
        <f t="shared" si="172"/>
        <v/>
      </c>
      <c r="AS995" s="63" t="str">
        <f t="shared" si="173"/>
        <v/>
      </c>
      <c r="AT995" s="78" t="str">
        <f t="shared" si="174"/>
        <v/>
      </c>
      <c r="AU995" s="78" t="str">
        <f t="shared" si="175"/>
        <v/>
      </c>
      <c r="AV995" s="64" t="str">
        <f ca="1">IFERROR(__xludf.DUMMYFUNCTION("IF(TRIM(AU995)="""","""",AU995/INDEX(FILTER(AT$3:AT995,TRIM(AT$3:AT995)&lt;&gt;""""),ROWS(FILTER(AT$3:AT995,TRIM(AT$3:AT995)&lt;&gt;"""")))-1)"),"")</f>
        <v/>
      </c>
      <c r="AW995" s="65" t="e">
        <f t="shared" ca="1" si="167"/>
        <v>#VALUE!</v>
      </c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</row>
    <row r="996" spans="1:68" ht="19" x14ac:dyDescent="0.25">
      <c r="A996" s="5"/>
      <c r="B996" s="5"/>
      <c r="C996" s="5"/>
      <c r="D996" s="5"/>
      <c r="E996" s="5"/>
      <c r="F996" s="5"/>
      <c r="G996" s="5"/>
      <c r="H996" s="6"/>
      <c r="I996" s="5"/>
      <c r="J996" s="83"/>
      <c r="K996" s="83"/>
      <c r="L996" s="83"/>
      <c r="M996" s="83"/>
      <c r="N996" s="83"/>
      <c r="O996" s="83"/>
      <c r="P996" s="83"/>
      <c r="Q996" s="84"/>
      <c r="R996" s="83"/>
      <c r="S996" s="83"/>
      <c r="T996" s="85"/>
      <c r="U996" s="6"/>
      <c r="V996" s="44">
        <v>45363</v>
      </c>
      <c r="W996" s="45">
        <v>197.78</v>
      </c>
      <c r="X996" s="46"/>
      <c r="Y996" s="61"/>
      <c r="Z996" s="5"/>
      <c r="AA996" s="5"/>
      <c r="AB996" s="5"/>
      <c r="AC996" s="5"/>
      <c r="AD996" s="5"/>
      <c r="AE996" s="5"/>
      <c r="AF996" s="5"/>
      <c r="AG996" s="5"/>
      <c r="AH996" s="6"/>
      <c r="AI996" s="44">
        <v>45363</v>
      </c>
      <c r="AJ996" s="53">
        <v>197.78</v>
      </c>
      <c r="AK996" s="54">
        <f t="shared" si="165"/>
        <v>3.1554790590935244E-2</v>
      </c>
      <c r="AL996" s="55">
        <f t="shared" si="168"/>
        <v>33.322501173301291</v>
      </c>
      <c r="AM996" s="56">
        <v>25</v>
      </c>
      <c r="AN996" s="57">
        <f t="shared" si="166"/>
        <v>-8.3225011733012906</v>
      </c>
      <c r="AO996" s="76">
        <f t="shared" si="169"/>
        <v>-0.10797426925302034</v>
      </c>
      <c r="AP996" s="63" t="str">
        <f t="shared" si="170"/>
        <v/>
      </c>
      <c r="AQ996" s="63" t="str">
        <f t="shared" si="171"/>
        <v>Sell Stocks</v>
      </c>
      <c r="AR996" s="63" t="str">
        <f t="shared" si="172"/>
        <v/>
      </c>
      <c r="AS996" s="63" t="str">
        <f t="shared" si="173"/>
        <v>Sell Stocks</v>
      </c>
      <c r="AT996" s="78" t="str">
        <f t="shared" si="174"/>
        <v/>
      </c>
      <c r="AU996" s="77">
        <f t="shared" si="175"/>
        <v>197.78</v>
      </c>
      <c r="AV996" s="64">
        <f ca="1">IFERROR(__xludf.DUMMYFUNCTION("IF(TRIM(AU996)="""","""",AU996/INDEX(FILTER(AT$3:AT996,TRIM(AT$3:AT996)&lt;&gt;""""),ROWS(FILTER(AT$3:AT996,TRIM(AT$3:AT996)&lt;&gt;"""")))-1)"),0.0689077446900503)</f>
        <v>6.8907744690050302E-2</v>
      </c>
      <c r="AW996" s="65" t="e">
        <f t="shared" ca="1" si="167"/>
        <v>#VALUE!</v>
      </c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</row>
    <row r="997" spans="1:68" ht="19" x14ac:dyDescent="0.25">
      <c r="A997" s="5"/>
      <c r="B997" s="5"/>
      <c r="C997" s="5"/>
      <c r="D997" s="5"/>
      <c r="E997" s="5"/>
      <c r="F997" s="5"/>
      <c r="G997" s="5"/>
      <c r="H997" s="6"/>
      <c r="I997" s="5"/>
      <c r="J997" s="83"/>
      <c r="K997" s="83"/>
      <c r="L997" s="83"/>
      <c r="M997" s="83"/>
      <c r="N997" s="83"/>
      <c r="O997" s="83"/>
      <c r="P997" s="83"/>
      <c r="Q997" s="84"/>
      <c r="R997" s="83"/>
      <c r="S997" s="83"/>
      <c r="T997" s="85"/>
      <c r="U997" s="6"/>
      <c r="V997" s="44">
        <v>45364</v>
      </c>
      <c r="W997" s="45">
        <v>196.7</v>
      </c>
      <c r="X997" s="46"/>
      <c r="Y997" s="61"/>
      <c r="Z997" s="5"/>
      <c r="AA997" s="5"/>
      <c r="AB997" s="5"/>
      <c r="AC997" s="5"/>
      <c r="AD997" s="5"/>
      <c r="AE997" s="5"/>
      <c r="AF997" s="5"/>
      <c r="AG997" s="5"/>
      <c r="AH997" s="6"/>
      <c r="AI997" s="44">
        <v>45364</v>
      </c>
      <c r="AJ997" s="53">
        <v>196.7</v>
      </c>
      <c r="AK997" s="54">
        <f t="shared" si="165"/>
        <v>-5.460612802103415E-3</v>
      </c>
      <c r="AL997" s="55">
        <f t="shared" si="168"/>
        <v>30.737272018707191</v>
      </c>
      <c r="AM997" s="56">
        <v>25</v>
      </c>
      <c r="AN997" s="57">
        <f t="shared" si="166"/>
        <v>-5.7372720187071913</v>
      </c>
      <c r="AO997" s="76">
        <f t="shared" si="169"/>
        <v>-1.7342384536834381</v>
      </c>
      <c r="AP997" s="63" t="str">
        <f t="shared" si="170"/>
        <v/>
      </c>
      <c r="AQ997" s="63" t="str">
        <f t="shared" si="171"/>
        <v>Sell Stocks</v>
      </c>
      <c r="AR997" s="63" t="str">
        <f t="shared" si="172"/>
        <v/>
      </c>
      <c r="AS997" s="63" t="str">
        <f t="shared" si="173"/>
        <v/>
      </c>
      <c r="AT997" s="78" t="str">
        <f t="shared" si="174"/>
        <v/>
      </c>
      <c r="AU997" s="78" t="str">
        <f t="shared" si="175"/>
        <v/>
      </c>
      <c r="AV997" s="64" t="str">
        <f ca="1">IFERROR(__xludf.DUMMYFUNCTION("IF(TRIM(AU997)="""","""",AU997/INDEX(FILTER(AT$3:AT997,TRIM(AT$3:AT997)&lt;&gt;""""),ROWS(FILTER(AT$3:AT997,TRIM(AT$3:AT997)&lt;&gt;"""")))-1)"),"")</f>
        <v/>
      </c>
      <c r="AW997" s="65" t="e">
        <f t="shared" ca="1" si="167"/>
        <v>#VALUE!</v>
      </c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</row>
    <row r="998" spans="1:68" ht="19" x14ac:dyDescent="0.25">
      <c r="A998" s="5"/>
      <c r="B998" s="5"/>
      <c r="C998" s="5"/>
      <c r="D998" s="5"/>
      <c r="E998" s="5"/>
      <c r="F998" s="5"/>
      <c r="G998" s="5"/>
      <c r="H998" s="6"/>
      <c r="I998" s="5"/>
      <c r="J998" s="83"/>
      <c r="K998" s="83"/>
      <c r="L998" s="83"/>
      <c r="M998" s="83"/>
      <c r="N998" s="83"/>
      <c r="O998" s="83"/>
      <c r="P998" s="83"/>
      <c r="Q998" s="84"/>
      <c r="R998" s="83"/>
      <c r="S998" s="83"/>
      <c r="T998" s="85"/>
      <c r="U998" s="6"/>
      <c r="V998" s="44">
        <v>45365</v>
      </c>
      <c r="W998" s="45">
        <v>193.43</v>
      </c>
      <c r="X998" s="46"/>
      <c r="Y998" s="61"/>
      <c r="Z998" s="5"/>
      <c r="AA998" s="5"/>
      <c r="AB998" s="5"/>
      <c r="AC998" s="5"/>
      <c r="AD998" s="5"/>
      <c r="AE998" s="5"/>
      <c r="AF998" s="5"/>
      <c r="AG998" s="5"/>
      <c r="AH998" s="6"/>
      <c r="AI998" s="44">
        <v>45365</v>
      </c>
      <c r="AJ998" s="53">
        <v>193.43</v>
      </c>
      <c r="AK998" s="54">
        <f t="shared" si="165"/>
        <v>-1.6624300965937922E-2</v>
      </c>
      <c r="AL998" s="55">
        <f t="shared" si="168"/>
        <v>33.006916122353289</v>
      </c>
      <c r="AM998" s="56">
        <v>25</v>
      </c>
      <c r="AN998" s="57">
        <f t="shared" si="166"/>
        <v>-8.0069161223532888</v>
      </c>
      <c r="AO998" s="76">
        <f t="shared" si="169"/>
        <v>-4.0402058561671712</v>
      </c>
      <c r="AP998" s="63" t="str">
        <f t="shared" si="170"/>
        <v/>
      </c>
      <c r="AQ998" s="63" t="str">
        <f t="shared" si="171"/>
        <v>Sell Stocks</v>
      </c>
      <c r="AR998" s="63" t="str">
        <f t="shared" si="172"/>
        <v/>
      </c>
      <c r="AS998" s="63" t="str">
        <f t="shared" si="173"/>
        <v/>
      </c>
      <c r="AT998" s="78" t="str">
        <f t="shared" si="174"/>
        <v/>
      </c>
      <c r="AU998" s="78" t="str">
        <f t="shared" si="175"/>
        <v/>
      </c>
      <c r="AV998" s="64" t="str">
        <f ca="1">IFERROR(__xludf.DUMMYFUNCTION("IF(TRIM(AU998)="""","""",AU998/INDEX(FILTER(AT$3:AT998,TRIM(AT$3:AT998)&lt;&gt;""""),ROWS(FILTER(AT$3:AT998,TRIM(AT$3:AT998)&lt;&gt;"""")))-1)"),"")</f>
        <v/>
      </c>
      <c r="AW998" s="65" t="e">
        <f t="shared" ca="1" si="167"/>
        <v>#VALUE!</v>
      </c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</row>
    <row r="999" spans="1:68" ht="19" x14ac:dyDescent="0.25">
      <c r="A999" s="5"/>
      <c r="B999" s="5"/>
      <c r="C999" s="5"/>
      <c r="D999" s="5"/>
      <c r="E999" s="5"/>
      <c r="F999" s="5"/>
      <c r="G999" s="5"/>
      <c r="H999" s="6"/>
      <c r="I999" s="5"/>
      <c r="J999" s="83"/>
      <c r="K999" s="83"/>
      <c r="L999" s="83"/>
      <c r="M999" s="83"/>
      <c r="N999" s="83"/>
      <c r="O999" s="83"/>
      <c r="P999" s="83"/>
      <c r="Q999" s="84"/>
      <c r="R999" s="83"/>
      <c r="S999" s="83"/>
      <c r="T999" s="85"/>
      <c r="U999" s="6"/>
      <c r="V999" s="44">
        <v>45366</v>
      </c>
      <c r="W999" s="45">
        <v>191.07</v>
      </c>
      <c r="X999" s="46"/>
      <c r="Y999" s="61"/>
      <c r="Z999" s="5"/>
      <c r="AA999" s="5"/>
      <c r="AB999" s="5"/>
      <c r="AC999" s="5"/>
      <c r="AD999" s="5"/>
      <c r="AE999" s="5"/>
      <c r="AF999" s="5"/>
      <c r="AG999" s="5"/>
      <c r="AH999" s="6"/>
      <c r="AI999" s="44">
        <v>45366</v>
      </c>
      <c r="AJ999" s="53">
        <v>191.07</v>
      </c>
      <c r="AK999" s="54">
        <f t="shared" si="165"/>
        <v>-1.2200796153647331E-2</v>
      </c>
      <c r="AL999" s="55">
        <f t="shared" si="168"/>
        <v>33.644745896859995</v>
      </c>
      <c r="AM999" s="56">
        <v>25</v>
      </c>
      <c r="AN999" s="57">
        <f t="shared" si="166"/>
        <v>-8.6447458968599946</v>
      </c>
      <c r="AO999" s="76">
        <f t="shared" si="169"/>
        <v>-6.1179653991140821</v>
      </c>
      <c r="AP999" s="63" t="str">
        <f t="shared" si="170"/>
        <v/>
      </c>
      <c r="AQ999" s="63" t="str">
        <f t="shared" si="171"/>
        <v>Sell Stocks</v>
      </c>
      <c r="AR999" s="63" t="str">
        <f t="shared" si="172"/>
        <v/>
      </c>
      <c r="AS999" s="63" t="str">
        <f t="shared" si="173"/>
        <v/>
      </c>
      <c r="AT999" s="78" t="str">
        <f t="shared" si="174"/>
        <v/>
      </c>
      <c r="AU999" s="78" t="str">
        <f t="shared" si="175"/>
        <v/>
      </c>
      <c r="AV999" s="64" t="str">
        <f ca="1">IFERROR(__xludf.DUMMYFUNCTION("IF(TRIM(AU999)="""","""",AU999/INDEX(FILTER(AT$3:AT999,TRIM(AT$3:AT999)&lt;&gt;""""),ROWS(FILTER(AT$3:AT999,TRIM(AT$3:AT999)&lt;&gt;"""")))-1)"),"")</f>
        <v/>
      </c>
      <c r="AW999" s="65" t="e">
        <f t="shared" ca="1" si="167"/>
        <v>#VALUE!</v>
      </c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</row>
    <row r="1000" spans="1:68" ht="19" x14ac:dyDescent="0.25">
      <c r="A1000" s="5"/>
      <c r="B1000" s="5"/>
      <c r="C1000" s="5"/>
      <c r="D1000" s="5"/>
      <c r="E1000" s="5"/>
      <c r="F1000" s="5"/>
      <c r="G1000" s="5"/>
      <c r="H1000" s="6"/>
      <c r="I1000" s="5"/>
      <c r="J1000" s="83"/>
      <c r="K1000" s="83"/>
      <c r="L1000" s="83"/>
      <c r="M1000" s="83"/>
      <c r="N1000" s="83"/>
      <c r="O1000" s="83"/>
      <c r="P1000" s="83"/>
      <c r="Q1000" s="84"/>
      <c r="R1000" s="83"/>
      <c r="S1000" s="83"/>
      <c r="T1000" s="85"/>
      <c r="U1000" s="6"/>
      <c r="V1000" s="44">
        <v>45369</v>
      </c>
      <c r="W1000" s="45">
        <v>191.69</v>
      </c>
      <c r="X1000" s="46"/>
      <c r="Y1000" s="61"/>
      <c r="Z1000" s="5"/>
      <c r="AA1000" s="5"/>
      <c r="AB1000" s="5"/>
      <c r="AC1000" s="5"/>
      <c r="AD1000" s="5"/>
      <c r="AE1000" s="5"/>
      <c r="AF1000" s="5"/>
      <c r="AG1000" s="5"/>
      <c r="AH1000" s="6"/>
      <c r="AI1000" s="44">
        <v>45369</v>
      </c>
      <c r="AJ1000" s="53">
        <v>191.69</v>
      </c>
      <c r="AK1000" s="54">
        <f t="shared" si="165"/>
        <v>3.2448840738996676E-3</v>
      </c>
      <c r="AL1000" s="55">
        <f t="shared" si="168"/>
        <v>30.340939363288943</v>
      </c>
      <c r="AM1000" s="56">
        <v>25</v>
      </c>
      <c r="AN1000" s="57">
        <f t="shared" si="166"/>
        <v>-5.3409393632889426</v>
      </c>
      <c r="AO1000" s="76">
        <f t="shared" si="169"/>
        <v>-7.2104749149021412</v>
      </c>
      <c r="AP1000" s="63" t="str">
        <f t="shared" si="170"/>
        <v/>
      </c>
      <c r="AQ1000" s="63" t="str">
        <f t="shared" si="171"/>
        <v>Sell Stocks</v>
      </c>
      <c r="AR1000" s="63" t="str">
        <f t="shared" si="172"/>
        <v/>
      </c>
      <c r="AS1000" s="63" t="str">
        <f t="shared" si="173"/>
        <v/>
      </c>
      <c r="AT1000" s="78" t="str">
        <f t="shared" si="174"/>
        <v/>
      </c>
      <c r="AU1000" s="78" t="str">
        <f t="shared" si="175"/>
        <v/>
      </c>
      <c r="AV1000" s="64" t="str">
        <f ca="1">IFERROR(__xludf.DUMMYFUNCTION("IF(TRIM(AU1000)="""","""",AU1000/INDEX(FILTER(AT$3:AT1000,TRIM(AT$3:AT1000)&lt;&gt;""""),ROWS(FILTER(AT$3:AT1000,TRIM(AT$3:AT1000)&lt;&gt;"""")))-1)"),"")</f>
        <v/>
      </c>
      <c r="AW1000" s="65" t="e">
        <f t="shared" ca="1" si="167"/>
        <v>#VALUE!</v>
      </c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</row>
    <row r="1001" spans="1:68" ht="19" x14ac:dyDescent="0.25">
      <c r="A1001" s="5"/>
      <c r="B1001" s="5"/>
      <c r="C1001" s="5"/>
      <c r="D1001" s="5"/>
      <c r="E1001" s="5"/>
      <c r="F1001" s="5"/>
      <c r="G1001" s="5"/>
      <c r="H1001" s="6"/>
      <c r="I1001" s="5"/>
      <c r="J1001" s="83"/>
      <c r="K1001" s="83"/>
      <c r="L1001" s="83"/>
      <c r="M1001" s="83"/>
      <c r="N1001" s="83"/>
      <c r="O1001" s="83"/>
      <c r="P1001" s="83"/>
      <c r="Q1001" s="84"/>
      <c r="R1001" s="83"/>
      <c r="S1001" s="83"/>
      <c r="T1001" s="85"/>
      <c r="U1001" s="6"/>
      <c r="V1001" s="44">
        <v>45370</v>
      </c>
      <c r="W1001" s="45">
        <v>193.34</v>
      </c>
      <c r="X1001" s="46"/>
      <c r="Y1001" s="61"/>
      <c r="Z1001" s="5"/>
      <c r="AA1001" s="5"/>
      <c r="AB1001" s="5"/>
      <c r="AC1001" s="5"/>
      <c r="AD1001" s="5"/>
      <c r="AE1001" s="5"/>
      <c r="AF1001" s="5"/>
      <c r="AG1001" s="5"/>
      <c r="AH1001" s="6"/>
      <c r="AI1001" s="44">
        <v>45370</v>
      </c>
      <c r="AJ1001" s="53">
        <v>193.34</v>
      </c>
      <c r="AK1001" s="54">
        <f t="shared" si="165"/>
        <v>8.6076477646199745E-3</v>
      </c>
      <c r="AL1001" s="55">
        <f t="shared" si="168"/>
        <v>16.630705981365612</v>
      </c>
      <c r="AM1001" s="56">
        <v>25</v>
      </c>
      <c r="AN1001" s="57">
        <f t="shared" si="166"/>
        <v>8.3692940186343883</v>
      </c>
      <c r="AO1001" s="76">
        <f t="shared" si="169"/>
        <v>-3.8721158765150059</v>
      </c>
      <c r="AP1001" s="63" t="str">
        <f t="shared" si="170"/>
        <v/>
      </c>
      <c r="AQ1001" s="63" t="str">
        <f t="shared" si="171"/>
        <v>Sell Stocks</v>
      </c>
      <c r="AR1001" s="63" t="str">
        <f t="shared" si="172"/>
        <v/>
      </c>
      <c r="AS1001" s="63" t="str">
        <f t="shared" si="173"/>
        <v/>
      </c>
      <c r="AT1001" s="78" t="str">
        <f t="shared" si="174"/>
        <v/>
      </c>
      <c r="AU1001" s="78" t="str">
        <f t="shared" si="175"/>
        <v/>
      </c>
      <c r="AV1001" s="64" t="str">
        <f ca="1">IFERROR(__xludf.DUMMYFUNCTION("IF(TRIM(AU1001)="""","""",AU1001/INDEX(FILTER(AT$3:AT1001,TRIM(AT$3:AT1001)&lt;&gt;""""),ROWS(FILTER(AT$3:AT1001,TRIM(AT$3:AT1001)&lt;&gt;"""")))-1)"),"")</f>
        <v/>
      </c>
      <c r="AW1001" s="65" t="e">
        <f t="shared" ca="1" si="167"/>
        <v>#VALUE!</v>
      </c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</row>
    <row r="1002" spans="1:68" ht="19" x14ac:dyDescent="0.25">
      <c r="A1002" s="5"/>
      <c r="B1002" s="5"/>
      <c r="C1002" s="5"/>
      <c r="D1002" s="5"/>
      <c r="E1002" s="5"/>
      <c r="F1002" s="5"/>
      <c r="G1002" s="5"/>
      <c r="H1002" s="6"/>
      <c r="I1002" s="5"/>
      <c r="J1002" s="88"/>
      <c r="K1002" s="88"/>
      <c r="L1002" s="88"/>
      <c r="M1002" s="88"/>
      <c r="N1002" s="88"/>
      <c r="O1002" s="88"/>
      <c r="P1002" s="88"/>
      <c r="Q1002" s="89"/>
      <c r="R1002" s="88"/>
      <c r="S1002" s="88"/>
      <c r="T1002" s="90"/>
      <c r="U1002" s="6"/>
      <c r="V1002" s="44">
        <v>45371</v>
      </c>
      <c r="W1002" s="45">
        <v>193.96</v>
      </c>
      <c r="X1002" s="91"/>
      <c r="Y1002" s="77"/>
      <c r="Z1002" s="5"/>
      <c r="AA1002" s="5"/>
      <c r="AB1002" s="5"/>
      <c r="AC1002" s="5"/>
      <c r="AD1002" s="5"/>
      <c r="AE1002" s="5"/>
      <c r="AF1002" s="5"/>
      <c r="AG1002" s="5"/>
      <c r="AH1002" s="6"/>
      <c r="AI1002" s="44">
        <v>45371</v>
      </c>
      <c r="AJ1002" s="53">
        <v>193.96</v>
      </c>
      <c r="AK1002" s="54">
        <f t="shared" si="165"/>
        <v>3.2067859728974746E-3</v>
      </c>
      <c r="AL1002" s="55">
        <f t="shared" si="168"/>
        <v>17.430032934284952</v>
      </c>
      <c r="AM1002" s="56">
        <v>25</v>
      </c>
      <c r="AN1002" s="57">
        <f t="shared" si="166"/>
        <v>7.5699670657150477</v>
      </c>
      <c r="AO1002" s="76">
        <f t="shared" si="169"/>
        <v>-1.2106680596305579</v>
      </c>
      <c r="AP1002" s="63" t="str">
        <f t="shared" si="170"/>
        <v/>
      </c>
      <c r="AQ1002" s="63" t="str">
        <f t="shared" si="171"/>
        <v>Sell Stocks</v>
      </c>
      <c r="AR1002" s="63" t="str">
        <f t="shared" si="172"/>
        <v/>
      </c>
      <c r="AS1002" s="63" t="str">
        <f t="shared" si="173"/>
        <v/>
      </c>
      <c r="AT1002" s="78" t="str">
        <f t="shared" si="174"/>
        <v/>
      </c>
      <c r="AU1002" s="78" t="str">
        <f t="shared" si="175"/>
        <v/>
      </c>
      <c r="AV1002" s="64" t="str">
        <f ca="1">IFERROR(__xludf.DUMMYFUNCTION("IF(TRIM(AU1002)="""","""",AU1002/INDEX(FILTER(AT$3:AT1002,TRIM(AT$3:AT1002)&lt;&gt;""""),ROWS(FILTER(AT$3:AT1002,TRIM(AT$3:AT1002)&lt;&gt;"""")))-1)"),"")</f>
        <v/>
      </c>
      <c r="AW1002" s="65" t="e">
        <f t="shared" ca="1" si="167"/>
        <v>#VALUE!</v>
      </c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</row>
    <row r="1003" spans="1:68" ht="19" x14ac:dyDescent="0.25">
      <c r="A1003" s="5"/>
      <c r="B1003" s="5"/>
      <c r="C1003" s="5"/>
      <c r="D1003" s="5"/>
      <c r="E1003" s="5"/>
      <c r="F1003" s="5"/>
      <c r="G1003" s="5"/>
      <c r="H1003" s="6"/>
      <c r="I1003" s="5"/>
      <c r="J1003" s="88"/>
      <c r="K1003" s="88"/>
      <c r="L1003" s="88"/>
      <c r="M1003" s="88"/>
      <c r="N1003" s="88"/>
      <c r="O1003" s="88"/>
      <c r="P1003" s="88"/>
      <c r="Q1003" s="89"/>
      <c r="R1003" s="88"/>
      <c r="S1003" s="88"/>
      <c r="T1003" s="90"/>
      <c r="U1003" s="6"/>
      <c r="V1003" s="44">
        <v>45372</v>
      </c>
      <c r="W1003" s="45">
        <v>191.9</v>
      </c>
      <c r="X1003" s="91"/>
      <c r="Y1003" s="77"/>
      <c r="Z1003" s="5"/>
      <c r="AA1003" s="5"/>
      <c r="AB1003" s="5"/>
      <c r="AC1003" s="5"/>
      <c r="AD1003" s="5"/>
      <c r="AE1003" s="5"/>
      <c r="AF1003" s="5"/>
      <c r="AG1003" s="5"/>
      <c r="AH1003" s="6"/>
      <c r="AI1003" s="44">
        <v>45372</v>
      </c>
      <c r="AJ1003" s="53">
        <v>191.9</v>
      </c>
      <c r="AK1003" s="54">
        <f t="shared" si="165"/>
        <v>-1.0620746545679571E-2</v>
      </c>
      <c r="AL1003" s="55">
        <f t="shared" si="168"/>
        <v>14.732398708804318</v>
      </c>
      <c r="AM1003" s="56">
        <v>25</v>
      </c>
      <c r="AN1003" s="57">
        <f t="shared" si="166"/>
        <v>10.267601291195682</v>
      </c>
      <c r="AO1003" s="76">
        <f t="shared" si="169"/>
        <v>2.444235423079236</v>
      </c>
      <c r="AP1003" s="63" t="str">
        <f t="shared" si="170"/>
        <v>Buy Stocks</v>
      </c>
      <c r="AQ1003" s="63" t="str">
        <f t="shared" si="171"/>
        <v/>
      </c>
      <c r="AR1003" s="63" t="str">
        <f t="shared" si="172"/>
        <v>Buy Stocks</v>
      </c>
      <c r="AS1003" s="63" t="str">
        <f t="shared" si="173"/>
        <v/>
      </c>
      <c r="AT1003" s="77">
        <f t="shared" si="174"/>
        <v>191.9</v>
      </c>
      <c r="AU1003" s="78" t="str">
        <f t="shared" si="175"/>
        <v/>
      </c>
      <c r="AV1003" s="64" t="str">
        <f ca="1">IFERROR(__xludf.DUMMYFUNCTION("IF(TRIM(AU1003)="""","""",AU1003/INDEX(FILTER(AT$3:AT1003,TRIM(AT$3:AT1003)&lt;&gt;""""),ROWS(FILTER(AT$3:AT1003,TRIM(AT$3:AT1003)&lt;&gt;"""")))-1)"),"")</f>
        <v/>
      </c>
      <c r="AW1003" s="65" t="e">
        <f t="shared" ca="1" si="167"/>
        <v>#VALUE!</v>
      </c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</row>
    <row r="1004" spans="1:68" ht="19" x14ac:dyDescent="0.25">
      <c r="A1004" s="5"/>
      <c r="B1004" s="5"/>
      <c r="C1004" s="5"/>
      <c r="D1004" s="5"/>
      <c r="E1004" s="5"/>
      <c r="F1004" s="5"/>
      <c r="G1004" s="5"/>
      <c r="H1004" s="6"/>
      <c r="I1004" s="5"/>
      <c r="J1004" s="88"/>
      <c r="K1004" s="88"/>
      <c r="L1004" s="88"/>
      <c r="M1004" s="88"/>
      <c r="N1004" s="88"/>
      <c r="O1004" s="88"/>
      <c r="P1004" s="88"/>
      <c r="Q1004" s="89"/>
      <c r="R1004" s="88"/>
      <c r="S1004" s="88"/>
      <c r="T1004" s="90"/>
      <c r="U1004" s="6"/>
      <c r="V1004" s="44">
        <v>45373</v>
      </c>
      <c r="W1004" s="45">
        <v>190.84</v>
      </c>
      <c r="X1004" s="91"/>
      <c r="Y1004" s="77"/>
      <c r="Z1004" s="5"/>
      <c r="AA1004" s="5"/>
      <c r="AB1004" s="5"/>
      <c r="AC1004" s="5"/>
      <c r="AD1004" s="5"/>
      <c r="AE1004" s="5"/>
      <c r="AF1004" s="5"/>
      <c r="AG1004" s="5"/>
      <c r="AH1004" s="6"/>
      <c r="AI1004" s="44">
        <v>45373</v>
      </c>
      <c r="AJ1004" s="53">
        <v>190.84</v>
      </c>
      <c r="AK1004" s="54">
        <f t="shared" si="165"/>
        <v>-5.5237102657634818E-3</v>
      </c>
      <c r="AL1004" s="55">
        <f t="shared" si="168"/>
        <v>12.244496716229028</v>
      </c>
      <c r="AM1004" s="56">
        <v>25</v>
      </c>
      <c r="AN1004" s="57">
        <f t="shared" si="166"/>
        <v>12.755503283770972</v>
      </c>
      <c r="AO1004" s="76">
        <f t="shared" si="169"/>
        <v>6.7242852592054287</v>
      </c>
      <c r="AP1004" s="63" t="str">
        <f t="shared" si="170"/>
        <v>Buy Stocks</v>
      </c>
      <c r="AQ1004" s="63" t="str">
        <f t="shared" si="171"/>
        <v/>
      </c>
      <c r="AR1004" s="63" t="str">
        <f t="shared" si="172"/>
        <v/>
      </c>
      <c r="AS1004" s="63" t="str">
        <f t="shared" si="173"/>
        <v/>
      </c>
      <c r="AT1004" s="78" t="str">
        <f t="shared" si="174"/>
        <v/>
      </c>
      <c r="AU1004" s="78" t="str">
        <f t="shared" si="175"/>
        <v/>
      </c>
      <c r="AV1004" s="64" t="str">
        <f ca="1">IFERROR(__xludf.DUMMYFUNCTION("IF(TRIM(AU1004)="""","""",AU1004/INDEX(FILTER(AT$3:AT1004,TRIM(AT$3:AT1004)&lt;&gt;""""),ROWS(FILTER(AT$3:AT1004,TRIM(AT$3:AT1004)&lt;&gt;"""")))-1)"),"")</f>
        <v/>
      </c>
      <c r="AW1004" s="65" t="e">
        <f t="shared" ca="1" si="167"/>
        <v>#VALUE!</v>
      </c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</row>
    <row r="1005" spans="1:68" ht="19" x14ac:dyDescent="0.25">
      <c r="A1005" s="5"/>
      <c r="B1005" s="5"/>
      <c r="C1005" s="5"/>
      <c r="D1005" s="5"/>
      <c r="E1005" s="5"/>
      <c r="F1005" s="5"/>
      <c r="G1005" s="5"/>
      <c r="H1005" s="6"/>
      <c r="I1005" s="5"/>
      <c r="J1005" s="88"/>
      <c r="K1005" s="88"/>
      <c r="L1005" s="88"/>
      <c r="M1005" s="88"/>
      <c r="N1005" s="88"/>
      <c r="O1005" s="88"/>
      <c r="P1005" s="88"/>
      <c r="Q1005" s="89"/>
      <c r="R1005" s="88"/>
      <c r="S1005" s="88"/>
      <c r="T1005" s="90"/>
      <c r="U1005" s="6"/>
      <c r="V1005" s="44">
        <v>45376</v>
      </c>
      <c r="W1005" s="45">
        <v>188.79</v>
      </c>
      <c r="X1005" s="91"/>
      <c r="Y1005" s="77"/>
      <c r="Z1005" s="5"/>
      <c r="AA1005" s="5"/>
      <c r="AB1005" s="5"/>
      <c r="AC1005" s="5"/>
      <c r="AD1005" s="5"/>
      <c r="AE1005" s="5"/>
      <c r="AF1005" s="5"/>
      <c r="AG1005" s="5"/>
      <c r="AH1005" s="6"/>
      <c r="AI1005" s="44">
        <v>45376</v>
      </c>
      <c r="AJ1005" s="53">
        <v>188.79</v>
      </c>
      <c r="AK1005" s="54">
        <f t="shared" si="165"/>
        <v>-1.0741982812827566E-2</v>
      </c>
      <c r="AL1005" s="55">
        <f t="shared" si="168"/>
        <v>13.693634052748255</v>
      </c>
      <c r="AM1005" s="56">
        <v>25</v>
      </c>
      <c r="AN1005" s="57">
        <f t="shared" si="166"/>
        <v>11.306365947251745</v>
      </c>
      <c r="AO1005" s="76">
        <f t="shared" si="169"/>
        <v>10.053746321313568</v>
      </c>
      <c r="AP1005" s="63" t="str">
        <f t="shared" si="170"/>
        <v>Buy Stocks</v>
      </c>
      <c r="AQ1005" s="63" t="str">
        <f t="shared" si="171"/>
        <v/>
      </c>
      <c r="AR1005" s="63" t="str">
        <f t="shared" si="172"/>
        <v/>
      </c>
      <c r="AS1005" s="63" t="str">
        <f t="shared" si="173"/>
        <v/>
      </c>
      <c r="AT1005" s="78" t="str">
        <f t="shared" si="174"/>
        <v/>
      </c>
      <c r="AU1005" s="78" t="str">
        <f t="shared" si="175"/>
        <v/>
      </c>
      <c r="AV1005" s="64" t="str">
        <f ca="1">IFERROR(__xludf.DUMMYFUNCTION("IF(TRIM(AU1005)="""","""",AU1005/INDEX(FILTER(AT$3:AT1005,TRIM(AT$3:AT1005)&lt;&gt;""""),ROWS(FILTER(AT$3:AT1005,TRIM(AT$3:AT1005)&lt;&gt;"""")))-1)"),"")</f>
        <v/>
      </c>
      <c r="AW1005" s="65" t="e">
        <f t="shared" ca="1" si="167"/>
        <v>#VALUE!</v>
      </c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</row>
    <row r="1006" spans="1:68" ht="19" x14ac:dyDescent="0.25">
      <c r="A1006" s="5"/>
      <c r="B1006" s="5"/>
      <c r="C1006" s="5"/>
      <c r="D1006" s="5"/>
      <c r="E1006" s="5"/>
      <c r="F1006" s="5"/>
      <c r="G1006" s="5"/>
      <c r="H1006" s="6"/>
      <c r="I1006" s="5"/>
      <c r="J1006" s="88"/>
      <c r="K1006" s="88"/>
      <c r="L1006" s="88"/>
      <c r="M1006" s="88"/>
      <c r="N1006" s="88"/>
      <c r="O1006" s="88"/>
      <c r="P1006" s="88"/>
      <c r="Q1006" s="89"/>
      <c r="R1006" s="88"/>
      <c r="S1006" s="88"/>
      <c r="T1006" s="90"/>
      <c r="U1006" s="6"/>
      <c r="V1006" s="44">
        <v>45377</v>
      </c>
      <c r="W1006" s="45">
        <v>188.5</v>
      </c>
      <c r="X1006" s="91"/>
      <c r="Y1006" s="77"/>
      <c r="Z1006" s="5"/>
      <c r="AA1006" s="5"/>
      <c r="AB1006" s="5"/>
      <c r="AC1006" s="5"/>
      <c r="AD1006" s="5"/>
      <c r="AE1006" s="5"/>
      <c r="AF1006" s="5"/>
      <c r="AG1006" s="5"/>
      <c r="AH1006" s="6"/>
      <c r="AI1006" s="44">
        <v>45377</v>
      </c>
      <c r="AJ1006" s="53">
        <v>188.5</v>
      </c>
      <c r="AK1006" s="54">
        <f t="shared" si="165"/>
        <v>-1.536098310291778E-3</v>
      </c>
      <c r="AL1006" s="55">
        <f t="shared" si="168"/>
        <v>9.5305920760019269</v>
      </c>
      <c r="AM1006" s="56">
        <v>25</v>
      </c>
      <c r="AN1006" s="57">
        <f t="shared" si="166"/>
        <v>15.469407923998073</v>
      </c>
      <c r="AO1006" s="76">
        <f t="shared" si="169"/>
        <v>11.473769102386305</v>
      </c>
      <c r="AP1006" s="63" t="str">
        <f t="shared" si="170"/>
        <v>Buy Stocks</v>
      </c>
      <c r="AQ1006" s="63" t="str">
        <f t="shared" si="171"/>
        <v/>
      </c>
      <c r="AR1006" s="63" t="str">
        <f t="shared" si="172"/>
        <v/>
      </c>
      <c r="AS1006" s="63" t="str">
        <f t="shared" si="173"/>
        <v/>
      </c>
      <c r="AT1006" s="78" t="str">
        <f t="shared" si="174"/>
        <v/>
      </c>
      <c r="AU1006" s="78" t="str">
        <f t="shared" si="175"/>
        <v/>
      </c>
      <c r="AV1006" s="64" t="str">
        <f ca="1">IFERROR(__xludf.DUMMYFUNCTION("IF(TRIM(AU1006)="""","""",AU1006/INDEX(FILTER(AT$3:AT1006,TRIM(AT$3:AT1006)&lt;&gt;""""),ROWS(FILTER(AT$3:AT1006,TRIM(AT$3:AT1006)&lt;&gt;"""")))-1)"),"")</f>
        <v/>
      </c>
      <c r="AW1006" s="65" t="e">
        <f t="shared" ca="1" si="167"/>
        <v>#VALUE!</v>
      </c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</row>
    <row r="1007" spans="1:68" ht="19" x14ac:dyDescent="0.25">
      <c r="A1007" s="5"/>
      <c r="B1007" s="5"/>
      <c r="C1007" s="5"/>
      <c r="D1007" s="5"/>
      <c r="E1007" s="5"/>
      <c r="F1007" s="5"/>
      <c r="G1007" s="5"/>
      <c r="H1007" s="6"/>
      <c r="I1007" s="5"/>
      <c r="J1007" s="88"/>
      <c r="K1007" s="88"/>
      <c r="L1007" s="88"/>
      <c r="M1007" s="88"/>
      <c r="N1007" s="88"/>
      <c r="O1007" s="88"/>
      <c r="P1007" s="88"/>
      <c r="Q1007" s="89"/>
      <c r="R1007" s="88"/>
      <c r="S1007" s="88"/>
      <c r="T1007" s="90"/>
      <c r="U1007" s="6"/>
      <c r="V1007" s="44">
        <v>45378</v>
      </c>
      <c r="W1007" s="45">
        <v>190.8</v>
      </c>
      <c r="X1007" s="91"/>
      <c r="Y1007" s="77"/>
      <c r="Z1007" s="5"/>
      <c r="AA1007" s="5"/>
      <c r="AB1007" s="5"/>
      <c r="AC1007" s="5"/>
      <c r="AD1007" s="5"/>
      <c r="AE1007" s="5"/>
      <c r="AF1007" s="5"/>
      <c r="AG1007" s="5"/>
      <c r="AH1007" s="6"/>
      <c r="AI1007" s="44">
        <v>45378</v>
      </c>
      <c r="AJ1007" s="53">
        <v>190.8</v>
      </c>
      <c r="AK1007" s="54">
        <f t="shared" si="165"/>
        <v>1.2201591511936449E-2</v>
      </c>
      <c r="AL1007" s="55">
        <f t="shared" si="168"/>
        <v>15.003644795347853</v>
      </c>
      <c r="AM1007" s="56">
        <v>25</v>
      </c>
      <c r="AN1007" s="57">
        <f t="shared" si="166"/>
        <v>9.9963552046521471</v>
      </c>
      <c r="AO1007" s="76">
        <f t="shared" si="169"/>
        <v>11.959046730173725</v>
      </c>
      <c r="AP1007" s="63" t="str">
        <f t="shared" si="170"/>
        <v>Buy Stocks</v>
      </c>
      <c r="AQ1007" s="63" t="str">
        <f t="shared" si="171"/>
        <v/>
      </c>
      <c r="AR1007" s="63" t="str">
        <f t="shared" si="172"/>
        <v/>
      </c>
      <c r="AS1007" s="63" t="str">
        <f t="shared" si="173"/>
        <v/>
      </c>
      <c r="AT1007" s="78" t="str">
        <f t="shared" si="174"/>
        <v/>
      </c>
      <c r="AU1007" s="78" t="str">
        <f t="shared" si="175"/>
        <v/>
      </c>
      <c r="AV1007" s="64" t="str">
        <f ca="1">IFERROR(__xludf.DUMMYFUNCTION("IF(TRIM(AU1007)="""","""",AU1007/INDEX(FILTER(AT$3:AT1007,TRIM(AT$3:AT1007)&lt;&gt;""""),ROWS(FILTER(AT$3:AT1007,TRIM(AT$3:AT1007)&lt;&gt;"""")))-1)"),"")</f>
        <v/>
      </c>
      <c r="AW1007" s="65" t="e">
        <f t="shared" ca="1" si="167"/>
        <v>#VALUE!</v>
      </c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</row>
    <row r="1008" spans="1:68" ht="19" x14ac:dyDescent="0.25">
      <c r="A1008" s="5"/>
      <c r="B1008" s="5"/>
      <c r="C1008" s="5"/>
      <c r="D1008" s="5"/>
      <c r="E1008" s="5"/>
      <c r="F1008" s="5"/>
      <c r="G1008" s="5"/>
      <c r="H1008" s="6"/>
      <c r="I1008" s="5"/>
      <c r="J1008" s="88"/>
      <c r="K1008" s="88"/>
      <c r="L1008" s="88"/>
      <c r="M1008" s="88"/>
      <c r="N1008" s="88"/>
      <c r="O1008" s="88"/>
      <c r="P1008" s="88"/>
      <c r="Q1008" s="89"/>
      <c r="R1008" s="88"/>
      <c r="S1008" s="88"/>
      <c r="T1008" s="90"/>
      <c r="U1008" s="6"/>
      <c r="V1008" s="44">
        <v>45379</v>
      </c>
      <c r="W1008" s="45">
        <v>190.96</v>
      </c>
      <c r="X1008" s="91"/>
      <c r="Y1008" s="77"/>
      <c r="Z1008" s="5"/>
      <c r="AA1008" s="5"/>
      <c r="AB1008" s="5"/>
      <c r="AC1008" s="5"/>
      <c r="AD1008" s="5"/>
      <c r="AE1008" s="5"/>
      <c r="AF1008" s="5"/>
      <c r="AG1008" s="5"/>
      <c r="AH1008" s="6"/>
      <c r="AI1008" s="44">
        <v>45379</v>
      </c>
      <c r="AJ1008" s="53">
        <v>190.96</v>
      </c>
      <c r="AK1008" s="54">
        <f t="shared" si="165"/>
        <v>8.3857442348000966E-4</v>
      </c>
      <c r="AL1008" s="55">
        <f t="shared" si="168"/>
        <v>13.593543130054631</v>
      </c>
      <c r="AM1008" s="56">
        <v>25</v>
      </c>
      <c r="AN1008" s="57">
        <f t="shared" si="166"/>
        <v>11.406456869945369</v>
      </c>
      <c r="AO1008" s="76">
        <f t="shared" si="169"/>
        <v>12.186817845923661</v>
      </c>
      <c r="AP1008" s="63" t="str">
        <f t="shared" si="170"/>
        <v>Buy Stocks</v>
      </c>
      <c r="AQ1008" s="63" t="str">
        <f t="shared" si="171"/>
        <v/>
      </c>
      <c r="AR1008" s="63" t="str">
        <f t="shared" si="172"/>
        <v/>
      </c>
      <c r="AS1008" s="63" t="str">
        <f t="shared" si="173"/>
        <v/>
      </c>
      <c r="AT1008" s="78" t="str">
        <f t="shared" si="174"/>
        <v/>
      </c>
      <c r="AU1008" s="78" t="str">
        <f t="shared" si="175"/>
        <v/>
      </c>
      <c r="AV1008" s="64" t="str">
        <f ca="1">IFERROR(__xludf.DUMMYFUNCTION("IF(TRIM(AU1008)="""","""",AU1008/INDEX(FILTER(AT$3:AT1008,TRIM(AT$3:AT1008)&lt;&gt;""""),ROWS(FILTER(AT$3:AT1008,TRIM(AT$3:AT1008)&lt;&gt;"""")))-1)"),"")</f>
        <v/>
      </c>
      <c r="AW1008" s="65" t="e">
        <f t="shared" ca="1" si="167"/>
        <v>#VALUE!</v>
      </c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</row>
    <row r="1009" spans="1:68" ht="19" x14ac:dyDescent="0.25">
      <c r="A1009" s="5"/>
      <c r="B1009" s="5"/>
      <c r="C1009" s="5"/>
      <c r="D1009" s="5"/>
      <c r="E1009" s="5"/>
      <c r="F1009" s="5"/>
      <c r="G1009" s="5"/>
      <c r="H1009" s="6"/>
      <c r="I1009" s="5"/>
      <c r="J1009" s="88"/>
      <c r="K1009" s="88"/>
      <c r="L1009" s="88"/>
      <c r="M1009" s="88"/>
      <c r="N1009" s="88"/>
      <c r="O1009" s="88"/>
      <c r="P1009" s="88"/>
      <c r="Q1009" s="89"/>
      <c r="R1009" s="88"/>
      <c r="S1009" s="88"/>
      <c r="T1009" s="90"/>
      <c r="U1009" s="6"/>
      <c r="V1009" s="44">
        <v>45383</v>
      </c>
      <c r="W1009" s="45">
        <v>189.83</v>
      </c>
      <c r="X1009" s="91"/>
      <c r="Y1009" s="77"/>
      <c r="Z1009" s="5"/>
      <c r="AA1009" s="5"/>
      <c r="AB1009" s="5"/>
      <c r="AC1009" s="5"/>
      <c r="AD1009" s="5"/>
      <c r="AE1009" s="5"/>
      <c r="AF1009" s="5"/>
      <c r="AG1009" s="5"/>
      <c r="AH1009" s="6"/>
      <c r="AI1009" s="44">
        <v>45383</v>
      </c>
      <c r="AJ1009" s="53">
        <v>189.83</v>
      </c>
      <c r="AK1009" s="54">
        <f t="shared" si="165"/>
        <v>-5.9174696271470095E-3</v>
      </c>
      <c r="AL1009" s="55">
        <f t="shared" si="168"/>
        <v>13.679568363905769</v>
      </c>
      <c r="AM1009" s="56">
        <v>25</v>
      </c>
      <c r="AN1009" s="57">
        <f t="shared" si="166"/>
        <v>11.320431636094231</v>
      </c>
      <c r="AO1009" s="76">
        <f t="shared" si="169"/>
        <v>11.899803516388312</v>
      </c>
      <c r="AP1009" s="63" t="str">
        <f t="shared" si="170"/>
        <v>Buy Stocks</v>
      </c>
      <c r="AQ1009" s="63" t="str">
        <f t="shared" si="171"/>
        <v/>
      </c>
      <c r="AR1009" s="63" t="str">
        <f t="shared" si="172"/>
        <v/>
      </c>
      <c r="AS1009" s="63" t="str">
        <f t="shared" si="173"/>
        <v/>
      </c>
      <c r="AT1009" s="78" t="str">
        <f t="shared" si="174"/>
        <v/>
      </c>
      <c r="AU1009" s="78" t="str">
        <f t="shared" si="175"/>
        <v/>
      </c>
      <c r="AV1009" s="64" t="str">
        <f ca="1">IFERROR(__xludf.DUMMYFUNCTION("IF(TRIM(AU1009)="""","""",AU1009/INDEX(FILTER(AT$3:AT1009,TRIM(AT$3:AT1009)&lt;&gt;""""),ROWS(FILTER(AT$3:AT1009,TRIM(AT$3:AT1009)&lt;&gt;"""")))-1)"),"")</f>
        <v/>
      </c>
      <c r="AW1009" s="65" t="e">
        <f t="shared" ca="1" si="167"/>
        <v>#VALUE!</v>
      </c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</row>
    <row r="1010" spans="1:68" ht="19" x14ac:dyDescent="0.25">
      <c r="A1010" s="5"/>
      <c r="B1010" s="5"/>
      <c r="C1010" s="5"/>
      <c r="D1010" s="5"/>
      <c r="E1010" s="5"/>
      <c r="F1010" s="5"/>
      <c r="G1010" s="5"/>
      <c r="H1010" s="6"/>
      <c r="I1010" s="5"/>
      <c r="J1010" s="88"/>
      <c r="K1010" s="88"/>
      <c r="L1010" s="88"/>
      <c r="M1010" s="88"/>
      <c r="N1010" s="88"/>
      <c r="O1010" s="88"/>
      <c r="P1010" s="88"/>
      <c r="Q1010" s="89"/>
      <c r="R1010" s="88"/>
      <c r="S1010" s="88"/>
      <c r="T1010" s="90"/>
      <c r="U1010" s="6"/>
      <c r="V1010" s="44">
        <v>45384</v>
      </c>
      <c r="W1010" s="45">
        <v>188.88</v>
      </c>
      <c r="X1010" s="91"/>
      <c r="Y1010" s="77"/>
      <c r="Z1010" s="5"/>
      <c r="AA1010" s="5"/>
      <c r="AB1010" s="5"/>
      <c r="AC1010" s="5"/>
      <c r="AD1010" s="5"/>
      <c r="AE1010" s="5"/>
      <c r="AF1010" s="5"/>
      <c r="AG1010" s="5"/>
      <c r="AH1010" s="6"/>
      <c r="AI1010" s="44">
        <v>45384</v>
      </c>
      <c r="AJ1010" s="53">
        <v>188.88</v>
      </c>
      <c r="AK1010" s="54">
        <f t="shared" si="165"/>
        <v>-5.0044776905653343E-3</v>
      </c>
      <c r="AL1010" s="55">
        <f t="shared" si="168"/>
        <v>11.555047390950735</v>
      </c>
      <c r="AM1010" s="56">
        <v>25</v>
      </c>
      <c r="AN1010" s="57">
        <f t="shared" si="166"/>
        <v>13.444952609049265</v>
      </c>
      <c r="AO1010" s="76">
        <f t="shared" si="169"/>
        <v>12.327520848747819</v>
      </c>
      <c r="AP1010" s="63" t="str">
        <f t="shared" si="170"/>
        <v>Buy Stocks</v>
      </c>
      <c r="AQ1010" s="63" t="str">
        <f t="shared" si="171"/>
        <v/>
      </c>
      <c r="AR1010" s="63" t="str">
        <f t="shared" si="172"/>
        <v/>
      </c>
      <c r="AS1010" s="63" t="str">
        <f t="shared" si="173"/>
        <v/>
      </c>
      <c r="AT1010" s="78" t="str">
        <f t="shared" si="174"/>
        <v/>
      </c>
      <c r="AU1010" s="78" t="str">
        <f t="shared" si="175"/>
        <v/>
      </c>
      <c r="AV1010" s="64" t="str">
        <f ca="1">IFERROR(__xludf.DUMMYFUNCTION("IF(TRIM(AU1010)="""","""",AU1010/INDEX(FILTER(AT$3:AT1010,TRIM(AT$3:AT1010)&lt;&gt;""""),ROWS(FILTER(AT$3:AT1010,TRIM(AT$3:AT1010)&lt;&gt;"""")))-1)"),"")</f>
        <v/>
      </c>
      <c r="AW1010" s="65" t="e">
        <f t="shared" ca="1" si="167"/>
        <v>#VALUE!</v>
      </c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</row>
    <row r="1011" spans="1:68" ht="19" x14ac:dyDescent="0.25">
      <c r="A1011" s="5"/>
      <c r="B1011" s="5"/>
      <c r="C1011" s="5"/>
      <c r="D1011" s="5"/>
      <c r="E1011" s="5"/>
      <c r="F1011" s="5"/>
      <c r="G1011" s="5"/>
      <c r="H1011" s="6"/>
      <c r="I1011" s="5"/>
      <c r="J1011" s="88"/>
      <c r="K1011" s="88"/>
      <c r="L1011" s="88"/>
      <c r="M1011" s="88"/>
      <c r="N1011" s="88"/>
      <c r="O1011" s="88"/>
      <c r="P1011" s="88"/>
      <c r="Q1011" s="89"/>
      <c r="R1011" s="88"/>
      <c r="S1011" s="88"/>
      <c r="T1011" s="90"/>
      <c r="U1011" s="6"/>
      <c r="V1011" s="44">
        <v>45385</v>
      </c>
      <c r="W1011" s="45">
        <v>190.9</v>
      </c>
      <c r="X1011" s="91"/>
      <c r="Y1011" s="77"/>
      <c r="Z1011" s="5"/>
      <c r="AA1011" s="5"/>
      <c r="AB1011" s="5"/>
      <c r="AC1011" s="5"/>
      <c r="AD1011" s="5"/>
      <c r="AE1011" s="5"/>
      <c r="AF1011" s="5"/>
      <c r="AG1011" s="5"/>
      <c r="AH1011" s="6"/>
      <c r="AI1011" s="44">
        <v>45385</v>
      </c>
      <c r="AJ1011" s="53">
        <v>190.9</v>
      </c>
      <c r="AK1011" s="54">
        <f t="shared" si="165"/>
        <v>1.0694620923337617E-2</v>
      </c>
      <c r="AL1011" s="55">
        <f t="shared" si="168"/>
        <v>13.544230943386879</v>
      </c>
      <c r="AM1011" s="56">
        <v>25</v>
      </c>
      <c r="AN1011" s="57">
        <f t="shared" si="166"/>
        <v>11.455769056613121</v>
      </c>
      <c r="AO1011" s="76">
        <f t="shared" si="169"/>
        <v>11.524793075270827</v>
      </c>
      <c r="AP1011" s="63" t="str">
        <f t="shared" si="170"/>
        <v>Buy Stocks</v>
      </c>
      <c r="AQ1011" s="63" t="str">
        <f t="shared" si="171"/>
        <v/>
      </c>
      <c r="AR1011" s="63" t="str">
        <f t="shared" si="172"/>
        <v/>
      </c>
      <c r="AS1011" s="63" t="str">
        <f t="shared" si="173"/>
        <v/>
      </c>
      <c r="AT1011" s="78" t="str">
        <f t="shared" si="174"/>
        <v/>
      </c>
      <c r="AU1011" s="78" t="str">
        <f t="shared" si="175"/>
        <v/>
      </c>
      <c r="AV1011" s="64" t="str">
        <f ca="1">IFERROR(__xludf.DUMMYFUNCTION("IF(TRIM(AU1011)="""","""",AU1011/INDEX(FILTER(AT$3:AT1011,TRIM(AT$3:AT1011)&lt;&gt;""""),ROWS(FILTER(AT$3:AT1011,TRIM(AT$3:AT1011)&lt;&gt;"""")))-1)"),"")</f>
        <v/>
      </c>
      <c r="AW1011" s="65" t="e">
        <f t="shared" ca="1" si="167"/>
        <v>#VALUE!</v>
      </c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</row>
    <row r="1012" spans="1:68" ht="19" x14ac:dyDescent="0.25">
      <c r="A1012" s="5"/>
      <c r="B1012" s="5"/>
      <c r="C1012" s="5"/>
      <c r="D1012" s="5"/>
      <c r="E1012" s="5"/>
      <c r="F1012" s="5"/>
      <c r="G1012" s="5"/>
      <c r="H1012" s="6"/>
      <c r="I1012" s="5"/>
      <c r="J1012" s="88"/>
      <c r="K1012" s="88"/>
      <c r="L1012" s="88"/>
      <c r="M1012" s="88"/>
      <c r="N1012" s="88"/>
      <c r="O1012" s="88"/>
      <c r="P1012" s="88"/>
      <c r="Q1012" s="89"/>
      <c r="R1012" s="88"/>
      <c r="S1012" s="88"/>
      <c r="T1012" s="90"/>
      <c r="U1012" s="6"/>
      <c r="V1012" s="44">
        <v>45386</v>
      </c>
      <c r="W1012" s="45">
        <v>187.94</v>
      </c>
      <c r="X1012" s="91"/>
      <c r="Y1012" s="77"/>
      <c r="Z1012" s="5"/>
      <c r="AA1012" s="5"/>
      <c r="AB1012" s="5"/>
      <c r="AC1012" s="5"/>
      <c r="AD1012" s="5"/>
      <c r="AE1012" s="5"/>
      <c r="AF1012" s="5"/>
      <c r="AG1012" s="5"/>
      <c r="AH1012" s="6"/>
      <c r="AI1012" s="44">
        <v>45386</v>
      </c>
      <c r="AJ1012" s="53">
        <v>187.94</v>
      </c>
      <c r="AK1012" s="54">
        <f t="shared" si="165"/>
        <v>-1.5505500261917327E-2</v>
      </c>
      <c r="AL1012" s="55">
        <f t="shared" si="168"/>
        <v>15.292189452589856</v>
      </c>
      <c r="AM1012" s="56">
        <v>25</v>
      </c>
      <c r="AN1012" s="57">
        <f t="shared" si="166"/>
        <v>9.7078105474101442</v>
      </c>
      <c r="AO1012" s="76">
        <f t="shared" si="169"/>
        <v>11.467084143822428</v>
      </c>
      <c r="AP1012" s="63" t="str">
        <f t="shared" si="170"/>
        <v>Buy Stocks</v>
      </c>
      <c r="AQ1012" s="63" t="str">
        <f t="shared" si="171"/>
        <v/>
      </c>
      <c r="AR1012" s="63" t="str">
        <f t="shared" si="172"/>
        <v/>
      </c>
      <c r="AS1012" s="63" t="str">
        <f t="shared" si="173"/>
        <v/>
      </c>
      <c r="AT1012" s="78" t="str">
        <f t="shared" si="174"/>
        <v/>
      </c>
      <c r="AU1012" s="78" t="str">
        <f t="shared" si="175"/>
        <v/>
      </c>
      <c r="AV1012" s="64" t="str">
        <f ca="1">IFERROR(__xludf.DUMMYFUNCTION("IF(TRIM(AU1012)="""","""",AU1012/INDEX(FILTER(AT$3:AT1012,TRIM(AT$3:AT1012)&lt;&gt;""""),ROWS(FILTER(AT$3:AT1012,TRIM(AT$3:AT1012)&lt;&gt;"""")))-1)"),"")</f>
        <v/>
      </c>
      <c r="AW1012" s="65" t="e">
        <f t="shared" ca="1" si="167"/>
        <v>#VALUE!</v>
      </c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</row>
    <row r="1013" spans="1:68" ht="19" x14ac:dyDescent="0.25">
      <c r="A1013" s="5"/>
      <c r="B1013" s="5"/>
      <c r="C1013" s="5"/>
      <c r="D1013" s="5"/>
      <c r="E1013" s="5"/>
      <c r="F1013" s="5"/>
      <c r="G1013" s="5"/>
      <c r="H1013" s="6"/>
      <c r="I1013" s="5"/>
      <c r="J1013" s="88"/>
      <c r="K1013" s="88"/>
      <c r="L1013" s="88"/>
      <c r="M1013" s="88"/>
      <c r="N1013" s="88"/>
      <c r="O1013" s="88"/>
      <c r="P1013" s="88"/>
      <c r="Q1013" s="89"/>
      <c r="R1013" s="88"/>
      <c r="S1013" s="88"/>
      <c r="T1013" s="90"/>
      <c r="U1013" s="6"/>
      <c r="V1013" s="44">
        <v>45387</v>
      </c>
      <c r="W1013" s="45">
        <v>189.14</v>
      </c>
      <c r="X1013" s="91"/>
      <c r="Y1013" s="77"/>
      <c r="Z1013" s="5"/>
      <c r="AA1013" s="5"/>
      <c r="AB1013" s="5"/>
      <c r="AC1013" s="5"/>
      <c r="AD1013" s="5"/>
      <c r="AE1013" s="5"/>
      <c r="AF1013" s="5"/>
      <c r="AG1013" s="5"/>
      <c r="AH1013" s="6"/>
      <c r="AI1013" s="44">
        <v>45387</v>
      </c>
      <c r="AJ1013" s="53">
        <v>189.14</v>
      </c>
      <c r="AK1013" s="54">
        <f t="shared" si="165"/>
        <v>6.3850164946259724E-3</v>
      </c>
      <c r="AL1013" s="55">
        <f t="shared" si="168"/>
        <v>16.614263715076657</v>
      </c>
      <c r="AM1013" s="56">
        <v>25</v>
      </c>
      <c r="AN1013" s="57">
        <f t="shared" si="166"/>
        <v>8.3857362849233432</v>
      </c>
      <c r="AO1013" s="76">
        <f t="shared" si="169"/>
        <v>10.86294002681802</v>
      </c>
      <c r="AP1013" s="63" t="str">
        <f t="shared" si="170"/>
        <v>Buy Stocks</v>
      </c>
      <c r="AQ1013" s="63" t="str">
        <f t="shared" si="171"/>
        <v/>
      </c>
      <c r="AR1013" s="63" t="str">
        <f t="shared" si="172"/>
        <v/>
      </c>
      <c r="AS1013" s="63" t="str">
        <f t="shared" si="173"/>
        <v/>
      </c>
      <c r="AT1013" s="78" t="str">
        <f t="shared" si="174"/>
        <v/>
      </c>
      <c r="AU1013" s="78" t="str">
        <f t="shared" si="175"/>
        <v/>
      </c>
      <c r="AV1013" s="64" t="str">
        <f ca="1">IFERROR(__xludf.DUMMYFUNCTION("IF(TRIM(AU1013)="""","""",AU1013/INDEX(FILTER(AT$3:AT1013,TRIM(AT$3:AT1013)&lt;&gt;""""),ROWS(FILTER(AT$3:AT1013,TRIM(AT$3:AT1013)&lt;&gt;"""")))-1)"),"")</f>
        <v/>
      </c>
      <c r="AW1013" s="65" t="e">
        <f t="shared" ca="1" si="167"/>
        <v>#VALUE!</v>
      </c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</row>
    <row r="1014" spans="1:68" ht="19" x14ac:dyDescent="0.25">
      <c r="A1014" s="5"/>
      <c r="B1014" s="5"/>
      <c r="C1014" s="5"/>
      <c r="D1014" s="5"/>
      <c r="E1014" s="5"/>
      <c r="F1014" s="5"/>
      <c r="G1014" s="5"/>
      <c r="H1014" s="6"/>
      <c r="I1014" s="5"/>
      <c r="J1014" s="88"/>
      <c r="K1014" s="88"/>
      <c r="L1014" s="88"/>
      <c r="M1014" s="88"/>
      <c r="N1014" s="88"/>
      <c r="O1014" s="88"/>
      <c r="P1014" s="88"/>
      <c r="Q1014" s="89"/>
      <c r="R1014" s="88"/>
      <c r="S1014" s="88"/>
      <c r="T1014" s="90"/>
      <c r="U1014" s="6"/>
      <c r="V1014" s="44">
        <v>45390</v>
      </c>
      <c r="W1014" s="45">
        <v>189.82</v>
      </c>
      <c r="X1014" s="91"/>
      <c r="Y1014" s="77"/>
      <c r="Z1014" s="5"/>
      <c r="AA1014" s="5"/>
      <c r="AB1014" s="5"/>
      <c r="AC1014" s="5"/>
      <c r="AD1014" s="5"/>
      <c r="AE1014" s="5"/>
      <c r="AF1014" s="5"/>
      <c r="AG1014" s="5"/>
      <c r="AH1014" s="6"/>
      <c r="AI1014" s="44">
        <v>45390</v>
      </c>
      <c r="AJ1014" s="53">
        <v>189.82</v>
      </c>
      <c r="AK1014" s="54">
        <f t="shared" si="165"/>
        <v>3.595220471608318E-3</v>
      </c>
      <c r="AL1014" s="55">
        <f t="shared" si="168"/>
        <v>16.526438887913688</v>
      </c>
      <c r="AM1014" s="56">
        <v>25</v>
      </c>
      <c r="AN1014" s="57">
        <f t="shared" si="166"/>
        <v>8.4735611120863119</v>
      </c>
      <c r="AO1014" s="76">
        <f t="shared" si="169"/>
        <v>10.293565922016437</v>
      </c>
      <c r="AP1014" s="63" t="str">
        <f t="shared" si="170"/>
        <v>Buy Stocks</v>
      </c>
      <c r="AQ1014" s="63" t="str">
        <f t="shared" si="171"/>
        <v/>
      </c>
      <c r="AR1014" s="63" t="str">
        <f t="shared" si="172"/>
        <v/>
      </c>
      <c r="AS1014" s="63" t="str">
        <f t="shared" si="173"/>
        <v/>
      </c>
      <c r="AT1014" s="78" t="str">
        <f t="shared" si="174"/>
        <v/>
      </c>
      <c r="AU1014" s="78" t="str">
        <f t="shared" si="175"/>
        <v/>
      </c>
      <c r="AV1014" s="64" t="str">
        <f ca="1">IFERROR(__xludf.DUMMYFUNCTION("IF(TRIM(AU1014)="""","""",AU1014/INDEX(FILTER(AT$3:AT1014,TRIM(AT$3:AT1014)&lt;&gt;""""),ROWS(FILTER(AT$3:AT1014,TRIM(AT$3:AT1014)&lt;&gt;"""")))-1)"),"")</f>
        <v/>
      </c>
      <c r="AW1014" s="65" t="e">
        <f t="shared" ca="1" si="167"/>
        <v>#VALUE!</v>
      </c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</row>
    <row r="1015" spans="1:68" ht="19" x14ac:dyDescent="0.25">
      <c r="A1015" s="5"/>
      <c r="B1015" s="5"/>
      <c r="C1015" s="5"/>
      <c r="D1015" s="5"/>
      <c r="E1015" s="5"/>
      <c r="F1015" s="5"/>
      <c r="G1015" s="5"/>
      <c r="H1015" s="6"/>
      <c r="I1015" s="5"/>
      <c r="J1015" s="88"/>
      <c r="K1015" s="88"/>
      <c r="L1015" s="88"/>
      <c r="M1015" s="88"/>
      <c r="N1015" s="88"/>
      <c r="O1015" s="88"/>
      <c r="P1015" s="88"/>
      <c r="Q1015" s="89"/>
      <c r="R1015" s="88"/>
      <c r="S1015" s="88"/>
      <c r="T1015" s="90"/>
      <c r="U1015" s="6"/>
      <c r="V1015" s="44">
        <v>45391</v>
      </c>
      <c r="W1015" s="45">
        <v>189.31</v>
      </c>
      <c r="X1015" s="91"/>
      <c r="Y1015" s="77"/>
      <c r="Z1015" s="5"/>
      <c r="AA1015" s="5"/>
      <c r="AB1015" s="5"/>
      <c r="AC1015" s="5"/>
      <c r="AD1015" s="5"/>
      <c r="AE1015" s="5"/>
      <c r="AF1015" s="5"/>
      <c r="AG1015" s="5"/>
      <c r="AH1015" s="6"/>
      <c r="AI1015" s="44">
        <v>45391</v>
      </c>
      <c r="AJ1015" s="53">
        <v>189.31</v>
      </c>
      <c r="AK1015" s="54">
        <f t="shared" si="165"/>
        <v>-2.6867558739858133E-3</v>
      </c>
      <c r="AL1015" s="55">
        <f t="shared" si="168"/>
        <v>16.159194359200388</v>
      </c>
      <c r="AM1015" s="56">
        <v>25</v>
      </c>
      <c r="AN1015" s="57">
        <f t="shared" si="166"/>
        <v>8.8408056407996121</v>
      </c>
      <c r="AO1015" s="76">
        <f t="shared" si="169"/>
        <v>9.3727365283665076</v>
      </c>
      <c r="AP1015" s="63" t="str">
        <f t="shared" si="170"/>
        <v>Buy Stocks</v>
      </c>
      <c r="AQ1015" s="63" t="str">
        <f t="shared" si="171"/>
        <v/>
      </c>
      <c r="AR1015" s="63" t="str">
        <f t="shared" si="172"/>
        <v/>
      </c>
      <c r="AS1015" s="63" t="str">
        <f t="shared" si="173"/>
        <v/>
      </c>
      <c r="AT1015" s="78" t="str">
        <f t="shared" si="174"/>
        <v/>
      </c>
      <c r="AU1015" s="78" t="str">
        <f t="shared" si="175"/>
        <v/>
      </c>
      <c r="AV1015" s="64" t="str">
        <f ca="1">IFERROR(__xludf.DUMMYFUNCTION("IF(TRIM(AU1015)="""","""",AU1015/INDEX(FILTER(AT$3:AT1015,TRIM(AT$3:AT1015)&lt;&gt;""""),ROWS(FILTER(AT$3:AT1015,TRIM(AT$3:AT1015)&lt;&gt;"""")))-1)"),"")</f>
        <v/>
      </c>
      <c r="AW1015" s="65" t="e">
        <f t="shared" ca="1" si="167"/>
        <v>#VALUE!</v>
      </c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</row>
    <row r="1016" spans="1:68" ht="19" x14ac:dyDescent="0.25">
      <c r="A1016" s="5"/>
      <c r="B1016" s="5"/>
      <c r="C1016" s="5"/>
      <c r="D1016" s="5"/>
      <c r="E1016" s="5"/>
      <c r="F1016" s="5"/>
      <c r="G1016" s="5"/>
      <c r="H1016" s="6"/>
      <c r="I1016" s="5"/>
      <c r="J1016" s="88"/>
      <c r="K1016" s="88"/>
      <c r="L1016" s="88"/>
      <c r="M1016" s="88"/>
      <c r="N1016" s="88"/>
      <c r="O1016" s="88"/>
      <c r="P1016" s="88"/>
      <c r="Q1016" s="89"/>
      <c r="R1016" s="88"/>
      <c r="S1016" s="88"/>
      <c r="T1016" s="90"/>
      <c r="U1016" s="6"/>
      <c r="V1016" s="44">
        <v>45392</v>
      </c>
      <c r="W1016" s="45">
        <v>186.04</v>
      </c>
      <c r="X1016" s="91"/>
      <c r="Y1016" s="77"/>
      <c r="Z1016" s="5"/>
      <c r="AA1016" s="5"/>
      <c r="AB1016" s="5"/>
      <c r="AC1016" s="5"/>
      <c r="AD1016" s="5"/>
      <c r="AE1016" s="5"/>
      <c r="AF1016" s="5"/>
      <c r="AG1016" s="5"/>
      <c r="AH1016" s="6"/>
      <c r="AI1016" s="44">
        <v>45392</v>
      </c>
      <c r="AJ1016" s="53">
        <v>186.04</v>
      </c>
      <c r="AK1016" s="54">
        <f t="shared" si="165"/>
        <v>-1.7273255506840668E-2</v>
      </c>
      <c r="AL1016" s="55">
        <f t="shared" si="168"/>
        <v>17.20387205923609</v>
      </c>
      <c r="AM1016" s="56">
        <v>25</v>
      </c>
      <c r="AN1016" s="57">
        <f t="shared" si="166"/>
        <v>7.7961279407639097</v>
      </c>
      <c r="AO1016" s="76">
        <f t="shared" si="169"/>
        <v>8.6408083051966642</v>
      </c>
      <c r="AP1016" s="63" t="str">
        <f t="shared" si="170"/>
        <v>Buy Stocks</v>
      </c>
      <c r="AQ1016" s="63" t="str">
        <f t="shared" si="171"/>
        <v/>
      </c>
      <c r="AR1016" s="63" t="str">
        <f t="shared" si="172"/>
        <v/>
      </c>
      <c r="AS1016" s="63" t="str">
        <f t="shared" si="173"/>
        <v/>
      </c>
      <c r="AT1016" s="78" t="str">
        <f t="shared" si="174"/>
        <v/>
      </c>
      <c r="AU1016" s="78" t="str">
        <f t="shared" si="175"/>
        <v/>
      </c>
      <c r="AV1016" s="64" t="str">
        <f ca="1">IFERROR(__xludf.DUMMYFUNCTION("IF(TRIM(AU1016)="""","""",AU1016/INDEX(FILTER(AT$3:AT1016,TRIM(AT$3:AT1016)&lt;&gt;""""),ROWS(FILTER(AT$3:AT1016,TRIM(AT$3:AT1016)&lt;&gt;"""")))-1)"),"")</f>
        <v/>
      </c>
      <c r="AW1016" s="65" t="e">
        <f t="shared" ca="1" si="167"/>
        <v>#VALUE!</v>
      </c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</row>
    <row r="1017" spans="1:68" ht="19" x14ac:dyDescent="0.25">
      <c r="A1017" s="5"/>
      <c r="B1017" s="5"/>
      <c r="C1017" s="5"/>
      <c r="D1017" s="5"/>
      <c r="E1017" s="5"/>
      <c r="F1017" s="5"/>
      <c r="G1017" s="5"/>
      <c r="H1017" s="6"/>
      <c r="I1017" s="5"/>
      <c r="J1017" s="88"/>
      <c r="K1017" s="88"/>
      <c r="L1017" s="88"/>
      <c r="M1017" s="88"/>
      <c r="N1017" s="88"/>
      <c r="O1017" s="88"/>
      <c r="P1017" s="88"/>
      <c r="Q1017" s="89"/>
      <c r="R1017" s="88"/>
      <c r="S1017" s="88"/>
      <c r="T1017" s="90"/>
      <c r="U1017" s="6"/>
      <c r="V1017" s="44">
        <v>45393</v>
      </c>
      <c r="W1017" s="45">
        <v>185.9</v>
      </c>
      <c r="X1017" s="91"/>
      <c r="Y1017" s="77"/>
      <c r="Z1017" s="5"/>
      <c r="AA1017" s="5"/>
      <c r="AB1017" s="5"/>
      <c r="AC1017" s="5"/>
      <c r="AD1017" s="5"/>
      <c r="AE1017" s="5"/>
      <c r="AF1017" s="5"/>
      <c r="AG1017" s="5"/>
      <c r="AH1017" s="6"/>
      <c r="AI1017" s="44">
        <v>45393</v>
      </c>
      <c r="AJ1017" s="53">
        <v>185.9</v>
      </c>
      <c r="AK1017" s="54">
        <f t="shared" si="165"/>
        <v>-7.5252633842182171E-4</v>
      </c>
      <c r="AL1017" s="55">
        <f t="shared" si="168"/>
        <v>14.566707804033774</v>
      </c>
      <c r="AM1017" s="56">
        <v>25</v>
      </c>
      <c r="AN1017" s="57">
        <f t="shared" si="166"/>
        <v>10.433292195966226</v>
      </c>
      <c r="AO1017" s="76">
        <f t="shared" si="169"/>
        <v>8.7859046349078813</v>
      </c>
      <c r="AP1017" s="63" t="str">
        <f t="shared" si="170"/>
        <v>Buy Stocks</v>
      </c>
      <c r="AQ1017" s="63" t="str">
        <f t="shared" si="171"/>
        <v/>
      </c>
      <c r="AR1017" s="63" t="str">
        <f t="shared" si="172"/>
        <v/>
      </c>
      <c r="AS1017" s="63" t="str">
        <f t="shared" si="173"/>
        <v/>
      </c>
      <c r="AT1017" s="78" t="str">
        <f t="shared" si="174"/>
        <v/>
      </c>
      <c r="AU1017" s="78" t="str">
        <f t="shared" si="175"/>
        <v/>
      </c>
      <c r="AV1017" s="64" t="str">
        <f ca="1">IFERROR(__xludf.DUMMYFUNCTION("IF(TRIM(AU1017)="""","""",AU1017/INDEX(FILTER(AT$3:AT1017,TRIM(AT$3:AT1017)&lt;&gt;""""),ROWS(FILTER(AT$3:AT1017,TRIM(AT$3:AT1017)&lt;&gt;"""")))-1)"),"")</f>
        <v/>
      </c>
      <c r="AW1017" s="65" t="e">
        <f t="shared" ca="1" si="167"/>
        <v>#VALUE!</v>
      </c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</row>
    <row r="1018" spans="1:68" ht="19" x14ac:dyDescent="0.25">
      <c r="A1018" s="5"/>
      <c r="B1018" s="5"/>
      <c r="C1018" s="5"/>
      <c r="D1018" s="5"/>
      <c r="E1018" s="5"/>
      <c r="F1018" s="5"/>
      <c r="G1018" s="5"/>
      <c r="H1018" s="6"/>
      <c r="I1018" s="5"/>
      <c r="J1018" s="88"/>
      <c r="K1018" s="88"/>
      <c r="L1018" s="88"/>
      <c r="M1018" s="88"/>
      <c r="N1018" s="88"/>
      <c r="O1018" s="88"/>
      <c r="P1018" s="88"/>
      <c r="Q1018" s="89"/>
      <c r="R1018" s="88"/>
      <c r="S1018" s="88"/>
      <c r="T1018" s="90"/>
      <c r="U1018" s="6"/>
      <c r="V1018" s="44">
        <v>45394</v>
      </c>
      <c r="W1018" s="45">
        <v>182.27</v>
      </c>
      <c r="X1018" s="91"/>
      <c r="Y1018" s="77"/>
      <c r="Z1018" s="5"/>
      <c r="AA1018" s="5"/>
      <c r="AB1018" s="5"/>
      <c r="AC1018" s="5"/>
      <c r="AD1018" s="5"/>
      <c r="AE1018" s="5"/>
      <c r="AF1018" s="5"/>
      <c r="AG1018" s="5"/>
      <c r="AH1018" s="6"/>
      <c r="AI1018" s="44">
        <v>45394</v>
      </c>
      <c r="AJ1018" s="53">
        <v>182.27</v>
      </c>
      <c r="AK1018" s="54">
        <f t="shared" si="165"/>
        <v>-1.9526627218934833E-2</v>
      </c>
      <c r="AL1018" s="55">
        <f t="shared" si="168"/>
        <v>16.493631938664286</v>
      </c>
      <c r="AM1018" s="56">
        <v>25</v>
      </c>
      <c r="AN1018" s="57">
        <f t="shared" si="166"/>
        <v>8.5063680613357135</v>
      </c>
      <c r="AO1018" s="76">
        <f t="shared" si="169"/>
        <v>8.810030990190354</v>
      </c>
      <c r="AP1018" s="63" t="str">
        <f t="shared" si="170"/>
        <v>Buy Stocks</v>
      </c>
      <c r="AQ1018" s="63" t="str">
        <f t="shared" si="171"/>
        <v/>
      </c>
      <c r="AR1018" s="63" t="str">
        <f t="shared" si="172"/>
        <v/>
      </c>
      <c r="AS1018" s="63" t="str">
        <f t="shared" si="173"/>
        <v/>
      </c>
      <c r="AT1018" s="78" t="str">
        <f t="shared" si="174"/>
        <v/>
      </c>
      <c r="AU1018" s="78" t="str">
        <f t="shared" si="175"/>
        <v/>
      </c>
      <c r="AV1018" s="64" t="str">
        <f ca="1">IFERROR(__xludf.DUMMYFUNCTION("IF(TRIM(AU1018)="""","""",AU1018/INDEX(FILTER(AT$3:AT1018,TRIM(AT$3:AT1018)&lt;&gt;""""),ROWS(FILTER(AT$3:AT1018,TRIM(AT$3:AT1018)&lt;&gt;"""")))-1)"),"")</f>
        <v/>
      </c>
      <c r="AW1018" s="65" t="e">
        <f t="shared" ca="1" si="167"/>
        <v>#VALUE!</v>
      </c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</row>
    <row r="1019" spans="1:68" ht="19" x14ac:dyDescent="0.25">
      <c r="A1019" s="5"/>
      <c r="B1019" s="5"/>
      <c r="C1019" s="5"/>
      <c r="D1019" s="5"/>
      <c r="E1019" s="5"/>
      <c r="F1019" s="5"/>
      <c r="G1019" s="5"/>
      <c r="H1019" s="6"/>
      <c r="I1019" s="5"/>
      <c r="J1019" s="88"/>
      <c r="K1019" s="88"/>
      <c r="L1019" s="88"/>
      <c r="M1019" s="88"/>
      <c r="N1019" s="88"/>
      <c r="O1019" s="88"/>
      <c r="P1019" s="88"/>
      <c r="Q1019" s="89"/>
      <c r="R1019" s="88"/>
      <c r="S1019" s="88"/>
      <c r="T1019" s="90"/>
      <c r="U1019" s="6"/>
      <c r="V1019" s="44">
        <v>45397</v>
      </c>
      <c r="W1019" s="45">
        <v>181.25</v>
      </c>
      <c r="X1019" s="91"/>
      <c r="Y1019" s="77"/>
      <c r="Z1019" s="5"/>
      <c r="AA1019" s="5"/>
      <c r="AB1019" s="5"/>
      <c r="AC1019" s="5"/>
      <c r="AD1019" s="5"/>
      <c r="AE1019" s="5"/>
      <c r="AF1019" s="5"/>
      <c r="AG1019" s="5"/>
      <c r="AH1019" s="6"/>
      <c r="AI1019" s="44">
        <v>45397</v>
      </c>
      <c r="AJ1019" s="53">
        <v>181.25</v>
      </c>
      <c r="AK1019" s="54">
        <f t="shared" si="165"/>
        <v>-5.5960937071378725E-3</v>
      </c>
      <c r="AL1019" s="55">
        <f t="shared" si="168"/>
        <v>13.715187967807863</v>
      </c>
      <c r="AM1019" s="56">
        <v>25</v>
      </c>
      <c r="AN1019" s="57">
        <f t="shared" si="166"/>
        <v>11.284812032192137</v>
      </c>
      <c r="AO1019" s="76">
        <f t="shared" si="169"/>
        <v>9.3722811742115191</v>
      </c>
      <c r="AP1019" s="63" t="str">
        <f t="shared" si="170"/>
        <v>Buy Stocks</v>
      </c>
      <c r="AQ1019" s="63" t="str">
        <f t="shared" si="171"/>
        <v/>
      </c>
      <c r="AR1019" s="63" t="str">
        <f t="shared" si="172"/>
        <v/>
      </c>
      <c r="AS1019" s="63" t="str">
        <f t="shared" si="173"/>
        <v/>
      </c>
      <c r="AT1019" s="78" t="str">
        <f t="shared" si="174"/>
        <v/>
      </c>
      <c r="AU1019" s="78" t="str">
        <f t="shared" si="175"/>
        <v/>
      </c>
      <c r="AV1019" s="64" t="str">
        <f ca="1">IFERROR(__xludf.DUMMYFUNCTION("IF(TRIM(AU1019)="""","""",AU1019/INDEX(FILTER(AT$3:AT1019,TRIM(AT$3:AT1019)&lt;&gt;""""),ROWS(FILTER(AT$3:AT1019,TRIM(AT$3:AT1019)&lt;&gt;"""")))-1)"),"")</f>
        <v/>
      </c>
      <c r="AW1019" s="65" t="e">
        <f t="shared" ca="1" si="167"/>
        <v>#VALUE!</v>
      </c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</row>
    <row r="1020" spans="1:68" ht="19" x14ac:dyDescent="0.25">
      <c r="A1020" s="5"/>
      <c r="B1020" s="5"/>
      <c r="C1020" s="5"/>
      <c r="D1020" s="5"/>
      <c r="E1020" s="5"/>
      <c r="F1020" s="5"/>
      <c r="G1020" s="5"/>
      <c r="H1020" s="6"/>
      <c r="I1020" s="5"/>
      <c r="J1020" s="88"/>
      <c r="K1020" s="88"/>
      <c r="L1020" s="88"/>
      <c r="M1020" s="88"/>
      <c r="N1020" s="88"/>
      <c r="O1020" s="88"/>
      <c r="P1020" s="88"/>
      <c r="Q1020" s="89"/>
      <c r="R1020" s="88"/>
      <c r="S1020" s="88"/>
      <c r="T1020" s="90"/>
      <c r="U1020" s="6"/>
      <c r="V1020" s="44">
        <v>45398</v>
      </c>
      <c r="W1020" s="45">
        <v>183.75</v>
      </c>
      <c r="X1020" s="91"/>
      <c r="Y1020" s="77"/>
      <c r="Z1020" s="5"/>
      <c r="AA1020" s="5"/>
      <c r="AB1020" s="5"/>
      <c r="AC1020" s="5"/>
      <c r="AD1020" s="5"/>
      <c r="AE1020" s="5"/>
      <c r="AF1020" s="5"/>
      <c r="AG1020" s="5"/>
      <c r="AH1020" s="6"/>
      <c r="AI1020" s="44">
        <v>45398</v>
      </c>
      <c r="AJ1020" s="53">
        <v>183.75</v>
      </c>
      <c r="AK1020" s="54">
        <f t="shared" si="165"/>
        <v>1.379310344827589E-2</v>
      </c>
      <c r="AL1020" s="55">
        <f t="shared" si="168"/>
        <v>21.437035811876797</v>
      </c>
      <c r="AM1020" s="56">
        <v>25</v>
      </c>
      <c r="AN1020" s="57">
        <f t="shared" si="166"/>
        <v>3.5629641881232033</v>
      </c>
      <c r="AO1020" s="76">
        <f t="shared" si="169"/>
        <v>8.316712883676237</v>
      </c>
      <c r="AP1020" s="63" t="str">
        <f t="shared" si="170"/>
        <v>Buy Stocks</v>
      </c>
      <c r="AQ1020" s="63" t="str">
        <f t="shared" si="171"/>
        <v/>
      </c>
      <c r="AR1020" s="63" t="str">
        <f t="shared" si="172"/>
        <v/>
      </c>
      <c r="AS1020" s="63" t="str">
        <f t="shared" si="173"/>
        <v/>
      </c>
      <c r="AT1020" s="78" t="str">
        <f t="shared" si="174"/>
        <v/>
      </c>
      <c r="AU1020" s="78" t="str">
        <f t="shared" si="175"/>
        <v/>
      </c>
      <c r="AV1020" s="64" t="str">
        <f ca="1">IFERROR(__xludf.DUMMYFUNCTION("IF(TRIM(AU1020)="""","""",AU1020/INDEX(FILTER(AT$3:AT1020,TRIM(AT$3:AT1020)&lt;&gt;""""),ROWS(FILTER(AT$3:AT1020,TRIM(AT$3:AT1020)&lt;&gt;"""")))-1)"),"")</f>
        <v/>
      </c>
      <c r="AW1020" s="65" t="e">
        <f t="shared" ca="1" si="167"/>
        <v>#VALUE!</v>
      </c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</row>
    <row r="1021" spans="1:68" ht="19" x14ac:dyDescent="0.25">
      <c r="A1021" s="5"/>
      <c r="B1021" s="5"/>
      <c r="C1021" s="5"/>
      <c r="D1021" s="5"/>
      <c r="E1021" s="5"/>
      <c r="F1021" s="5"/>
      <c r="G1021" s="5"/>
      <c r="H1021" s="6"/>
      <c r="I1021" s="5"/>
      <c r="J1021" s="88"/>
      <c r="K1021" s="88"/>
      <c r="L1021" s="88"/>
      <c r="M1021" s="88"/>
      <c r="N1021" s="88"/>
      <c r="O1021" s="88"/>
      <c r="P1021" s="88"/>
      <c r="Q1021" s="89"/>
      <c r="R1021" s="88"/>
      <c r="S1021" s="88"/>
      <c r="T1021" s="90"/>
      <c r="U1021" s="6"/>
      <c r="V1021" s="44">
        <v>45399</v>
      </c>
      <c r="W1021" s="45">
        <v>183.1</v>
      </c>
      <c r="X1021" s="91"/>
      <c r="Y1021" s="77"/>
      <c r="Z1021" s="5"/>
      <c r="AA1021" s="5"/>
      <c r="AB1021" s="5"/>
      <c r="AC1021" s="5"/>
      <c r="AD1021" s="5"/>
      <c r="AE1021" s="5"/>
      <c r="AF1021" s="5"/>
      <c r="AG1021" s="5"/>
      <c r="AH1021" s="6"/>
      <c r="AI1021" s="44">
        <v>45399</v>
      </c>
      <c r="AJ1021" s="53">
        <v>183.1</v>
      </c>
      <c r="AK1021" s="54">
        <f t="shared" si="165"/>
        <v>-3.537414965986474E-3</v>
      </c>
      <c r="AL1021" s="55">
        <f t="shared" si="168"/>
        <v>18.902343442759744</v>
      </c>
      <c r="AM1021" s="56">
        <v>25</v>
      </c>
      <c r="AN1021" s="57">
        <f t="shared" si="166"/>
        <v>6.0976565572402563</v>
      </c>
      <c r="AO1021" s="76">
        <f t="shared" si="169"/>
        <v>7.977018606971507</v>
      </c>
      <c r="AP1021" s="63" t="str">
        <f t="shared" si="170"/>
        <v>Buy Stocks</v>
      </c>
      <c r="AQ1021" s="63" t="str">
        <f t="shared" si="171"/>
        <v/>
      </c>
      <c r="AR1021" s="63" t="str">
        <f t="shared" si="172"/>
        <v/>
      </c>
      <c r="AS1021" s="63" t="str">
        <f t="shared" si="173"/>
        <v/>
      </c>
      <c r="AT1021" s="78" t="str">
        <f t="shared" si="174"/>
        <v/>
      </c>
      <c r="AU1021" s="78" t="str">
        <f t="shared" si="175"/>
        <v/>
      </c>
      <c r="AV1021" s="64" t="str">
        <f ca="1">IFERROR(__xludf.DUMMYFUNCTION("IF(TRIM(AU1021)="""","""",AU1021/INDEX(FILTER(AT$3:AT1021,TRIM(AT$3:AT1021)&lt;&gt;""""),ROWS(FILTER(AT$3:AT1021,TRIM(AT$3:AT1021)&lt;&gt;"""")))-1)"),"")</f>
        <v/>
      </c>
      <c r="AW1021" s="65" t="e">
        <f t="shared" ca="1" si="167"/>
        <v>#VALUE!</v>
      </c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</row>
    <row r="1022" spans="1:68" ht="19" x14ac:dyDescent="0.25">
      <c r="A1022" s="5"/>
      <c r="B1022" s="5"/>
      <c r="C1022" s="5"/>
      <c r="D1022" s="5"/>
      <c r="E1022" s="5"/>
      <c r="F1022" s="5"/>
      <c r="G1022" s="5"/>
      <c r="H1022" s="6"/>
      <c r="I1022" s="5"/>
      <c r="J1022" s="88"/>
      <c r="K1022" s="88"/>
      <c r="L1022" s="88"/>
      <c r="M1022" s="88"/>
      <c r="N1022" s="88"/>
      <c r="O1022" s="88"/>
      <c r="P1022" s="88"/>
      <c r="Q1022" s="89"/>
      <c r="R1022" s="88"/>
      <c r="S1022" s="88"/>
      <c r="T1022" s="90"/>
      <c r="U1022" s="6"/>
      <c r="V1022" s="44">
        <v>45400</v>
      </c>
      <c r="W1022" s="45">
        <v>181.47</v>
      </c>
      <c r="X1022" s="91"/>
      <c r="Y1022" s="77"/>
      <c r="Z1022" s="5"/>
      <c r="AA1022" s="5"/>
      <c r="AB1022" s="5"/>
      <c r="AC1022" s="5"/>
      <c r="AD1022" s="5"/>
      <c r="AE1022" s="5"/>
      <c r="AF1022" s="5"/>
      <c r="AG1022" s="5"/>
      <c r="AH1022" s="6"/>
      <c r="AI1022" s="44">
        <v>45400</v>
      </c>
      <c r="AJ1022" s="53">
        <v>181.47</v>
      </c>
      <c r="AK1022" s="54">
        <f t="shared" si="165"/>
        <v>-8.9022392135444939E-3</v>
      </c>
      <c r="AL1022" s="55">
        <f t="shared" si="168"/>
        <v>19.142159489910807</v>
      </c>
      <c r="AM1022" s="56">
        <v>25</v>
      </c>
      <c r="AN1022" s="57">
        <f t="shared" si="166"/>
        <v>5.8578405100891935</v>
      </c>
      <c r="AO1022" s="76">
        <f t="shared" si="169"/>
        <v>7.061928269796101</v>
      </c>
      <c r="AP1022" s="63" t="str">
        <f t="shared" si="170"/>
        <v>Buy Stocks</v>
      </c>
      <c r="AQ1022" s="63" t="str">
        <f t="shared" si="171"/>
        <v/>
      </c>
      <c r="AR1022" s="63" t="str">
        <f t="shared" si="172"/>
        <v/>
      </c>
      <c r="AS1022" s="63" t="str">
        <f t="shared" si="173"/>
        <v/>
      </c>
      <c r="AT1022" s="78" t="str">
        <f t="shared" si="174"/>
        <v/>
      </c>
      <c r="AU1022" s="78" t="str">
        <f t="shared" si="175"/>
        <v/>
      </c>
      <c r="AV1022" s="64" t="str">
        <f ca="1">IFERROR(__xludf.DUMMYFUNCTION("IF(TRIM(AU1022)="""","""",AU1022/INDEX(FILTER(AT$3:AT1022,TRIM(AT$3:AT1022)&lt;&gt;""""),ROWS(FILTER(AT$3:AT1022,TRIM(AT$3:AT1022)&lt;&gt;"""")))-1)"),"")</f>
        <v/>
      </c>
      <c r="AW1022" s="65" t="e">
        <f t="shared" ca="1" si="167"/>
        <v>#VALUE!</v>
      </c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</row>
    <row r="1023" spans="1:68" ht="19" x14ac:dyDescent="0.25">
      <c r="A1023" s="5"/>
      <c r="B1023" s="5"/>
      <c r="C1023" s="5"/>
      <c r="D1023" s="5"/>
      <c r="E1023" s="5"/>
      <c r="F1023" s="5"/>
      <c r="G1023" s="5"/>
      <c r="H1023" s="6"/>
      <c r="I1023" s="5"/>
      <c r="J1023" s="88"/>
      <c r="K1023" s="88"/>
      <c r="L1023" s="88"/>
      <c r="M1023" s="88"/>
      <c r="N1023" s="88"/>
      <c r="O1023" s="88"/>
      <c r="P1023" s="88"/>
      <c r="Q1023" s="89"/>
      <c r="R1023" s="88"/>
      <c r="S1023" s="88"/>
      <c r="T1023" s="90"/>
      <c r="U1023" s="6"/>
      <c r="V1023" s="44">
        <v>45401</v>
      </c>
      <c r="W1023" s="45">
        <v>181.58</v>
      </c>
      <c r="X1023" s="91"/>
      <c r="Y1023" s="77"/>
      <c r="Z1023" s="5"/>
      <c r="AA1023" s="5"/>
      <c r="AB1023" s="5"/>
      <c r="AC1023" s="5"/>
      <c r="AD1023" s="5"/>
      <c r="AE1023" s="5"/>
      <c r="AF1023" s="5"/>
      <c r="AG1023" s="5"/>
      <c r="AH1023" s="6"/>
      <c r="AI1023" s="44">
        <v>45401</v>
      </c>
      <c r="AJ1023" s="53">
        <v>181.58</v>
      </c>
      <c r="AK1023" s="54">
        <f t="shared" si="165"/>
        <v>6.0616079792819022E-4</v>
      </c>
      <c r="AL1023" s="55">
        <f t="shared" si="168"/>
        <v>13.998664613490261</v>
      </c>
      <c r="AM1023" s="56">
        <v>25</v>
      </c>
      <c r="AN1023" s="57">
        <f t="shared" si="166"/>
        <v>11.001335386509739</v>
      </c>
      <c r="AO1023" s="76">
        <f t="shared" si="169"/>
        <v>7.5609217348309059</v>
      </c>
      <c r="AP1023" s="63" t="str">
        <f t="shared" si="170"/>
        <v>Buy Stocks</v>
      </c>
      <c r="AQ1023" s="63" t="str">
        <f t="shared" si="171"/>
        <v/>
      </c>
      <c r="AR1023" s="63" t="str">
        <f t="shared" si="172"/>
        <v/>
      </c>
      <c r="AS1023" s="63" t="str">
        <f t="shared" si="173"/>
        <v/>
      </c>
      <c r="AT1023" s="78" t="str">
        <f t="shared" si="174"/>
        <v/>
      </c>
      <c r="AU1023" s="78" t="str">
        <f t="shared" si="175"/>
        <v/>
      </c>
      <c r="AV1023" s="64" t="str">
        <f ca="1">IFERROR(__xludf.DUMMYFUNCTION("IF(TRIM(AU1023)="""","""",AU1023/INDEX(FILTER(AT$3:AT1023,TRIM(AT$3:AT1023)&lt;&gt;""""),ROWS(FILTER(AT$3:AT1023,TRIM(AT$3:AT1023)&lt;&gt;"""")))-1)"),"")</f>
        <v/>
      </c>
      <c r="AW1023" s="65" t="e">
        <f t="shared" ca="1" si="167"/>
        <v>#VALUE!</v>
      </c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</row>
    <row r="1024" spans="1:68" ht="19" x14ac:dyDescent="0.25">
      <c r="A1024" s="5"/>
      <c r="B1024" s="5"/>
      <c r="C1024" s="5"/>
      <c r="D1024" s="5"/>
      <c r="E1024" s="5"/>
      <c r="F1024" s="5"/>
      <c r="G1024" s="5"/>
      <c r="H1024" s="6"/>
      <c r="I1024" s="5"/>
      <c r="J1024" s="88"/>
      <c r="K1024" s="88"/>
      <c r="L1024" s="88"/>
      <c r="M1024" s="88"/>
      <c r="N1024" s="88"/>
      <c r="O1024" s="88"/>
      <c r="P1024" s="88"/>
      <c r="Q1024" s="89"/>
      <c r="R1024" s="88"/>
      <c r="S1024" s="88"/>
      <c r="T1024" s="90"/>
      <c r="U1024" s="6"/>
      <c r="V1024" s="44">
        <v>45404</v>
      </c>
      <c r="W1024" s="45">
        <v>181.9</v>
      </c>
      <c r="X1024" s="91"/>
      <c r="Y1024" s="77"/>
      <c r="Z1024" s="5"/>
      <c r="AA1024" s="5"/>
      <c r="AB1024" s="5"/>
      <c r="AC1024" s="5"/>
      <c r="AD1024" s="5"/>
      <c r="AE1024" s="5"/>
      <c r="AF1024" s="5"/>
      <c r="AG1024" s="5"/>
      <c r="AH1024" s="6"/>
      <c r="AI1024" s="44">
        <v>45404</v>
      </c>
      <c r="AJ1024" s="53">
        <v>181.9</v>
      </c>
      <c r="AK1024" s="54">
        <f t="shared" si="165"/>
        <v>1.7623086242977148E-3</v>
      </c>
      <c r="AL1024" s="55">
        <f t="shared" si="168"/>
        <v>13.345814447358606</v>
      </c>
      <c r="AM1024" s="56">
        <v>25</v>
      </c>
      <c r="AN1024" s="57">
        <f t="shared" si="166"/>
        <v>11.654185552641394</v>
      </c>
      <c r="AO1024" s="76">
        <f t="shared" si="169"/>
        <v>7.6347964389207572</v>
      </c>
      <c r="AP1024" s="63" t="str">
        <f t="shared" si="170"/>
        <v>Buy Stocks</v>
      </c>
      <c r="AQ1024" s="63" t="str">
        <f t="shared" si="171"/>
        <v/>
      </c>
      <c r="AR1024" s="63" t="str">
        <f t="shared" si="172"/>
        <v/>
      </c>
      <c r="AS1024" s="63" t="str">
        <f t="shared" si="173"/>
        <v/>
      </c>
      <c r="AT1024" s="78" t="str">
        <f t="shared" si="174"/>
        <v/>
      </c>
      <c r="AU1024" s="78" t="str">
        <f t="shared" si="175"/>
        <v/>
      </c>
      <c r="AV1024" s="64" t="str">
        <f ca="1">IFERROR(__xludf.DUMMYFUNCTION("IF(TRIM(AU1024)="""","""",AU1024/INDEX(FILTER(AT$3:AT1024,TRIM(AT$3:AT1024)&lt;&gt;""""),ROWS(FILTER(AT$3:AT1024,TRIM(AT$3:AT1024)&lt;&gt;"""")))-1)"),"")</f>
        <v/>
      </c>
      <c r="AW1024" s="65" t="e">
        <f t="shared" ca="1" si="167"/>
        <v>#VALUE!</v>
      </c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</row>
    <row r="1025" spans="1:68" ht="19" x14ac:dyDescent="0.25">
      <c r="A1025" s="5"/>
      <c r="B1025" s="5"/>
      <c r="C1025" s="5"/>
      <c r="D1025" s="5"/>
      <c r="E1025" s="5"/>
      <c r="F1025" s="5"/>
      <c r="G1025" s="5"/>
      <c r="H1025" s="6"/>
      <c r="I1025" s="5"/>
      <c r="J1025" s="88"/>
      <c r="K1025" s="88"/>
      <c r="L1025" s="88"/>
      <c r="M1025" s="88"/>
      <c r="N1025" s="88"/>
      <c r="O1025" s="88"/>
      <c r="P1025" s="88"/>
      <c r="Q1025" s="89"/>
      <c r="R1025" s="88"/>
      <c r="S1025" s="88"/>
      <c r="T1025" s="90"/>
      <c r="U1025" s="6"/>
      <c r="V1025" s="44">
        <v>45405</v>
      </c>
      <c r="W1025" s="45">
        <v>182.19</v>
      </c>
      <c r="X1025" s="91"/>
      <c r="Y1025" s="77"/>
      <c r="Z1025" s="5"/>
      <c r="AA1025" s="5"/>
      <c r="AB1025" s="5"/>
      <c r="AC1025" s="5"/>
      <c r="AD1025" s="5"/>
      <c r="AE1025" s="5"/>
      <c r="AF1025" s="5"/>
      <c r="AG1025" s="5"/>
      <c r="AH1025" s="6"/>
      <c r="AI1025" s="44">
        <v>45405</v>
      </c>
      <c r="AJ1025" s="53">
        <v>182.19</v>
      </c>
      <c r="AK1025" s="54">
        <f t="shared" si="165"/>
        <v>1.5942825728421095E-3</v>
      </c>
      <c r="AL1025" s="55">
        <f t="shared" si="168"/>
        <v>7.2488682303882506</v>
      </c>
      <c r="AM1025" s="56">
        <v>25</v>
      </c>
      <c r="AN1025" s="57">
        <f t="shared" si="166"/>
        <v>17.751131769611749</v>
      </c>
      <c r="AO1025" s="76">
        <f t="shared" si="169"/>
        <v>10.472429955218468</v>
      </c>
      <c r="AP1025" s="63" t="str">
        <f t="shared" si="170"/>
        <v>Buy Stocks</v>
      </c>
      <c r="AQ1025" s="63" t="str">
        <f t="shared" si="171"/>
        <v/>
      </c>
      <c r="AR1025" s="63" t="str">
        <f t="shared" si="172"/>
        <v/>
      </c>
      <c r="AS1025" s="63" t="str">
        <f t="shared" si="173"/>
        <v/>
      </c>
      <c r="AT1025" s="78" t="str">
        <f t="shared" si="174"/>
        <v/>
      </c>
      <c r="AU1025" s="78" t="str">
        <f t="shared" si="175"/>
        <v/>
      </c>
      <c r="AV1025" s="64" t="str">
        <f ca="1">IFERROR(__xludf.DUMMYFUNCTION("IF(TRIM(AU1025)="""","""",AU1025/INDEX(FILTER(AT$3:AT1025,TRIM(AT$3:AT1025)&lt;&gt;""""),ROWS(FILTER(AT$3:AT1025,TRIM(AT$3:AT1025)&lt;&gt;"""")))-1)"),"")</f>
        <v/>
      </c>
      <c r="AW1025" s="65" t="e">
        <f t="shared" ca="1" si="167"/>
        <v>#VALUE!</v>
      </c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</row>
    <row r="1026" spans="1:68" ht="19" x14ac:dyDescent="0.25">
      <c r="A1026" s="5"/>
      <c r="B1026" s="5"/>
      <c r="C1026" s="5"/>
      <c r="D1026" s="5"/>
      <c r="E1026" s="5"/>
      <c r="F1026" s="5"/>
      <c r="G1026" s="5"/>
      <c r="H1026" s="6"/>
      <c r="I1026" s="5"/>
      <c r="J1026" s="88"/>
      <c r="K1026" s="88"/>
      <c r="L1026" s="88"/>
      <c r="M1026" s="88"/>
      <c r="N1026" s="88"/>
      <c r="O1026" s="88"/>
      <c r="P1026" s="88"/>
      <c r="Q1026" s="89"/>
      <c r="R1026" s="88"/>
      <c r="S1026" s="88"/>
      <c r="T1026" s="90"/>
      <c r="U1026" s="6"/>
      <c r="V1026" s="44">
        <v>45406</v>
      </c>
      <c r="W1026" s="45">
        <v>184.1</v>
      </c>
      <c r="X1026" s="91"/>
      <c r="Y1026" s="77"/>
      <c r="Z1026" s="5"/>
      <c r="AA1026" s="5"/>
      <c r="AB1026" s="5"/>
      <c r="AC1026" s="5"/>
      <c r="AD1026" s="5"/>
      <c r="AE1026" s="5"/>
      <c r="AF1026" s="5"/>
      <c r="AG1026" s="5"/>
      <c r="AH1026" s="6"/>
      <c r="AI1026" s="44">
        <v>45406</v>
      </c>
      <c r="AJ1026" s="53">
        <v>184.1</v>
      </c>
      <c r="AK1026" s="54">
        <f t="shared" si="165"/>
        <v>1.0483561117514695E-2</v>
      </c>
      <c r="AL1026" s="55">
        <f t="shared" si="168"/>
        <v>10.912568581795465</v>
      </c>
      <c r="AM1026" s="56">
        <v>25</v>
      </c>
      <c r="AN1026" s="57">
        <f t="shared" si="166"/>
        <v>14.087431418204535</v>
      </c>
      <c r="AO1026" s="76">
        <f t="shared" si="169"/>
        <v>12.070384927411322</v>
      </c>
      <c r="AP1026" s="63" t="str">
        <f t="shared" si="170"/>
        <v>Buy Stocks</v>
      </c>
      <c r="AQ1026" s="63" t="str">
        <f t="shared" si="171"/>
        <v/>
      </c>
      <c r="AR1026" s="63" t="str">
        <f t="shared" si="172"/>
        <v/>
      </c>
      <c r="AS1026" s="63" t="str">
        <f t="shared" si="173"/>
        <v/>
      </c>
      <c r="AT1026" s="78" t="str">
        <f t="shared" si="174"/>
        <v/>
      </c>
      <c r="AU1026" s="78" t="str">
        <f t="shared" si="175"/>
        <v/>
      </c>
      <c r="AV1026" s="64" t="str">
        <f ca="1">IFERROR(__xludf.DUMMYFUNCTION("IF(TRIM(AU1026)="""","""",AU1026/INDEX(FILTER(AT$3:AT1026,TRIM(AT$3:AT1026)&lt;&gt;""""),ROWS(FILTER(AT$3:AT1026,TRIM(AT$3:AT1026)&lt;&gt;"""")))-1)"),"")</f>
        <v/>
      </c>
      <c r="AW1026" s="65" t="e">
        <f t="shared" ca="1" si="167"/>
        <v>#VALUE!</v>
      </c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</row>
    <row r="1027" spans="1:68" ht="19" x14ac:dyDescent="0.25">
      <c r="A1027" s="5"/>
      <c r="B1027" s="5"/>
      <c r="C1027" s="5"/>
      <c r="D1027" s="5"/>
      <c r="E1027" s="5"/>
      <c r="F1027" s="5"/>
      <c r="G1027" s="5"/>
      <c r="H1027" s="6"/>
      <c r="I1027" s="5"/>
      <c r="J1027" s="88"/>
      <c r="K1027" s="88"/>
      <c r="L1027" s="88"/>
      <c r="M1027" s="88"/>
      <c r="N1027" s="88"/>
      <c r="O1027" s="88"/>
      <c r="P1027" s="88"/>
      <c r="Q1027" s="89"/>
      <c r="R1027" s="88"/>
      <c r="S1027" s="88"/>
      <c r="T1027" s="90"/>
      <c r="U1027" s="6"/>
      <c r="V1027" s="44">
        <v>45407</v>
      </c>
      <c r="W1027" s="45">
        <v>168.91</v>
      </c>
      <c r="X1027" s="91"/>
      <c r="Y1027" s="77"/>
      <c r="Z1027" s="5"/>
      <c r="AA1027" s="5"/>
      <c r="AB1027" s="5"/>
      <c r="AC1027" s="5"/>
      <c r="AD1027" s="5"/>
      <c r="AE1027" s="5"/>
      <c r="AF1027" s="5"/>
      <c r="AG1027" s="5"/>
      <c r="AH1027" s="6"/>
      <c r="AI1027" s="44">
        <v>45407</v>
      </c>
      <c r="AJ1027" s="53">
        <v>168.91</v>
      </c>
      <c r="AK1027" s="54">
        <f t="shared" ref="AK1027:AK1090" si="176">AJ1027/AJ1026-1</f>
        <v>-8.2509505703422081E-2</v>
      </c>
      <c r="AL1027" s="55">
        <f t="shared" si="168"/>
        <v>61.467453777886618</v>
      </c>
      <c r="AM1027" s="56">
        <v>25</v>
      </c>
      <c r="AN1027" s="57">
        <f t="shared" ref="AN1027:AN1090" si="177">AM1027-AL1027</f>
        <v>-36.467453777886618</v>
      </c>
      <c r="AO1027" s="76">
        <f t="shared" si="169"/>
        <v>3.605326069816158</v>
      </c>
      <c r="AP1027" s="63" t="str">
        <f t="shared" si="170"/>
        <v>Buy Stocks</v>
      </c>
      <c r="AQ1027" s="63" t="str">
        <f t="shared" si="171"/>
        <v/>
      </c>
      <c r="AR1027" s="63" t="str">
        <f t="shared" si="172"/>
        <v/>
      </c>
      <c r="AS1027" s="63" t="str">
        <f t="shared" si="173"/>
        <v/>
      </c>
      <c r="AT1027" s="78" t="str">
        <f t="shared" si="174"/>
        <v/>
      </c>
      <c r="AU1027" s="78" t="str">
        <f t="shared" si="175"/>
        <v/>
      </c>
      <c r="AV1027" s="64" t="str">
        <f ca="1">IFERROR(__xludf.DUMMYFUNCTION("IF(TRIM(AU1027)="""","""",AU1027/INDEX(FILTER(AT$3:AT1027,TRIM(AT$3:AT1027)&lt;&gt;""""),ROWS(FILTER(AT$3:AT1027,TRIM(AT$3:AT1027)&lt;&gt;"""")))-1)"),"")</f>
        <v/>
      </c>
      <c r="AW1027" s="65" t="e">
        <f t="shared" ref="AW1027:AW1090" ca="1" si="178">AW1026*(1+AV1027)</f>
        <v>#VALUE!</v>
      </c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</row>
    <row r="1028" spans="1:68" ht="19" x14ac:dyDescent="0.25">
      <c r="A1028" s="5"/>
      <c r="B1028" s="5"/>
      <c r="C1028" s="5"/>
      <c r="D1028" s="5"/>
      <c r="E1028" s="5"/>
      <c r="F1028" s="5"/>
      <c r="G1028" s="5"/>
      <c r="H1028" s="6"/>
      <c r="I1028" s="5"/>
      <c r="J1028" s="88"/>
      <c r="K1028" s="88"/>
      <c r="L1028" s="88"/>
      <c r="M1028" s="88"/>
      <c r="N1028" s="88"/>
      <c r="O1028" s="88"/>
      <c r="P1028" s="88"/>
      <c r="Q1028" s="89"/>
      <c r="R1028" s="88"/>
      <c r="S1028" s="88"/>
      <c r="T1028" s="90"/>
      <c r="U1028" s="6"/>
      <c r="V1028" s="44">
        <v>45408</v>
      </c>
      <c r="W1028" s="45">
        <v>167.13</v>
      </c>
      <c r="X1028" s="91"/>
      <c r="Y1028" s="77"/>
      <c r="Z1028" s="5"/>
      <c r="AA1028" s="5"/>
      <c r="AB1028" s="5"/>
      <c r="AC1028" s="5"/>
      <c r="AD1028" s="5"/>
      <c r="AE1028" s="5"/>
      <c r="AF1028" s="5"/>
      <c r="AG1028" s="5"/>
      <c r="AH1028" s="6"/>
      <c r="AI1028" s="44">
        <v>45408</v>
      </c>
      <c r="AJ1028" s="53">
        <v>167.13</v>
      </c>
      <c r="AK1028" s="54">
        <f t="shared" si="176"/>
        <v>-1.0538156414658717E-2</v>
      </c>
      <c r="AL1028" s="55">
        <f t="shared" si="168"/>
        <v>60.342227831578107</v>
      </c>
      <c r="AM1028" s="56">
        <v>25</v>
      </c>
      <c r="AN1028" s="57">
        <f t="shared" si="177"/>
        <v>-35.342227831578107</v>
      </c>
      <c r="AO1028" s="76">
        <f t="shared" si="169"/>
        <v>-5.6633865738014091</v>
      </c>
      <c r="AP1028" s="63" t="str">
        <f t="shared" si="170"/>
        <v/>
      </c>
      <c r="AQ1028" s="63" t="str">
        <f t="shared" si="171"/>
        <v>Sell Stocks</v>
      </c>
      <c r="AR1028" s="63" t="str">
        <f t="shared" si="172"/>
        <v/>
      </c>
      <c r="AS1028" s="63" t="str">
        <f t="shared" si="173"/>
        <v>Sell Stocks</v>
      </c>
      <c r="AT1028" s="78" t="str">
        <f t="shared" si="174"/>
        <v/>
      </c>
      <c r="AU1028" s="77">
        <f t="shared" si="175"/>
        <v>167.13</v>
      </c>
      <c r="AV1028" s="64">
        <f ca="1">IFERROR(__xludf.DUMMYFUNCTION("IF(TRIM(AU1028)="""","""",AU1028/INDEX(FILTER(AT$3:AT1028,TRIM(AT$3:AT1028)&lt;&gt;""""),ROWS(FILTER(AT$3:AT1028,TRIM(AT$3:AT1028)&lt;&gt;"""")))-1)"),-0.129077644606566)</f>
        <v>-0.12907764460656601</v>
      </c>
      <c r="AW1028" s="65" t="e">
        <f t="shared" ca="1" si="178"/>
        <v>#VALUE!</v>
      </c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</row>
    <row r="1029" spans="1:68" ht="19" x14ac:dyDescent="0.25">
      <c r="A1029" s="5"/>
      <c r="B1029" s="5"/>
      <c r="C1029" s="5"/>
      <c r="D1029" s="5"/>
      <c r="E1029" s="5"/>
      <c r="F1029" s="5"/>
      <c r="G1029" s="5"/>
      <c r="H1029" s="6"/>
      <c r="I1029" s="5"/>
      <c r="J1029" s="88"/>
      <c r="K1029" s="88"/>
      <c r="L1029" s="88"/>
      <c r="M1029" s="88"/>
      <c r="N1029" s="88"/>
      <c r="O1029" s="88"/>
      <c r="P1029" s="88"/>
      <c r="Q1029" s="89"/>
      <c r="R1029" s="88"/>
      <c r="S1029" s="88"/>
      <c r="T1029" s="90"/>
      <c r="U1029" s="6"/>
      <c r="V1029" s="44">
        <v>45411</v>
      </c>
      <c r="W1029" s="45">
        <v>167.43</v>
      </c>
      <c r="X1029" s="91"/>
      <c r="Y1029" s="77"/>
      <c r="Z1029" s="5"/>
      <c r="AA1029" s="5"/>
      <c r="AB1029" s="5"/>
      <c r="AC1029" s="5"/>
      <c r="AD1029" s="5"/>
      <c r="AE1029" s="5"/>
      <c r="AF1029" s="5"/>
      <c r="AG1029" s="5"/>
      <c r="AH1029" s="6"/>
      <c r="AI1029" s="44">
        <v>45411</v>
      </c>
      <c r="AJ1029" s="53">
        <v>167.43</v>
      </c>
      <c r="AK1029" s="54">
        <f t="shared" si="176"/>
        <v>1.7950098725543207E-3</v>
      </c>
      <c r="AL1029" s="55">
        <f t="shared" si="168"/>
        <v>60.348242215763328</v>
      </c>
      <c r="AM1029" s="56">
        <v>25</v>
      </c>
      <c r="AN1029" s="57">
        <f t="shared" si="177"/>
        <v>-35.348242215763328</v>
      </c>
      <c r="AO1029" s="76">
        <f t="shared" si="169"/>
        <v>-15.063872127482352</v>
      </c>
      <c r="AP1029" s="63" t="str">
        <f t="shared" si="170"/>
        <v/>
      </c>
      <c r="AQ1029" s="63" t="str">
        <f t="shared" si="171"/>
        <v>Sell Stocks</v>
      </c>
      <c r="AR1029" s="63" t="str">
        <f t="shared" si="172"/>
        <v/>
      </c>
      <c r="AS1029" s="63" t="str">
        <f t="shared" si="173"/>
        <v/>
      </c>
      <c r="AT1029" s="78" t="str">
        <f t="shared" si="174"/>
        <v/>
      </c>
      <c r="AU1029" s="78" t="str">
        <f t="shared" si="175"/>
        <v/>
      </c>
      <c r="AV1029" s="64" t="str">
        <f ca="1">IFERROR(__xludf.DUMMYFUNCTION("IF(TRIM(AU1029)="""","""",AU1029/INDEX(FILTER(AT$3:AT1029,TRIM(AT$3:AT1029)&lt;&gt;""""),ROWS(FILTER(AT$3:AT1029,TRIM(AT$3:AT1029)&lt;&gt;"""")))-1)"),"")</f>
        <v/>
      </c>
      <c r="AW1029" s="65" t="e">
        <f t="shared" ca="1" si="178"/>
        <v>#VALUE!</v>
      </c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</row>
    <row r="1030" spans="1:68" ht="19" x14ac:dyDescent="0.25">
      <c r="A1030" s="5"/>
      <c r="B1030" s="5"/>
      <c r="C1030" s="5"/>
      <c r="D1030" s="5"/>
      <c r="E1030" s="5"/>
      <c r="F1030" s="5"/>
      <c r="G1030" s="5"/>
      <c r="H1030" s="6"/>
      <c r="I1030" s="5"/>
      <c r="J1030" s="88"/>
      <c r="K1030" s="88"/>
      <c r="L1030" s="88"/>
      <c r="M1030" s="88"/>
      <c r="N1030" s="88"/>
      <c r="O1030" s="88"/>
      <c r="P1030" s="88"/>
      <c r="Q1030" s="89"/>
      <c r="R1030" s="88"/>
      <c r="S1030" s="88"/>
      <c r="T1030" s="90"/>
      <c r="U1030" s="6"/>
      <c r="V1030" s="44">
        <v>45412</v>
      </c>
      <c r="W1030" s="45">
        <v>166.2</v>
      </c>
      <c r="X1030" s="91"/>
      <c r="Y1030" s="77"/>
      <c r="Z1030" s="5"/>
      <c r="AA1030" s="5"/>
      <c r="AB1030" s="5"/>
      <c r="AC1030" s="5"/>
      <c r="AD1030" s="5"/>
      <c r="AE1030" s="5"/>
      <c r="AF1030" s="5"/>
      <c r="AG1030" s="5"/>
      <c r="AH1030" s="6"/>
      <c r="AI1030" s="44">
        <v>45412</v>
      </c>
      <c r="AJ1030" s="53">
        <v>166.2</v>
      </c>
      <c r="AK1030" s="54">
        <f t="shared" si="176"/>
        <v>-7.3463537000538759E-3</v>
      </c>
      <c r="AL1030" s="55">
        <f t="shared" si="168"/>
        <v>59.041117998551563</v>
      </c>
      <c r="AM1030" s="56">
        <v>25</v>
      </c>
      <c r="AN1030" s="57">
        <f t="shared" si="177"/>
        <v>-34.041117998551563</v>
      </c>
      <c r="AO1030" s="76">
        <f t="shared" si="169"/>
        <v>-25.422322081115016</v>
      </c>
      <c r="AP1030" s="63" t="str">
        <f t="shared" si="170"/>
        <v/>
      </c>
      <c r="AQ1030" s="63" t="str">
        <f t="shared" si="171"/>
        <v>Sell Stocks</v>
      </c>
      <c r="AR1030" s="63" t="str">
        <f t="shared" si="172"/>
        <v/>
      </c>
      <c r="AS1030" s="63" t="str">
        <f t="shared" si="173"/>
        <v/>
      </c>
      <c r="AT1030" s="78" t="str">
        <f t="shared" si="174"/>
        <v/>
      </c>
      <c r="AU1030" s="78" t="str">
        <f t="shared" si="175"/>
        <v/>
      </c>
      <c r="AV1030" s="64" t="str">
        <f ca="1">IFERROR(__xludf.DUMMYFUNCTION("IF(TRIM(AU1030)="""","""",AU1030/INDEX(FILTER(AT$3:AT1030,TRIM(AT$3:AT1030)&lt;&gt;""""),ROWS(FILTER(AT$3:AT1030,TRIM(AT$3:AT1030)&lt;&gt;"""")))-1)"),"")</f>
        <v/>
      </c>
      <c r="AW1030" s="65" t="e">
        <f t="shared" ca="1" si="178"/>
        <v>#VALUE!</v>
      </c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</row>
    <row r="1031" spans="1:68" ht="19" x14ac:dyDescent="0.25">
      <c r="A1031" s="5"/>
      <c r="B1031" s="5"/>
      <c r="C1031" s="5"/>
      <c r="D1031" s="5"/>
      <c r="E1031" s="5"/>
      <c r="F1031" s="5"/>
      <c r="G1031" s="5"/>
      <c r="H1031" s="6"/>
      <c r="I1031" s="5"/>
      <c r="J1031" s="88"/>
      <c r="K1031" s="88"/>
      <c r="L1031" s="88"/>
      <c r="M1031" s="88"/>
      <c r="N1031" s="88"/>
      <c r="O1031" s="88"/>
      <c r="P1031" s="88"/>
      <c r="Q1031" s="89"/>
      <c r="R1031" s="88"/>
      <c r="S1031" s="88"/>
      <c r="T1031" s="90"/>
      <c r="U1031" s="6"/>
      <c r="V1031" s="44">
        <v>45413</v>
      </c>
      <c r="W1031" s="45">
        <v>164.43</v>
      </c>
      <c r="X1031" s="91"/>
      <c r="Y1031" s="77"/>
      <c r="Z1031" s="5"/>
      <c r="AA1031" s="5"/>
      <c r="AB1031" s="5"/>
      <c r="AC1031" s="5"/>
      <c r="AD1031" s="5"/>
      <c r="AE1031" s="5"/>
      <c r="AF1031" s="5"/>
      <c r="AG1031" s="5"/>
      <c r="AH1031" s="6"/>
      <c r="AI1031" s="44">
        <v>45413</v>
      </c>
      <c r="AJ1031" s="53">
        <v>164.43</v>
      </c>
      <c r="AK1031" s="54">
        <f t="shared" si="176"/>
        <v>-1.0649819494584767E-2</v>
      </c>
      <c r="AL1031" s="55">
        <f t="shared" ref="AL1031:AL1094" si="179">_xlfn.STDEV.S(AK1027:AK1031)*SQRT(252)*100</f>
        <v>54.429077053625733</v>
      </c>
      <c r="AM1031" s="56">
        <v>25</v>
      </c>
      <c r="AN1031" s="57">
        <f t="shared" si="177"/>
        <v>-29.429077053625733</v>
      </c>
      <c r="AO1031" s="76">
        <f t="shared" ref="AO1031:AO1094" si="180">AVERAGE(AN1027:AN1031)</f>
        <v>-34.12562377548106</v>
      </c>
      <c r="AP1031" s="63" t="str">
        <f t="shared" ref="AP1031:AP1094" si="181">IF(AO1031&gt;0,"Buy Stocks","")</f>
        <v/>
      </c>
      <c r="AQ1031" s="63" t="str">
        <f t="shared" ref="AQ1031:AQ1094" si="182">IF(AO1031&lt;0,"Sell Stocks","")</f>
        <v>Sell Stocks</v>
      </c>
      <c r="AR1031" s="63" t="str">
        <f t="shared" ref="AR1031:AR1094" si="183">IF(AND(AP1031="Buy Stocks",AP1030=""),"Buy Stocks","")</f>
        <v/>
      </c>
      <c r="AS1031" s="63" t="str">
        <f t="shared" ref="AS1031:AS1094" si="184">IF(AND(AQ1031="Sell Stocks",AQ1030=""),"Sell Stocks","")</f>
        <v/>
      </c>
      <c r="AT1031" s="78" t="str">
        <f t="shared" ref="AT1031:AT1094" si="185">IF(AR1031="Buy Stocks",AJ1031,"")</f>
        <v/>
      </c>
      <c r="AU1031" s="78" t="str">
        <f t="shared" ref="AU1031:AU1094" si="186">IF(AS1031="Sell Stocks",AJ1031,"")</f>
        <v/>
      </c>
      <c r="AV1031" s="64" t="str">
        <f ca="1">IFERROR(__xludf.DUMMYFUNCTION("IF(TRIM(AU1031)="""","""",AU1031/INDEX(FILTER(AT$3:AT1031,TRIM(AT$3:AT1031)&lt;&gt;""""),ROWS(FILTER(AT$3:AT1031,TRIM(AT$3:AT1031)&lt;&gt;"""")))-1)"),"")</f>
        <v/>
      </c>
      <c r="AW1031" s="65" t="e">
        <f t="shared" ca="1" si="178"/>
        <v>#VALUE!</v>
      </c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</row>
    <row r="1032" spans="1:68" ht="19" x14ac:dyDescent="0.25">
      <c r="A1032" s="5"/>
      <c r="B1032" s="5"/>
      <c r="C1032" s="5"/>
      <c r="D1032" s="5"/>
      <c r="E1032" s="5"/>
      <c r="F1032" s="5"/>
      <c r="G1032" s="5"/>
      <c r="H1032" s="6"/>
      <c r="I1032" s="5"/>
      <c r="J1032" s="88"/>
      <c r="K1032" s="88"/>
      <c r="L1032" s="88"/>
      <c r="M1032" s="88"/>
      <c r="N1032" s="88"/>
      <c r="O1032" s="88"/>
      <c r="P1032" s="88"/>
      <c r="Q1032" s="89"/>
      <c r="R1032" s="88"/>
      <c r="S1032" s="88"/>
      <c r="T1032" s="90"/>
      <c r="U1032" s="6"/>
      <c r="V1032" s="44">
        <v>45414</v>
      </c>
      <c r="W1032" s="45">
        <v>164.69</v>
      </c>
      <c r="X1032" s="91"/>
      <c r="Y1032" s="77"/>
      <c r="Z1032" s="5"/>
      <c r="AA1032" s="5"/>
      <c r="AB1032" s="5"/>
      <c r="AC1032" s="5"/>
      <c r="AD1032" s="5"/>
      <c r="AE1032" s="5"/>
      <c r="AF1032" s="5"/>
      <c r="AG1032" s="5"/>
      <c r="AH1032" s="6"/>
      <c r="AI1032" s="44">
        <v>45414</v>
      </c>
      <c r="AJ1032" s="53">
        <v>164.69</v>
      </c>
      <c r="AK1032" s="54">
        <f t="shared" si="176"/>
        <v>1.581219972024428E-3</v>
      </c>
      <c r="AL1032" s="55">
        <f t="shared" si="179"/>
        <v>9.9635975522281672</v>
      </c>
      <c r="AM1032" s="56">
        <v>25</v>
      </c>
      <c r="AN1032" s="57">
        <f t="shared" si="177"/>
        <v>15.036402447771833</v>
      </c>
      <c r="AO1032" s="76">
        <f t="shared" si="180"/>
        <v>-23.824852530349379</v>
      </c>
      <c r="AP1032" s="63" t="str">
        <f t="shared" si="181"/>
        <v/>
      </c>
      <c r="AQ1032" s="63" t="str">
        <f t="shared" si="182"/>
        <v>Sell Stocks</v>
      </c>
      <c r="AR1032" s="63" t="str">
        <f t="shared" si="183"/>
        <v/>
      </c>
      <c r="AS1032" s="63" t="str">
        <f t="shared" si="184"/>
        <v/>
      </c>
      <c r="AT1032" s="78" t="str">
        <f t="shared" si="185"/>
        <v/>
      </c>
      <c r="AU1032" s="78" t="str">
        <f t="shared" si="186"/>
        <v/>
      </c>
      <c r="AV1032" s="64" t="str">
        <f ca="1">IFERROR(__xludf.DUMMYFUNCTION("IF(TRIM(AU1032)="""","""",AU1032/INDEX(FILTER(AT$3:AT1032,TRIM(AT$3:AT1032)&lt;&gt;""""),ROWS(FILTER(AT$3:AT1032,TRIM(AT$3:AT1032)&lt;&gt;"""")))-1)"),"")</f>
        <v/>
      </c>
      <c r="AW1032" s="65" t="e">
        <f t="shared" ca="1" si="178"/>
        <v>#VALUE!</v>
      </c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</row>
    <row r="1033" spans="1:68" ht="19" x14ac:dyDescent="0.25">
      <c r="A1033" s="5"/>
      <c r="B1033" s="5"/>
      <c r="C1033" s="5"/>
      <c r="D1033" s="5"/>
      <c r="E1033" s="5"/>
      <c r="F1033" s="5"/>
      <c r="G1033" s="5"/>
      <c r="H1033" s="6"/>
      <c r="I1033" s="5"/>
      <c r="J1033" s="88"/>
      <c r="K1033" s="88"/>
      <c r="L1033" s="88"/>
      <c r="M1033" s="88"/>
      <c r="N1033" s="88"/>
      <c r="O1033" s="88"/>
      <c r="P1033" s="88"/>
      <c r="Q1033" s="89"/>
      <c r="R1033" s="88"/>
      <c r="S1033" s="88"/>
      <c r="T1033" s="90"/>
      <c r="U1033" s="6"/>
      <c r="V1033" s="44">
        <v>45415</v>
      </c>
      <c r="W1033" s="45">
        <v>165.71</v>
      </c>
      <c r="X1033" s="91"/>
      <c r="Y1033" s="77"/>
      <c r="Z1033" s="5"/>
      <c r="AA1033" s="5"/>
      <c r="AB1033" s="5"/>
      <c r="AC1033" s="5"/>
      <c r="AD1033" s="5"/>
      <c r="AE1033" s="5"/>
      <c r="AF1033" s="5"/>
      <c r="AG1033" s="5"/>
      <c r="AH1033" s="6"/>
      <c r="AI1033" s="44">
        <v>45415</v>
      </c>
      <c r="AJ1033" s="53">
        <v>165.71</v>
      </c>
      <c r="AK1033" s="54">
        <f t="shared" si="176"/>
        <v>6.193454368814244E-3</v>
      </c>
      <c r="AL1033" s="55">
        <f t="shared" si="179"/>
        <v>11.148031206620018</v>
      </c>
      <c r="AM1033" s="56">
        <v>25</v>
      </c>
      <c r="AN1033" s="57">
        <f t="shared" si="177"/>
        <v>13.851968793379982</v>
      </c>
      <c r="AO1033" s="76">
        <f t="shared" si="180"/>
        <v>-13.986013205357761</v>
      </c>
      <c r="AP1033" s="63" t="str">
        <f t="shared" si="181"/>
        <v/>
      </c>
      <c r="AQ1033" s="63" t="str">
        <f t="shared" si="182"/>
        <v>Sell Stocks</v>
      </c>
      <c r="AR1033" s="63" t="str">
        <f t="shared" si="183"/>
        <v/>
      </c>
      <c r="AS1033" s="63" t="str">
        <f t="shared" si="184"/>
        <v/>
      </c>
      <c r="AT1033" s="78" t="str">
        <f t="shared" si="185"/>
        <v/>
      </c>
      <c r="AU1033" s="78" t="str">
        <f t="shared" si="186"/>
        <v/>
      </c>
      <c r="AV1033" s="64" t="str">
        <f ca="1">IFERROR(__xludf.DUMMYFUNCTION("IF(TRIM(AU1033)="""","""",AU1033/INDEX(FILTER(AT$3:AT1033,TRIM(AT$3:AT1033)&lt;&gt;""""),ROWS(FILTER(AT$3:AT1033,TRIM(AT$3:AT1033)&lt;&gt;"""")))-1)"),"")</f>
        <v/>
      </c>
      <c r="AW1033" s="65" t="e">
        <f t="shared" ca="1" si="178"/>
        <v>#VALUE!</v>
      </c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</row>
    <row r="1034" spans="1:68" ht="19" x14ac:dyDescent="0.25">
      <c r="A1034" s="5"/>
      <c r="B1034" s="5"/>
      <c r="C1034" s="5"/>
      <c r="D1034" s="5"/>
      <c r="E1034" s="5"/>
      <c r="F1034" s="5"/>
      <c r="G1034" s="5"/>
      <c r="H1034" s="6"/>
      <c r="I1034" s="5"/>
      <c r="J1034" s="88"/>
      <c r="K1034" s="88"/>
      <c r="L1034" s="88"/>
      <c r="M1034" s="88"/>
      <c r="N1034" s="88"/>
      <c r="O1034" s="88"/>
      <c r="P1034" s="88"/>
      <c r="Q1034" s="89"/>
      <c r="R1034" s="88"/>
      <c r="S1034" s="88"/>
      <c r="T1034" s="90"/>
      <c r="U1034" s="6"/>
      <c r="V1034" s="44">
        <v>45418</v>
      </c>
      <c r="W1034" s="45">
        <v>168.61</v>
      </c>
      <c r="X1034" s="91"/>
      <c r="Y1034" s="77"/>
      <c r="Z1034" s="5"/>
      <c r="AA1034" s="5"/>
      <c r="AB1034" s="5"/>
      <c r="AC1034" s="5"/>
      <c r="AD1034" s="5"/>
      <c r="AE1034" s="5"/>
      <c r="AF1034" s="5"/>
      <c r="AG1034" s="5"/>
      <c r="AH1034" s="6"/>
      <c r="AI1034" s="44">
        <v>45418</v>
      </c>
      <c r="AJ1034" s="53">
        <v>168.61</v>
      </c>
      <c r="AK1034" s="54">
        <f t="shared" si="176"/>
        <v>1.7500452597912108E-2</v>
      </c>
      <c r="AL1034" s="55">
        <f t="shared" si="179"/>
        <v>17.817604294199572</v>
      </c>
      <c r="AM1034" s="56">
        <v>25</v>
      </c>
      <c r="AN1034" s="57">
        <f t="shared" si="177"/>
        <v>7.1823957058004275</v>
      </c>
      <c r="AO1034" s="76">
        <f t="shared" si="180"/>
        <v>-5.4798856210450104</v>
      </c>
      <c r="AP1034" s="63" t="str">
        <f t="shared" si="181"/>
        <v/>
      </c>
      <c r="AQ1034" s="63" t="str">
        <f t="shared" si="182"/>
        <v>Sell Stocks</v>
      </c>
      <c r="AR1034" s="63" t="str">
        <f t="shared" si="183"/>
        <v/>
      </c>
      <c r="AS1034" s="63" t="str">
        <f t="shared" si="184"/>
        <v/>
      </c>
      <c r="AT1034" s="78" t="str">
        <f t="shared" si="185"/>
        <v/>
      </c>
      <c r="AU1034" s="78" t="str">
        <f t="shared" si="186"/>
        <v/>
      </c>
      <c r="AV1034" s="64" t="str">
        <f ca="1">IFERROR(__xludf.DUMMYFUNCTION("IF(TRIM(AU1034)="""","""",AU1034/INDEX(FILTER(AT$3:AT1034,TRIM(AT$3:AT1034)&lt;&gt;""""),ROWS(FILTER(AT$3:AT1034,TRIM(AT$3:AT1034)&lt;&gt;"""")))-1)"),"")</f>
        <v/>
      </c>
      <c r="AW1034" s="65" t="e">
        <f t="shared" ca="1" si="178"/>
        <v>#VALUE!</v>
      </c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</row>
    <row r="1035" spans="1:68" ht="19" x14ac:dyDescent="0.25">
      <c r="A1035" s="5"/>
      <c r="B1035" s="5"/>
      <c r="C1035" s="5"/>
      <c r="D1035" s="5"/>
      <c r="E1035" s="5"/>
      <c r="F1035" s="5"/>
      <c r="G1035" s="5"/>
      <c r="H1035" s="6"/>
      <c r="I1035" s="5"/>
      <c r="J1035" s="88"/>
      <c r="K1035" s="88"/>
      <c r="L1035" s="88"/>
      <c r="M1035" s="88"/>
      <c r="N1035" s="88"/>
      <c r="O1035" s="88"/>
      <c r="P1035" s="88"/>
      <c r="Q1035" s="89"/>
      <c r="R1035" s="88"/>
      <c r="S1035" s="88"/>
      <c r="T1035" s="90"/>
      <c r="U1035" s="6"/>
      <c r="V1035" s="44">
        <v>45419</v>
      </c>
      <c r="W1035" s="45">
        <v>168.38</v>
      </c>
      <c r="X1035" s="91"/>
      <c r="Y1035" s="77"/>
      <c r="Z1035" s="5"/>
      <c r="AA1035" s="5"/>
      <c r="AB1035" s="5"/>
      <c r="AC1035" s="5"/>
      <c r="AD1035" s="5"/>
      <c r="AE1035" s="5"/>
      <c r="AF1035" s="5"/>
      <c r="AG1035" s="5"/>
      <c r="AH1035" s="6"/>
      <c r="AI1035" s="44">
        <v>45419</v>
      </c>
      <c r="AJ1035" s="53">
        <v>168.38</v>
      </c>
      <c r="AK1035" s="54">
        <f t="shared" si="176"/>
        <v>-1.3640946563076017E-3</v>
      </c>
      <c r="AL1035" s="55">
        <f t="shared" si="179"/>
        <v>16.40598767939883</v>
      </c>
      <c r="AM1035" s="56">
        <v>25</v>
      </c>
      <c r="AN1035" s="57">
        <f t="shared" si="177"/>
        <v>8.5940123206011698</v>
      </c>
      <c r="AO1035" s="76">
        <f t="shared" si="180"/>
        <v>3.047140442785536</v>
      </c>
      <c r="AP1035" s="63" t="str">
        <f t="shared" si="181"/>
        <v>Buy Stocks</v>
      </c>
      <c r="AQ1035" s="63" t="str">
        <f t="shared" si="182"/>
        <v/>
      </c>
      <c r="AR1035" s="63" t="str">
        <f t="shared" si="183"/>
        <v>Buy Stocks</v>
      </c>
      <c r="AS1035" s="63" t="str">
        <f t="shared" si="184"/>
        <v/>
      </c>
      <c r="AT1035" s="77">
        <f t="shared" si="185"/>
        <v>168.38</v>
      </c>
      <c r="AU1035" s="78" t="str">
        <f t="shared" si="186"/>
        <v/>
      </c>
      <c r="AV1035" s="64" t="str">
        <f ca="1">IFERROR(__xludf.DUMMYFUNCTION("IF(TRIM(AU1035)="""","""",AU1035/INDEX(FILTER(AT$3:AT1035,TRIM(AT$3:AT1035)&lt;&gt;""""),ROWS(FILTER(AT$3:AT1035,TRIM(AT$3:AT1035)&lt;&gt;"""")))-1)"),"")</f>
        <v/>
      </c>
      <c r="AW1035" s="65" t="e">
        <f t="shared" ca="1" si="178"/>
        <v>#VALUE!</v>
      </c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</row>
    <row r="1036" spans="1:68" ht="19" x14ac:dyDescent="0.25">
      <c r="A1036" s="5"/>
      <c r="B1036" s="5"/>
      <c r="C1036" s="5"/>
      <c r="D1036" s="5"/>
      <c r="E1036" s="5"/>
      <c r="F1036" s="5"/>
      <c r="G1036" s="5"/>
      <c r="H1036" s="6"/>
      <c r="I1036" s="5"/>
      <c r="J1036" s="88"/>
      <c r="K1036" s="88"/>
      <c r="L1036" s="88"/>
      <c r="M1036" s="88"/>
      <c r="N1036" s="88"/>
      <c r="O1036" s="88"/>
      <c r="P1036" s="88"/>
      <c r="Q1036" s="89"/>
      <c r="R1036" s="88"/>
      <c r="S1036" s="88"/>
      <c r="T1036" s="90"/>
      <c r="U1036" s="6"/>
      <c r="V1036" s="44">
        <v>45420</v>
      </c>
      <c r="W1036" s="45">
        <v>169.9</v>
      </c>
      <c r="X1036" s="91"/>
      <c r="Y1036" s="77"/>
      <c r="Z1036" s="5"/>
      <c r="AA1036" s="5"/>
      <c r="AB1036" s="5"/>
      <c r="AC1036" s="5"/>
      <c r="AD1036" s="5"/>
      <c r="AE1036" s="5"/>
      <c r="AF1036" s="5"/>
      <c r="AG1036" s="5"/>
      <c r="AH1036" s="6"/>
      <c r="AI1036" s="44">
        <v>45420</v>
      </c>
      <c r="AJ1036" s="53">
        <v>169.9</v>
      </c>
      <c r="AK1036" s="54">
        <f t="shared" si="176"/>
        <v>9.027200380092637E-3</v>
      </c>
      <c r="AL1036" s="55">
        <f t="shared" si="179"/>
        <v>11.597374881565523</v>
      </c>
      <c r="AM1036" s="56">
        <v>25</v>
      </c>
      <c r="AN1036" s="57">
        <f t="shared" si="177"/>
        <v>13.402625118434477</v>
      </c>
      <c r="AO1036" s="76">
        <f t="shared" si="180"/>
        <v>11.613480877197578</v>
      </c>
      <c r="AP1036" s="63" t="str">
        <f t="shared" si="181"/>
        <v>Buy Stocks</v>
      </c>
      <c r="AQ1036" s="63" t="str">
        <f t="shared" si="182"/>
        <v/>
      </c>
      <c r="AR1036" s="63" t="str">
        <f t="shared" si="183"/>
        <v/>
      </c>
      <c r="AS1036" s="63" t="str">
        <f t="shared" si="184"/>
        <v/>
      </c>
      <c r="AT1036" s="78" t="str">
        <f t="shared" si="185"/>
        <v/>
      </c>
      <c r="AU1036" s="78" t="str">
        <f t="shared" si="186"/>
        <v/>
      </c>
      <c r="AV1036" s="64" t="str">
        <f ca="1">IFERROR(__xludf.DUMMYFUNCTION("IF(TRIM(AU1036)="""","""",AU1036/INDEX(FILTER(AT$3:AT1036,TRIM(AT$3:AT1036)&lt;&gt;""""),ROWS(FILTER(AT$3:AT1036,TRIM(AT$3:AT1036)&lt;&gt;"""")))-1)"),"")</f>
        <v/>
      </c>
      <c r="AW1036" s="65" t="e">
        <f t="shared" ca="1" si="178"/>
        <v>#VALUE!</v>
      </c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</row>
    <row r="1037" spans="1:68" ht="19" x14ac:dyDescent="0.25">
      <c r="A1037" s="5"/>
      <c r="B1037" s="5"/>
      <c r="C1037" s="5"/>
      <c r="D1037" s="5"/>
      <c r="E1037" s="5"/>
      <c r="F1037" s="5"/>
      <c r="G1037" s="5"/>
      <c r="H1037" s="6"/>
      <c r="I1037" s="5"/>
      <c r="J1037" s="88"/>
      <c r="K1037" s="88"/>
      <c r="L1037" s="88"/>
      <c r="M1037" s="88"/>
      <c r="N1037" s="88"/>
      <c r="O1037" s="88"/>
      <c r="P1037" s="88"/>
      <c r="Q1037" s="89"/>
      <c r="R1037" s="88"/>
      <c r="S1037" s="88"/>
      <c r="T1037" s="90"/>
      <c r="U1037" s="6"/>
      <c r="V1037" s="44">
        <v>45421</v>
      </c>
      <c r="W1037" s="45">
        <v>166.27</v>
      </c>
      <c r="X1037" s="91"/>
      <c r="Y1037" s="77"/>
      <c r="Z1037" s="5"/>
      <c r="AA1037" s="5"/>
      <c r="AB1037" s="5"/>
      <c r="AC1037" s="5"/>
      <c r="AD1037" s="5"/>
      <c r="AE1037" s="5"/>
      <c r="AF1037" s="5"/>
      <c r="AG1037" s="5"/>
      <c r="AH1037" s="6"/>
      <c r="AI1037" s="44">
        <v>45421</v>
      </c>
      <c r="AJ1037" s="53">
        <v>166.27</v>
      </c>
      <c r="AK1037" s="54">
        <f t="shared" si="176"/>
        <v>-2.1365509123013493E-2</v>
      </c>
      <c r="AL1037" s="55">
        <f t="shared" si="179"/>
        <v>23.337345722916243</v>
      </c>
      <c r="AM1037" s="56">
        <v>25</v>
      </c>
      <c r="AN1037" s="57">
        <f t="shared" si="177"/>
        <v>1.6626542770837567</v>
      </c>
      <c r="AO1037" s="76">
        <f t="shared" si="180"/>
        <v>8.9387312430599621</v>
      </c>
      <c r="AP1037" s="63" t="str">
        <f t="shared" si="181"/>
        <v>Buy Stocks</v>
      </c>
      <c r="AQ1037" s="63" t="str">
        <f t="shared" si="182"/>
        <v/>
      </c>
      <c r="AR1037" s="63" t="str">
        <f t="shared" si="183"/>
        <v/>
      </c>
      <c r="AS1037" s="63" t="str">
        <f t="shared" si="184"/>
        <v/>
      </c>
      <c r="AT1037" s="78" t="str">
        <f t="shared" si="185"/>
        <v/>
      </c>
      <c r="AU1037" s="78" t="str">
        <f t="shared" si="186"/>
        <v/>
      </c>
      <c r="AV1037" s="64" t="str">
        <f ca="1">IFERROR(__xludf.DUMMYFUNCTION("IF(TRIM(AU1037)="""","""",AU1037/INDEX(FILTER(AT$3:AT1037,TRIM(AT$3:AT1037)&lt;&gt;""""),ROWS(FILTER(AT$3:AT1037,TRIM(AT$3:AT1037)&lt;&gt;"""")))-1)"),"")</f>
        <v/>
      </c>
      <c r="AW1037" s="65" t="e">
        <f t="shared" ca="1" si="178"/>
        <v>#VALUE!</v>
      </c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</row>
    <row r="1038" spans="1:68" ht="19" x14ac:dyDescent="0.25">
      <c r="A1038" s="5"/>
      <c r="B1038" s="5"/>
      <c r="C1038" s="5"/>
      <c r="D1038" s="5"/>
      <c r="E1038" s="5"/>
      <c r="F1038" s="5"/>
      <c r="G1038" s="5"/>
      <c r="H1038" s="6"/>
      <c r="I1038" s="5"/>
      <c r="J1038" s="88"/>
      <c r="K1038" s="88"/>
      <c r="L1038" s="88"/>
      <c r="M1038" s="88"/>
      <c r="N1038" s="88"/>
      <c r="O1038" s="88"/>
      <c r="P1038" s="88"/>
      <c r="Q1038" s="89"/>
      <c r="R1038" s="88"/>
      <c r="S1038" s="88"/>
      <c r="T1038" s="90"/>
      <c r="U1038" s="6"/>
      <c r="V1038" s="44">
        <v>45422</v>
      </c>
      <c r="W1038" s="45">
        <v>167.15</v>
      </c>
      <c r="X1038" s="91"/>
      <c r="Y1038" s="77"/>
      <c r="Z1038" s="5"/>
      <c r="AA1038" s="5"/>
      <c r="AB1038" s="5"/>
      <c r="AC1038" s="5"/>
      <c r="AD1038" s="5"/>
      <c r="AE1038" s="5"/>
      <c r="AF1038" s="5"/>
      <c r="AG1038" s="5"/>
      <c r="AH1038" s="6"/>
      <c r="AI1038" s="44">
        <v>45422</v>
      </c>
      <c r="AJ1038" s="53">
        <v>167.15</v>
      </c>
      <c r="AK1038" s="54">
        <f t="shared" si="176"/>
        <v>5.2925963793828412E-3</v>
      </c>
      <c r="AL1038" s="55">
        <f t="shared" si="179"/>
        <v>23.243899944802088</v>
      </c>
      <c r="AM1038" s="56">
        <v>25</v>
      </c>
      <c r="AN1038" s="57">
        <f t="shared" si="177"/>
        <v>1.756100055197912</v>
      </c>
      <c r="AO1038" s="76">
        <f t="shared" si="180"/>
        <v>6.51955749542355</v>
      </c>
      <c r="AP1038" s="63" t="str">
        <f t="shared" si="181"/>
        <v>Buy Stocks</v>
      </c>
      <c r="AQ1038" s="63" t="str">
        <f t="shared" si="182"/>
        <v/>
      </c>
      <c r="AR1038" s="63" t="str">
        <f t="shared" si="183"/>
        <v/>
      </c>
      <c r="AS1038" s="63" t="str">
        <f t="shared" si="184"/>
        <v/>
      </c>
      <c r="AT1038" s="78" t="str">
        <f t="shared" si="185"/>
        <v/>
      </c>
      <c r="AU1038" s="78" t="str">
        <f t="shared" si="186"/>
        <v/>
      </c>
      <c r="AV1038" s="64" t="str">
        <f ca="1">IFERROR(__xludf.DUMMYFUNCTION("IF(TRIM(AU1038)="""","""",AU1038/INDEX(FILTER(AT$3:AT1038,TRIM(AT$3:AT1038)&lt;&gt;""""),ROWS(FILTER(AT$3:AT1038,TRIM(AT$3:AT1038)&lt;&gt;"""")))-1)"),"")</f>
        <v/>
      </c>
      <c r="AW1038" s="65" t="e">
        <f t="shared" ca="1" si="178"/>
        <v>#VALUE!</v>
      </c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</row>
    <row r="1039" spans="1:68" ht="19" x14ac:dyDescent="0.25">
      <c r="A1039" s="5"/>
      <c r="B1039" s="5"/>
      <c r="C1039" s="5"/>
      <c r="D1039" s="5"/>
      <c r="E1039" s="5"/>
      <c r="F1039" s="5"/>
      <c r="G1039" s="5"/>
      <c r="H1039" s="6"/>
      <c r="I1039" s="5"/>
      <c r="J1039" s="88"/>
      <c r="K1039" s="88"/>
      <c r="L1039" s="88"/>
      <c r="M1039" s="88"/>
      <c r="N1039" s="88"/>
      <c r="O1039" s="88"/>
      <c r="P1039" s="88"/>
      <c r="Q1039" s="89"/>
      <c r="R1039" s="88"/>
      <c r="S1039" s="88"/>
      <c r="T1039" s="90"/>
      <c r="U1039" s="6"/>
      <c r="V1039" s="44">
        <v>45425</v>
      </c>
      <c r="W1039" s="45">
        <v>167.56</v>
      </c>
      <c r="X1039" s="91"/>
      <c r="Y1039" s="77"/>
      <c r="Z1039" s="5"/>
      <c r="AA1039" s="5"/>
      <c r="AB1039" s="5"/>
      <c r="AC1039" s="5"/>
      <c r="AD1039" s="5"/>
      <c r="AE1039" s="5"/>
      <c r="AF1039" s="5"/>
      <c r="AG1039" s="5"/>
      <c r="AH1039" s="6"/>
      <c r="AI1039" s="44">
        <v>45425</v>
      </c>
      <c r="AJ1039" s="53">
        <v>167.56</v>
      </c>
      <c r="AK1039" s="54">
        <f t="shared" si="176"/>
        <v>2.4528866287765183E-3</v>
      </c>
      <c r="AL1039" s="55">
        <f t="shared" si="179"/>
        <v>18.89612177141343</v>
      </c>
      <c r="AM1039" s="56">
        <v>25</v>
      </c>
      <c r="AN1039" s="57">
        <f t="shared" si="177"/>
        <v>6.10387822858657</v>
      </c>
      <c r="AO1039" s="76">
        <f t="shared" si="180"/>
        <v>6.3038539999807766</v>
      </c>
      <c r="AP1039" s="63" t="str">
        <f t="shared" si="181"/>
        <v>Buy Stocks</v>
      </c>
      <c r="AQ1039" s="63" t="str">
        <f t="shared" si="182"/>
        <v/>
      </c>
      <c r="AR1039" s="63" t="str">
        <f t="shared" si="183"/>
        <v/>
      </c>
      <c r="AS1039" s="63" t="str">
        <f t="shared" si="184"/>
        <v/>
      </c>
      <c r="AT1039" s="78" t="str">
        <f t="shared" si="185"/>
        <v/>
      </c>
      <c r="AU1039" s="78" t="str">
        <f t="shared" si="186"/>
        <v/>
      </c>
      <c r="AV1039" s="64" t="str">
        <f ca="1">IFERROR(__xludf.DUMMYFUNCTION("IF(TRIM(AU1039)="""","""",AU1039/INDEX(FILTER(AT$3:AT1039,TRIM(AT$3:AT1039)&lt;&gt;""""),ROWS(FILTER(AT$3:AT1039,TRIM(AT$3:AT1039)&lt;&gt;"""")))-1)"),"")</f>
        <v/>
      </c>
      <c r="AW1039" s="65" t="e">
        <f t="shared" ca="1" si="178"/>
        <v>#VALUE!</v>
      </c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</row>
    <row r="1040" spans="1:68" ht="19" x14ac:dyDescent="0.25">
      <c r="A1040" s="5"/>
      <c r="B1040" s="5"/>
      <c r="C1040" s="5"/>
      <c r="D1040" s="5"/>
      <c r="E1040" s="5"/>
      <c r="F1040" s="5"/>
      <c r="G1040" s="5"/>
      <c r="H1040" s="6"/>
      <c r="I1040" s="5"/>
      <c r="J1040" s="88"/>
      <c r="K1040" s="88"/>
      <c r="L1040" s="88"/>
      <c r="M1040" s="88"/>
      <c r="N1040" s="88"/>
      <c r="O1040" s="88"/>
      <c r="P1040" s="88"/>
      <c r="Q1040" s="89"/>
      <c r="R1040" s="88"/>
      <c r="S1040" s="88"/>
      <c r="T1040" s="90"/>
      <c r="U1040" s="6"/>
      <c r="V1040" s="44">
        <v>45426</v>
      </c>
      <c r="W1040" s="45">
        <v>167.36</v>
      </c>
      <c r="X1040" s="91"/>
      <c r="Y1040" s="77"/>
      <c r="Z1040" s="5"/>
      <c r="AA1040" s="5"/>
      <c r="AB1040" s="5"/>
      <c r="AC1040" s="5"/>
      <c r="AD1040" s="5"/>
      <c r="AE1040" s="5"/>
      <c r="AF1040" s="5"/>
      <c r="AG1040" s="5"/>
      <c r="AH1040" s="6"/>
      <c r="AI1040" s="44">
        <v>45426</v>
      </c>
      <c r="AJ1040" s="53">
        <v>167.36</v>
      </c>
      <c r="AK1040" s="54">
        <f t="shared" si="176"/>
        <v>-1.1936022917162781E-3</v>
      </c>
      <c r="AL1040" s="55">
        <f t="shared" si="179"/>
        <v>18.895527680960704</v>
      </c>
      <c r="AM1040" s="56">
        <v>25</v>
      </c>
      <c r="AN1040" s="57">
        <f t="shared" si="177"/>
        <v>6.1044723190392958</v>
      </c>
      <c r="AO1040" s="76">
        <f t="shared" si="180"/>
        <v>5.8059459996684017</v>
      </c>
      <c r="AP1040" s="63" t="str">
        <f t="shared" si="181"/>
        <v>Buy Stocks</v>
      </c>
      <c r="AQ1040" s="63" t="str">
        <f t="shared" si="182"/>
        <v/>
      </c>
      <c r="AR1040" s="63" t="str">
        <f t="shared" si="183"/>
        <v/>
      </c>
      <c r="AS1040" s="63" t="str">
        <f t="shared" si="184"/>
        <v/>
      </c>
      <c r="AT1040" s="78" t="str">
        <f t="shared" si="185"/>
        <v/>
      </c>
      <c r="AU1040" s="78" t="str">
        <f t="shared" si="186"/>
        <v/>
      </c>
      <c r="AV1040" s="64" t="str">
        <f ca="1">IFERROR(__xludf.DUMMYFUNCTION("IF(TRIM(AU1040)="""","""",AU1040/INDEX(FILTER(AT$3:AT1040,TRIM(AT$3:AT1040)&lt;&gt;""""),ROWS(FILTER(AT$3:AT1040,TRIM(AT$3:AT1040)&lt;&gt;"""")))-1)"),"")</f>
        <v/>
      </c>
      <c r="AW1040" s="65" t="e">
        <f t="shared" ca="1" si="178"/>
        <v>#VALUE!</v>
      </c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</row>
    <row r="1041" spans="1:68" ht="19" x14ac:dyDescent="0.25">
      <c r="A1041" s="5"/>
      <c r="B1041" s="5"/>
      <c r="C1041" s="5"/>
      <c r="D1041" s="5"/>
      <c r="E1041" s="5"/>
      <c r="F1041" s="5"/>
      <c r="G1041" s="5"/>
      <c r="H1041" s="6"/>
      <c r="I1041" s="5"/>
      <c r="J1041" s="88"/>
      <c r="K1041" s="88"/>
      <c r="L1041" s="88"/>
      <c r="M1041" s="88"/>
      <c r="N1041" s="88"/>
      <c r="O1041" s="88"/>
      <c r="P1041" s="88"/>
      <c r="Q1041" s="89"/>
      <c r="R1041" s="88"/>
      <c r="S1041" s="88"/>
      <c r="T1041" s="90"/>
      <c r="U1041" s="6"/>
      <c r="V1041" s="44">
        <v>45427</v>
      </c>
      <c r="W1041" s="45">
        <v>168.26</v>
      </c>
      <c r="X1041" s="91"/>
      <c r="Y1041" s="77"/>
      <c r="Z1041" s="5"/>
      <c r="AA1041" s="5"/>
      <c r="AB1041" s="5"/>
      <c r="AC1041" s="5"/>
      <c r="AD1041" s="5"/>
      <c r="AE1041" s="5"/>
      <c r="AF1041" s="5"/>
      <c r="AG1041" s="5"/>
      <c r="AH1041" s="6"/>
      <c r="AI1041" s="44">
        <v>45427</v>
      </c>
      <c r="AJ1041" s="53">
        <v>168.26</v>
      </c>
      <c r="AK1041" s="54">
        <f t="shared" si="176"/>
        <v>5.3776290630973556E-3</v>
      </c>
      <c r="AL1041" s="55">
        <f t="shared" si="179"/>
        <v>17.802274552188223</v>
      </c>
      <c r="AM1041" s="56">
        <v>25</v>
      </c>
      <c r="AN1041" s="57">
        <f t="shared" si="177"/>
        <v>7.1977254478117771</v>
      </c>
      <c r="AO1041" s="76">
        <f t="shared" si="180"/>
        <v>4.564966065543862</v>
      </c>
      <c r="AP1041" s="63" t="str">
        <f t="shared" si="181"/>
        <v>Buy Stocks</v>
      </c>
      <c r="AQ1041" s="63" t="str">
        <f t="shared" si="182"/>
        <v/>
      </c>
      <c r="AR1041" s="63" t="str">
        <f t="shared" si="183"/>
        <v/>
      </c>
      <c r="AS1041" s="63" t="str">
        <f t="shared" si="184"/>
        <v/>
      </c>
      <c r="AT1041" s="78" t="str">
        <f t="shared" si="185"/>
        <v/>
      </c>
      <c r="AU1041" s="78" t="str">
        <f t="shared" si="186"/>
        <v/>
      </c>
      <c r="AV1041" s="64" t="str">
        <f ca="1">IFERROR(__xludf.DUMMYFUNCTION("IF(TRIM(AU1041)="""","""",AU1041/INDEX(FILTER(AT$3:AT1041,TRIM(AT$3:AT1041)&lt;&gt;""""),ROWS(FILTER(AT$3:AT1041,TRIM(AT$3:AT1041)&lt;&gt;"""")))-1)"),"")</f>
        <v/>
      </c>
      <c r="AW1041" s="65" t="e">
        <f t="shared" ca="1" si="178"/>
        <v>#VALUE!</v>
      </c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</row>
    <row r="1042" spans="1:68" ht="19" x14ac:dyDescent="0.25">
      <c r="A1042" s="5"/>
      <c r="B1042" s="5"/>
      <c r="C1042" s="5"/>
      <c r="D1042" s="5"/>
      <c r="E1042" s="5"/>
      <c r="F1042" s="5"/>
      <c r="G1042" s="5"/>
      <c r="H1042" s="6"/>
      <c r="I1042" s="5"/>
      <c r="J1042" s="88"/>
      <c r="K1042" s="88"/>
      <c r="L1042" s="88"/>
      <c r="M1042" s="88"/>
      <c r="N1042" s="88"/>
      <c r="O1042" s="88"/>
      <c r="P1042" s="88"/>
      <c r="Q1042" s="89"/>
      <c r="R1042" s="88"/>
      <c r="S1042" s="88"/>
      <c r="T1042" s="90"/>
      <c r="U1042" s="6"/>
      <c r="V1042" s="44">
        <v>45428</v>
      </c>
      <c r="W1042" s="45">
        <v>168.97</v>
      </c>
      <c r="X1042" s="91"/>
      <c r="Y1042" s="77"/>
      <c r="Z1042" s="5"/>
      <c r="AA1042" s="5"/>
      <c r="AB1042" s="5"/>
      <c r="AC1042" s="5"/>
      <c r="AD1042" s="5"/>
      <c r="AE1042" s="5"/>
      <c r="AF1042" s="5"/>
      <c r="AG1042" s="5"/>
      <c r="AH1042" s="6"/>
      <c r="AI1042" s="44">
        <v>45428</v>
      </c>
      <c r="AJ1042" s="53">
        <v>168.97</v>
      </c>
      <c r="AK1042" s="54">
        <f t="shared" si="176"/>
        <v>4.2196600499226911E-3</v>
      </c>
      <c r="AL1042" s="55">
        <f t="shared" si="179"/>
        <v>4.3487318086897302</v>
      </c>
      <c r="AM1042" s="56">
        <v>25</v>
      </c>
      <c r="AN1042" s="57">
        <f t="shared" si="177"/>
        <v>20.651268191310269</v>
      </c>
      <c r="AO1042" s="76">
        <f t="shared" si="180"/>
        <v>8.3626888483891655</v>
      </c>
      <c r="AP1042" s="63" t="str">
        <f t="shared" si="181"/>
        <v>Buy Stocks</v>
      </c>
      <c r="AQ1042" s="63" t="str">
        <f t="shared" si="182"/>
        <v/>
      </c>
      <c r="AR1042" s="63" t="str">
        <f t="shared" si="183"/>
        <v/>
      </c>
      <c r="AS1042" s="63" t="str">
        <f t="shared" si="184"/>
        <v/>
      </c>
      <c r="AT1042" s="78" t="str">
        <f t="shared" si="185"/>
        <v/>
      </c>
      <c r="AU1042" s="78" t="str">
        <f t="shared" si="186"/>
        <v/>
      </c>
      <c r="AV1042" s="64" t="str">
        <f ca="1">IFERROR(__xludf.DUMMYFUNCTION("IF(TRIM(AU1042)="""","""",AU1042/INDEX(FILTER(AT$3:AT1042,TRIM(AT$3:AT1042)&lt;&gt;""""),ROWS(FILTER(AT$3:AT1042,TRIM(AT$3:AT1042)&lt;&gt;"""")))-1)"),"")</f>
        <v/>
      </c>
      <c r="AW1042" s="65" t="e">
        <f t="shared" ca="1" si="178"/>
        <v>#VALUE!</v>
      </c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</row>
    <row r="1043" spans="1:68" ht="19" x14ac:dyDescent="0.25">
      <c r="A1043" s="5"/>
      <c r="B1043" s="5"/>
      <c r="C1043" s="5"/>
      <c r="D1043" s="5"/>
      <c r="E1043" s="5"/>
      <c r="F1043" s="5"/>
      <c r="G1043" s="5"/>
      <c r="H1043" s="6"/>
      <c r="I1043" s="5"/>
      <c r="J1043" s="88"/>
      <c r="K1043" s="88"/>
      <c r="L1043" s="88"/>
      <c r="M1043" s="88"/>
      <c r="N1043" s="88"/>
      <c r="O1043" s="88"/>
      <c r="P1043" s="88"/>
      <c r="Q1043" s="89"/>
      <c r="R1043" s="88"/>
      <c r="S1043" s="88"/>
      <c r="T1043" s="90"/>
      <c r="U1043" s="6"/>
      <c r="V1043" s="44">
        <v>45429</v>
      </c>
      <c r="W1043" s="45">
        <v>169.03</v>
      </c>
      <c r="X1043" s="91"/>
      <c r="Y1043" s="77"/>
      <c r="Z1043" s="5"/>
      <c r="AA1043" s="5"/>
      <c r="AB1043" s="5"/>
      <c r="AC1043" s="5"/>
      <c r="AD1043" s="5"/>
      <c r="AE1043" s="5"/>
      <c r="AF1043" s="5"/>
      <c r="AG1043" s="5"/>
      <c r="AH1043" s="6"/>
      <c r="AI1043" s="44">
        <v>45429</v>
      </c>
      <c r="AJ1043" s="53">
        <v>169.03</v>
      </c>
      <c r="AK1043" s="54">
        <f t="shared" si="176"/>
        <v>3.5509261999178143E-4</v>
      </c>
      <c r="AL1043" s="55">
        <f t="shared" si="179"/>
        <v>4.2854970970145052</v>
      </c>
      <c r="AM1043" s="56">
        <v>25</v>
      </c>
      <c r="AN1043" s="57">
        <f t="shared" si="177"/>
        <v>20.714502902985494</v>
      </c>
      <c r="AO1043" s="76">
        <f t="shared" si="180"/>
        <v>12.154369417946681</v>
      </c>
      <c r="AP1043" s="63" t="str">
        <f t="shared" si="181"/>
        <v>Buy Stocks</v>
      </c>
      <c r="AQ1043" s="63" t="str">
        <f t="shared" si="182"/>
        <v/>
      </c>
      <c r="AR1043" s="63" t="str">
        <f t="shared" si="183"/>
        <v/>
      </c>
      <c r="AS1043" s="63" t="str">
        <f t="shared" si="184"/>
        <v/>
      </c>
      <c r="AT1043" s="78" t="str">
        <f t="shared" si="185"/>
        <v/>
      </c>
      <c r="AU1043" s="78" t="str">
        <f t="shared" si="186"/>
        <v/>
      </c>
      <c r="AV1043" s="64" t="str">
        <f ca="1">IFERROR(__xludf.DUMMYFUNCTION("IF(TRIM(AU1043)="""","""",AU1043/INDEX(FILTER(AT$3:AT1043,TRIM(AT$3:AT1043)&lt;&gt;""""),ROWS(FILTER(AT$3:AT1043,TRIM(AT$3:AT1043)&lt;&gt;"""")))-1)"),"")</f>
        <v/>
      </c>
      <c r="AW1043" s="65" t="e">
        <f t="shared" ca="1" si="178"/>
        <v>#VALUE!</v>
      </c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</row>
    <row r="1044" spans="1:68" ht="19" x14ac:dyDescent="0.25">
      <c r="A1044" s="5"/>
      <c r="B1044" s="5"/>
      <c r="C1044" s="5"/>
      <c r="D1044" s="5"/>
      <c r="E1044" s="5"/>
      <c r="F1044" s="5"/>
      <c r="G1044" s="5"/>
      <c r="H1044" s="6"/>
      <c r="I1044" s="5"/>
      <c r="J1044" s="88"/>
      <c r="K1044" s="88"/>
      <c r="L1044" s="88"/>
      <c r="M1044" s="88"/>
      <c r="N1044" s="88"/>
      <c r="O1044" s="88"/>
      <c r="P1044" s="88"/>
      <c r="Q1044" s="89"/>
      <c r="R1044" s="88"/>
      <c r="S1044" s="88"/>
      <c r="T1044" s="90"/>
      <c r="U1044" s="6"/>
      <c r="V1044" s="44">
        <v>45432</v>
      </c>
      <c r="W1044" s="45">
        <v>169.92</v>
      </c>
      <c r="X1044" s="91"/>
      <c r="Y1044" s="77"/>
      <c r="Z1044" s="5"/>
      <c r="AA1044" s="5"/>
      <c r="AB1044" s="5"/>
      <c r="AC1044" s="5"/>
      <c r="AD1044" s="5"/>
      <c r="AE1044" s="5"/>
      <c r="AF1044" s="5"/>
      <c r="AG1044" s="5"/>
      <c r="AH1044" s="6"/>
      <c r="AI1044" s="44">
        <v>45432</v>
      </c>
      <c r="AJ1044" s="53">
        <v>169.92</v>
      </c>
      <c r="AK1044" s="54">
        <f t="shared" si="176"/>
        <v>5.265337514050783E-3</v>
      </c>
      <c r="AL1044" s="55">
        <f t="shared" si="179"/>
        <v>4.8060587296710207</v>
      </c>
      <c r="AM1044" s="56">
        <v>25</v>
      </c>
      <c r="AN1044" s="57">
        <f t="shared" si="177"/>
        <v>20.193941270328978</v>
      </c>
      <c r="AO1044" s="76">
        <f t="shared" si="180"/>
        <v>14.972382026295161</v>
      </c>
      <c r="AP1044" s="63" t="str">
        <f t="shared" si="181"/>
        <v>Buy Stocks</v>
      </c>
      <c r="AQ1044" s="63" t="str">
        <f t="shared" si="182"/>
        <v/>
      </c>
      <c r="AR1044" s="63" t="str">
        <f t="shared" si="183"/>
        <v/>
      </c>
      <c r="AS1044" s="63" t="str">
        <f t="shared" si="184"/>
        <v/>
      </c>
      <c r="AT1044" s="78" t="str">
        <f t="shared" si="185"/>
        <v/>
      </c>
      <c r="AU1044" s="78" t="str">
        <f t="shared" si="186"/>
        <v/>
      </c>
      <c r="AV1044" s="64" t="str">
        <f ca="1">IFERROR(__xludf.DUMMYFUNCTION("IF(TRIM(AU1044)="""","""",AU1044/INDEX(FILTER(AT$3:AT1044,TRIM(AT$3:AT1044)&lt;&gt;""""),ROWS(FILTER(AT$3:AT1044,TRIM(AT$3:AT1044)&lt;&gt;"""")))-1)"),"")</f>
        <v/>
      </c>
      <c r="AW1044" s="65" t="e">
        <f t="shared" ca="1" si="178"/>
        <v>#VALUE!</v>
      </c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</row>
    <row r="1045" spans="1:68" ht="19" x14ac:dyDescent="0.25">
      <c r="A1045" s="5"/>
      <c r="B1045" s="5"/>
      <c r="C1045" s="5"/>
      <c r="D1045" s="5"/>
      <c r="E1045" s="5"/>
      <c r="F1045" s="5"/>
      <c r="G1045" s="5"/>
      <c r="H1045" s="6"/>
      <c r="I1045" s="5"/>
      <c r="J1045" s="88"/>
      <c r="K1045" s="88"/>
      <c r="L1045" s="88"/>
      <c r="M1045" s="88"/>
      <c r="N1045" s="88"/>
      <c r="O1045" s="88"/>
      <c r="P1045" s="88"/>
      <c r="Q1045" s="89"/>
      <c r="R1045" s="88"/>
      <c r="S1045" s="88"/>
      <c r="T1045" s="90"/>
      <c r="U1045" s="6"/>
      <c r="V1045" s="44">
        <v>45433</v>
      </c>
      <c r="W1045" s="45">
        <v>173.47</v>
      </c>
      <c r="X1045" s="91"/>
      <c r="Y1045" s="77"/>
      <c r="Z1045" s="5"/>
      <c r="AA1045" s="5"/>
      <c r="AB1045" s="5"/>
      <c r="AC1045" s="5"/>
      <c r="AD1045" s="5"/>
      <c r="AE1045" s="5"/>
      <c r="AF1045" s="5"/>
      <c r="AG1045" s="5"/>
      <c r="AH1045" s="6"/>
      <c r="AI1045" s="44">
        <v>45433</v>
      </c>
      <c r="AJ1045" s="53">
        <v>173.47</v>
      </c>
      <c r="AK1045" s="54">
        <f t="shared" si="176"/>
        <v>2.0892184557438798E-2</v>
      </c>
      <c r="AL1045" s="55">
        <f t="shared" si="179"/>
        <v>12.556741748273312</v>
      </c>
      <c r="AM1045" s="56">
        <v>25</v>
      </c>
      <c r="AN1045" s="57">
        <f t="shared" si="177"/>
        <v>12.443258251726688</v>
      </c>
      <c r="AO1045" s="76">
        <f t="shared" si="180"/>
        <v>16.240139212832641</v>
      </c>
      <c r="AP1045" s="63" t="str">
        <f t="shared" si="181"/>
        <v>Buy Stocks</v>
      </c>
      <c r="AQ1045" s="63" t="str">
        <f t="shared" si="182"/>
        <v/>
      </c>
      <c r="AR1045" s="63" t="str">
        <f t="shared" si="183"/>
        <v/>
      </c>
      <c r="AS1045" s="63" t="str">
        <f t="shared" si="184"/>
        <v/>
      </c>
      <c r="AT1045" s="78" t="str">
        <f t="shared" si="185"/>
        <v/>
      </c>
      <c r="AU1045" s="78" t="str">
        <f t="shared" si="186"/>
        <v/>
      </c>
      <c r="AV1045" s="64" t="str">
        <f ca="1">IFERROR(__xludf.DUMMYFUNCTION("IF(TRIM(AU1045)="""","""",AU1045/INDEX(FILTER(AT$3:AT1045,TRIM(AT$3:AT1045)&lt;&gt;""""),ROWS(FILTER(AT$3:AT1045,TRIM(AT$3:AT1045)&lt;&gt;"""")))-1)"),"")</f>
        <v/>
      </c>
      <c r="AW1045" s="65" t="e">
        <f t="shared" ca="1" si="178"/>
        <v>#VALUE!</v>
      </c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</row>
    <row r="1046" spans="1:68" ht="19" x14ac:dyDescent="0.25">
      <c r="A1046" s="5"/>
      <c r="B1046" s="5"/>
      <c r="C1046" s="5"/>
      <c r="D1046" s="5"/>
      <c r="E1046" s="5"/>
      <c r="F1046" s="5"/>
      <c r="G1046" s="5"/>
      <c r="H1046" s="6"/>
      <c r="I1046" s="5"/>
      <c r="J1046" s="88"/>
      <c r="K1046" s="88"/>
      <c r="L1046" s="88"/>
      <c r="M1046" s="88"/>
      <c r="N1046" s="88"/>
      <c r="O1046" s="88"/>
      <c r="P1046" s="88"/>
      <c r="Q1046" s="89"/>
      <c r="R1046" s="88"/>
      <c r="S1046" s="88"/>
      <c r="T1046" s="90"/>
      <c r="U1046" s="6"/>
      <c r="V1046" s="44">
        <v>45434</v>
      </c>
      <c r="W1046" s="45">
        <v>173.69</v>
      </c>
      <c r="X1046" s="91"/>
      <c r="Y1046" s="77"/>
      <c r="Z1046" s="5"/>
      <c r="AA1046" s="5"/>
      <c r="AB1046" s="5"/>
      <c r="AC1046" s="5"/>
      <c r="AD1046" s="5"/>
      <c r="AE1046" s="5"/>
      <c r="AF1046" s="5"/>
      <c r="AG1046" s="5"/>
      <c r="AH1046" s="6"/>
      <c r="AI1046" s="44">
        <v>45434</v>
      </c>
      <c r="AJ1046" s="53">
        <v>173.69</v>
      </c>
      <c r="AK1046" s="54">
        <f t="shared" si="176"/>
        <v>1.2682308180089752E-3</v>
      </c>
      <c r="AL1046" s="55">
        <f t="shared" si="179"/>
        <v>13.256419207730788</v>
      </c>
      <c r="AM1046" s="56">
        <v>25</v>
      </c>
      <c r="AN1046" s="57">
        <f t="shared" si="177"/>
        <v>11.743580792269212</v>
      </c>
      <c r="AO1046" s="76">
        <f t="shared" si="180"/>
        <v>17.14931028172413</v>
      </c>
      <c r="AP1046" s="63" t="str">
        <f t="shared" si="181"/>
        <v>Buy Stocks</v>
      </c>
      <c r="AQ1046" s="63" t="str">
        <f t="shared" si="182"/>
        <v/>
      </c>
      <c r="AR1046" s="63" t="str">
        <f t="shared" si="183"/>
        <v/>
      </c>
      <c r="AS1046" s="63" t="str">
        <f t="shared" si="184"/>
        <v/>
      </c>
      <c r="AT1046" s="78" t="str">
        <f t="shared" si="185"/>
        <v/>
      </c>
      <c r="AU1046" s="78" t="str">
        <f t="shared" si="186"/>
        <v/>
      </c>
      <c r="AV1046" s="64" t="str">
        <f ca="1">IFERROR(__xludf.DUMMYFUNCTION("IF(TRIM(AU1046)="""","""",AU1046/INDEX(FILTER(AT$3:AT1046,TRIM(AT$3:AT1046)&lt;&gt;""""),ROWS(FILTER(AT$3:AT1046,TRIM(AT$3:AT1046)&lt;&gt;"""")))-1)"),"")</f>
        <v/>
      </c>
      <c r="AW1046" s="65" t="e">
        <f t="shared" ca="1" si="178"/>
        <v>#VALUE!</v>
      </c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</row>
    <row r="1047" spans="1:68" ht="19" x14ac:dyDescent="0.25">
      <c r="A1047" s="5"/>
      <c r="B1047" s="5"/>
      <c r="C1047" s="5"/>
      <c r="D1047" s="5"/>
      <c r="E1047" s="5"/>
      <c r="F1047" s="5"/>
      <c r="G1047" s="5"/>
      <c r="H1047" s="6"/>
      <c r="I1047" s="5"/>
      <c r="J1047" s="88"/>
      <c r="K1047" s="88"/>
      <c r="L1047" s="88"/>
      <c r="M1047" s="88"/>
      <c r="N1047" s="88"/>
      <c r="O1047" s="88"/>
      <c r="P1047" s="88"/>
      <c r="Q1047" s="89"/>
      <c r="R1047" s="88"/>
      <c r="S1047" s="88"/>
      <c r="T1047" s="90"/>
      <c r="U1047" s="6"/>
      <c r="V1047" s="44">
        <v>45435</v>
      </c>
      <c r="W1047" s="45">
        <v>170.67</v>
      </c>
      <c r="X1047" s="91"/>
      <c r="Y1047" s="77"/>
      <c r="Z1047" s="5"/>
      <c r="AA1047" s="5"/>
      <c r="AB1047" s="5"/>
      <c r="AC1047" s="5"/>
      <c r="AD1047" s="5"/>
      <c r="AE1047" s="5"/>
      <c r="AF1047" s="5"/>
      <c r="AG1047" s="5"/>
      <c r="AH1047" s="6"/>
      <c r="AI1047" s="44">
        <v>45435</v>
      </c>
      <c r="AJ1047" s="53">
        <v>170.67</v>
      </c>
      <c r="AK1047" s="54">
        <f t="shared" si="176"/>
        <v>-1.7387299211238494E-2</v>
      </c>
      <c r="AL1047" s="55">
        <f t="shared" si="179"/>
        <v>21.688532470646145</v>
      </c>
      <c r="AM1047" s="56">
        <v>25</v>
      </c>
      <c r="AN1047" s="57">
        <f t="shared" si="177"/>
        <v>3.3114675293538554</v>
      </c>
      <c r="AO1047" s="76">
        <f t="shared" si="180"/>
        <v>13.681350149332843</v>
      </c>
      <c r="AP1047" s="63" t="str">
        <f t="shared" si="181"/>
        <v>Buy Stocks</v>
      </c>
      <c r="AQ1047" s="63" t="str">
        <f t="shared" si="182"/>
        <v/>
      </c>
      <c r="AR1047" s="63" t="str">
        <f t="shared" si="183"/>
        <v/>
      </c>
      <c r="AS1047" s="63" t="str">
        <f t="shared" si="184"/>
        <v/>
      </c>
      <c r="AT1047" s="78" t="str">
        <f t="shared" si="185"/>
        <v/>
      </c>
      <c r="AU1047" s="78" t="str">
        <f t="shared" si="186"/>
        <v/>
      </c>
      <c r="AV1047" s="64" t="str">
        <f ca="1">IFERROR(__xludf.DUMMYFUNCTION("IF(TRIM(AU1047)="""","""",AU1047/INDEX(FILTER(AT$3:AT1047,TRIM(AT$3:AT1047)&lt;&gt;""""),ROWS(FILTER(AT$3:AT1047,TRIM(AT$3:AT1047)&lt;&gt;"""")))-1)"),"")</f>
        <v/>
      </c>
      <c r="AW1047" s="65" t="e">
        <f t="shared" ca="1" si="178"/>
        <v>#VALUE!</v>
      </c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</row>
    <row r="1048" spans="1:68" ht="19" x14ac:dyDescent="0.25">
      <c r="A1048" s="5"/>
      <c r="B1048" s="5"/>
      <c r="C1048" s="5"/>
      <c r="D1048" s="5"/>
      <c r="E1048" s="5"/>
      <c r="F1048" s="5"/>
      <c r="G1048" s="5"/>
      <c r="H1048" s="6"/>
      <c r="I1048" s="5"/>
      <c r="J1048" s="88"/>
      <c r="K1048" s="88"/>
      <c r="L1048" s="88"/>
      <c r="M1048" s="88"/>
      <c r="N1048" s="88"/>
      <c r="O1048" s="88"/>
      <c r="P1048" s="88"/>
      <c r="Q1048" s="89"/>
      <c r="R1048" s="88"/>
      <c r="S1048" s="88"/>
      <c r="T1048" s="90"/>
      <c r="U1048" s="6"/>
      <c r="V1048" s="44">
        <v>45436</v>
      </c>
      <c r="W1048" s="45">
        <v>170.89</v>
      </c>
      <c r="X1048" s="91"/>
      <c r="Y1048" s="77"/>
      <c r="Z1048" s="5"/>
      <c r="AA1048" s="5"/>
      <c r="AB1048" s="5"/>
      <c r="AC1048" s="5"/>
      <c r="AD1048" s="5"/>
      <c r="AE1048" s="5"/>
      <c r="AF1048" s="5"/>
      <c r="AG1048" s="5"/>
      <c r="AH1048" s="6"/>
      <c r="AI1048" s="44">
        <v>45436</v>
      </c>
      <c r="AJ1048" s="53">
        <v>170.89</v>
      </c>
      <c r="AK1048" s="54">
        <f t="shared" si="176"/>
        <v>1.2890373234897279E-3</v>
      </c>
      <c r="AL1048" s="55">
        <f t="shared" si="179"/>
        <v>21.651876481729072</v>
      </c>
      <c r="AM1048" s="56">
        <v>25</v>
      </c>
      <c r="AN1048" s="57">
        <f t="shared" si="177"/>
        <v>3.3481235182709277</v>
      </c>
      <c r="AO1048" s="76">
        <f t="shared" si="180"/>
        <v>10.208074272389933</v>
      </c>
      <c r="AP1048" s="63" t="str">
        <f t="shared" si="181"/>
        <v>Buy Stocks</v>
      </c>
      <c r="AQ1048" s="63" t="str">
        <f t="shared" si="182"/>
        <v/>
      </c>
      <c r="AR1048" s="63" t="str">
        <f t="shared" si="183"/>
        <v/>
      </c>
      <c r="AS1048" s="63" t="str">
        <f t="shared" si="184"/>
        <v/>
      </c>
      <c r="AT1048" s="78" t="str">
        <f t="shared" si="185"/>
        <v/>
      </c>
      <c r="AU1048" s="78" t="str">
        <f t="shared" si="186"/>
        <v/>
      </c>
      <c r="AV1048" s="64" t="str">
        <f ca="1">IFERROR(__xludf.DUMMYFUNCTION("IF(TRIM(AU1048)="""","""",AU1048/INDEX(FILTER(AT$3:AT1048,TRIM(AT$3:AT1048)&lt;&gt;""""),ROWS(FILTER(AT$3:AT1048,TRIM(AT$3:AT1048)&lt;&gt;"""")))-1)"),"")</f>
        <v/>
      </c>
      <c r="AW1048" s="65" t="e">
        <f t="shared" ca="1" si="178"/>
        <v>#VALUE!</v>
      </c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</row>
    <row r="1049" spans="1:68" ht="19" x14ac:dyDescent="0.25">
      <c r="A1049" s="5"/>
      <c r="B1049" s="5"/>
      <c r="C1049" s="5"/>
      <c r="D1049" s="5"/>
      <c r="E1049" s="5"/>
      <c r="F1049" s="5"/>
      <c r="G1049" s="5"/>
      <c r="H1049" s="6"/>
      <c r="I1049" s="5"/>
      <c r="J1049" s="88"/>
      <c r="K1049" s="88"/>
      <c r="L1049" s="88"/>
      <c r="M1049" s="88"/>
      <c r="N1049" s="88"/>
      <c r="O1049" s="88"/>
      <c r="P1049" s="88"/>
      <c r="Q1049" s="89"/>
      <c r="R1049" s="88"/>
      <c r="S1049" s="88"/>
      <c r="T1049" s="90"/>
      <c r="U1049" s="6"/>
      <c r="V1049" s="44">
        <v>45440</v>
      </c>
      <c r="W1049" s="45">
        <v>169.66</v>
      </c>
      <c r="X1049" s="91"/>
      <c r="Y1049" s="77"/>
      <c r="Z1049" s="5"/>
      <c r="AA1049" s="5"/>
      <c r="AB1049" s="5"/>
      <c r="AC1049" s="5"/>
      <c r="AD1049" s="5"/>
      <c r="AE1049" s="5"/>
      <c r="AF1049" s="5"/>
      <c r="AG1049" s="5"/>
      <c r="AH1049" s="6"/>
      <c r="AI1049" s="44">
        <v>45440</v>
      </c>
      <c r="AJ1049" s="53">
        <v>169.66</v>
      </c>
      <c r="AK1049" s="54">
        <f t="shared" si="176"/>
        <v>-7.1976124992684243E-3</v>
      </c>
      <c r="AL1049" s="55">
        <f t="shared" si="179"/>
        <v>22.360236793177901</v>
      </c>
      <c r="AM1049" s="56">
        <v>25</v>
      </c>
      <c r="AN1049" s="57">
        <f t="shared" si="177"/>
        <v>2.6397632068220993</v>
      </c>
      <c r="AO1049" s="76">
        <f t="shared" si="180"/>
        <v>6.6972386596885567</v>
      </c>
      <c r="AP1049" s="63" t="str">
        <f t="shared" si="181"/>
        <v>Buy Stocks</v>
      </c>
      <c r="AQ1049" s="63" t="str">
        <f t="shared" si="182"/>
        <v/>
      </c>
      <c r="AR1049" s="63" t="str">
        <f t="shared" si="183"/>
        <v/>
      </c>
      <c r="AS1049" s="63" t="str">
        <f t="shared" si="184"/>
        <v/>
      </c>
      <c r="AT1049" s="78" t="str">
        <f t="shared" si="185"/>
        <v/>
      </c>
      <c r="AU1049" s="78" t="str">
        <f t="shared" si="186"/>
        <v/>
      </c>
      <c r="AV1049" s="64" t="str">
        <f ca="1">IFERROR(__xludf.DUMMYFUNCTION("IF(TRIM(AU1049)="""","""",AU1049/INDEX(FILTER(AT$3:AT1049,TRIM(AT$3:AT1049)&lt;&gt;""""),ROWS(FILTER(AT$3:AT1049,TRIM(AT$3:AT1049)&lt;&gt;"""")))-1)"),"")</f>
        <v/>
      </c>
      <c r="AW1049" s="65" t="e">
        <f t="shared" ca="1" si="178"/>
        <v>#VALUE!</v>
      </c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</row>
    <row r="1050" spans="1:68" ht="19" x14ac:dyDescent="0.25">
      <c r="A1050" s="5"/>
      <c r="B1050" s="5"/>
      <c r="C1050" s="5"/>
      <c r="D1050" s="5"/>
      <c r="E1050" s="5"/>
      <c r="F1050" s="5"/>
      <c r="G1050" s="5"/>
      <c r="H1050" s="6"/>
      <c r="I1050" s="5"/>
      <c r="J1050" s="88"/>
      <c r="K1050" s="88"/>
      <c r="L1050" s="88"/>
      <c r="M1050" s="88"/>
      <c r="N1050" s="88"/>
      <c r="O1050" s="88"/>
      <c r="P1050" s="88"/>
      <c r="Q1050" s="89"/>
      <c r="R1050" s="88"/>
      <c r="S1050" s="88"/>
      <c r="T1050" s="90"/>
      <c r="U1050" s="6"/>
      <c r="V1050" s="44">
        <v>45441</v>
      </c>
      <c r="W1050" s="45">
        <v>167.05</v>
      </c>
      <c r="X1050" s="91"/>
      <c r="Y1050" s="77"/>
      <c r="Z1050" s="5"/>
      <c r="AA1050" s="5"/>
      <c r="AB1050" s="5"/>
      <c r="AC1050" s="5"/>
      <c r="AD1050" s="5"/>
      <c r="AE1050" s="5"/>
      <c r="AF1050" s="5"/>
      <c r="AG1050" s="5"/>
      <c r="AH1050" s="6"/>
      <c r="AI1050" s="44">
        <v>45441</v>
      </c>
      <c r="AJ1050" s="53">
        <v>167.05</v>
      </c>
      <c r="AK1050" s="54">
        <f t="shared" si="176"/>
        <v>-1.5383708593657786E-2</v>
      </c>
      <c r="AL1050" s="55">
        <f t="shared" si="179"/>
        <v>14.067771364092463</v>
      </c>
      <c r="AM1050" s="56">
        <v>25</v>
      </c>
      <c r="AN1050" s="57">
        <f t="shared" si="177"/>
        <v>10.932228635907537</v>
      </c>
      <c r="AO1050" s="76">
        <f t="shared" si="180"/>
        <v>6.3950327365247261</v>
      </c>
      <c r="AP1050" s="63" t="str">
        <f t="shared" si="181"/>
        <v>Buy Stocks</v>
      </c>
      <c r="AQ1050" s="63" t="str">
        <f t="shared" si="182"/>
        <v/>
      </c>
      <c r="AR1050" s="63" t="str">
        <f t="shared" si="183"/>
        <v/>
      </c>
      <c r="AS1050" s="63" t="str">
        <f t="shared" si="184"/>
        <v/>
      </c>
      <c r="AT1050" s="78" t="str">
        <f t="shared" si="185"/>
        <v/>
      </c>
      <c r="AU1050" s="78" t="str">
        <f t="shared" si="186"/>
        <v/>
      </c>
      <c r="AV1050" s="64" t="str">
        <f ca="1">IFERROR(__xludf.DUMMYFUNCTION("IF(TRIM(AU1050)="""","""",AU1050/INDEX(FILTER(AT$3:AT1050,TRIM(AT$3:AT1050)&lt;&gt;""""),ROWS(FILTER(AT$3:AT1050,TRIM(AT$3:AT1050)&lt;&gt;"""")))-1)"),"")</f>
        <v/>
      </c>
      <c r="AW1050" s="65" t="e">
        <f t="shared" ca="1" si="178"/>
        <v>#VALUE!</v>
      </c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</row>
    <row r="1051" spans="1:68" ht="19" x14ac:dyDescent="0.25">
      <c r="A1051" s="5"/>
      <c r="B1051" s="5"/>
      <c r="C1051" s="5"/>
      <c r="D1051" s="5"/>
      <c r="E1051" s="5"/>
      <c r="F1051" s="5"/>
      <c r="G1051" s="5"/>
      <c r="H1051" s="6"/>
      <c r="I1051" s="5"/>
      <c r="J1051" s="88"/>
      <c r="K1051" s="88"/>
      <c r="L1051" s="88"/>
      <c r="M1051" s="88"/>
      <c r="N1051" s="88"/>
      <c r="O1051" s="88"/>
      <c r="P1051" s="88"/>
      <c r="Q1051" s="89"/>
      <c r="R1051" s="88"/>
      <c r="S1051" s="88"/>
      <c r="T1051" s="90"/>
      <c r="U1051" s="6"/>
      <c r="V1051" s="44">
        <v>45442</v>
      </c>
      <c r="W1051" s="45">
        <v>165.63</v>
      </c>
      <c r="X1051" s="91"/>
      <c r="Y1051" s="77"/>
      <c r="Z1051" s="5"/>
      <c r="AA1051" s="5"/>
      <c r="AB1051" s="5"/>
      <c r="AC1051" s="5"/>
      <c r="AD1051" s="5"/>
      <c r="AE1051" s="5"/>
      <c r="AF1051" s="5"/>
      <c r="AG1051" s="5"/>
      <c r="AH1051" s="6"/>
      <c r="AI1051" s="44">
        <v>45442</v>
      </c>
      <c r="AJ1051" s="53">
        <v>165.63</v>
      </c>
      <c r="AK1051" s="54">
        <f t="shared" si="176"/>
        <v>-8.5004489673751182E-3</v>
      </c>
      <c r="AL1051" s="55">
        <f t="shared" si="179"/>
        <v>11.759744370163611</v>
      </c>
      <c r="AM1051" s="56">
        <v>25</v>
      </c>
      <c r="AN1051" s="57">
        <f t="shared" si="177"/>
        <v>13.240255629836389</v>
      </c>
      <c r="AO1051" s="76">
        <f t="shared" si="180"/>
        <v>6.6943677040381617</v>
      </c>
      <c r="AP1051" s="63" t="str">
        <f t="shared" si="181"/>
        <v>Buy Stocks</v>
      </c>
      <c r="AQ1051" s="63" t="str">
        <f t="shared" si="182"/>
        <v/>
      </c>
      <c r="AR1051" s="63" t="str">
        <f t="shared" si="183"/>
        <v/>
      </c>
      <c r="AS1051" s="63" t="str">
        <f t="shared" si="184"/>
        <v/>
      </c>
      <c r="AT1051" s="78" t="str">
        <f t="shared" si="185"/>
        <v/>
      </c>
      <c r="AU1051" s="78" t="str">
        <f t="shared" si="186"/>
        <v/>
      </c>
      <c r="AV1051" s="64" t="str">
        <f ca="1">IFERROR(__xludf.DUMMYFUNCTION("IF(TRIM(AU1051)="""","""",AU1051/INDEX(FILTER(AT$3:AT1051,TRIM(AT$3:AT1051)&lt;&gt;""""),ROWS(FILTER(AT$3:AT1051,TRIM(AT$3:AT1051)&lt;&gt;"""")))-1)"),"")</f>
        <v/>
      </c>
      <c r="AW1051" s="65" t="e">
        <f t="shared" ca="1" si="178"/>
        <v>#VALUE!</v>
      </c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</row>
    <row r="1052" spans="1:68" ht="19" x14ac:dyDescent="0.25">
      <c r="A1052" s="5"/>
      <c r="B1052" s="5"/>
      <c r="C1052" s="5"/>
      <c r="D1052" s="5"/>
      <c r="E1052" s="5"/>
      <c r="F1052" s="5"/>
      <c r="G1052" s="5"/>
      <c r="H1052" s="6"/>
      <c r="I1052" s="5"/>
      <c r="J1052" s="88"/>
      <c r="K1052" s="88"/>
      <c r="L1052" s="88"/>
      <c r="M1052" s="88"/>
      <c r="N1052" s="88"/>
      <c r="O1052" s="88"/>
      <c r="P1052" s="88"/>
      <c r="Q1052" s="89"/>
      <c r="R1052" s="88"/>
      <c r="S1052" s="88"/>
      <c r="T1052" s="90"/>
      <c r="U1052" s="6"/>
      <c r="V1052" s="87">
        <v>45443</v>
      </c>
      <c r="W1052" s="45">
        <v>166.85</v>
      </c>
      <c r="X1052" s="91"/>
      <c r="Y1052" s="77"/>
      <c r="Z1052" s="5"/>
      <c r="AA1052" s="5"/>
      <c r="AB1052" s="5"/>
      <c r="AC1052" s="5"/>
      <c r="AD1052" s="5"/>
      <c r="AE1052" s="5"/>
      <c r="AF1052" s="5"/>
      <c r="AG1052" s="5"/>
      <c r="AH1052" s="6"/>
      <c r="AI1052" s="87">
        <v>45443</v>
      </c>
      <c r="AJ1052" s="53">
        <v>166.85</v>
      </c>
      <c r="AK1052" s="54">
        <f t="shared" si="176"/>
        <v>7.3658153716114061E-3</v>
      </c>
      <c r="AL1052" s="55">
        <f t="shared" si="179"/>
        <v>14.110582010010861</v>
      </c>
      <c r="AM1052" s="56">
        <v>25</v>
      </c>
      <c r="AN1052" s="57">
        <f t="shared" si="177"/>
        <v>10.889417989989139</v>
      </c>
      <c r="AO1052" s="76">
        <f t="shared" si="180"/>
        <v>8.2099577961652184</v>
      </c>
      <c r="AP1052" s="63" t="str">
        <f t="shared" si="181"/>
        <v>Buy Stocks</v>
      </c>
      <c r="AQ1052" s="63" t="str">
        <f t="shared" si="182"/>
        <v/>
      </c>
      <c r="AR1052" s="63" t="str">
        <f t="shared" si="183"/>
        <v/>
      </c>
      <c r="AS1052" s="63" t="str">
        <f t="shared" si="184"/>
        <v/>
      </c>
      <c r="AT1052" s="78" t="str">
        <f t="shared" si="185"/>
        <v/>
      </c>
      <c r="AU1052" s="78" t="str">
        <f t="shared" si="186"/>
        <v/>
      </c>
      <c r="AV1052" s="64" t="str">
        <f ca="1">IFERROR(__xludf.DUMMYFUNCTION("IF(TRIM(AU1052)="""","""",AU1052/INDEX(FILTER(AT$3:AT1052,TRIM(AT$3:AT1052)&lt;&gt;""""),ROWS(FILTER(AT$3:AT1052,TRIM(AT$3:AT1052)&lt;&gt;"""")))-1)"),"")</f>
        <v/>
      </c>
      <c r="AW1052" s="65" t="e">
        <f t="shared" ca="1" si="178"/>
        <v>#VALUE!</v>
      </c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</row>
    <row r="1053" spans="1:68" ht="19" x14ac:dyDescent="0.25">
      <c r="A1053" s="5"/>
      <c r="B1053" s="5"/>
      <c r="C1053" s="5"/>
      <c r="D1053" s="5"/>
      <c r="E1053" s="5"/>
      <c r="F1053" s="5"/>
      <c r="G1053" s="5"/>
      <c r="H1053" s="6"/>
      <c r="I1053" s="5"/>
      <c r="J1053" s="88"/>
      <c r="K1053" s="88"/>
      <c r="L1053" s="88"/>
      <c r="M1053" s="88"/>
      <c r="N1053" s="88"/>
      <c r="O1053" s="88"/>
      <c r="P1053" s="88"/>
      <c r="Q1053" s="89"/>
      <c r="R1053" s="88"/>
      <c r="S1053" s="88"/>
      <c r="T1053" s="90"/>
      <c r="U1053" s="6"/>
      <c r="V1053" s="87">
        <v>45446</v>
      </c>
      <c r="W1053" s="45">
        <v>165.28</v>
      </c>
      <c r="X1053" s="91"/>
      <c r="Y1053" s="77"/>
      <c r="Z1053" s="5"/>
      <c r="AA1053" s="5"/>
      <c r="AB1053" s="5"/>
      <c r="AC1053" s="5"/>
      <c r="AD1053" s="5"/>
      <c r="AE1053" s="5"/>
      <c r="AF1053" s="5"/>
      <c r="AG1053" s="5"/>
      <c r="AH1053" s="6"/>
      <c r="AI1053" s="87">
        <v>45446</v>
      </c>
      <c r="AJ1053" s="53">
        <v>165.28</v>
      </c>
      <c r="AK1053" s="54">
        <f t="shared" si="176"/>
        <v>-9.409649385675678E-3</v>
      </c>
      <c r="AL1053" s="55">
        <f t="shared" si="179"/>
        <v>13.377448744973414</v>
      </c>
      <c r="AM1053" s="56">
        <v>25</v>
      </c>
      <c r="AN1053" s="57">
        <f t="shared" si="177"/>
        <v>11.622551255026586</v>
      </c>
      <c r="AO1053" s="76">
        <f t="shared" si="180"/>
        <v>9.8648433435163501</v>
      </c>
      <c r="AP1053" s="63" t="str">
        <f t="shared" si="181"/>
        <v>Buy Stocks</v>
      </c>
      <c r="AQ1053" s="63" t="str">
        <f t="shared" si="182"/>
        <v/>
      </c>
      <c r="AR1053" s="63" t="str">
        <f t="shared" si="183"/>
        <v/>
      </c>
      <c r="AS1053" s="63" t="str">
        <f t="shared" si="184"/>
        <v/>
      </c>
      <c r="AT1053" s="78" t="str">
        <f t="shared" si="185"/>
        <v/>
      </c>
      <c r="AU1053" s="78" t="str">
        <f t="shared" si="186"/>
        <v/>
      </c>
      <c r="AV1053" s="64" t="str">
        <f ca="1">IFERROR(__xludf.DUMMYFUNCTION("IF(TRIM(AU1053)="""","""",AU1053/INDEX(FILTER(AT$3:AT1053,TRIM(AT$3:AT1053)&lt;&gt;""""),ROWS(FILTER(AT$3:AT1053,TRIM(AT$3:AT1053)&lt;&gt;"""")))-1)"),"")</f>
        <v/>
      </c>
      <c r="AW1053" s="65" t="e">
        <f t="shared" ca="1" si="178"/>
        <v>#VALUE!</v>
      </c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</row>
    <row r="1054" spans="1:68" ht="19" x14ac:dyDescent="0.25">
      <c r="A1054" s="5"/>
      <c r="B1054" s="5"/>
      <c r="C1054" s="5"/>
      <c r="D1054" s="5"/>
      <c r="E1054" s="5"/>
      <c r="F1054" s="5"/>
      <c r="G1054" s="5"/>
      <c r="H1054" s="6"/>
      <c r="I1054" s="5"/>
      <c r="J1054" s="88"/>
      <c r="K1054" s="88"/>
      <c r="L1054" s="88"/>
      <c r="M1054" s="88"/>
      <c r="N1054" s="88"/>
      <c r="O1054" s="88"/>
      <c r="P1054" s="88"/>
      <c r="Q1054" s="89"/>
      <c r="R1054" s="88"/>
      <c r="S1054" s="88"/>
      <c r="T1054" s="90"/>
      <c r="U1054" s="6"/>
      <c r="V1054" s="87">
        <v>45447</v>
      </c>
      <c r="W1054" s="45">
        <v>165.81</v>
      </c>
      <c r="X1054" s="91"/>
      <c r="Y1054" s="77"/>
      <c r="Z1054" s="5"/>
      <c r="AA1054" s="5"/>
      <c r="AB1054" s="5"/>
      <c r="AC1054" s="5"/>
      <c r="AD1054" s="5"/>
      <c r="AE1054" s="5"/>
      <c r="AF1054" s="5"/>
      <c r="AG1054" s="5"/>
      <c r="AH1054" s="6"/>
      <c r="AI1054" s="87">
        <v>45447</v>
      </c>
      <c r="AJ1054" s="53">
        <v>165.81</v>
      </c>
      <c r="AK1054" s="54">
        <f t="shared" si="176"/>
        <v>3.2066795740561815E-3</v>
      </c>
      <c r="AL1054" s="55">
        <f t="shared" si="179"/>
        <v>15.033587456015399</v>
      </c>
      <c r="AM1054" s="56">
        <v>25</v>
      </c>
      <c r="AN1054" s="57">
        <f t="shared" si="177"/>
        <v>9.9664125439846014</v>
      </c>
      <c r="AO1054" s="76">
        <f t="shared" si="180"/>
        <v>11.330173210948852</v>
      </c>
      <c r="AP1054" s="63" t="str">
        <f t="shared" si="181"/>
        <v>Buy Stocks</v>
      </c>
      <c r="AQ1054" s="63" t="str">
        <f t="shared" si="182"/>
        <v/>
      </c>
      <c r="AR1054" s="63" t="str">
        <f t="shared" si="183"/>
        <v/>
      </c>
      <c r="AS1054" s="63" t="str">
        <f t="shared" si="184"/>
        <v/>
      </c>
      <c r="AT1054" s="78" t="str">
        <f t="shared" si="185"/>
        <v/>
      </c>
      <c r="AU1054" s="78" t="str">
        <f t="shared" si="186"/>
        <v/>
      </c>
      <c r="AV1054" s="64" t="str">
        <f ca="1">IFERROR(__xludf.DUMMYFUNCTION("IF(TRIM(AU1054)="""","""",AU1054/INDEX(FILTER(AT$3:AT1054,TRIM(AT$3:AT1054)&lt;&gt;""""),ROWS(FILTER(AT$3:AT1054,TRIM(AT$3:AT1054)&lt;&gt;"""")))-1)"),"")</f>
        <v/>
      </c>
      <c r="AW1054" s="65" t="e">
        <f t="shared" ca="1" si="178"/>
        <v>#VALUE!</v>
      </c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</row>
    <row r="1055" spans="1:68" ht="19" x14ac:dyDescent="0.25">
      <c r="A1055" s="5"/>
      <c r="B1055" s="5"/>
      <c r="C1055" s="5"/>
      <c r="D1055" s="5"/>
      <c r="E1055" s="5"/>
      <c r="F1055" s="5"/>
      <c r="G1055" s="5"/>
      <c r="H1055" s="6"/>
      <c r="I1055" s="5"/>
      <c r="J1055" s="88"/>
      <c r="K1055" s="88"/>
      <c r="L1055" s="88"/>
      <c r="M1055" s="88"/>
      <c r="N1055" s="88"/>
      <c r="O1055" s="88"/>
      <c r="P1055" s="88"/>
      <c r="Q1055" s="89"/>
      <c r="R1055" s="88"/>
      <c r="S1055" s="88"/>
      <c r="T1055" s="90"/>
      <c r="U1055" s="6"/>
      <c r="V1055" s="87">
        <v>45448</v>
      </c>
      <c r="W1055" s="45">
        <v>167.38</v>
      </c>
      <c r="X1055" s="91"/>
      <c r="Y1055" s="77"/>
      <c r="Z1055" s="5"/>
      <c r="AA1055" s="5"/>
      <c r="AB1055" s="5"/>
      <c r="AC1055" s="5"/>
      <c r="AD1055" s="5"/>
      <c r="AE1055" s="5"/>
      <c r="AF1055" s="5"/>
      <c r="AG1055" s="5"/>
      <c r="AH1055" s="6"/>
      <c r="AI1055" s="87">
        <v>45448</v>
      </c>
      <c r="AJ1055" s="53">
        <v>167.38</v>
      </c>
      <c r="AK1055" s="54">
        <f t="shared" si="176"/>
        <v>9.4686689584464467E-3</v>
      </c>
      <c r="AL1055" s="55">
        <f t="shared" si="179"/>
        <v>14.066743681893357</v>
      </c>
      <c r="AM1055" s="56">
        <v>25</v>
      </c>
      <c r="AN1055" s="57">
        <f t="shared" si="177"/>
        <v>10.933256318106643</v>
      </c>
      <c r="AO1055" s="76">
        <f t="shared" si="180"/>
        <v>11.330378747388673</v>
      </c>
      <c r="AP1055" s="63" t="str">
        <f t="shared" si="181"/>
        <v>Buy Stocks</v>
      </c>
      <c r="AQ1055" s="63" t="str">
        <f t="shared" si="182"/>
        <v/>
      </c>
      <c r="AR1055" s="63" t="str">
        <f t="shared" si="183"/>
        <v/>
      </c>
      <c r="AS1055" s="63" t="str">
        <f t="shared" si="184"/>
        <v/>
      </c>
      <c r="AT1055" s="78" t="str">
        <f t="shared" si="185"/>
        <v/>
      </c>
      <c r="AU1055" s="78" t="str">
        <f t="shared" si="186"/>
        <v/>
      </c>
      <c r="AV1055" s="64" t="str">
        <f ca="1">IFERROR(__xludf.DUMMYFUNCTION("IF(TRIM(AU1055)="""","""",AU1055/INDEX(FILTER(AT$3:AT1055,TRIM(AT$3:AT1055)&lt;&gt;""""),ROWS(FILTER(AT$3:AT1055,TRIM(AT$3:AT1055)&lt;&gt;"""")))-1)"),"")</f>
        <v/>
      </c>
      <c r="AW1055" s="65" t="e">
        <f t="shared" ca="1" si="178"/>
        <v>#VALUE!</v>
      </c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</row>
    <row r="1056" spans="1:68" ht="19" x14ac:dyDescent="0.25">
      <c r="A1056" s="5"/>
      <c r="B1056" s="5"/>
      <c r="C1056" s="5"/>
      <c r="D1056" s="5"/>
      <c r="E1056" s="5"/>
      <c r="F1056" s="5"/>
      <c r="G1056" s="5"/>
      <c r="H1056" s="6"/>
      <c r="I1056" s="5"/>
      <c r="J1056" s="88"/>
      <c r="K1056" s="88"/>
      <c r="L1056" s="88"/>
      <c r="M1056" s="88"/>
      <c r="N1056" s="88"/>
      <c r="O1056" s="88"/>
      <c r="P1056" s="88"/>
      <c r="Q1056" s="89"/>
      <c r="R1056" s="88"/>
      <c r="S1056" s="88"/>
      <c r="T1056" s="90"/>
      <c r="U1056" s="6"/>
      <c r="V1056" s="87">
        <v>45449</v>
      </c>
      <c r="W1056" s="45">
        <v>168.2</v>
      </c>
      <c r="X1056" s="91"/>
      <c r="Y1056" s="77"/>
      <c r="Z1056" s="5"/>
      <c r="AA1056" s="5"/>
      <c r="AB1056" s="5"/>
      <c r="AC1056" s="5"/>
      <c r="AD1056" s="5"/>
      <c r="AE1056" s="5"/>
      <c r="AF1056" s="5"/>
      <c r="AG1056" s="5"/>
      <c r="AH1056" s="6"/>
      <c r="AI1056" s="87">
        <v>45449</v>
      </c>
      <c r="AJ1056" s="53">
        <v>168.2</v>
      </c>
      <c r="AK1056" s="54">
        <f t="shared" si="176"/>
        <v>4.8990321424302596E-3</v>
      </c>
      <c r="AL1056" s="55">
        <f t="shared" si="179"/>
        <v>11.732543754127285</v>
      </c>
      <c r="AM1056" s="56">
        <v>25</v>
      </c>
      <c r="AN1056" s="57">
        <f t="shared" si="177"/>
        <v>13.267456245872715</v>
      </c>
      <c r="AO1056" s="76">
        <f t="shared" si="180"/>
        <v>11.335818870595938</v>
      </c>
      <c r="AP1056" s="63" t="str">
        <f t="shared" si="181"/>
        <v>Buy Stocks</v>
      </c>
      <c r="AQ1056" s="63" t="str">
        <f t="shared" si="182"/>
        <v/>
      </c>
      <c r="AR1056" s="63" t="str">
        <f t="shared" si="183"/>
        <v/>
      </c>
      <c r="AS1056" s="63" t="str">
        <f t="shared" si="184"/>
        <v/>
      </c>
      <c r="AT1056" s="78" t="str">
        <f t="shared" si="185"/>
        <v/>
      </c>
      <c r="AU1056" s="78" t="str">
        <f t="shared" si="186"/>
        <v/>
      </c>
      <c r="AV1056" s="64" t="str">
        <f ca="1">IFERROR(__xludf.DUMMYFUNCTION("IF(TRIM(AU1056)="""","""",AU1056/INDEX(FILTER(AT$3:AT1056,TRIM(AT$3:AT1056)&lt;&gt;""""),ROWS(FILTER(AT$3:AT1056,TRIM(AT$3:AT1056)&lt;&gt;"""")))-1)"),"")</f>
        <v/>
      </c>
      <c r="AW1056" s="65" t="e">
        <f t="shared" ca="1" si="178"/>
        <v>#VALUE!</v>
      </c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</row>
    <row r="1057" spans="1:68" ht="19" x14ac:dyDescent="0.25">
      <c r="A1057" s="5"/>
      <c r="B1057" s="5"/>
      <c r="C1057" s="5"/>
      <c r="D1057" s="5"/>
      <c r="E1057" s="5"/>
      <c r="F1057" s="5"/>
      <c r="G1057" s="5"/>
      <c r="H1057" s="6"/>
      <c r="I1057" s="5"/>
      <c r="J1057" s="88"/>
      <c r="K1057" s="88"/>
      <c r="L1057" s="88"/>
      <c r="M1057" s="88"/>
      <c r="N1057" s="88"/>
      <c r="O1057" s="88"/>
      <c r="P1057" s="88"/>
      <c r="Q1057" s="89"/>
      <c r="R1057" s="88"/>
      <c r="S1057" s="88"/>
      <c r="T1057" s="90"/>
      <c r="U1057" s="6"/>
      <c r="V1057" s="87">
        <v>45450</v>
      </c>
      <c r="W1057" s="45">
        <v>170.01</v>
      </c>
      <c r="X1057" s="91"/>
      <c r="Y1057" s="77"/>
      <c r="Z1057" s="5"/>
      <c r="AA1057" s="5"/>
      <c r="AB1057" s="5"/>
      <c r="AC1057" s="5"/>
      <c r="AD1057" s="5"/>
      <c r="AE1057" s="5"/>
      <c r="AF1057" s="5"/>
      <c r="AG1057" s="5"/>
      <c r="AH1057" s="6"/>
      <c r="AI1057" s="87">
        <v>45450</v>
      </c>
      <c r="AJ1057" s="53">
        <v>170.01</v>
      </c>
      <c r="AK1057" s="54">
        <f t="shared" si="176"/>
        <v>1.0760998810939393E-2</v>
      </c>
      <c r="AL1057" s="55">
        <f t="shared" si="179"/>
        <v>12.715543889432995</v>
      </c>
      <c r="AM1057" s="56">
        <v>25</v>
      </c>
      <c r="AN1057" s="57">
        <f t="shared" si="177"/>
        <v>12.284456110567005</v>
      </c>
      <c r="AO1057" s="76">
        <f t="shared" si="180"/>
        <v>11.614826494711512</v>
      </c>
      <c r="AP1057" s="63" t="str">
        <f t="shared" si="181"/>
        <v>Buy Stocks</v>
      </c>
      <c r="AQ1057" s="63" t="str">
        <f t="shared" si="182"/>
        <v/>
      </c>
      <c r="AR1057" s="63" t="str">
        <f t="shared" si="183"/>
        <v/>
      </c>
      <c r="AS1057" s="63" t="str">
        <f t="shared" si="184"/>
        <v/>
      </c>
      <c r="AT1057" s="78" t="str">
        <f t="shared" si="185"/>
        <v/>
      </c>
      <c r="AU1057" s="78" t="str">
        <f t="shared" si="186"/>
        <v/>
      </c>
      <c r="AV1057" s="64" t="str">
        <f ca="1">IFERROR(__xludf.DUMMYFUNCTION("IF(TRIM(AU1057)="""","""",AU1057/INDEX(FILTER(AT$3:AT1057,TRIM(AT$3:AT1057)&lt;&gt;""""),ROWS(FILTER(AT$3:AT1057,TRIM(AT$3:AT1057)&lt;&gt;"""")))-1)"),"")</f>
        <v/>
      </c>
      <c r="AW1057" s="65" t="e">
        <f t="shared" ca="1" si="178"/>
        <v>#VALUE!</v>
      </c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</row>
    <row r="1058" spans="1:68" ht="19" x14ac:dyDescent="0.25">
      <c r="A1058" s="5"/>
      <c r="B1058" s="5"/>
      <c r="C1058" s="5"/>
      <c r="D1058" s="5"/>
      <c r="E1058" s="5"/>
      <c r="F1058" s="5"/>
      <c r="G1058" s="5"/>
      <c r="H1058" s="6"/>
      <c r="I1058" s="5"/>
      <c r="J1058" s="88"/>
      <c r="K1058" s="88"/>
      <c r="L1058" s="88"/>
      <c r="M1058" s="88"/>
      <c r="N1058" s="88"/>
      <c r="O1058" s="88"/>
      <c r="P1058" s="88"/>
      <c r="Q1058" s="89"/>
      <c r="R1058" s="88"/>
      <c r="S1058" s="88"/>
      <c r="T1058" s="90"/>
      <c r="U1058" s="6"/>
      <c r="V1058" s="87">
        <v>45453</v>
      </c>
      <c r="W1058" s="45">
        <v>170.38</v>
      </c>
      <c r="X1058" s="91"/>
      <c r="Y1058" s="77"/>
      <c r="Z1058" s="5"/>
      <c r="AA1058" s="5"/>
      <c r="AB1058" s="5"/>
      <c r="AC1058" s="5"/>
      <c r="AD1058" s="5"/>
      <c r="AE1058" s="5"/>
      <c r="AF1058" s="5"/>
      <c r="AG1058" s="5"/>
      <c r="AH1058" s="6"/>
      <c r="AI1058" s="87">
        <v>45453</v>
      </c>
      <c r="AJ1058" s="53">
        <v>170.38</v>
      </c>
      <c r="AK1058" s="54">
        <f t="shared" si="176"/>
        <v>2.1763425680842996E-3</v>
      </c>
      <c r="AL1058" s="55">
        <f t="shared" si="179"/>
        <v>6.0594853190619631</v>
      </c>
      <c r="AM1058" s="56">
        <v>25</v>
      </c>
      <c r="AN1058" s="57">
        <f t="shared" si="177"/>
        <v>18.940514680938037</v>
      </c>
      <c r="AO1058" s="76">
        <f t="shared" si="180"/>
        <v>13.078419179893803</v>
      </c>
      <c r="AP1058" s="63" t="str">
        <f t="shared" si="181"/>
        <v>Buy Stocks</v>
      </c>
      <c r="AQ1058" s="63" t="str">
        <f t="shared" si="182"/>
        <v/>
      </c>
      <c r="AR1058" s="63" t="str">
        <f t="shared" si="183"/>
        <v/>
      </c>
      <c r="AS1058" s="63" t="str">
        <f t="shared" si="184"/>
        <v/>
      </c>
      <c r="AT1058" s="78" t="str">
        <f t="shared" si="185"/>
        <v/>
      </c>
      <c r="AU1058" s="78" t="str">
        <f t="shared" si="186"/>
        <v/>
      </c>
      <c r="AV1058" s="64" t="str">
        <f ca="1">IFERROR(__xludf.DUMMYFUNCTION("IF(TRIM(AU1058)="""","""",AU1058/INDEX(FILTER(AT$3:AT1058,TRIM(AT$3:AT1058)&lt;&gt;""""),ROWS(FILTER(AT$3:AT1058,TRIM(AT$3:AT1058)&lt;&gt;"""")))-1)"),"")</f>
        <v/>
      </c>
      <c r="AW1058" s="65" t="e">
        <f t="shared" ca="1" si="178"/>
        <v>#VALUE!</v>
      </c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</row>
    <row r="1059" spans="1:68" ht="19" x14ac:dyDescent="0.25">
      <c r="A1059" s="5"/>
      <c r="B1059" s="5"/>
      <c r="C1059" s="5"/>
      <c r="D1059" s="5"/>
      <c r="E1059" s="5"/>
      <c r="F1059" s="5"/>
      <c r="G1059" s="5"/>
      <c r="H1059" s="6"/>
      <c r="I1059" s="5"/>
      <c r="J1059" s="88"/>
      <c r="K1059" s="88"/>
      <c r="L1059" s="88"/>
      <c r="M1059" s="88"/>
      <c r="N1059" s="88"/>
      <c r="O1059" s="88"/>
      <c r="P1059" s="88"/>
      <c r="Q1059" s="89"/>
      <c r="R1059" s="88"/>
      <c r="S1059" s="88"/>
      <c r="T1059" s="90"/>
      <c r="U1059" s="6"/>
      <c r="V1059" s="87">
        <v>45454</v>
      </c>
      <c r="W1059" s="45">
        <v>169.32</v>
      </c>
      <c r="X1059" s="91"/>
      <c r="Y1059" s="77"/>
      <c r="Z1059" s="5"/>
      <c r="AA1059" s="5"/>
      <c r="AB1059" s="5"/>
      <c r="AC1059" s="5"/>
      <c r="AD1059" s="5"/>
      <c r="AE1059" s="5"/>
      <c r="AF1059" s="5"/>
      <c r="AG1059" s="5"/>
      <c r="AH1059" s="6"/>
      <c r="AI1059" s="87">
        <v>45454</v>
      </c>
      <c r="AJ1059" s="53">
        <v>169.32</v>
      </c>
      <c r="AK1059" s="54">
        <f t="shared" si="176"/>
        <v>-6.2213874867942387E-3</v>
      </c>
      <c r="AL1059" s="55">
        <f t="shared" si="179"/>
        <v>10.766419945072776</v>
      </c>
      <c r="AM1059" s="56">
        <v>25</v>
      </c>
      <c r="AN1059" s="57">
        <f t="shared" si="177"/>
        <v>14.233580054927224</v>
      </c>
      <c r="AO1059" s="76">
        <f t="shared" si="180"/>
        <v>13.931852682082326</v>
      </c>
      <c r="AP1059" s="63" t="str">
        <f t="shared" si="181"/>
        <v>Buy Stocks</v>
      </c>
      <c r="AQ1059" s="63" t="str">
        <f t="shared" si="182"/>
        <v/>
      </c>
      <c r="AR1059" s="63" t="str">
        <f t="shared" si="183"/>
        <v/>
      </c>
      <c r="AS1059" s="63" t="str">
        <f t="shared" si="184"/>
        <v/>
      </c>
      <c r="AT1059" s="78" t="str">
        <f t="shared" si="185"/>
        <v/>
      </c>
      <c r="AU1059" s="78" t="str">
        <f t="shared" si="186"/>
        <v/>
      </c>
      <c r="AV1059" s="64" t="str">
        <f ca="1">IFERROR(__xludf.DUMMYFUNCTION("IF(TRIM(AU1059)="""","""",AU1059/INDEX(FILTER(AT$3:AT1059,TRIM(AT$3:AT1059)&lt;&gt;""""),ROWS(FILTER(AT$3:AT1059,TRIM(AT$3:AT1059)&lt;&gt;"""")))-1)"),"")</f>
        <v/>
      </c>
      <c r="AW1059" s="65" t="e">
        <f t="shared" ca="1" si="178"/>
        <v>#VALUE!</v>
      </c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</row>
    <row r="1060" spans="1:68" ht="19" x14ac:dyDescent="0.25">
      <c r="A1060" s="5"/>
      <c r="B1060" s="5"/>
      <c r="C1060" s="5"/>
      <c r="D1060" s="5"/>
      <c r="E1060" s="5"/>
      <c r="F1060" s="5"/>
      <c r="G1060" s="5"/>
      <c r="H1060" s="6"/>
      <c r="I1060" s="5"/>
      <c r="J1060" s="88"/>
      <c r="K1060" s="88"/>
      <c r="L1060" s="88"/>
      <c r="M1060" s="88"/>
      <c r="N1060" s="88"/>
      <c r="O1060" s="88"/>
      <c r="P1060" s="88"/>
      <c r="Q1060" s="89"/>
      <c r="R1060" s="88"/>
      <c r="S1060" s="88"/>
      <c r="T1060" s="90"/>
      <c r="U1060" s="6"/>
      <c r="V1060" s="87">
        <v>45455</v>
      </c>
      <c r="W1060" s="45">
        <v>169</v>
      </c>
      <c r="X1060" s="91"/>
      <c r="Y1060" s="77"/>
      <c r="Z1060" s="5"/>
      <c r="AA1060" s="5"/>
      <c r="AB1060" s="5"/>
      <c r="AC1060" s="5"/>
      <c r="AD1060" s="5"/>
      <c r="AE1060" s="5"/>
      <c r="AF1060" s="5"/>
      <c r="AG1060" s="5"/>
      <c r="AH1060" s="6"/>
      <c r="AI1060" s="87">
        <v>45455</v>
      </c>
      <c r="AJ1060" s="53">
        <v>169</v>
      </c>
      <c r="AK1060" s="54">
        <f t="shared" si="176"/>
        <v>-1.8899125915425863E-3</v>
      </c>
      <c r="AL1060" s="55">
        <f t="shared" si="179"/>
        <v>10.284736393098697</v>
      </c>
      <c r="AM1060" s="56">
        <v>25</v>
      </c>
      <c r="AN1060" s="57">
        <f t="shared" si="177"/>
        <v>14.715263606901303</v>
      </c>
      <c r="AO1060" s="76">
        <f t="shared" si="180"/>
        <v>14.688254139841257</v>
      </c>
      <c r="AP1060" s="63" t="str">
        <f t="shared" si="181"/>
        <v>Buy Stocks</v>
      </c>
      <c r="AQ1060" s="63" t="str">
        <f t="shared" si="182"/>
        <v/>
      </c>
      <c r="AR1060" s="63" t="str">
        <f t="shared" si="183"/>
        <v/>
      </c>
      <c r="AS1060" s="63" t="str">
        <f t="shared" si="184"/>
        <v/>
      </c>
      <c r="AT1060" s="78" t="str">
        <f t="shared" si="185"/>
        <v/>
      </c>
      <c r="AU1060" s="78" t="str">
        <f t="shared" si="186"/>
        <v/>
      </c>
      <c r="AV1060" s="64" t="str">
        <f ca="1">IFERROR(__xludf.DUMMYFUNCTION("IF(TRIM(AU1060)="""","""",AU1060/INDEX(FILTER(AT$3:AT1060,TRIM(AT$3:AT1060)&lt;&gt;""""),ROWS(FILTER(AT$3:AT1060,TRIM(AT$3:AT1060)&lt;&gt;"""")))-1)"),"")</f>
        <v/>
      </c>
      <c r="AW1060" s="65" t="e">
        <f t="shared" ca="1" si="178"/>
        <v>#VALUE!</v>
      </c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</row>
    <row r="1061" spans="1:68" ht="19" x14ac:dyDescent="0.25">
      <c r="A1061" s="5"/>
      <c r="B1061" s="5"/>
      <c r="C1061" s="5"/>
      <c r="D1061" s="5"/>
      <c r="E1061" s="5"/>
      <c r="F1061" s="5"/>
      <c r="G1061" s="5"/>
      <c r="H1061" s="6"/>
      <c r="I1061" s="5"/>
      <c r="J1061" s="88"/>
      <c r="K1061" s="88"/>
      <c r="L1061" s="88"/>
      <c r="M1061" s="88"/>
      <c r="N1061" s="88"/>
      <c r="O1061" s="88"/>
      <c r="P1061" s="88"/>
      <c r="Q1061" s="89"/>
      <c r="R1061" s="88"/>
      <c r="S1061" s="88"/>
      <c r="T1061" s="90"/>
      <c r="U1061" s="6"/>
      <c r="V1061" s="87">
        <v>45456</v>
      </c>
      <c r="W1061" s="45">
        <v>169.12</v>
      </c>
      <c r="X1061" s="91"/>
      <c r="Y1061" s="77"/>
      <c r="Z1061" s="5"/>
      <c r="AA1061" s="5"/>
      <c r="AB1061" s="5"/>
      <c r="AC1061" s="5"/>
      <c r="AD1061" s="5"/>
      <c r="AE1061" s="5"/>
      <c r="AF1061" s="5"/>
      <c r="AG1061" s="5"/>
      <c r="AH1061" s="6"/>
      <c r="AI1061" s="87">
        <v>45456</v>
      </c>
      <c r="AJ1061" s="53">
        <v>169.12</v>
      </c>
      <c r="AK1061" s="54">
        <f t="shared" si="176"/>
        <v>7.1005917159761012E-4</v>
      </c>
      <c r="AL1061" s="55">
        <f t="shared" si="179"/>
        <v>9.9512874970786562</v>
      </c>
      <c r="AM1061" s="56">
        <v>25</v>
      </c>
      <c r="AN1061" s="57">
        <f t="shared" si="177"/>
        <v>15.048712502921344</v>
      </c>
      <c r="AO1061" s="76">
        <f t="shared" si="180"/>
        <v>15.044505391250983</v>
      </c>
      <c r="AP1061" s="63" t="str">
        <f t="shared" si="181"/>
        <v>Buy Stocks</v>
      </c>
      <c r="AQ1061" s="63" t="str">
        <f t="shared" si="182"/>
        <v/>
      </c>
      <c r="AR1061" s="63" t="str">
        <f t="shared" si="183"/>
        <v/>
      </c>
      <c r="AS1061" s="63" t="str">
        <f t="shared" si="184"/>
        <v/>
      </c>
      <c r="AT1061" s="78" t="str">
        <f t="shared" si="185"/>
        <v/>
      </c>
      <c r="AU1061" s="78" t="str">
        <f t="shared" si="186"/>
        <v/>
      </c>
      <c r="AV1061" s="64" t="str">
        <f ca="1">IFERROR(__xludf.DUMMYFUNCTION("IF(TRIM(AU1061)="""","""",AU1061/INDEX(FILTER(AT$3:AT1061,TRIM(AT$3:AT1061)&lt;&gt;""""),ROWS(FILTER(AT$3:AT1061,TRIM(AT$3:AT1061)&lt;&gt;"""")))-1)"),"")</f>
        <v/>
      </c>
      <c r="AW1061" s="65" t="e">
        <f t="shared" ca="1" si="178"/>
        <v>#VALUE!</v>
      </c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</row>
    <row r="1062" spans="1:68" ht="19" x14ac:dyDescent="0.25">
      <c r="A1062" s="5"/>
      <c r="B1062" s="5"/>
      <c r="C1062" s="5"/>
      <c r="D1062" s="5"/>
      <c r="E1062" s="5"/>
      <c r="F1062" s="5"/>
      <c r="G1062" s="5"/>
      <c r="H1062" s="6"/>
      <c r="I1062" s="5"/>
      <c r="J1062" s="88"/>
      <c r="K1062" s="88"/>
      <c r="L1062" s="88"/>
      <c r="M1062" s="88"/>
      <c r="N1062" s="88"/>
      <c r="O1062" s="88"/>
      <c r="P1062" s="88"/>
      <c r="Q1062" s="89"/>
      <c r="R1062" s="88"/>
      <c r="S1062" s="88"/>
      <c r="T1062" s="90"/>
      <c r="U1062" s="6"/>
      <c r="V1062" s="87">
        <v>45457</v>
      </c>
      <c r="W1062" s="45">
        <v>169.21</v>
      </c>
      <c r="X1062" s="91"/>
      <c r="Y1062" s="77"/>
      <c r="Z1062" s="5"/>
      <c r="AA1062" s="5"/>
      <c r="AB1062" s="5"/>
      <c r="AC1062" s="5"/>
      <c r="AD1062" s="5"/>
      <c r="AE1062" s="5"/>
      <c r="AF1062" s="5"/>
      <c r="AG1062" s="5"/>
      <c r="AH1062" s="6"/>
      <c r="AI1062" s="87">
        <v>45457</v>
      </c>
      <c r="AJ1062" s="53">
        <v>169.21</v>
      </c>
      <c r="AK1062" s="54">
        <f t="shared" si="176"/>
        <v>5.3216650898768592E-4</v>
      </c>
      <c r="AL1062" s="55">
        <f t="shared" si="179"/>
        <v>5.228773347713787</v>
      </c>
      <c r="AM1062" s="56">
        <v>25</v>
      </c>
      <c r="AN1062" s="57">
        <f t="shared" si="177"/>
        <v>19.771226652286213</v>
      </c>
      <c r="AO1062" s="76">
        <f t="shared" si="180"/>
        <v>16.541859499594825</v>
      </c>
      <c r="AP1062" s="63" t="str">
        <f t="shared" si="181"/>
        <v>Buy Stocks</v>
      </c>
      <c r="AQ1062" s="63" t="str">
        <f t="shared" si="182"/>
        <v/>
      </c>
      <c r="AR1062" s="63" t="str">
        <f t="shared" si="183"/>
        <v/>
      </c>
      <c r="AS1062" s="63" t="str">
        <f t="shared" si="184"/>
        <v/>
      </c>
      <c r="AT1062" s="78" t="str">
        <f t="shared" si="185"/>
        <v/>
      </c>
      <c r="AU1062" s="78" t="str">
        <f t="shared" si="186"/>
        <v/>
      </c>
      <c r="AV1062" s="64" t="str">
        <f ca="1">IFERROR(__xludf.DUMMYFUNCTION("IF(TRIM(AU1062)="""","""",AU1062/INDEX(FILTER(AT$3:AT1062,TRIM(AT$3:AT1062)&lt;&gt;""""),ROWS(FILTER(AT$3:AT1062,TRIM(AT$3:AT1062)&lt;&gt;"""")))-1)"),"")</f>
        <v/>
      </c>
      <c r="AW1062" s="65" t="e">
        <f t="shared" ca="1" si="178"/>
        <v>#VALUE!</v>
      </c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</row>
    <row r="1063" spans="1:68" ht="19" x14ac:dyDescent="0.25">
      <c r="A1063" s="5"/>
      <c r="B1063" s="5"/>
      <c r="C1063" s="5"/>
      <c r="D1063" s="5"/>
      <c r="E1063" s="5"/>
      <c r="F1063" s="5"/>
      <c r="G1063" s="5"/>
      <c r="H1063" s="6"/>
      <c r="I1063" s="5"/>
      <c r="J1063" s="88"/>
      <c r="K1063" s="88"/>
      <c r="L1063" s="88"/>
      <c r="M1063" s="88"/>
      <c r="N1063" s="88"/>
      <c r="O1063" s="88"/>
      <c r="P1063" s="88"/>
      <c r="Q1063" s="89"/>
      <c r="R1063" s="88"/>
      <c r="S1063" s="88"/>
      <c r="T1063" s="90"/>
      <c r="U1063" s="6"/>
      <c r="V1063" s="87">
        <v>45460</v>
      </c>
      <c r="W1063" s="45">
        <v>169.5</v>
      </c>
      <c r="X1063" s="91"/>
      <c r="Y1063" s="77"/>
      <c r="Z1063" s="5"/>
      <c r="AA1063" s="5"/>
      <c r="AB1063" s="5"/>
      <c r="AC1063" s="5"/>
      <c r="AD1063" s="5"/>
      <c r="AE1063" s="5"/>
      <c r="AF1063" s="5"/>
      <c r="AG1063" s="5"/>
      <c r="AH1063" s="6"/>
      <c r="AI1063" s="87">
        <v>45460</v>
      </c>
      <c r="AJ1063" s="53">
        <v>169.5</v>
      </c>
      <c r="AK1063" s="54">
        <f t="shared" si="176"/>
        <v>1.7138466993675827E-3</v>
      </c>
      <c r="AL1063" s="55">
        <f t="shared" si="179"/>
        <v>5.0628739105139831</v>
      </c>
      <c r="AM1063" s="56">
        <v>25</v>
      </c>
      <c r="AN1063" s="57">
        <f t="shared" si="177"/>
        <v>19.937126089486018</v>
      </c>
      <c r="AO1063" s="76">
        <f t="shared" si="180"/>
        <v>16.741181781304419</v>
      </c>
      <c r="AP1063" s="63" t="str">
        <f t="shared" si="181"/>
        <v>Buy Stocks</v>
      </c>
      <c r="AQ1063" s="63" t="str">
        <f t="shared" si="182"/>
        <v/>
      </c>
      <c r="AR1063" s="63" t="str">
        <f t="shared" si="183"/>
        <v/>
      </c>
      <c r="AS1063" s="63" t="str">
        <f t="shared" si="184"/>
        <v/>
      </c>
      <c r="AT1063" s="78" t="str">
        <f t="shared" si="185"/>
        <v/>
      </c>
      <c r="AU1063" s="78" t="str">
        <f t="shared" si="186"/>
        <v/>
      </c>
      <c r="AV1063" s="64" t="str">
        <f ca="1">IFERROR(__xludf.DUMMYFUNCTION("IF(TRIM(AU1063)="""","""",AU1063/INDEX(FILTER(AT$3:AT1063,TRIM(AT$3:AT1063)&lt;&gt;""""),ROWS(FILTER(AT$3:AT1063,TRIM(AT$3:AT1063)&lt;&gt;"""")))-1)"),"")</f>
        <v/>
      </c>
      <c r="AW1063" s="65" t="e">
        <f t="shared" ca="1" si="178"/>
        <v>#VALUE!</v>
      </c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</row>
    <row r="1064" spans="1:68" ht="19" x14ac:dyDescent="0.25">
      <c r="A1064" s="5"/>
      <c r="B1064" s="5"/>
      <c r="C1064" s="5"/>
      <c r="D1064" s="5"/>
      <c r="E1064" s="5"/>
      <c r="F1064" s="5"/>
      <c r="G1064" s="5"/>
      <c r="H1064" s="6"/>
      <c r="I1064" s="5"/>
      <c r="J1064" s="88"/>
      <c r="K1064" s="88"/>
      <c r="L1064" s="88"/>
      <c r="M1064" s="88"/>
      <c r="N1064" s="88"/>
      <c r="O1064" s="88"/>
      <c r="P1064" s="88"/>
      <c r="Q1064" s="89"/>
      <c r="R1064" s="88"/>
      <c r="S1064" s="88"/>
      <c r="T1064" s="90"/>
      <c r="U1064" s="6"/>
      <c r="V1064" s="87">
        <v>45461</v>
      </c>
      <c r="W1064" s="45">
        <v>170.55</v>
      </c>
      <c r="X1064" s="91"/>
      <c r="Y1064" s="77"/>
      <c r="Z1064" s="5"/>
      <c r="AA1064" s="5"/>
      <c r="AB1064" s="5"/>
      <c r="AC1064" s="5"/>
      <c r="AD1064" s="5"/>
      <c r="AE1064" s="5"/>
      <c r="AF1064" s="5"/>
      <c r="AG1064" s="5"/>
      <c r="AH1064" s="6"/>
      <c r="AI1064" s="87">
        <v>45461</v>
      </c>
      <c r="AJ1064" s="53">
        <v>170.55</v>
      </c>
      <c r="AK1064" s="54">
        <f t="shared" si="176"/>
        <v>6.1946902654868019E-3</v>
      </c>
      <c r="AL1064" s="55">
        <f t="shared" si="179"/>
        <v>4.7042292879840195</v>
      </c>
      <c r="AM1064" s="56">
        <v>25</v>
      </c>
      <c r="AN1064" s="57">
        <f t="shared" si="177"/>
        <v>20.29577071201598</v>
      </c>
      <c r="AO1064" s="76">
        <f t="shared" si="180"/>
        <v>17.953619912722171</v>
      </c>
      <c r="AP1064" s="63" t="str">
        <f t="shared" si="181"/>
        <v>Buy Stocks</v>
      </c>
      <c r="AQ1064" s="63" t="str">
        <f t="shared" si="182"/>
        <v/>
      </c>
      <c r="AR1064" s="63" t="str">
        <f t="shared" si="183"/>
        <v/>
      </c>
      <c r="AS1064" s="63" t="str">
        <f t="shared" si="184"/>
        <v/>
      </c>
      <c r="AT1064" s="78" t="str">
        <f t="shared" si="185"/>
        <v/>
      </c>
      <c r="AU1064" s="78" t="str">
        <f t="shared" si="186"/>
        <v/>
      </c>
      <c r="AV1064" s="64" t="str">
        <f ca="1">IFERROR(__xludf.DUMMYFUNCTION("IF(TRIM(AU1064)="""","""",AU1064/INDEX(FILTER(AT$3:AT1064,TRIM(AT$3:AT1064)&lt;&gt;""""),ROWS(FILTER(AT$3:AT1064,TRIM(AT$3:AT1064)&lt;&gt;"""")))-1)"),"")</f>
        <v/>
      </c>
      <c r="AW1064" s="65" t="e">
        <f t="shared" ca="1" si="178"/>
        <v>#VALUE!</v>
      </c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</row>
    <row r="1065" spans="1:68" ht="19" x14ac:dyDescent="0.25">
      <c r="A1065" s="5"/>
      <c r="B1065" s="5"/>
      <c r="C1065" s="5"/>
      <c r="D1065" s="5"/>
      <c r="E1065" s="5"/>
      <c r="F1065" s="5"/>
      <c r="G1065" s="5"/>
      <c r="H1065" s="6"/>
      <c r="I1065" s="5"/>
      <c r="J1065" s="88"/>
      <c r="K1065" s="88"/>
      <c r="L1065" s="88"/>
      <c r="M1065" s="88"/>
      <c r="N1065" s="88"/>
      <c r="O1065" s="88"/>
      <c r="P1065" s="88"/>
      <c r="Q1065" s="89"/>
      <c r="R1065" s="88"/>
      <c r="S1065" s="88"/>
      <c r="T1065" s="90"/>
      <c r="U1065" s="6"/>
      <c r="V1065" s="87">
        <v>45463</v>
      </c>
      <c r="W1065" s="45">
        <v>173.92</v>
      </c>
      <c r="X1065" s="91"/>
      <c r="Y1065" s="77"/>
      <c r="Z1065" s="5"/>
      <c r="AA1065" s="5"/>
      <c r="AB1065" s="5"/>
      <c r="AC1065" s="5"/>
      <c r="AD1065" s="5"/>
      <c r="AE1065" s="5"/>
      <c r="AF1065" s="5"/>
      <c r="AG1065" s="5"/>
      <c r="AH1065" s="6"/>
      <c r="AI1065" s="87">
        <v>45463</v>
      </c>
      <c r="AJ1065" s="53">
        <v>173.92</v>
      </c>
      <c r="AK1065" s="54">
        <f t="shared" si="176"/>
        <v>1.975960128994414E-2</v>
      </c>
      <c r="AL1065" s="55">
        <f t="shared" si="179"/>
        <v>12.930146186316346</v>
      </c>
      <c r="AM1065" s="56">
        <v>25</v>
      </c>
      <c r="AN1065" s="57">
        <f t="shared" si="177"/>
        <v>12.069853813683654</v>
      </c>
      <c r="AO1065" s="76">
        <f t="shared" si="180"/>
        <v>17.424537954078641</v>
      </c>
      <c r="AP1065" s="63" t="str">
        <f t="shared" si="181"/>
        <v>Buy Stocks</v>
      </c>
      <c r="AQ1065" s="63" t="str">
        <f t="shared" si="182"/>
        <v/>
      </c>
      <c r="AR1065" s="63" t="str">
        <f t="shared" si="183"/>
        <v/>
      </c>
      <c r="AS1065" s="63" t="str">
        <f t="shared" si="184"/>
        <v/>
      </c>
      <c r="AT1065" s="78" t="str">
        <f t="shared" si="185"/>
        <v/>
      </c>
      <c r="AU1065" s="78" t="str">
        <f t="shared" si="186"/>
        <v/>
      </c>
      <c r="AV1065" s="64" t="str">
        <f ca="1">IFERROR(__xludf.DUMMYFUNCTION("IF(TRIM(AU1065)="""","""",AU1065/INDEX(FILTER(AT$3:AT1065,TRIM(AT$3:AT1065)&lt;&gt;""""),ROWS(FILTER(AT$3:AT1065,TRIM(AT$3:AT1065)&lt;&gt;"""")))-1)"),"")</f>
        <v/>
      </c>
      <c r="AW1065" s="65" t="e">
        <f t="shared" ca="1" si="178"/>
        <v>#VALUE!</v>
      </c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</row>
    <row r="1066" spans="1:68" ht="19" x14ac:dyDescent="0.25">
      <c r="A1066" s="5"/>
      <c r="B1066" s="5"/>
      <c r="C1066" s="5"/>
      <c r="D1066" s="5"/>
      <c r="E1066" s="5"/>
      <c r="F1066" s="5"/>
      <c r="G1066" s="5"/>
      <c r="H1066" s="6"/>
      <c r="I1066" s="5"/>
      <c r="J1066" s="88"/>
      <c r="K1066" s="88"/>
      <c r="L1066" s="88"/>
      <c r="M1066" s="88"/>
      <c r="N1066" s="88"/>
      <c r="O1066" s="88"/>
      <c r="P1066" s="88"/>
      <c r="Q1066" s="89"/>
      <c r="R1066" s="88"/>
      <c r="S1066" s="88"/>
      <c r="T1066" s="90"/>
      <c r="U1066" s="6"/>
      <c r="V1066" s="87">
        <v>45464</v>
      </c>
      <c r="W1066" s="45">
        <v>172.46</v>
      </c>
      <c r="X1066" s="91"/>
      <c r="Y1066" s="77"/>
      <c r="Z1066" s="5"/>
      <c r="AA1066" s="5"/>
      <c r="AB1066" s="5"/>
      <c r="AC1066" s="5"/>
      <c r="AD1066" s="5"/>
      <c r="AE1066" s="5"/>
      <c r="AF1066" s="5"/>
      <c r="AG1066" s="5"/>
      <c r="AH1066" s="6"/>
      <c r="AI1066" s="87">
        <v>45464</v>
      </c>
      <c r="AJ1066" s="53">
        <v>172.46</v>
      </c>
      <c r="AK1066" s="54">
        <f t="shared" si="176"/>
        <v>-8.3946642134313798E-3</v>
      </c>
      <c r="AL1066" s="55">
        <f t="shared" si="179"/>
        <v>16.344850942649131</v>
      </c>
      <c r="AM1066" s="56">
        <v>25</v>
      </c>
      <c r="AN1066" s="57">
        <f t="shared" si="177"/>
        <v>8.6551490573508687</v>
      </c>
      <c r="AO1066" s="76">
        <f t="shared" si="180"/>
        <v>16.145825264964547</v>
      </c>
      <c r="AP1066" s="63" t="str">
        <f t="shared" si="181"/>
        <v>Buy Stocks</v>
      </c>
      <c r="AQ1066" s="63" t="str">
        <f t="shared" si="182"/>
        <v/>
      </c>
      <c r="AR1066" s="63" t="str">
        <f t="shared" si="183"/>
        <v/>
      </c>
      <c r="AS1066" s="63" t="str">
        <f t="shared" si="184"/>
        <v/>
      </c>
      <c r="AT1066" s="78" t="str">
        <f t="shared" si="185"/>
        <v/>
      </c>
      <c r="AU1066" s="78" t="str">
        <f t="shared" si="186"/>
        <v/>
      </c>
      <c r="AV1066" s="64" t="str">
        <f ca="1">IFERROR(__xludf.DUMMYFUNCTION("IF(TRIM(AU1066)="""","""",AU1066/INDEX(FILTER(AT$3:AT1066,TRIM(AT$3:AT1066)&lt;&gt;""""),ROWS(FILTER(AT$3:AT1066,TRIM(AT$3:AT1066)&lt;&gt;"""")))-1)"),"")</f>
        <v/>
      </c>
      <c r="AW1066" s="65" t="e">
        <f t="shared" ca="1" si="178"/>
        <v>#VALUE!</v>
      </c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</row>
    <row r="1067" spans="1:68" ht="19" x14ac:dyDescent="0.25">
      <c r="A1067" s="5"/>
      <c r="B1067" s="5"/>
      <c r="C1067" s="5"/>
      <c r="D1067" s="5"/>
      <c r="E1067" s="5"/>
      <c r="F1067" s="5"/>
      <c r="G1067" s="5"/>
      <c r="H1067" s="6"/>
      <c r="I1067" s="5"/>
      <c r="J1067" s="88"/>
      <c r="K1067" s="88"/>
      <c r="L1067" s="88"/>
      <c r="M1067" s="88"/>
      <c r="N1067" s="88"/>
      <c r="O1067" s="88"/>
      <c r="P1067" s="88"/>
      <c r="Q1067" s="89"/>
      <c r="R1067" s="88"/>
      <c r="S1067" s="88"/>
      <c r="T1067" s="90"/>
      <c r="U1067" s="6"/>
      <c r="V1067" s="44">
        <v>45467</v>
      </c>
      <c r="W1067" s="45">
        <v>175.01</v>
      </c>
      <c r="X1067" s="91"/>
      <c r="Y1067" s="77"/>
      <c r="Z1067" s="5"/>
      <c r="AA1067" s="5"/>
      <c r="AB1067" s="5"/>
      <c r="AC1067" s="5"/>
      <c r="AD1067" s="5"/>
      <c r="AE1067" s="5"/>
      <c r="AF1067" s="5"/>
      <c r="AG1067" s="5"/>
      <c r="AH1067" s="6"/>
      <c r="AI1067" s="44">
        <v>45467</v>
      </c>
      <c r="AJ1067" s="53">
        <v>175.01</v>
      </c>
      <c r="AK1067" s="54">
        <f t="shared" si="176"/>
        <v>1.4786037341992353E-2</v>
      </c>
      <c r="AL1067" s="55">
        <f t="shared" si="179"/>
        <v>17.549060689544195</v>
      </c>
      <c r="AM1067" s="56">
        <v>25</v>
      </c>
      <c r="AN1067" s="57">
        <f t="shared" si="177"/>
        <v>7.450939310455805</v>
      </c>
      <c r="AO1067" s="76">
        <f t="shared" si="180"/>
        <v>13.681767796598464</v>
      </c>
      <c r="AP1067" s="63" t="str">
        <f t="shared" si="181"/>
        <v>Buy Stocks</v>
      </c>
      <c r="AQ1067" s="63" t="str">
        <f t="shared" si="182"/>
        <v/>
      </c>
      <c r="AR1067" s="63" t="str">
        <f t="shared" si="183"/>
        <v/>
      </c>
      <c r="AS1067" s="63" t="str">
        <f t="shared" si="184"/>
        <v/>
      </c>
      <c r="AT1067" s="78" t="str">
        <f t="shared" si="185"/>
        <v/>
      </c>
      <c r="AU1067" s="78" t="str">
        <f t="shared" si="186"/>
        <v/>
      </c>
      <c r="AV1067" s="64" t="str">
        <f ca="1">IFERROR(__xludf.DUMMYFUNCTION("IF(TRIM(AU1067)="""","""",AU1067/INDEX(FILTER(AT$3:AT1067,TRIM(AT$3:AT1067)&lt;&gt;""""),ROWS(FILTER(AT$3:AT1067,TRIM(AT$3:AT1067)&lt;&gt;"""")))-1)"),"")</f>
        <v/>
      </c>
      <c r="AW1067" s="65" t="e">
        <f t="shared" ca="1" si="178"/>
        <v>#VALUE!</v>
      </c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</row>
    <row r="1068" spans="1:68" ht="19" x14ac:dyDescent="0.25">
      <c r="A1068" s="5"/>
      <c r="B1068" s="5"/>
      <c r="C1068" s="5"/>
      <c r="D1068" s="5"/>
      <c r="E1068" s="5"/>
      <c r="F1068" s="5"/>
      <c r="G1068" s="5"/>
      <c r="H1068" s="6"/>
      <c r="I1068" s="5"/>
      <c r="J1068" s="88"/>
      <c r="K1068" s="88"/>
      <c r="L1068" s="88"/>
      <c r="M1068" s="88"/>
      <c r="N1068" s="88"/>
      <c r="O1068" s="88"/>
      <c r="P1068" s="88"/>
      <c r="Q1068" s="89"/>
      <c r="R1068" s="88"/>
      <c r="S1068" s="88"/>
      <c r="T1068" s="90"/>
      <c r="U1068" s="6"/>
      <c r="V1068" s="44">
        <v>45468</v>
      </c>
      <c r="W1068" s="45">
        <v>172.6</v>
      </c>
      <c r="X1068" s="91"/>
      <c r="Y1068" s="77"/>
      <c r="Z1068" s="5"/>
      <c r="AA1068" s="5"/>
      <c r="AB1068" s="5"/>
      <c r="AC1068" s="5"/>
      <c r="AD1068" s="5"/>
      <c r="AE1068" s="5"/>
      <c r="AF1068" s="5"/>
      <c r="AG1068" s="5"/>
      <c r="AH1068" s="6"/>
      <c r="AI1068" s="44">
        <v>45468</v>
      </c>
      <c r="AJ1068" s="53">
        <v>172.6</v>
      </c>
      <c r="AK1068" s="54">
        <f t="shared" si="176"/>
        <v>-1.3770641677618434E-2</v>
      </c>
      <c r="AL1068" s="55">
        <f t="shared" si="179"/>
        <v>22.984313879107159</v>
      </c>
      <c r="AM1068" s="56">
        <v>25</v>
      </c>
      <c r="AN1068" s="57">
        <f t="shared" si="177"/>
        <v>2.0156861208928412</v>
      </c>
      <c r="AO1068" s="76">
        <f t="shared" si="180"/>
        <v>10.097479802879828</v>
      </c>
      <c r="AP1068" s="63" t="str">
        <f t="shared" si="181"/>
        <v>Buy Stocks</v>
      </c>
      <c r="AQ1068" s="63" t="str">
        <f t="shared" si="182"/>
        <v/>
      </c>
      <c r="AR1068" s="63" t="str">
        <f t="shared" si="183"/>
        <v/>
      </c>
      <c r="AS1068" s="63" t="str">
        <f t="shared" si="184"/>
        <v/>
      </c>
      <c r="AT1068" s="78" t="str">
        <f t="shared" si="185"/>
        <v/>
      </c>
      <c r="AU1068" s="78" t="str">
        <f t="shared" si="186"/>
        <v/>
      </c>
      <c r="AV1068" s="64" t="str">
        <f ca="1">IFERROR(__xludf.DUMMYFUNCTION("IF(TRIM(AU1068)="""","""",AU1068/INDEX(FILTER(AT$3:AT1068,TRIM(AT$3:AT1068)&lt;&gt;""""),ROWS(FILTER(AT$3:AT1068,TRIM(AT$3:AT1068)&lt;&gt;"""")))-1)"),"")</f>
        <v/>
      </c>
      <c r="AW1068" s="65" t="e">
        <f t="shared" ca="1" si="178"/>
        <v>#VALUE!</v>
      </c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</row>
    <row r="1069" spans="1:68" ht="19" x14ac:dyDescent="0.25">
      <c r="A1069" s="5"/>
      <c r="B1069" s="5"/>
      <c r="C1069" s="5"/>
      <c r="D1069" s="5"/>
      <c r="E1069" s="5"/>
      <c r="F1069" s="5"/>
      <c r="G1069" s="5"/>
      <c r="H1069" s="6"/>
      <c r="I1069" s="5"/>
      <c r="J1069" s="88"/>
      <c r="K1069" s="88"/>
      <c r="L1069" s="88"/>
      <c r="M1069" s="88"/>
      <c r="N1069" s="88"/>
      <c r="O1069" s="88"/>
      <c r="P1069" s="88"/>
      <c r="Q1069" s="89"/>
      <c r="R1069" s="88"/>
      <c r="S1069" s="88"/>
      <c r="T1069" s="90"/>
      <c r="U1069" s="6"/>
      <c r="V1069" s="44">
        <v>45469</v>
      </c>
      <c r="W1069" s="45">
        <v>171.87</v>
      </c>
      <c r="X1069" s="91"/>
      <c r="Y1069" s="77"/>
      <c r="Z1069" s="5"/>
      <c r="AA1069" s="5"/>
      <c r="AB1069" s="5"/>
      <c r="AC1069" s="5"/>
      <c r="AD1069" s="5"/>
      <c r="AE1069" s="5"/>
      <c r="AF1069" s="5"/>
      <c r="AG1069" s="5"/>
      <c r="AH1069" s="6"/>
      <c r="AI1069" s="44">
        <v>45469</v>
      </c>
      <c r="AJ1069" s="53">
        <v>171.87</v>
      </c>
      <c r="AK1069" s="54">
        <f t="shared" si="176"/>
        <v>-4.2294322132097051E-3</v>
      </c>
      <c r="AL1069" s="55">
        <f t="shared" si="179"/>
        <v>23.462210663646157</v>
      </c>
      <c r="AM1069" s="56">
        <v>25</v>
      </c>
      <c r="AN1069" s="57">
        <f t="shared" si="177"/>
        <v>1.5377893363538426</v>
      </c>
      <c r="AO1069" s="76">
        <f t="shared" si="180"/>
        <v>6.3458835277474019</v>
      </c>
      <c r="AP1069" s="63" t="str">
        <f t="shared" si="181"/>
        <v>Buy Stocks</v>
      </c>
      <c r="AQ1069" s="63" t="str">
        <f t="shared" si="182"/>
        <v/>
      </c>
      <c r="AR1069" s="63" t="str">
        <f t="shared" si="183"/>
        <v/>
      </c>
      <c r="AS1069" s="63" t="str">
        <f t="shared" si="184"/>
        <v/>
      </c>
      <c r="AT1069" s="78" t="str">
        <f t="shared" si="185"/>
        <v/>
      </c>
      <c r="AU1069" s="78" t="str">
        <f t="shared" si="186"/>
        <v/>
      </c>
      <c r="AV1069" s="64" t="str">
        <f ca="1">IFERROR(__xludf.DUMMYFUNCTION("IF(TRIM(AU1069)="""","""",AU1069/INDEX(FILTER(AT$3:AT1069,TRIM(AT$3:AT1069)&lt;&gt;""""),ROWS(FILTER(AT$3:AT1069,TRIM(AT$3:AT1069)&lt;&gt;"""")))-1)"),"")</f>
        <v/>
      </c>
      <c r="AW1069" s="65" t="e">
        <f t="shared" ca="1" si="178"/>
        <v>#VALUE!</v>
      </c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</row>
    <row r="1070" spans="1:68" ht="19" x14ac:dyDescent="0.25">
      <c r="A1070" s="5"/>
      <c r="B1070" s="5"/>
      <c r="C1070" s="5"/>
      <c r="D1070" s="5"/>
      <c r="E1070" s="5"/>
      <c r="F1070" s="5"/>
      <c r="G1070" s="5"/>
      <c r="H1070" s="6"/>
      <c r="I1070" s="5"/>
      <c r="J1070" s="88"/>
      <c r="K1070" s="88"/>
      <c r="L1070" s="88"/>
      <c r="M1070" s="88"/>
      <c r="N1070" s="88"/>
      <c r="O1070" s="88"/>
      <c r="P1070" s="88"/>
      <c r="Q1070" s="89"/>
      <c r="R1070" s="88"/>
      <c r="S1070" s="88"/>
      <c r="T1070" s="90"/>
      <c r="U1070" s="6"/>
      <c r="V1070" s="44">
        <v>45470</v>
      </c>
      <c r="W1070" s="45">
        <v>170.85</v>
      </c>
      <c r="X1070" s="91"/>
      <c r="Y1070" s="77"/>
      <c r="Z1070" s="5"/>
      <c r="AA1070" s="5"/>
      <c r="AB1070" s="5"/>
      <c r="AC1070" s="5"/>
      <c r="AD1070" s="5"/>
      <c r="AE1070" s="5"/>
      <c r="AF1070" s="5"/>
      <c r="AG1070" s="5"/>
      <c r="AH1070" s="6"/>
      <c r="AI1070" s="44">
        <v>45470</v>
      </c>
      <c r="AJ1070" s="53">
        <v>170.85</v>
      </c>
      <c r="AK1070" s="54">
        <f t="shared" si="176"/>
        <v>-5.9347181008903016E-3</v>
      </c>
      <c r="AL1070" s="55">
        <f t="shared" si="179"/>
        <v>17.212727606729565</v>
      </c>
      <c r="AM1070" s="56">
        <v>25</v>
      </c>
      <c r="AN1070" s="57">
        <f t="shared" si="177"/>
        <v>7.7872723932704346</v>
      </c>
      <c r="AO1070" s="76">
        <f t="shared" si="180"/>
        <v>5.4893672436647583</v>
      </c>
      <c r="AP1070" s="63" t="str">
        <f t="shared" si="181"/>
        <v>Buy Stocks</v>
      </c>
      <c r="AQ1070" s="63" t="str">
        <f t="shared" si="182"/>
        <v/>
      </c>
      <c r="AR1070" s="63" t="str">
        <f t="shared" si="183"/>
        <v/>
      </c>
      <c r="AS1070" s="63" t="str">
        <f t="shared" si="184"/>
        <v/>
      </c>
      <c r="AT1070" s="78" t="str">
        <f t="shared" si="185"/>
        <v/>
      </c>
      <c r="AU1070" s="78" t="str">
        <f t="shared" si="186"/>
        <v/>
      </c>
      <c r="AV1070" s="64" t="str">
        <f ca="1">IFERROR(__xludf.DUMMYFUNCTION("IF(TRIM(AU1070)="""","""",AU1070/INDEX(FILTER(AT$3:AT1070,TRIM(AT$3:AT1070)&lt;&gt;""""),ROWS(FILTER(AT$3:AT1070,TRIM(AT$3:AT1070)&lt;&gt;"""")))-1)"),"")</f>
        <v/>
      </c>
      <c r="AW1070" s="65" t="e">
        <f t="shared" ca="1" si="178"/>
        <v>#VALUE!</v>
      </c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</row>
    <row r="1071" spans="1:68" ht="19" x14ac:dyDescent="0.25">
      <c r="A1071" s="5"/>
      <c r="B1071" s="5"/>
      <c r="C1071" s="5"/>
      <c r="D1071" s="5"/>
      <c r="E1071" s="5"/>
      <c r="F1071" s="5"/>
      <c r="G1071" s="5"/>
      <c r="H1071" s="6"/>
      <c r="I1071" s="5"/>
      <c r="J1071" s="88"/>
      <c r="K1071" s="88"/>
      <c r="L1071" s="88"/>
      <c r="M1071" s="88"/>
      <c r="N1071" s="88"/>
      <c r="O1071" s="88"/>
      <c r="P1071" s="88"/>
      <c r="Q1071" s="89"/>
      <c r="R1071" s="88"/>
      <c r="S1071" s="88"/>
      <c r="T1071" s="90"/>
      <c r="U1071" s="6"/>
      <c r="V1071" s="44">
        <v>45471</v>
      </c>
      <c r="W1071" s="45">
        <v>172.95</v>
      </c>
      <c r="X1071" s="91"/>
      <c r="Y1071" s="77"/>
      <c r="Z1071" s="5"/>
      <c r="AA1071" s="5"/>
      <c r="AB1071" s="5"/>
      <c r="AC1071" s="5"/>
      <c r="AD1071" s="5"/>
      <c r="AE1071" s="5"/>
      <c r="AF1071" s="5"/>
      <c r="AG1071" s="5"/>
      <c r="AH1071" s="6"/>
      <c r="AI1071" s="44">
        <v>45471</v>
      </c>
      <c r="AJ1071" s="53">
        <v>172.95</v>
      </c>
      <c r="AK1071" s="54">
        <f t="shared" si="176"/>
        <v>1.2291483757682187E-2</v>
      </c>
      <c r="AL1071" s="55">
        <f t="shared" si="179"/>
        <v>19.611148700538671</v>
      </c>
      <c r="AM1071" s="56">
        <v>25</v>
      </c>
      <c r="AN1071" s="57">
        <f t="shared" si="177"/>
        <v>5.3888512994613293</v>
      </c>
      <c r="AO1071" s="76">
        <f t="shared" si="180"/>
        <v>4.8361076920868502</v>
      </c>
      <c r="AP1071" s="63" t="str">
        <f t="shared" si="181"/>
        <v>Buy Stocks</v>
      </c>
      <c r="AQ1071" s="63" t="str">
        <f t="shared" si="182"/>
        <v/>
      </c>
      <c r="AR1071" s="63" t="str">
        <f t="shared" si="183"/>
        <v/>
      </c>
      <c r="AS1071" s="63" t="str">
        <f t="shared" si="184"/>
        <v/>
      </c>
      <c r="AT1071" s="78" t="str">
        <f t="shared" si="185"/>
        <v/>
      </c>
      <c r="AU1071" s="78" t="str">
        <f t="shared" si="186"/>
        <v/>
      </c>
      <c r="AV1071" s="64" t="str">
        <f ca="1">IFERROR(__xludf.DUMMYFUNCTION("IF(TRIM(AU1071)="""","""",AU1071/INDEX(FILTER(AT$3:AT1071,TRIM(AT$3:AT1071)&lt;&gt;""""),ROWS(FILTER(AT$3:AT1071,TRIM(AT$3:AT1071)&lt;&gt;"""")))-1)"),"")</f>
        <v/>
      </c>
      <c r="AW1071" s="65" t="e">
        <f t="shared" ca="1" si="178"/>
        <v>#VALUE!</v>
      </c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</row>
    <row r="1072" spans="1:68" ht="19" x14ac:dyDescent="0.25">
      <c r="A1072" s="5"/>
      <c r="B1072" s="5"/>
      <c r="C1072" s="5"/>
      <c r="D1072" s="5"/>
      <c r="E1072" s="5"/>
      <c r="F1072" s="5"/>
      <c r="G1072" s="5"/>
      <c r="H1072" s="6"/>
      <c r="I1072" s="5"/>
      <c r="J1072" s="88"/>
      <c r="K1072" s="88"/>
      <c r="L1072" s="88"/>
      <c r="M1072" s="88"/>
      <c r="N1072" s="88"/>
      <c r="O1072" s="88"/>
      <c r="P1072" s="88"/>
      <c r="Q1072" s="89"/>
      <c r="R1072" s="88"/>
      <c r="S1072" s="88"/>
      <c r="T1072" s="90"/>
      <c r="U1072" s="6"/>
      <c r="V1072" s="44">
        <v>45474</v>
      </c>
      <c r="W1072" s="45">
        <v>175.1</v>
      </c>
      <c r="X1072" s="91"/>
      <c r="Y1072" s="77"/>
      <c r="Z1072" s="5"/>
      <c r="AA1072" s="5"/>
      <c r="AB1072" s="5"/>
      <c r="AC1072" s="5"/>
      <c r="AD1072" s="5"/>
      <c r="AE1072" s="5"/>
      <c r="AF1072" s="5"/>
      <c r="AG1072" s="5"/>
      <c r="AH1072" s="6"/>
      <c r="AI1072" s="44">
        <v>45474</v>
      </c>
      <c r="AJ1072" s="53">
        <v>175.1</v>
      </c>
      <c r="AK1072" s="54">
        <f t="shared" si="176"/>
        <v>1.2431338537149506E-2</v>
      </c>
      <c r="AL1072" s="55">
        <f t="shared" si="179"/>
        <v>18.584603392978192</v>
      </c>
      <c r="AM1072" s="56">
        <v>25</v>
      </c>
      <c r="AN1072" s="57">
        <f t="shared" si="177"/>
        <v>6.4153966070218083</v>
      </c>
      <c r="AO1072" s="76">
        <f t="shared" si="180"/>
        <v>4.628999151400051</v>
      </c>
      <c r="AP1072" s="63" t="str">
        <f t="shared" si="181"/>
        <v>Buy Stocks</v>
      </c>
      <c r="AQ1072" s="63" t="str">
        <f t="shared" si="182"/>
        <v/>
      </c>
      <c r="AR1072" s="63" t="str">
        <f t="shared" si="183"/>
        <v/>
      </c>
      <c r="AS1072" s="63" t="str">
        <f t="shared" si="184"/>
        <v/>
      </c>
      <c r="AT1072" s="78" t="str">
        <f t="shared" si="185"/>
        <v/>
      </c>
      <c r="AU1072" s="78" t="str">
        <f t="shared" si="186"/>
        <v/>
      </c>
      <c r="AV1072" s="64" t="str">
        <f ca="1">IFERROR(__xludf.DUMMYFUNCTION("IF(TRIM(AU1072)="""","""",AU1072/INDEX(FILTER(AT$3:AT1072,TRIM(AT$3:AT1072)&lt;&gt;""""),ROWS(FILTER(AT$3:AT1072,TRIM(AT$3:AT1072)&lt;&gt;"""")))-1)"),"")</f>
        <v/>
      </c>
      <c r="AW1072" s="65" t="e">
        <f t="shared" ca="1" si="178"/>
        <v>#VALUE!</v>
      </c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</row>
    <row r="1073" spans="1:68" ht="19" x14ac:dyDescent="0.25">
      <c r="A1073" s="5"/>
      <c r="B1073" s="5"/>
      <c r="C1073" s="5"/>
      <c r="D1073" s="5"/>
      <c r="E1073" s="5"/>
      <c r="F1073" s="5"/>
      <c r="G1073" s="5"/>
      <c r="H1073" s="6"/>
      <c r="I1073" s="5"/>
      <c r="J1073" s="88"/>
      <c r="K1073" s="88"/>
      <c r="L1073" s="88"/>
      <c r="M1073" s="88"/>
      <c r="N1073" s="88"/>
      <c r="O1073" s="88"/>
      <c r="P1073" s="88"/>
      <c r="Q1073" s="89"/>
      <c r="R1073" s="88"/>
      <c r="S1073" s="88"/>
      <c r="T1073" s="90"/>
      <c r="U1073" s="6"/>
      <c r="V1073" s="44">
        <v>45475</v>
      </c>
      <c r="W1073" s="45">
        <v>177.3</v>
      </c>
      <c r="X1073" s="91"/>
      <c r="Y1073" s="77"/>
      <c r="Z1073" s="5"/>
      <c r="AA1073" s="5"/>
      <c r="AB1073" s="5"/>
      <c r="AC1073" s="5"/>
      <c r="AD1073" s="5"/>
      <c r="AE1073" s="5"/>
      <c r="AF1073" s="5"/>
      <c r="AG1073" s="5"/>
      <c r="AH1073" s="6"/>
      <c r="AI1073" s="44">
        <v>45475</v>
      </c>
      <c r="AJ1073" s="53">
        <v>177.3</v>
      </c>
      <c r="AK1073" s="54">
        <f t="shared" si="176"/>
        <v>1.2564249000571293E-2</v>
      </c>
      <c r="AL1073" s="55">
        <f t="shared" si="179"/>
        <v>15.256416090832781</v>
      </c>
      <c r="AM1073" s="56">
        <v>25</v>
      </c>
      <c r="AN1073" s="57">
        <f t="shared" si="177"/>
        <v>9.7435839091672189</v>
      </c>
      <c r="AO1073" s="76">
        <f t="shared" si="180"/>
        <v>6.1745787090549271</v>
      </c>
      <c r="AP1073" s="63" t="str">
        <f t="shared" si="181"/>
        <v>Buy Stocks</v>
      </c>
      <c r="AQ1073" s="63" t="str">
        <f t="shared" si="182"/>
        <v/>
      </c>
      <c r="AR1073" s="63" t="str">
        <f t="shared" si="183"/>
        <v/>
      </c>
      <c r="AS1073" s="63" t="str">
        <f t="shared" si="184"/>
        <v/>
      </c>
      <c r="AT1073" s="78" t="str">
        <f t="shared" si="185"/>
        <v/>
      </c>
      <c r="AU1073" s="78" t="str">
        <f t="shared" si="186"/>
        <v/>
      </c>
      <c r="AV1073" s="64" t="str">
        <f ca="1">IFERROR(__xludf.DUMMYFUNCTION("IF(TRIM(AU1073)="""","""",AU1073/INDEX(FILTER(AT$3:AT1073,TRIM(AT$3:AT1073)&lt;&gt;""""),ROWS(FILTER(AT$3:AT1073,TRIM(AT$3:AT1073)&lt;&gt;"""")))-1)"),"")</f>
        <v/>
      </c>
      <c r="AW1073" s="65" t="e">
        <f t="shared" ca="1" si="178"/>
        <v>#VALUE!</v>
      </c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</row>
    <row r="1074" spans="1:68" ht="19" x14ac:dyDescent="0.25">
      <c r="A1074" s="5"/>
      <c r="B1074" s="5"/>
      <c r="C1074" s="5"/>
      <c r="D1074" s="5"/>
      <c r="E1074" s="5"/>
      <c r="F1074" s="5"/>
      <c r="G1074" s="5"/>
      <c r="H1074" s="6"/>
      <c r="I1074" s="5"/>
      <c r="J1074" s="88"/>
      <c r="K1074" s="88"/>
      <c r="L1074" s="88"/>
      <c r="M1074" s="88"/>
      <c r="N1074" s="88"/>
      <c r="O1074" s="88"/>
      <c r="P1074" s="88"/>
      <c r="Q1074" s="89"/>
      <c r="R1074" s="88"/>
      <c r="S1074" s="88"/>
      <c r="T1074" s="90"/>
      <c r="U1074" s="6"/>
      <c r="V1074" s="87">
        <v>45476</v>
      </c>
      <c r="W1074" s="45">
        <v>175.73</v>
      </c>
      <c r="X1074" s="91"/>
      <c r="Y1074" s="77"/>
      <c r="Z1074" s="5"/>
      <c r="AA1074" s="5"/>
      <c r="AB1074" s="5"/>
      <c r="AC1074" s="5"/>
      <c r="AD1074" s="5"/>
      <c r="AE1074" s="5"/>
      <c r="AF1074" s="5"/>
      <c r="AG1074" s="5"/>
      <c r="AH1074" s="6"/>
      <c r="AI1074" s="87">
        <v>45476</v>
      </c>
      <c r="AJ1074" s="53">
        <v>175.73</v>
      </c>
      <c r="AK1074" s="54">
        <f t="shared" si="176"/>
        <v>-8.8550479413425087E-3</v>
      </c>
      <c r="AL1074" s="55">
        <f t="shared" si="179"/>
        <v>17.314971788391947</v>
      </c>
      <c r="AM1074" s="56">
        <v>25</v>
      </c>
      <c r="AN1074" s="57">
        <f t="shared" si="177"/>
        <v>7.6850282116080528</v>
      </c>
      <c r="AO1074" s="76">
        <f t="shared" si="180"/>
        <v>7.4040264841057679</v>
      </c>
      <c r="AP1074" s="63" t="str">
        <f t="shared" si="181"/>
        <v>Buy Stocks</v>
      </c>
      <c r="AQ1074" s="63" t="str">
        <f t="shared" si="182"/>
        <v/>
      </c>
      <c r="AR1074" s="63" t="str">
        <f t="shared" si="183"/>
        <v/>
      </c>
      <c r="AS1074" s="63" t="str">
        <f t="shared" si="184"/>
        <v/>
      </c>
      <c r="AT1074" s="78" t="str">
        <f t="shared" si="185"/>
        <v/>
      </c>
      <c r="AU1074" s="78" t="str">
        <f t="shared" si="186"/>
        <v/>
      </c>
      <c r="AV1074" s="64" t="str">
        <f ca="1">IFERROR(__xludf.DUMMYFUNCTION("IF(TRIM(AU1074)="""","""",AU1074/INDEX(FILTER(AT$3:AT1074,TRIM(AT$3:AT1074)&lt;&gt;""""),ROWS(FILTER(AT$3:AT1074,TRIM(AT$3:AT1074)&lt;&gt;"""")))-1)"),"")</f>
        <v/>
      </c>
      <c r="AW1074" s="65" t="e">
        <f t="shared" ca="1" si="178"/>
        <v>#VALUE!</v>
      </c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</row>
    <row r="1075" spans="1:68" ht="19" x14ac:dyDescent="0.25">
      <c r="A1075" s="5"/>
      <c r="B1075" s="5"/>
      <c r="C1075" s="5"/>
      <c r="D1075" s="5"/>
      <c r="E1075" s="5"/>
      <c r="F1075" s="5"/>
      <c r="G1075" s="5"/>
      <c r="H1075" s="6"/>
      <c r="I1075" s="5"/>
      <c r="J1075" s="88"/>
      <c r="K1075" s="88"/>
      <c r="L1075" s="88"/>
      <c r="M1075" s="88"/>
      <c r="N1075" s="88"/>
      <c r="O1075" s="88"/>
      <c r="P1075" s="88"/>
      <c r="Q1075" s="89"/>
      <c r="R1075" s="88"/>
      <c r="S1075" s="88"/>
      <c r="T1075" s="90"/>
      <c r="U1075" s="6"/>
      <c r="V1075" s="87">
        <v>45478</v>
      </c>
      <c r="W1075" s="45">
        <v>176.02</v>
      </c>
      <c r="X1075" s="91"/>
      <c r="Y1075" s="77"/>
      <c r="Z1075" s="5"/>
      <c r="AA1075" s="5"/>
      <c r="AB1075" s="5"/>
      <c r="AC1075" s="5"/>
      <c r="AD1075" s="5"/>
      <c r="AE1075" s="5"/>
      <c r="AF1075" s="5"/>
      <c r="AG1075" s="5"/>
      <c r="AH1075" s="6"/>
      <c r="AI1075" s="87">
        <v>45478</v>
      </c>
      <c r="AJ1075" s="53">
        <v>176.02</v>
      </c>
      <c r="AK1075" s="54">
        <f t="shared" si="176"/>
        <v>1.6502589199340889E-3</v>
      </c>
      <c r="AL1075" s="55">
        <f t="shared" si="179"/>
        <v>15.135525173622181</v>
      </c>
      <c r="AM1075" s="56">
        <v>25</v>
      </c>
      <c r="AN1075" s="57">
        <f t="shared" si="177"/>
        <v>9.864474826377819</v>
      </c>
      <c r="AO1075" s="76">
        <f t="shared" si="180"/>
        <v>7.8194669707272455</v>
      </c>
      <c r="AP1075" s="63" t="str">
        <f t="shared" si="181"/>
        <v>Buy Stocks</v>
      </c>
      <c r="AQ1075" s="63" t="str">
        <f t="shared" si="182"/>
        <v/>
      </c>
      <c r="AR1075" s="63" t="str">
        <f t="shared" si="183"/>
        <v/>
      </c>
      <c r="AS1075" s="63" t="str">
        <f t="shared" si="184"/>
        <v/>
      </c>
      <c r="AT1075" s="78" t="str">
        <f t="shared" si="185"/>
        <v/>
      </c>
      <c r="AU1075" s="78" t="str">
        <f t="shared" si="186"/>
        <v/>
      </c>
      <c r="AV1075" s="64" t="str">
        <f ca="1">IFERROR(__xludf.DUMMYFUNCTION("IF(TRIM(AU1075)="""","""",AU1075/INDEX(FILTER(AT$3:AT1075,TRIM(AT$3:AT1075)&lt;&gt;""""),ROWS(FILTER(AT$3:AT1075,TRIM(AT$3:AT1075)&lt;&gt;"""")))-1)"),"")</f>
        <v/>
      </c>
      <c r="AW1075" s="65" t="e">
        <f t="shared" ca="1" si="178"/>
        <v>#VALUE!</v>
      </c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</row>
    <row r="1076" spans="1:68" ht="19" x14ac:dyDescent="0.25">
      <c r="A1076" s="5"/>
      <c r="B1076" s="5"/>
      <c r="C1076" s="5"/>
      <c r="D1076" s="5"/>
      <c r="E1076" s="5"/>
      <c r="F1076" s="5"/>
      <c r="G1076" s="5"/>
      <c r="H1076" s="6"/>
      <c r="I1076" s="5"/>
      <c r="J1076" s="88"/>
      <c r="K1076" s="88"/>
      <c r="L1076" s="88"/>
      <c r="M1076" s="88"/>
      <c r="N1076" s="88"/>
      <c r="O1076" s="88"/>
      <c r="P1076" s="88"/>
      <c r="Q1076" s="89"/>
      <c r="R1076" s="88"/>
      <c r="S1076" s="88"/>
      <c r="T1076" s="90"/>
      <c r="U1076" s="6"/>
      <c r="V1076" s="87">
        <v>45481</v>
      </c>
      <c r="W1076" s="45">
        <v>177.64</v>
      </c>
      <c r="X1076" s="91"/>
      <c r="Y1076" s="77"/>
      <c r="Z1076" s="5"/>
      <c r="AA1076" s="5"/>
      <c r="AB1076" s="5"/>
      <c r="AC1076" s="5"/>
      <c r="AD1076" s="5"/>
      <c r="AE1076" s="5"/>
      <c r="AF1076" s="5"/>
      <c r="AG1076" s="5"/>
      <c r="AH1076" s="6"/>
      <c r="AI1076" s="87">
        <v>45481</v>
      </c>
      <c r="AJ1076" s="53">
        <v>177.64</v>
      </c>
      <c r="AK1076" s="54">
        <f t="shared" si="176"/>
        <v>9.2034996023178106E-3</v>
      </c>
      <c r="AL1076" s="55">
        <f t="shared" si="179"/>
        <v>14.473245488891934</v>
      </c>
      <c r="AM1076" s="56">
        <v>25</v>
      </c>
      <c r="AN1076" s="57">
        <f t="shared" si="177"/>
        <v>10.526754511108066</v>
      </c>
      <c r="AO1076" s="76">
        <f t="shared" si="180"/>
        <v>8.847047613056592</v>
      </c>
      <c r="AP1076" s="63" t="str">
        <f t="shared" si="181"/>
        <v>Buy Stocks</v>
      </c>
      <c r="AQ1076" s="63" t="str">
        <f t="shared" si="182"/>
        <v/>
      </c>
      <c r="AR1076" s="63" t="str">
        <f t="shared" si="183"/>
        <v/>
      </c>
      <c r="AS1076" s="63" t="str">
        <f t="shared" si="184"/>
        <v/>
      </c>
      <c r="AT1076" s="78" t="str">
        <f t="shared" si="185"/>
        <v/>
      </c>
      <c r="AU1076" s="78" t="str">
        <f t="shared" si="186"/>
        <v/>
      </c>
      <c r="AV1076" s="64" t="str">
        <f ca="1">IFERROR(__xludf.DUMMYFUNCTION("IF(TRIM(AU1076)="""","""",AU1076/INDEX(FILTER(AT$3:AT1076,TRIM(AT$3:AT1076)&lt;&gt;""""),ROWS(FILTER(AT$3:AT1076,TRIM(AT$3:AT1076)&lt;&gt;"""")))-1)"),"")</f>
        <v/>
      </c>
      <c r="AW1076" s="65" t="e">
        <f t="shared" ca="1" si="178"/>
        <v>#VALUE!</v>
      </c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</row>
    <row r="1077" spans="1:68" ht="19" x14ac:dyDescent="0.25">
      <c r="A1077" s="5"/>
      <c r="B1077" s="5"/>
      <c r="C1077" s="5"/>
      <c r="D1077" s="5"/>
      <c r="E1077" s="5"/>
      <c r="F1077" s="5"/>
      <c r="G1077" s="5"/>
      <c r="H1077" s="6"/>
      <c r="I1077" s="5"/>
      <c r="J1077" s="88"/>
      <c r="K1077" s="88"/>
      <c r="L1077" s="88"/>
      <c r="M1077" s="88"/>
      <c r="N1077" s="88"/>
      <c r="O1077" s="88"/>
      <c r="P1077" s="88"/>
      <c r="Q1077" s="89"/>
      <c r="R1077" s="88"/>
      <c r="S1077" s="88"/>
      <c r="T1077" s="90"/>
      <c r="U1077" s="6"/>
      <c r="V1077" s="87">
        <v>45482</v>
      </c>
      <c r="W1077" s="45">
        <v>176.48</v>
      </c>
      <c r="X1077" s="91"/>
      <c r="Y1077" s="77"/>
      <c r="Z1077" s="5"/>
      <c r="AA1077" s="5"/>
      <c r="AB1077" s="5"/>
      <c r="AC1077" s="5"/>
      <c r="AD1077" s="5"/>
      <c r="AE1077" s="5"/>
      <c r="AF1077" s="5"/>
      <c r="AG1077" s="5"/>
      <c r="AH1077" s="6"/>
      <c r="AI1077" s="87">
        <v>45482</v>
      </c>
      <c r="AJ1077" s="53">
        <v>176.48</v>
      </c>
      <c r="AK1077" s="54">
        <f t="shared" si="176"/>
        <v>-6.5300607971177094E-3</v>
      </c>
      <c r="AL1077" s="55">
        <f t="shared" si="179"/>
        <v>14.921956921042298</v>
      </c>
      <c r="AM1077" s="56">
        <v>25</v>
      </c>
      <c r="AN1077" s="57">
        <f t="shared" si="177"/>
        <v>10.078043078957702</v>
      </c>
      <c r="AO1077" s="76">
        <f t="shared" si="180"/>
        <v>9.5795769074437711</v>
      </c>
      <c r="AP1077" s="63" t="str">
        <f t="shared" si="181"/>
        <v>Buy Stocks</v>
      </c>
      <c r="AQ1077" s="63" t="str">
        <f t="shared" si="182"/>
        <v/>
      </c>
      <c r="AR1077" s="63" t="str">
        <f t="shared" si="183"/>
        <v/>
      </c>
      <c r="AS1077" s="63" t="str">
        <f t="shared" si="184"/>
        <v/>
      </c>
      <c r="AT1077" s="78" t="str">
        <f t="shared" si="185"/>
        <v/>
      </c>
      <c r="AU1077" s="78" t="str">
        <f t="shared" si="186"/>
        <v/>
      </c>
      <c r="AV1077" s="64" t="str">
        <f ca="1">IFERROR(__xludf.DUMMYFUNCTION("IF(TRIM(AU1077)="""","""",AU1077/INDEX(FILTER(AT$3:AT1077,TRIM(AT$3:AT1077)&lt;&gt;""""),ROWS(FILTER(AT$3:AT1077,TRIM(AT$3:AT1077)&lt;&gt;"""")))-1)"),"")</f>
        <v/>
      </c>
      <c r="AW1077" s="65" t="e">
        <f t="shared" ca="1" si="178"/>
        <v>#VALUE!</v>
      </c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</row>
    <row r="1078" spans="1:68" ht="19" x14ac:dyDescent="0.25">
      <c r="A1078" s="5"/>
      <c r="B1078" s="5"/>
      <c r="C1078" s="5"/>
      <c r="D1078" s="5"/>
      <c r="E1078" s="5"/>
      <c r="F1078" s="5"/>
      <c r="G1078" s="5"/>
      <c r="H1078" s="6"/>
      <c r="I1078" s="5"/>
      <c r="J1078" s="88"/>
      <c r="K1078" s="88"/>
      <c r="L1078" s="88"/>
      <c r="M1078" s="88"/>
      <c r="N1078" s="88"/>
      <c r="O1078" s="88"/>
      <c r="P1078" s="88"/>
      <c r="Q1078" s="89"/>
      <c r="R1078" s="88"/>
      <c r="S1078" s="88"/>
      <c r="T1078" s="90"/>
      <c r="U1078" s="6"/>
      <c r="V1078" s="87">
        <v>45483</v>
      </c>
      <c r="W1078" s="45">
        <v>177.84</v>
      </c>
      <c r="X1078" s="91"/>
      <c r="Y1078" s="77"/>
      <c r="Z1078" s="5"/>
      <c r="AA1078" s="5"/>
      <c r="AB1078" s="5"/>
      <c r="AC1078" s="5"/>
      <c r="AD1078" s="5"/>
      <c r="AE1078" s="5"/>
      <c r="AF1078" s="5"/>
      <c r="AG1078" s="5"/>
      <c r="AH1078" s="6"/>
      <c r="AI1078" s="87">
        <v>45483</v>
      </c>
      <c r="AJ1078" s="53">
        <v>177.84</v>
      </c>
      <c r="AK1078" s="54">
        <f t="shared" si="176"/>
        <v>7.7062556663645143E-3</v>
      </c>
      <c r="AL1078" s="55">
        <f t="shared" si="179"/>
        <v>12.941660262351379</v>
      </c>
      <c r="AM1078" s="56">
        <v>25</v>
      </c>
      <c r="AN1078" s="57">
        <f t="shared" si="177"/>
        <v>12.058339737648621</v>
      </c>
      <c r="AO1078" s="76">
        <f t="shared" si="180"/>
        <v>10.042528073140053</v>
      </c>
      <c r="AP1078" s="63" t="str">
        <f t="shared" si="181"/>
        <v>Buy Stocks</v>
      </c>
      <c r="AQ1078" s="63" t="str">
        <f t="shared" si="182"/>
        <v/>
      </c>
      <c r="AR1078" s="63" t="str">
        <f t="shared" si="183"/>
        <v/>
      </c>
      <c r="AS1078" s="63" t="str">
        <f t="shared" si="184"/>
        <v/>
      </c>
      <c r="AT1078" s="78" t="str">
        <f t="shared" si="185"/>
        <v/>
      </c>
      <c r="AU1078" s="78" t="str">
        <f t="shared" si="186"/>
        <v/>
      </c>
      <c r="AV1078" s="64" t="str">
        <f ca="1">IFERROR(__xludf.DUMMYFUNCTION("IF(TRIM(AU1078)="""","""",AU1078/INDEX(FILTER(AT$3:AT1078,TRIM(AT$3:AT1078)&lt;&gt;""""),ROWS(FILTER(AT$3:AT1078,TRIM(AT$3:AT1078)&lt;&gt;"""")))-1)"),"")</f>
        <v/>
      </c>
      <c r="AW1078" s="65" t="e">
        <f t="shared" ca="1" si="178"/>
        <v>#VALUE!</v>
      </c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</row>
    <row r="1079" spans="1:68" ht="19" x14ac:dyDescent="0.25">
      <c r="A1079" s="5"/>
      <c r="B1079" s="5"/>
      <c r="C1079" s="5"/>
      <c r="D1079" s="5"/>
      <c r="E1079" s="5"/>
      <c r="F1079" s="5"/>
      <c r="G1079" s="5"/>
      <c r="H1079" s="6"/>
      <c r="I1079" s="5"/>
      <c r="J1079" s="88"/>
      <c r="K1079" s="88"/>
      <c r="L1079" s="88"/>
      <c r="M1079" s="88"/>
      <c r="N1079" s="88"/>
      <c r="O1079" s="88"/>
      <c r="P1079" s="88"/>
      <c r="Q1079" s="89"/>
      <c r="R1079" s="88"/>
      <c r="S1079" s="88"/>
      <c r="T1079" s="90"/>
      <c r="U1079" s="6"/>
      <c r="V1079" s="87">
        <v>45484</v>
      </c>
      <c r="W1079" s="45">
        <v>178.31</v>
      </c>
      <c r="X1079" s="91"/>
      <c r="Y1079" s="77"/>
      <c r="Z1079" s="5"/>
      <c r="AA1079" s="5"/>
      <c r="AB1079" s="5"/>
      <c r="AC1079" s="5"/>
      <c r="AD1079" s="5"/>
      <c r="AE1079" s="5"/>
      <c r="AF1079" s="5"/>
      <c r="AG1079" s="5"/>
      <c r="AH1079" s="6"/>
      <c r="AI1079" s="87">
        <v>45484</v>
      </c>
      <c r="AJ1079" s="53">
        <v>178.31</v>
      </c>
      <c r="AK1079" s="54">
        <f t="shared" si="176"/>
        <v>2.6428250112460194E-3</v>
      </c>
      <c r="AL1079" s="55">
        <f t="shared" si="179"/>
        <v>9.8300981308790796</v>
      </c>
      <c r="AM1079" s="56">
        <v>25</v>
      </c>
      <c r="AN1079" s="57">
        <f t="shared" si="177"/>
        <v>15.16990186912092</v>
      </c>
      <c r="AO1079" s="76">
        <f t="shared" si="180"/>
        <v>11.539502804642627</v>
      </c>
      <c r="AP1079" s="63" t="str">
        <f t="shared" si="181"/>
        <v>Buy Stocks</v>
      </c>
      <c r="AQ1079" s="63" t="str">
        <f t="shared" si="182"/>
        <v/>
      </c>
      <c r="AR1079" s="63" t="str">
        <f t="shared" si="183"/>
        <v/>
      </c>
      <c r="AS1079" s="63" t="str">
        <f t="shared" si="184"/>
        <v/>
      </c>
      <c r="AT1079" s="78" t="str">
        <f t="shared" si="185"/>
        <v/>
      </c>
      <c r="AU1079" s="78" t="str">
        <f t="shared" si="186"/>
        <v/>
      </c>
      <c r="AV1079" s="64" t="str">
        <f ca="1">IFERROR(__xludf.DUMMYFUNCTION("IF(TRIM(AU1079)="""","""",AU1079/INDEX(FILTER(AT$3:AT1079,TRIM(AT$3:AT1079)&lt;&gt;""""),ROWS(FILTER(AT$3:AT1079,TRIM(AT$3:AT1079)&lt;&gt;"""")))-1)"),"")</f>
        <v/>
      </c>
      <c r="AW1079" s="65" t="e">
        <f t="shared" ca="1" si="178"/>
        <v>#VALUE!</v>
      </c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</row>
    <row r="1080" spans="1:68" ht="19" x14ac:dyDescent="0.25">
      <c r="A1080" s="5"/>
      <c r="B1080" s="5"/>
      <c r="C1080" s="5"/>
      <c r="D1080" s="5"/>
      <c r="E1080" s="5"/>
      <c r="F1080" s="5"/>
      <c r="G1080" s="5"/>
      <c r="H1080" s="6"/>
      <c r="I1080" s="5"/>
      <c r="J1080" s="88"/>
      <c r="K1080" s="88"/>
      <c r="L1080" s="88"/>
      <c r="M1080" s="88"/>
      <c r="N1080" s="88"/>
      <c r="O1080" s="88"/>
      <c r="P1080" s="88"/>
      <c r="Q1080" s="89"/>
      <c r="R1080" s="88"/>
      <c r="S1080" s="88"/>
      <c r="T1080" s="90"/>
      <c r="U1080" s="6"/>
      <c r="V1080" s="87">
        <v>45485</v>
      </c>
      <c r="W1080" s="45">
        <v>182.83</v>
      </c>
      <c r="X1080" s="91"/>
      <c r="Y1080" s="77"/>
      <c r="Z1080" s="5"/>
      <c r="AA1080" s="5"/>
      <c r="AB1080" s="5"/>
      <c r="AC1080" s="5"/>
      <c r="AD1080" s="5"/>
      <c r="AE1080" s="5"/>
      <c r="AF1080" s="5"/>
      <c r="AG1080" s="5"/>
      <c r="AH1080" s="6"/>
      <c r="AI1080" s="87">
        <v>45485</v>
      </c>
      <c r="AJ1080" s="53">
        <v>182.83</v>
      </c>
      <c r="AK1080" s="54">
        <f t="shared" si="176"/>
        <v>2.5349111098648569E-2</v>
      </c>
      <c r="AL1080" s="55">
        <f t="shared" si="179"/>
        <v>18.475533997431466</v>
      </c>
      <c r="AM1080" s="56">
        <v>25</v>
      </c>
      <c r="AN1080" s="57">
        <f t="shared" si="177"/>
        <v>6.5244660025685342</v>
      </c>
      <c r="AO1080" s="76">
        <f t="shared" si="180"/>
        <v>10.871501039880769</v>
      </c>
      <c r="AP1080" s="63" t="str">
        <f t="shared" si="181"/>
        <v>Buy Stocks</v>
      </c>
      <c r="AQ1080" s="63" t="str">
        <f t="shared" si="182"/>
        <v/>
      </c>
      <c r="AR1080" s="63" t="str">
        <f t="shared" si="183"/>
        <v/>
      </c>
      <c r="AS1080" s="63" t="str">
        <f t="shared" si="184"/>
        <v/>
      </c>
      <c r="AT1080" s="78" t="str">
        <f t="shared" si="185"/>
        <v/>
      </c>
      <c r="AU1080" s="78" t="str">
        <f t="shared" si="186"/>
        <v/>
      </c>
      <c r="AV1080" s="64" t="str">
        <f ca="1">IFERROR(__xludf.DUMMYFUNCTION("IF(TRIM(AU1080)="""","""",AU1080/INDEX(FILTER(AT$3:AT1080,TRIM(AT$3:AT1080)&lt;&gt;""""),ROWS(FILTER(AT$3:AT1080,TRIM(AT$3:AT1080)&lt;&gt;"""")))-1)"),"")</f>
        <v/>
      </c>
      <c r="AW1080" s="65" t="e">
        <f t="shared" ca="1" si="178"/>
        <v>#VALUE!</v>
      </c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</row>
    <row r="1081" spans="1:68" ht="19" x14ac:dyDescent="0.25">
      <c r="A1081" s="5"/>
      <c r="B1081" s="5"/>
      <c r="C1081" s="5"/>
      <c r="D1081" s="5"/>
      <c r="E1081" s="5"/>
      <c r="F1081" s="5"/>
      <c r="G1081" s="5"/>
      <c r="H1081" s="6"/>
      <c r="I1081" s="5"/>
      <c r="J1081" s="88"/>
      <c r="K1081" s="88"/>
      <c r="L1081" s="88"/>
      <c r="M1081" s="88"/>
      <c r="N1081" s="88"/>
      <c r="O1081" s="88"/>
      <c r="P1081" s="88"/>
      <c r="Q1081" s="89"/>
      <c r="R1081" s="88"/>
      <c r="S1081" s="88"/>
      <c r="T1081" s="90"/>
      <c r="U1081" s="6"/>
      <c r="V1081" s="87">
        <v>45488</v>
      </c>
      <c r="W1081" s="45">
        <v>182.88</v>
      </c>
      <c r="X1081" s="91"/>
      <c r="Y1081" s="77"/>
      <c r="Z1081" s="5"/>
      <c r="AA1081" s="5"/>
      <c r="AB1081" s="5"/>
      <c r="AC1081" s="5"/>
      <c r="AD1081" s="5"/>
      <c r="AE1081" s="5"/>
      <c r="AF1081" s="5"/>
      <c r="AG1081" s="5"/>
      <c r="AH1081" s="6"/>
      <c r="AI1081" s="87">
        <v>45488</v>
      </c>
      <c r="AJ1081" s="53">
        <v>182.88</v>
      </c>
      <c r="AK1081" s="54">
        <f t="shared" si="176"/>
        <v>2.734780944044779E-4</v>
      </c>
      <c r="AL1081" s="55">
        <f t="shared" si="179"/>
        <v>19.087456195681145</v>
      </c>
      <c r="AM1081" s="56">
        <v>25</v>
      </c>
      <c r="AN1081" s="57">
        <f t="shared" si="177"/>
        <v>5.9125438043188545</v>
      </c>
      <c r="AO1081" s="76">
        <f t="shared" si="180"/>
        <v>9.9486588985229272</v>
      </c>
      <c r="AP1081" s="63" t="str">
        <f t="shared" si="181"/>
        <v>Buy Stocks</v>
      </c>
      <c r="AQ1081" s="63" t="str">
        <f t="shared" si="182"/>
        <v/>
      </c>
      <c r="AR1081" s="63" t="str">
        <f t="shared" si="183"/>
        <v/>
      </c>
      <c r="AS1081" s="63" t="str">
        <f t="shared" si="184"/>
        <v/>
      </c>
      <c r="AT1081" s="78" t="str">
        <f t="shared" si="185"/>
        <v/>
      </c>
      <c r="AU1081" s="78" t="str">
        <f t="shared" si="186"/>
        <v/>
      </c>
      <c r="AV1081" s="64" t="str">
        <f ca="1">IFERROR(__xludf.DUMMYFUNCTION("IF(TRIM(AU1081)="""","""",AU1081/INDEX(FILTER(AT$3:AT1081,TRIM(AT$3:AT1081)&lt;&gt;""""),ROWS(FILTER(AT$3:AT1081,TRIM(AT$3:AT1081)&lt;&gt;"""")))-1)"),"")</f>
        <v/>
      </c>
      <c r="AW1081" s="65" t="e">
        <f t="shared" ca="1" si="178"/>
        <v>#VALUE!</v>
      </c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</row>
    <row r="1082" spans="1:68" ht="19" x14ac:dyDescent="0.25">
      <c r="A1082" s="5"/>
      <c r="B1082" s="5"/>
      <c r="C1082" s="5"/>
      <c r="D1082" s="5"/>
      <c r="E1082" s="5"/>
      <c r="F1082" s="5"/>
      <c r="G1082" s="5"/>
      <c r="H1082" s="6"/>
      <c r="I1082" s="5"/>
      <c r="J1082" s="88"/>
      <c r="K1082" s="88"/>
      <c r="L1082" s="88"/>
      <c r="M1082" s="88"/>
      <c r="N1082" s="88"/>
      <c r="O1082" s="88"/>
      <c r="P1082" s="88"/>
      <c r="Q1082" s="89"/>
      <c r="R1082" s="88"/>
      <c r="S1082" s="88"/>
      <c r="T1082" s="90"/>
      <c r="U1082" s="6"/>
      <c r="V1082" s="87">
        <v>45489</v>
      </c>
      <c r="W1082" s="45">
        <v>185.81</v>
      </c>
      <c r="X1082" s="91"/>
      <c r="Y1082" s="77"/>
      <c r="Z1082" s="5"/>
      <c r="AA1082" s="5"/>
      <c r="AB1082" s="5"/>
      <c r="AC1082" s="5"/>
      <c r="AD1082" s="5"/>
      <c r="AE1082" s="5"/>
      <c r="AF1082" s="5"/>
      <c r="AG1082" s="5"/>
      <c r="AH1082" s="6"/>
      <c r="AI1082" s="87">
        <v>45489</v>
      </c>
      <c r="AJ1082" s="53">
        <v>185.81</v>
      </c>
      <c r="AK1082" s="54">
        <f t="shared" si="176"/>
        <v>1.6021434820647551E-2</v>
      </c>
      <c r="AL1082" s="55">
        <f t="shared" si="179"/>
        <v>16.364086708889243</v>
      </c>
      <c r="AM1082" s="56">
        <v>25</v>
      </c>
      <c r="AN1082" s="57">
        <f t="shared" si="177"/>
        <v>8.6359132911107572</v>
      </c>
      <c r="AO1082" s="76">
        <f t="shared" si="180"/>
        <v>9.6602329409535379</v>
      </c>
      <c r="AP1082" s="63" t="str">
        <f t="shared" si="181"/>
        <v>Buy Stocks</v>
      </c>
      <c r="AQ1082" s="63" t="str">
        <f t="shared" si="182"/>
        <v/>
      </c>
      <c r="AR1082" s="63" t="str">
        <f t="shared" si="183"/>
        <v/>
      </c>
      <c r="AS1082" s="63" t="str">
        <f t="shared" si="184"/>
        <v/>
      </c>
      <c r="AT1082" s="78" t="str">
        <f t="shared" si="185"/>
        <v/>
      </c>
      <c r="AU1082" s="78" t="str">
        <f t="shared" si="186"/>
        <v/>
      </c>
      <c r="AV1082" s="64" t="str">
        <f ca="1">IFERROR(__xludf.DUMMYFUNCTION("IF(TRIM(AU1082)="""","""",AU1082/INDEX(FILTER(AT$3:AT1082,TRIM(AT$3:AT1082)&lt;&gt;""""),ROWS(FILTER(AT$3:AT1082,TRIM(AT$3:AT1082)&lt;&gt;"""")))-1)"),"")</f>
        <v/>
      </c>
      <c r="AW1082" s="65" t="e">
        <f t="shared" ca="1" si="178"/>
        <v>#VALUE!</v>
      </c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</row>
    <row r="1083" spans="1:68" ht="19" x14ac:dyDescent="0.25">
      <c r="A1083" s="5"/>
      <c r="B1083" s="5"/>
      <c r="C1083" s="5"/>
      <c r="D1083" s="5"/>
      <c r="E1083" s="5"/>
      <c r="F1083" s="5"/>
      <c r="G1083" s="5"/>
      <c r="H1083" s="6"/>
      <c r="I1083" s="5"/>
      <c r="J1083" s="88"/>
      <c r="K1083" s="88"/>
      <c r="L1083" s="88"/>
      <c r="M1083" s="88"/>
      <c r="N1083" s="88"/>
      <c r="O1083" s="88"/>
      <c r="P1083" s="88"/>
      <c r="Q1083" s="89"/>
      <c r="R1083" s="88"/>
      <c r="S1083" s="88"/>
      <c r="T1083" s="90"/>
      <c r="U1083" s="6"/>
      <c r="V1083" s="87">
        <v>45490</v>
      </c>
      <c r="W1083" s="45">
        <v>187.45</v>
      </c>
      <c r="X1083" s="91"/>
      <c r="Y1083" s="77"/>
      <c r="Z1083" s="5"/>
      <c r="AA1083" s="5"/>
      <c r="AB1083" s="5"/>
      <c r="AC1083" s="5"/>
      <c r="AD1083" s="5"/>
      <c r="AE1083" s="5"/>
      <c r="AF1083" s="5"/>
      <c r="AG1083" s="5"/>
      <c r="AH1083" s="6"/>
      <c r="AI1083" s="87">
        <v>45490</v>
      </c>
      <c r="AJ1083" s="53">
        <v>187.45</v>
      </c>
      <c r="AK1083" s="54">
        <f t="shared" si="176"/>
        <v>8.8262203325977229E-3</v>
      </c>
      <c r="AL1083" s="55">
        <f t="shared" si="179"/>
        <v>16.267026941642897</v>
      </c>
      <c r="AM1083" s="56">
        <v>25</v>
      </c>
      <c r="AN1083" s="57">
        <f t="shared" si="177"/>
        <v>8.7329730583571035</v>
      </c>
      <c r="AO1083" s="76">
        <f t="shared" si="180"/>
        <v>8.9951596050952336</v>
      </c>
      <c r="AP1083" s="63" t="str">
        <f t="shared" si="181"/>
        <v>Buy Stocks</v>
      </c>
      <c r="AQ1083" s="63" t="str">
        <f t="shared" si="182"/>
        <v/>
      </c>
      <c r="AR1083" s="63" t="str">
        <f t="shared" si="183"/>
        <v/>
      </c>
      <c r="AS1083" s="63" t="str">
        <f t="shared" si="184"/>
        <v/>
      </c>
      <c r="AT1083" s="78" t="str">
        <f t="shared" si="185"/>
        <v/>
      </c>
      <c r="AU1083" s="78" t="str">
        <f t="shared" si="186"/>
        <v/>
      </c>
      <c r="AV1083" s="64" t="str">
        <f ca="1">IFERROR(__xludf.DUMMYFUNCTION("IF(TRIM(AU1083)="""","""",AU1083/INDEX(FILTER(AT$3:AT1083,TRIM(AT$3:AT1083)&lt;&gt;""""),ROWS(FILTER(AT$3:AT1083,TRIM(AT$3:AT1083)&lt;&gt;"""")))-1)"),"")</f>
        <v/>
      </c>
      <c r="AW1083" s="65" t="e">
        <f t="shared" ca="1" si="178"/>
        <v>#VALUE!</v>
      </c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</row>
    <row r="1084" spans="1:68" ht="19" x14ac:dyDescent="0.25">
      <c r="A1084" s="5"/>
      <c r="B1084" s="5"/>
      <c r="C1084" s="5"/>
      <c r="D1084" s="5"/>
      <c r="E1084" s="5"/>
      <c r="F1084" s="5"/>
      <c r="G1084" s="5"/>
      <c r="H1084" s="6"/>
      <c r="I1084" s="5"/>
      <c r="J1084" s="88"/>
      <c r="K1084" s="88"/>
      <c r="L1084" s="88"/>
      <c r="M1084" s="88"/>
      <c r="N1084" s="88"/>
      <c r="O1084" s="88"/>
      <c r="P1084" s="88"/>
      <c r="Q1084" s="89"/>
      <c r="R1084" s="88"/>
      <c r="S1084" s="88"/>
      <c r="T1084" s="90"/>
      <c r="U1084" s="6"/>
      <c r="V1084" s="87">
        <v>45491</v>
      </c>
      <c r="W1084" s="45">
        <v>185.22</v>
      </c>
      <c r="X1084" s="91"/>
      <c r="Y1084" s="77"/>
      <c r="Z1084" s="5"/>
      <c r="AA1084" s="5"/>
      <c r="AB1084" s="5"/>
      <c r="AC1084" s="5"/>
      <c r="AD1084" s="5"/>
      <c r="AE1084" s="5"/>
      <c r="AF1084" s="5"/>
      <c r="AG1084" s="5"/>
      <c r="AH1084" s="6"/>
      <c r="AI1084" s="87">
        <v>45491</v>
      </c>
      <c r="AJ1084" s="53">
        <v>185.22</v>
      </c>
      <c r="AK1084" s="54">
        <f t="shared" si="176"/>
        <v>-1.1896505734862561E-2</v>
      </c>
      <c r="AL1084" s="55">
        <f t="shared" si="179"/>
        <v>22.745197254503235</v>
      </c>
      <c r="AM1084" s="56">
        <v>25</v>
      </c>
      <c r="AN1084" s="57">
        <f t="shared" si="177"/>
        <v>2.2548027454967645</v>
      </c>
      <c r="AO1084" s="76">
        <f t="shared" si="180"/>
        <v>6.4121397803704028</v>
      </c>
      <c r="AP1084" s="63" t="str">
        <f t="shared" si="181"/>
        <v>Buy Stocks</v>
      </c>
      <c r="AQ1084" s="63" t="str">
        <f t="shared" si="182"/>
        <v/>
      </c>
      <c r="AR1084" s="63" t="str">
        <f t="shared" si="183"/>
        <v/>
      </c>
      <c r="AS1084" s="63" t="str">
        <f t="shared" si="184"/>
        <v/>
      </c>
      <c r="AT1084" s="78" t="str">
        <f t="shared" si="185"/>
        <v/>
      </c>
      <c r="AU1084" s="78" t="str">
        <f t="shared" si="186"/>
        <v/>
      </c>
      <c r="AV1084" s="64" t="str">
        <f ca="1">IFERROR(__xludf.DUMMYFUNCTION("IF(TRIM(AU1084)="""","""",AU1084/INDEX(FILTER(AT$3:AT1084,TRIM(AT$3:AT1084)&lt;&gt;""""),ROWS(FILTER(AT$3:AT1084,TRIM(AT$3:AT1084)&lt;&gt;"""")))-1)"),"")</f>
        <v/>
      </c>
      <c r="AW1084" s="65" t="e">
        <f t="shared" ca="1" si="178"/>
        <v>#VALUE!</v>
      </c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</row>
    <row r="1085" spans="1:68" ht="19" x14ac:dyDescent="0.25">
      <c r="A1085" s="5"/>
      <c r="B1085" s="5"/>
      <c r="C1085" s="5"/>
      <c r="D1085" s="5"/>
      <c r="E1085" s="5"/>
      <c r="F1085" s="5"/>
      <c r="G1085" s="5"/>
      <c r="H1085" s="6"/>
      <c r="I1085" s="5"/>
      <c r="J1085" s="88"/>
      <c r="K1085" s="88"/>
      <c r="L1085" s="88"/>
      <c r="M1085" s="88"/>
      <c r="N1085" s="88"/>
      <c r="O1085" s="88"/>
      <c r="P1085" s="88"/>
      <c r="Q1085" s="89"/>
      <c r="R1085" s="88"/>
      <c r="S1085" s="88"/>
      <c r="T1085" s="90"/>
      <c r="U1085" s="6"/>
      <c r="V1085" s="87">
        <v>45492</v>
      </c>
      <c r="W1085" s="45">
        <v>183.25</v>
      </c>
      <c r="X1085" s="91"/>
      <c r="Y1085" s="77"/>
      <c r="Z1085" s="5"/>
      <c r="AA1085" s="5"/>
      <c r="AB1085" s="5"/>
      <c r="AC1085" s="5"/>
      <c r="AD1085" s="5"/>
      <c r="AE1085" s="5"/>
      <c r="AF1085" s="5"/>
      <c r="AG1085" s="5"/>
      <c r="AH1085" s="6"/>
      <c r="AI1085" s="87">
        <v>45492</v>
      </c>
      <c r="AJ1085" s="53">
        <v>183.25</v>
      </c>
      <c r="AK1085" s="54">
        <f t="shared" si="176"/>
        <v>-1.0636000431918813E-2</v>
      </c>
      <c r="AL1085" s="55">
        <f t="shared" si="179"/>
        <v>19.246400330258655</v>
      </c>
      <c r="AM1085" s="56">
        <v>25</v>
      </c>
      <c r="AN1085" s="57">
        <f t="shared" si="177"/>
        <v>5.7535996697413445</v>
      </c>
      <c r="AO1085" s="76">
        <f t="shared" si="180"/>
        <v>6.2579665138049645</v>
      </c>
      <c r="AP1085" s="63" t="str">
        <f t="shared" si="181"/>
        <v>Buy Stocks</v>
      </c>
      <c r="AQ1085" s="63" t="str">
        <f t="shared" si="182"/>
        <v/>
      </c>
      <c r="AR1085" s="63" t="str">
        <f t="shared" si="183"/>
        <v/>
      </c>
      <c r="AS1085" s="63" t="str">
        <f t="shared" si="184"/>
        <v/>
      </c>
      <c r="AT1085" s="78" t="str">
        <f t="shared" si="185"/>
        <v/>
      </c>
      <c r="AU1085" s="78" t="str">
        <f t="shared" si="186"/>
        <v/>
      </c>
      <c r="AV1085" s="64" t="str">
        <f ca="1">IFERROR(__xludf.DUMMYFUNCTION("IF(TRIM(AU1085)="""","""",AU1085/INDEX(FILTER(AT$3:AT1085,TRIM(AT$3:AT1085)&lt;&gt;""""),ROWS(FILTER(AT$3:AT1085,TRIM(AT$3:AT1085)&lt;&gt;"""")))-1)"),"")</f>
        <v/>
      </c>
      <c r="AW1085" s="65" t="e">
        <f t="shared" ca="1" si="178"/>
        <v>#VALUE!</v>
      </c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</row>
    <row r="1086" spans="1:68" ht="19" x14ac:dyDescent="0.25">
      <c r="A1086" s="5"/>
      <c r="B1086" s="5"/>
      <c r="C1086" s="5"/>
      <c r="D1086" s="5"/>
      <c r="E1086" s="5"/>
      <c r="F1086" s="5"/>
      <c r="G1086" s="5"/>
      <c r="H1086" s="6"/>
      <c r="I1086" s="5"/>
      <c r="J1086" s="88"/>
      <c r="K1086" s="88"/>
      <c r="L1086" s="88"/>
      <c r="M1086" s="88"/>
      <c r="N1086" s="88"/>
      <c r="O1086" s="88"/>
      <c r="P1086" s="88"/>
      <c r="Q1086" s="89"/>
      <c r="R1086" s="88"/>
      <c r="S1086" s="88"/>
      <c r="T1086" s="90"/>
      <c r="U1086" s="6"/>
      <c r="V1086" s="87">
        <v>45495</v>
      </c>
      <c r="W1086" s="45">
        <v>184.15</v>
      </c>
      <c r="X1086" s="91"/>
      <c r="Y1086" s="77"/>
      <c r="Z1086" s="5"/>
      <c r="AA1086" s="5"/>
      <c r="AB1086" s="5"/>
      <c r="AC1086" s="5"/>
      <c r="AD1086" s="5"/>
      <c r="AE1086" s="5"/>
      <c r="AF1086" s="5"/>
      <c r="AG1086" s="5"/>
      <c r="AH1086" s="6"/>
      <c r="AI1086" s="87">
        <v>45495</v>
      </c>
      <c r="AJ1086" s="53">
        <v>184.15</v>
      </c>
      <c r="AK1086" s="54">
        <f t="shared" si="176"/>
        <v>4.9113233287858549E-3</v>
      </c>
      <c r="AL1086" s="55">
        <f t="shared" si="179"/>
        <v>19.489419280879563</v>
      </c>
      <c r="AM1086" s="56">
        <v>25</v>
      </c>
      <c r="AN1086" s="57">
        <f t="shared" si="177"/>
        <v>5.510580719120437</v>
      </c>
      <c r="AO1086" s="76">
        <f t="shared" si="180"/>
        <v>6.1775738967652813</v>
      </c>
      <c r="AP1086" s="63" t="str">
        <f t="shared" si="181"/>
        <v>Buy Stocks</v>
      </c>
      <c r="AQ1086" s="63" t="str">
        <f t="shared" si="182"/>
        <v/>
      </c>
      <c r="AR1086" s="63" t="str">
        <f t="shared" si="183"/>
        <v/>
      </c>
      <c r="AS1086" s="63" t="str">
        <f t="shared" si="184"/>
        <v/>
      </c>
      <c r="AT1086" s="78" t="str">
        <f t="shared" si="185"/>
        <v/>
      </c>
      <c r="AU1086" s="78" t="str">
        <f t="shared" si="186"/>
        <v/>
      </c>
      <c r="AV1086" s="64" t="str">
        <f ca="1">IFERROR(__xludf.DUMMYFUNCTION("IF(TRIM(AU1086)="""","""",AU1086/INDEX(FILTER(AT$3:AT1086,TRIM(AT$3:AT1086)&lt;&gt;""""),ROWS(FILTER(AT$3:AT1086,TRIM(AT$3:AT1086)&lt;&gt;"""")))-1)"),"")</f>
        <v/>
      </c>
      <c r="AW1086" s="65" t="e">
        <f t="shared" ca="1" si="178"/>
        <v>#VALUE!</v>
      </c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</row>
    <row r="1087" spans="1:68" ht="19" x14ac:dyDescent="0.25">
      <c r="A1087" s="5"/>
      <c r="B1087" s="5"/>
      <c r="C1087" s="5"/>
      <c r="D1087" s="5"/>
      <c r="E1087" s="5"/>
      <c r="F1087" s="5"/>
      <c r="G1087" s="5"/>
      <c r="H1087" s="6"/>
      <c r="I1087" s="5"/>
      <c r="J1087" s="88"/>
      <c r="K1087" s="88"/>
      <c r="L1087" s="88"/>
      <c r="M1087" s="88"/>
      <c r="N1087" s="88"/>
      <c r="O1087" s="88"/>
      <c r="P1087" s="88"/>
      <c r="Q1087" s="89"/>
      <c r="R1087" s="88"/>
      <c r="S1087" s="88"/>
      <c r="T1087" s="90"/>
      <c r="U1087" s="6"/>
      <c r="V1087" s="87">
        <v>45496</v>
      </c>
      <c r="W1087" s="45">
        <v>184.1</v>
      </c>
      <c r="X1087" s="91"/>
      <c r="Y1087" s="77"/>
      <c r="Z1087" s="5"/>
      <c r="AA1087" s="5"/>
      <c r="AB1087" s="5"/>
      <c r="AC1087" s="5"/>
      <c r="AD1087" s="5"/>
      <c r="AE1087" s="5"/>
      <c r="AF1087" s="5"/>
      <c r="AG1087" s="5"/>
      <c r="AH1087" s="6"/>
      <c r="AI1087" s="87">
        <v>45496</v>
      </c>
      <c r="AJ1087" s="53">
        <v>184.1</v>
      </c>
      <c r="AK1087" s="54">
        <f t="shared" si="176"/>
        <v>-2.715177844149208E-4</v>
      </c>
      <c r="AL1087" s="55">
        <f t="shared" si="179"/>
        <v>14.64220334395522</v>
      </c>
      <c r="AM1087" s="56">
        <v>25</v>
      </c>
      <c r="AN1087" s="57">
        <f t="shared" si="177"/>
        <v>10.35779665604478</v>
      </c>
      <c r="AO1087" s="76">
        <f t="shared" si="180"/>
        <v>6.5219505697520859</v>
      </c>
      <c r="AP1087" s="63" t="str">
        <f t="shared" si="181"/>
        <v>Buy Stocks</v>
      </c>
      <c r="AQ1087" s="63" t="str">
        <f t="shared" si="182"/>
        <v/>
      </c>
      <c r="AR1087" s="63" t="str">
        <f t="shared" si="183"/>
        <v/>
      </c>
      <c r="AS1087" s="63" t="str">
        <f t="shared" si="184"/>
        <v/>
      </c>
      <c r="AT1087" s="78" t="str">
        <f t="shared" si="185"/>
        <v/>
      </c>
      <c r="AU1087" s="78" t="str">
        <f t="shared" si="186"/>
        <v/>
      </c>
      <c r="AV1087" s="64" t="str">
        <f ca="1">IFERROR(__xludf.DUMMYFUNCTION("IF(TRIM(AU1087)="""","""",AU1087/INDEX(FILTER(AT$3:AT1087,TRIM(AT$3:AT1087)&lt;&gt;""""),ROWS(FILTER(AT$3:AT1087,TRIM(AT$3:AT1087)&lt;&gt;"""")))-1)"),"")</f>
        <v/>
      </c>
      <c r="AW1087" s="65" t="e">
        <f t="shared" ca="1" si="178"/>
        <v>#VALUE!</v>
      </c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</row>
    <row r="1088" spans="1:68" ht="19" x14ac:dyDescent="0.25">
      <c r="A1088" s="5"/>
      <c r="B1088" s="5"/>
      <c r="C1088" s="5"/>
      <c r="D1088" s="5"/>
      <c r="E1088" s="5"/>
      <c r="F1088" s="5"/>
      <c r="G1088" s="5"/>
      <c r="H1088" s="6"/>
      <c r="I1088" s="5"/>
      <c r="J1088" s="88"/>
      <c r="K1088" s="88"/>
      <c r="L1088" s="88"/>
      <c r="M1088" s="88"/>
      <c r="N1088" s="88"/>
      <c r="O1088" s="88"/>
      <c r="P1088" s="88"/>
      <c r="Q1088" s="89"/>
      <c r="R1088" s="88"/>
      <c r="S1088" s="88"/>
      <c r="T1088" s="90"/>
      <c r="U1088" s="6"/>
      <c r="V1088" s="44">
        <v>45497</v>
      </c>
      <c r="W1088" s="45">
        <v>184.02</v>
      </c>
      <c r="X1088" s="91"/>
      <c r="Y1088" s="77"/>
      <c r="Z1088" s="5"/>
      <c r="AA1088" s="5"/>
      <c r="AB1088" s="5"/>
      <c r="AC1088" s="5"/>
      <c r="AD1088" s="5"/>
      <c r="AE1088" s="5"/>
      <c r="AF1088" s="5"/>
      <c r="AG1088" s="5"/>
      <c r="AH1088" s="6"/>
      <c r="AI1088" s="44">
        <v>45497</v>
      </c>
      <c r="AJ1088" s="53">
        <v>184.02</v>
      </c>
      <c r="AK1088" s="54">
        <f t="shared" si="176"/>
        <v>-4.345464421509071E-4</v>
      </c>
      <c r="AL1088" s="55">
        <f t="shared" si="179"/>
        <v>11.552928890053996</v>
      </c>
      <c r="AM1088" s="56">
        <v>25</v>
      </c>
      <c r="AN1088" s="57">
        <f t="shared" si="177"/>
        <v>13.447071109946004</v>
      </c>
      <c r="AO1088" s="76">
        <f t="shared" si="180"/>
        <v>7.4647701800698654</v>
      </c>
      <c r="AP1088" s="63" t="str">
        <f t="shared" si="181"/>
        <v>Buy Stocks</v>
      </c>
      <c r="AQ1088" s="63" t="str">
        <f t="shared" si="182"/>
        <v/>
      </c>
      <c r="AR1088" s="63" t="str">
        <f t="shared" si="183"/>
        <v/>
      </c>
      <c r="AS1088" s="63" t="str">
        <f t="shared" si="184"/>
        <v/>
      </c>
      <c r="AT1088" s="78" t="str">
        <f t="shared" si="185"/>
        <v/>
      </c>
      <c r="AU1088" s="78" t="str">
        <f t="shared" si="186"/>
        <v/>
      </c>
      <c r="AV1088" s="64" t="str">
        <f ca="1">IFERROR(__xludf.DUMMYFUNCTION("IF(TRIM(AU1088)="""","""",AU1088/INDEX(FILTER(AT$3:AT1088,TRIM(AT$3:AT1088)&lt;&gt;""""),ROWS(FILTER(AT$3:AT1088,TRIM(AT$3:AT1088)&lt;&gt;"""")))-1)"),"")</f>
        <v/>
      </c>
      <c r="AW1088" s="65" t="e">
        <f t="shared" ca="1" si="178"/>
        <v>#VALUE!</v>
      </c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</row>
    <row r="1089" spans="1:68" ht="19" x14ac:dyDescent="0.25">
      <c r="A1089" s="5"/>
      <c r="B1089" s="5"/>
      <c r="C1089" s="5"/>
      <c r="D1089" s="5"/>
      <c r="E1089" s="5"/>
      <c r="F1089" s="5"/>
      <c r="G1089" s="5"/>
      <c r="H1089" s="6"/>
      <c r="I1089" s="5"/>
      <c r="J1089" s="88"/>
      <c r="K1089" s="88"/>
      <c r="L1089" s="88"/>
      <c r="M1089" s="88"/>
      <c r="N1089" s="88"/>
      <c r="O1089" s="88"/>
      <c r="P1089" s="88"/>
      <c r="Q1089" s="89"/>
      <c r="R1089" s="88"/>
      <c r="S1089" s="88"/>
      <c r="T1089" s="90"/>
      <c r="U1089" s="6"/>
      <c r="V1089" s="44">
        <v>45498</v>
      </c>
      <c r="W1089" s="45">
        <v>191.98</v>
      </c>
      <c r="X1089" s="91"/>
      <c r="Y1089" s="77"/>
      <c r="Z1089" s="5"/>
      <c r="AA1089" s="5"/>
      <c r="AB1089" s="5"/>
      <c r="AC1089" s="5"/>
      <c r="AD1089" s="5"/>
      <c r="AE1089" s="5"/>
      <c r="AF1089" s="5"/>
      <c r="AG1089" s="5"/>
      <c r="AH1089" s="6"/>
      <c r="AI1089" s="44">
        <v>45498</v>
      </c>
      <c r="AJ1089" s="53">
        <v>191.98</v>
      </c>
      <c r="AK1089" s="54">
        <f t="shared" si="176"/>
        <v>4.3256167807846913E-2</v>
      </c>
      <c r="AL1089" s="55">
        <f t="shared" si="179"/>
        <v>33.083992119619353</v>
      </c>
      <c r="AM1089" s="56">
        <v>25</v>
      </c>
      <c r="AN1089" s="57">
        <f t="shared" si="177"/>
        <v>-8.0839921196193529</v>
      </c>
      <c r="AO1089" s="76">
        <f t="shared" si="180"/>
        <v>5.3970112070466429</v>
      </c>
      <c r="AP1089" s="63" t="str">
        <f t="shared" si="181"/>
        <v>Buy Stocks</v>
      </c>
      <c r="AQ1089" s="63" t="str">
        <f t="shared" si="182"/>
        <v/>
      </c>
      <c r="AR1089" s="63" t="str">
        <f t="shared" si="183"/>
        <v/>
      </c>
      <c r="AS1089" s="63" t="str">
        <f t="shared" si="184"/>
        <v/>
      </c>
      <c r="AT1089" s="78" t="str">
        <f t="shared" si="185"/>
        <v/>
      </c>
      <c r="AU1089" s="78" t="str">
        <f t="shared" si="186"/>
        <v/>
      </c>
      <c r="AV1089" s="64" t="str">
        <f ca="1">IFERROR(__xludf.DUMMYFUNCTION("IF(TRIM(AU1089)="""","""",AU1089/INDEX(FILTER(AT$3:AT1089,TRIM(AT$3:AT1089)&lt;&gt;""""),ROWS(FILTER(AT$3:AT1089,TRIM(AT$3:AT1089)&lt;&gt;"""")))-1)"),"")</f>
        <v/>
      </c>
      <c r="AW1089" s="65" t="e">
        <f t="shared" ca="1" si="178"/>
        <v>#VALUE!</v>
      </c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</row>
    <row r="1090" spans="1:68" ht="19" x14ac:dyDescent="0.25">
      <c r="A1090" s="5"/>
      <c r="B1090" s="5"/>
      <c r="C1090" s="5"/>
      <c r="D1090" s="5"/>
      <c r="E1090" s="5"/>
      <c r="F1090" s="5"/>
      <c r="G1090" s="5"/>
      <c r="H1090" s="6"/>
      <c r="I1090" s="5"/>
      <c r="J1090" s="88"/>
      <c r="K1090" s="88"/>
      <c r="L1090" s="88"/>
      <c r="M1090" s="88"/>
      <c r="N1090" s="88"/>
      <c r="O1090" s="88"/>
      <c r="P1090" s="88"/>
      <c r="Q1090" s="89"/>
      <c r="R1090" s="88"/>
      <c r="S1090" s="88"/>
      <c r="T1090" s="90"/>
      <c r="U1090" s="6"/>
      <c r="V1090" s="44">
        <v>45499</v>
      </c>
      <c r="W1090" s="45">
        <v>191.75</v>
      </c>
      <c r="X1090" s="91"/>
      <c r="Y1090" s="77"/>
      <c r="Z1090" s="5"/>
      <c r="AA1090" s="5"/>
      <c r="AB1090" s="5"/>
      <c r="AC1090" s="5"/>
      <c r="AD1090" s="5"/>
      <c r="AE1090" s="5"/>
      <c r="AF1090" s="5"/>
      <c r="AG1090" s="5"/>
      <c r="AH1090" s="6"/>
      <c r="AI1090" s="44">
        <v>45499</v>
      </c>
      <c r="AJ1090" s="53">
        <v>191.75</v>
      </c>
      <c r="AK1090" s="54">
        <f t="shared" si="176"/>
        <v>-1.1980414626523439E-3</v>
      </c>
      <c r="AL1090" s="55">
        <f t="shared" si="179"/>
        <v>30.420035320381945</v>
      </c>
      <c r="AM1090" s="56">
        <v>25</v>
      </c>
      <c r="AN1090" s="57">
        <f t="shared" si="177"/>
        <v>-5.4200353203819454</v>
      </c>
      <c r="AO1090" s="76">
        <f t="shared" si="180"/>
        <v>3.1622842090219843</v>
      </c>
      <c r="AP1090" s="63" t="str">
        <f t="shared" si="181"/>
        <v>Buy Stocks</v>
      </c>
      <c r="AQ1090" s="63" t="str">
        <f t="shared" si="182"/>
        <v/>
      </c>
      <c r="AR1090" s="63" t="str">
        <f t="shared" si="183"/>
        <v/>
      </c>
      <c r="AS1090" s="63" t="str">
        <f t="shared" si="184"/>
        <v/>
      </c>
      <c r="AT1090" s="78" t="str">
        <f t="shared" si="185"/>
        <v/>
      </c>
      <c r="AU1090" s="78" t="str">
        <f t="shared" si="186"/>
        <v/>
      </c>
      <c r="AV1090" s="64" t="str">
        <f ca="1">IFERROR(__xludf.DUMMYFUNCTION("IF(TRIM(AU1090)="""","""",AU1090/INDEX(FILTER(AT$3:AT1090,TRIM(AT$3:AT1090)&lt;&gt;""""),ROWS(FILTER(AT$3:AT1090,TRIM(AT$3:AT1090)&lt;&gt;"""")))-1)"),"")</f>
        <v/>
      </c>
      <c r="AW1090" s="65" t="e">
        <f t="shared" ca="1" si="178"/>
        <v>#VALUE!</v>
      </c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</row>
    <row r="1091" spans="1:68" ht="19" x14ac:dyDescent="0.25">
      <c r="A1091" s="5"/>
      <c r="B1091" s="5"/>
      <c r="C1091" s="5"/>
      <c r="D1091" s="5"/>
      <c r="E1091" s="5"/>
      <c r="F1091" s="5"/>
      <c r="G1091" s="5"/>
      <c r="H1091" s="6"/>
      <c r="I1091" s="5"/>
      <c r="J1091" s="88"/>
      <c r="K1091" s="88"/>
      <c r="L1091" s="88"/>
      <c r="M1091" s="88"/>
      <c r="N1091" s="88"/>
      <c r="O1091" s="88"/>
      <c r="P1091" s="88"/>
      <c r="Q1091" s="89"/>
      <c r="R1091" s="88"/>
      <c r="S1091" s="88"/>
      <c r="T1091" s="90"/>
      <c r="U1091" s="6"/>
      <c r="V1091" s="44">
        <v>45502</v>
      </c>
      <c r="W1091" s="45">
        <v>191.5</v>
      </c>
      <c r="X1091" s="91"/>
      <c r="Y1091" s="77"/>
      <c r="Z1091" s="5"/>
      <c r="AA1091" s="5"/>
      <c r="AB1091" s="5"/>
      <c r="AC1091" s="5"/>
      <c r="AD1091" s="5"/>
      <c r="AE1091" s="5"/>
      <c r="AF1091" s="5"/>
      <c r="AG1091" s="5"/>
      <c r="AH1091" s="6"/>
      <c r="AI1091" s="44">
        <v>45502</v>
      </c>
      <c r="AJ1091" s="53">
        <v>191.5</v>
      </c>
      <c r="AK1091" s="54">
        <f t="shared" ref="AK1091:AK1154" si="187">AJ1091/AJ1090-1</f>
        <v>-1.3037809647978849E-3</v>
      </c>
      <c r="AL1091" s="55">
        <f t="shared" si="179"/>
        <v>31.286484259667795</v>
      </c>
      <c r="AM1091" s="56">
        <v>25</v>
      </c>
      <c r="AN1091" s="57">
        <f t="shared" ref="AN1091:AN1154" si="188">AM1091-AL1091</f>
        <v>-6.2864842596677946</v>
      </c>
      <c r="AO1091" s="76">
        <f t="shared" si="180"/>
        <v>0.80287121326433852</v>
      </c>
      <c r="AP1091" s="63" t="str">
        <f t="shared" si="181"/>
        <v>Buy Stocks</v>
      </c>
      <c r="AQ1091" s="63" t="str">
        <f t="shared" si="182"/>
        <v/>
      </c>
      <c r="AR1091" s="63" t="str">
        <f t="shared" si="183"/>
        <v/>
      </c>
      <c r="AS1091" s="63" t="str">
        <f t="shared" si="184"/>
        <v/>
      </c>
      <c r="AT1091" s="78" t="str">
        <f t="shared" si="185"/>
        <v/>
      </c>
      <c r="AU1091" s="78" t="str">
        <f t="shared" si="186"/>
        <v/>
      </c>
      <c r="AV1091" s="64" t="str">
        <f ca="1">IFERROR(__xludf.DUMMYFUNCTION("IF(TRIM(AU1091)="""","""",AU1091/INDEX(FILTER(AT$3:AT1091,TRIM(AT$3:AT1091)&lt;&gt;""""),ROWS(FILTER(AT$3:AT1091,TRIM(AT$3:AT1091)&lt;&gt;"""")))-1)"),"")</f>
        <v/>
      </c>
      <c r="AW1091" s="65" t="e">
        <f t="shared" ref="AW1091:AW1154" ca="1" si="189">AW1090*(1+AV1091)</f>
        <v>#VALUE!</v>
      </c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</row>
    <row r="1092" spans="1:68" ht="19" x14ac:dyDescent="0.25">
      <c r="A1092" s="5"/>
      <c r="B1092" s="5"/>
      <c r="C1092" s="5"/>
      <c r="D1092" s="5"/>
      <c r="E1092" s="5"/>
      <c r="F1092" s="5"/>
      <c r="G1092" s="5"/>
      <c r="H1092" s="6"/>
      <c r="I1092" s="5"/>
      <c r="J1092" s="88"/>
      <c r="K1092" s="88"/>
      <c r="L1092" s="88"/>
      <c r="M1092" s="88"/>
      <c r="N1092" s="88"/>
      <c r="O1092" s="88"/>
      <c r="P1092" s="88"/>
      <c r="Q1092" s="89"/>
      <c r="R1092" s="88"/>
      <c r="S1092" s="88"/>
      <c r="T1092" s="90"/>
      <c r="U1092" s="6"/>
      <c r="V1092" s="44">
        <v>45503</v>
      </c>
      <c r="W1092" s="45">
        <v>191.04</v>
      </c>
      <c r="X1092" s="91"/>
      <c r="Y1092" s="77"/>
      <c r="Z1092" s="5"/>
      <c r="AA1092" s="5"/>
      <c r="AB1092" s="5"/>
      <c r="AC1092" s="5"/>
      <c r="AD1092" s="5"/>
      <c r="AE1092" s="5"/>
      <c r="AF1092" s="5"/>
      <c r="AG1092" s="5"/>
      <c r="AH1092" s="6"/>
      <c r="AI1092" s="44">
        <v>45503</v>
      </c>
      <c r="AJ1092" s="53">
        <v>191.04</v>
      </c>
      <c r="AK1092" s="54">
        <f t="shared" si="187"/>
        <v>-2.4020887728459783E-3</v>
      </c>
      <c r="AL1092" s="55">
        <f t="shared" si="179"/>
        <v>31.675903991905997</v>
      </c>
      <c r="AM1092" s="56">
        <v>25</v>
      </c>
      <c r="AN1092" s="57">
        <f t="shared" si="188"/>
        <v>-6.6759039919059973</v>
      </c>
      <c r="AO1092" s="76">
        <f t="shared" si="180"/>
        <v>-2.6038689163258173</v>
      </c>
      <c r="AP1092" s="63" t="str">
        <f t="shared" si="181"/>
        <v/>
      </c>
      <c r="AQ1092" s="63" t="str">
        <f t="shared" si="182"/>
        <v>Sell Stocks</v>
      </c>
      <c r="AR1092" s="63" t="str">
        <f t="shared" si="183"/>
        <v/>
      </c>
      <c r="AS1092" s="63" t="str">
        <f t="shared" si="184"/>
        <v>Sell Stocks</v>
      </c>
      <c r="AT1092" s="78" t="str">
        <f t="shared" si="185"/>
        <v/>
      </c>
      <c r="AU1092" s="77">
        <f t="shared" si="186"/>
        <v>191.04</v>
      </c>
      <c r="AV1092" s="64">
        <f ca="1">IFERROR(__xludf.DUMMYFUNCTION("IF(TRIM(AU1092)="""","""",AU1092/INDEX(FILTER(AT$3:AT1092,TRIM(AT$3:AT1092)&lt;&gt;""""),ROWS(FILTER(AT$3:AT1092,TRIM(AT$3:AT1092)&lt;&gt;"""")))-1)"),0.134576553034802)</f>
        <v>0.13457655303480201</v>
      </c>
      <c r="AW1092" s="65" t="e">
        <f t="shared" ca="1" si="189"/>
        <v>#VALUE!</v>
      </c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</row>
    <row r="1093" spans="1:68" ht="19" x14ac:dyDescent="0.25">
      <c r="A1093" s="5"/>
      <c r="B1093" s="5"/>
      <c r="C1093" s="5"/>
      <c r="D1093" s="5"/>
      <c r="E1093" s="5"/>
      <c r="F1093" s="5"/>
      <c r="G1093" s="5"/>
      <c r="H1093" s="6"/>
      <c r="I1093" s="5"/>
      <c r="J1093" s="88"/>
      <c r="K1093" s="88"/>
      <c r="L1093" s="88"/>
      <c r="M1093" s="88"/>
      <c r="N1093" s="88"/>
      <c r="O1093" s="88"/>
      <c r="P1093" s="88"/>
      <c r="Q1093" s="89"/>
      <c r="R1093" s="88"/>
      <c r="S1093" s="88"/>
      <c r="T1093" s="90"/>
      <c r="U1093" s="6"/>
      <c r="V1093" s="44">
        <v>45504</v>
      </c>
      <c r="W1093" s="45">
        <v>192.14</v>
      </c>
      <c r="X1093" s="91"/>
      <c r="Y1093" s="77"/>
      <c r="Z1093" s="5"/>
      <c r="AA1093" s="5"/>
      <c r="AB1093" s="5"/>
      <c r="AC1093" s="5"/>
      <c r="AD1093" s="5"/>
      <c r="AE1093" s="5"/>
      <c r="AF1093" s="5"/>
      <c r="AG1093" s="5"/>
      <c r="AH1093" s="6"/>
      <c r="AI1093" s="44">
        <v>45504</v>
      </c>
      <c r="AJ1093" s="53">
        <v>192.14</v>
      </c>
      <c r="AK1093" s="54">
        <f t="shared" si="187"/>
        <v>5.7579564489111945E-3</v>
      </c>
      <c r="AL1093" s="55">
        <f t="shared" si="179"/>
        <v>30.985936530309449</v>
      </c>
      <c r="AM1093" s="56">
        <v>25</v>
      </c>
      <c r="AN1093" s="57">
        <f t="shared" si="188"/>
        <v>-5.9859365303094485</v>
      </c>
      <c r="AO1093" s="76">
        <f t="shared" si="180"/>
        <v>-6.4904704443769079</v>
      </c>
      <c r="AP1093" s="63" t="str">
        <f t="shared" si="181"/>
        <v/>
      </c>
      <c r="AQ1093" s="63" t="str">
        <f t="shared" si="182"/>
        <v>Sell Stocks</v>
      </c>
      <c r="AR1093" s="63" t="str">
        <f t="shared" si="183"/>
        <v/>
      </c>
      <c r="AS1093" s="63" t="str">
        <f t="shared" si="184"/>
        <v/>
      </c>
      <c r="AT1093" s="78" t="str">
        <f t="shared" si="185"/>
        <v/>
      </c>
      <c r="AU1093" s="78" t="str">
        <f t="shared" si="186"/>
        <v/>
      </c>
      <c r="AV1093" s="64" t="str">
        <f ca="1">IFERROR(__xludf.DUMMYFUNCTION("IF(TRIM(AU1093)="""","""",AU1093/INDEX(FILTER(AT$3:AT1093,TRIM(AT$3:AT1093)&lt;&gt;""""),ROWS(FILTER(AT$3:AT1093,TRIM(AT$3:AT1093)&lt;&gt;"""")))-1)"),"")</f>
        <v/>
      </c>
      <c r="AW1093" s="65" t="e">
        <f t="shared" ca="1" si="189"/>
        <v>#VALUE!</v>
      </c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</row>
    <row r="1094" spans="1:68" ht="19" x14ac:dyDescent="0.25">
      <c r="A1094" s="5"/>
      <c r="B1094" s="5"/>
      <c r="C1094" s="5"/>
      <c r="D1094" s="5"/>
      <c r="E1094" s="5"/>
      <c r="F1094" s="5"/>
      <c r="G1094" s="5"/>
      <c r="H1094" s="6"/>
      <c r="I1094" s="5"/>
      <c r="J1094" s="88"/>
      <c r="K1094" s="88"/>
      <c r="L1094" s="88"/>
      <c r="M1094" s="88"/>
      <c r="N1094" s="88"/>
      <c r="O1094" s="88"/>
      <c r="P1094" s="88"/>
      <c r="Q1094" s="89"/>
      <c r="R1094" s="88"/>
      <c r="S1094" s="88"/>
      <c r="T1094" s="90"/>
      <c r="U1094" s="6"/>
      <c r="V1094" s="44">
        <v>45505</v>
      </c>
      <c r="W1094" s="45">
        <v>189.66</v>
      </c>
      <c r="X1094" s="91"/>
      <c r="Y1094" s="77"/>
      <c r="Z1094" s="5"/>
      <c r="AA1094" s="5"/>
      <c r="AB1094" s="5"/>
      <c r="AC1094" s="5"/>
      <c r="AD1094" s="5"/>
      <c r="AE1094" s="5"/>
      <c r="AF1094" s="5"/>
      <c r="AG1094" s="5"/>
      <c r="AH1094" s="6"/>
      <c r="AI1094" s="44">
        <v>45505</v>
      </c>
      <c r="AJ1094" s="53">
        <v>189.66</v>
      </c>
      <c r="AK1094" s="54">
        <f t="shared" si="187"/>
        <v>-1.2907255126470285E-2</v>
      </c>
      <c r="AL1094" s="55">
        <f t="shared" si="179"/>
        <v>10.637119744584576</v>
      </c>
      <c r="AM1094" s="56">
        <v>25</v>
      </c>
      <c r="AN1094" s="57">
        <f t="shared" si="188"/>
        <v>14.362880255415424</v>
      </c>
      <c r="AO1094" s="76">
        <f t="shared" si="180"/>
        <v>-2.0010959693699522</v>
      </c>
      <c r="AP1094" s="63" t="str">
        <f t="shared" si="181"/>
        <v/>
      </c>
      <c r="AQ1094" s="63" t="str">
        <f t="shared" si="182"/>
        <v>Sell Stocks</v>
      </c>
      <c r="AR1094" s="63" t="str">
        <f t="shared" si="183"/>
        <v/>
      </c>
      <c r="AS1094" s="63" t="str">
        <f t="shared" si="184"/>
        <v/>
      </c>
      <c r="AT1094" s="78" t="str">
        <f t="shared" si="185"/>
        <v/>
      </c>
      <c r="AU1094" s="78" t="str">
        <f t="shared" si="186"/>
        <v/>
      </c>
      <c r="AV1094" s="64" t="str">
        <f ca="1">IFERROR(__xludf.DUMMYFUNCTION("IF(TRIM(AU1094)="""","""",AU1094/INDEX(FILTER(AT$3:AT1094,TRIM(AT$3:AT1094)&lt;&gt;""""),ROWS(FILTER(AT$3:AT1094,TRIM(AT$3:AT1094)&lt;&gt;"""")))-1)"),"")</f>
        <v/>
      </c>
      <c r="AW1094" s="65" t="e">
        <f t="shared" ca="1" si="189"/>
        <v>#VALUE!</v>
      </c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</row>
    <row r="1095" spans="1:68" ht="19" x14ac:dyDescent="0.25">
      <c r="A1095" s="5"/>
      <c r="B1095" s="5"/>
      <c r="C1095" s="5"/>
      <c r="D1095" s="5"/>
      <c r="E1095" s="5"/>
      <c r="F1095" s="5"/>
      <c r="G1095" s="5"/>
      <c r="H1095" s="6"/>
      <c r="I1095" s="5"/>
      <c r="J1095" s="88"/>
      <c r="K1095" s="88"/>
      <c r="L1095" s="88"/>
      <c r="M1095" s="88"/>
      <c r="N1095" s="88"/>
      <c r="O1095" s="88"/>
      <c r="P1095" s="88"/>
      <c r="Q1095" s="89"/>
      <c r="R1095" s="88"/>
      <c r="S1095" s="88"/>
      <c r="T1095" s="90"/>
      <c r="U1095" s="6"/>
      <c r="V1095" s="87">
        <v>45506</v>
      </c>
      <c r="W1095" s="45">
        <v>189.12</v>
      </c>
      <c r="X1095" s="91"/>
      <c r="Y1095" s="77"/>
      <c r="Z1095" s="5"/>
      <c r="AA1095" s="5"/>
      <c r="AB1095" s="5"/>
      <c r="AC1095" s="5"/>
      <c r="AD1095" s="5"/>
      <c r="AE1095" s="5"/>
      <c r="AF1095" s="5"/>
      <c r="AG1095" s="5"/>
      <c r="AH1095" s="6"/>
      <c r="AI1095" s="87">
        <v>45506</v>
      </c>
      <c r="AJ1095" s="53">
        <v>189.12</v>
      </c>
      <c r="AK1095" s="54">
        <f t="shared" si="187"/>
        <v>-2.847200253084381E-3</v>
      </c>
      <c r="AL1095" s="55">
        <f t="shared" ref="AL1095:AL1158" si="190">_xlfn.STDEV.S(AK1091:AK1095)*SQRT(252)*100</f>
        <v>10.582974369978432</v>
      </c>
      <c r="AM1095" s="56">
        <v>25</v>
      </c>
      <c r="AN1095" s="57">
        <f t="shared" si="188"/>
        <v>14.417025630021568</v>
      </c>
      <c r="AO1095" s="76">
        <f t="shared" ref="AO1095:AO1158" si="191">AVERAGE(AN1091:AN1095)</f>
        <v>1.9663162207107505</v>
      </c>
      <c r="AP1095" s="63" t="str">
        <f t="shared" ref="AP1095:AP1158" si="192">IF(AO1095&gt;0,"Buy Stocks","")</f>
        <v>Buy Stocks</v>
      </c>
      <c r="AQ1095" s="63" t="str">
        <f t="shared" ref="AQ1095:AQ1158" si="193">IF(AO1095&lt;0,"Sell Stocks","")</f>
        <v/>
      </c>
      <c r="AR1095" s="63" t="str">
        <f t="shared" ref="AR1095:AR1158" si="194">IF(AND(AP1095="Buy Stocks",AP1094=""),"Buy Stocks","")</f>
        <v>Buy Stocks</v>
      </c>
      <c r="AS1095" s="63" t="str">
        <f t="shared" ref="AS1095:AS1158" si="195">IF(AND(AQ1095="Sell Stocks",AQ1094=""),"Sell Stocks","")</f>
        <v/>
      </c>
      <c r="AT1095" s="77">
        <f t="shared" ref="AT1095:AT1158" si="196">IF(AR1095="Buy Stocks",AJ1095,"")</f>
        <v>189.12</v>
      </c>
      <c r="AU1095" s="78" t="str">
        <f t="shared" ref="AU1095:AU1158" si="197">IF(AS1095="Sell Stocks",AJ1095,"")</f>
        <v/>
      </c>
      <c r="AV1095" s="64" t="str">
        <f ca="1">IFERROR(__xludf.DUMMYFUNCTION("IF(TRIM(AU1095)="""","""",AU1095/INDEX(FILTER(AT$3:AT1095,TRIM(AT$3:AT1095)&lt;&gt;""""),ROWS(FILTER(AT$3:AT1095,TRIM(AT$3:AT1095)&lt;&gt;"""")))-1)"),"")</f>
        <v/>
      </c>
      <c r="AW1095" s="65" t="e">
        <f t="shared" ca="1" si="189"/>
        <v>#VALUE!</v>
      </c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</row>
    <row r="1096" spans="1:68" ht="19" x14ac:dyDescent="0.25">
      <c r="A1096" s="5"/>
      <c r="B1096" s="5"/>
      <c r="C1096" s="5"/>
      <c r="D1096" s="5"/>
      <c r="E1096" s="5"/>
      <c r="F1096" s="5"/>
      <c r="G1096" s="5"/>
      <c r="H1096" s="6"/>
      <c r="I1096" s="5"/>
      <c r="J1096" s="88"/>
      <c r="K1096" s="88"/>
      <c r="L1096" s="88"/>
      <c r="M1096" s="88"/>
      <c r="N1096" s="88"/>
      <c r="O1096" s="88"/>
      <c r="P1096" s="88"/>
      <c r="Q1096" s="89"/>
      <c r="R1096" s="88"/>
      <c r="S1096" s="88"/>
      <c r="T1096" s="90"/>
      <c r="U1096" s="6"/>
      <c r="V1096" s="87">
        <v>45509</v>
      </c>
      <c r="W1096" s="45">
        <v>183.31</v>
      </c>
      <c r="X1096" s="91"/>
      <c r="Y1096" s="77"/>
      <c r="Z1096" s="5"/>
      <c r="AA1096" s="5"/>
      <c r="AB1096" s="5"/>
      <c r="AC1096" s="5"/>
      <c r="AD1096" s="5"/>
      <c r="AE1096" s="5"/>
      <c r="AF1096" s="5"/>
      <c r="AG1096" s="5"/>
      <c r="AH1096" s="6"/>
      <c r="AI1096" s="87">
        <v>45509</v>
      </c>
      <c r="AJ1096" s="53">
        <v>183.31</v>
      </c>
      <c r="AK1096" s="54">
        <f t="shared" si="187"/>
        <v>-3.0721235194585472E-2</v>
      </c>
      <c r="AL1096" s="55">
        <f t="shared" si="190"/>
        <v>22.246387493241389</v>
      </c>
      <c r="AM1096" s="56">
        <v>25</v>
      </c>
      <c r="AN1096" s="57">
        <f t="shared" si="188"/>
        <v>2.7536125067586106</v>
      </c>
      <c r="AO1096" s="76">
        <f t="shared" si="191"/>
        <v>3.7743355739960314</v>
      </c>
      <c r="AP1096" s="63" t="str">
        <f t="shared" si="192"/>
        <v>Buy Stocks</v>
      </c>
      <c r="AQ1096" s="63" t="str">
        <f t="shared" si="193"/>
        <v/>
      </c>
      <c r="AR1096" s="63" t="str">
        <f t="shared" si="194"/>
        <v/>
      </c>
      <c r="AS1096" s="63" t="str">
        <f t="shared" si="195"/>
        <v/>
      </c>
      <c r="AT1096" s="78" t="str">
        <f t="shared" si="196"/>
        <v/>
      </c>
      <c r="AU1096" s="78" t="str">
        <f t="shared" si="197"/>
        <v/>
      </c>
      <c r="AV1096" s="64" t="str">
        <f ca="1">IFERROR(__xludf.DUMMYFUNCTION("IF(TRIM(AU1096)="""","""",AU1096/INDEX(FILTER(AT$3:AT1096,TRIM(AT$3:AT1096)&lt;&gt;""""),ROWS(FILTER(AT$3:AT1096,TRIM(AT$3:AT1096)&lt;&gt;"""")))-1)"),"")</f>
        <v/>
      </c>
      <c r="AW1096" s="65" t="e">
        <f t="shared" ca="1" si="189"/>
        <v>#VALUE!</v>
      </c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</row>
    <row r="1097" spans="1:68" ht="19" x14ac:dyDescent="0.25">
      <c r="A1097" s="5"/>
      <c r="B1097" s="5"/>
      <c r="C1097" s="5"/>
      <c r="D1097" s="5"/>
      <c r="E1097" s="5"/>
      <c r="F1097" s="5"/>
      <c r="G1097" s="5"/>
      <c r="H1097" s="6"/>
      <c r="I1097" s="5"/>
      <c r="J1097" s="88"/>
      <c r="K1097" s="88"/>
      <c r="L1097" s="88"/>
      <c r="M1097" s="88"/>
      <c r="N1097" s="88"/>
      <c r="O1097" s="88"/>
      <c r="P1097" s="88"/>
      <c r="Q1097" s="89"/>
      <c r="R1097" s="88"/>
      <c r="S1097" s="88"/>
      <c r="T1097" s="90"/>
      <c r="U1097" s="6"/>
      <c r="V1097" s="87">
        <v>45510</v>
      </c>
      <c r="W1097" s="45">
        <v>186.8</v>
      </c>
      <c r="X1097" s="91"/>
      <c r="Y1097" s="77"/>
      <c r="Z1097" s="5"/>
      <c r="AA1097" s="5"/>
      <c r="AB1097" s="5"/>
      <c r="AC1097" s="5"/>
      <c r="AD1097" s="5"/>
      <c r="AE1097" s="5"/>
      <c r="AF1097" s="5"/>
      <c r="AG1097" s="5"/>
      <c r="AH1097" s="6"/>
      <c r="AI1097" s="87">
        <v>45510</v>
      </c>
      <c r="AJ1097" s="53">
        <v>186.8</v>
      </c>
      <c r="AK1097" s="54">
        <f t="shared" si="187"/>
        <v>1.9038786754677961E-2</v>
      </c>
      <c r="AL1097" s="55">
        <f t="shared" si="190"/>
        <v>29.911256715731565</v>
      </c>
      <c r="AM1097" s="56">
        <v>25</v>
      </c>
      <c r="AN1097" s="57">
        <f t="shared" si="188"/>
        <v>-4.9112567157315645</v>
      </c>
      <c r="AO1097" s="76">
        <f t="shared" si="191"/>
        <v>4.1272650292309176</v>
      </c>
      <c r="AP1097" s="63" t="str">
        <f t="shared" si="192"/>
        <v>Buy Stocks</v>
      </c>
      <c r="AQ1097" s="63" t="str">
        <f t="shared" si="193"/>
        <v/>
      </c>
      <c r="AR1097" s="63" t="str">
        <f t="shared" si="194"/>
        <v/>
      </c>
      <c r="AS1097" s="63" t="str">
        <f t="shared" si="195"/>
        <v/>
      </c>
      <c r="AT1097" s="78" t="str">
        <f t="shared" si="196"/>
        <v/>
      </c>
      <c r="AU1097" s="78" t="str">
        <f t="shared" si="197"/>
        <v/>
      </c>
      <c r="AV1097" s="64" t="str">
        <f ca="1">IFERROR(__xludf.DUMMYFUNCTION("IF(TRIM(AU1097)="""","""",AU1097/INDEX(FILTER(AT$3:AT1097,TRIM(AT$3:AT1097)&lt;&gt;""""),ROWS(FILTER(AT$3:AT1097,TRIM(AT$3:AT1097)&lt;&gt;"""")))-1)"),"")</f>
        <v/>
      </c>
      <c r="AW1097" s="65" t="e">
        <f t="shared" ca="1" si="189"/>
        <v>#VALUE!</v>
      </c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</row>
    <row r="1098" spans="1:68" ht="19" x14ac:dyDescent="0.25">
      <c r="A1098" s="5"/>
      <c r="B1098" s="5"/>
      <c r="C1098" s="5"/>
      <c r="D1098" s="5"/>
      <c r="E1098" s="5"/>
      <c r="F1098" s="5"/>
      <c r="G1098" s="5"/>
      <c r="H1098" s="6"/>
      <c r="I1098" s="5"/>
      <c r="J1098" s="88"/>
      <c r="K1098" s="88"/>
      <c r="L1098" s="88"/>
      <c r="M1098" s="88"/>
      <c r="N1098" s="88"/>
      <c r="O1098" s="88"/>
      <c r="P1098" s="88"/>
      <c r="Q1098" s="89"/>
      <c r="R1098" s="88"/>
      <c r="S1098" s="88"/>
      <c r="T1098" s="90"/>
      <c r="U1098" s="6"/>
      <c r="V1098" s="87">
        <v>45511</v>
      </c>
      <c r="W1098" s="45">
        <v>186.8</v>
      </c>
      <c r="X1098" s="91"/>
      <c r="Y1098" s="77"/>
      <c r="Z1098" s="5"/>
      <c r="AA1098" s="5"/>
      <c r="AB1098" s="5"/>
      <c r="AC1098" s="5"/>
      <c r="AD1098" s="5"/>
      <c r="AE1098" s="5"/>
      <c r="AF1098" s="5"/>
      <c r="AG1098" s="5"/>
      <c r="AH1098" s="6"/>
      <c r="AI1098" s="87">
        <v>45511</v>
      </c>
      <c r="AJ1098" s="53">
        <v>186.8</v>
      </c>
      <c r="AK1098" s="54">
        <f t="shared" si="187"/>
        <v>0</v>
      </c>
      <c r="AL1098" s="55">
        <f t="shared" si="190"/>
        <v>28.951037036949458</v>
      </c>
      <c r="AM1098" s="56">
        <v>25</v>
      </c>
      <c r="AN1098" s="57">
        <f t="shared" si="188"/>
        <v>-3.9510370369494581</v>
      </c>
      <c r="AO1098" s="76">
        <f t="shared" si="191"/>
        <v>4.5342449279029164</v>
      </c>
      <c r="AP1098" s="63" t="str">
        <f t="shared" si="192"/>
        <v>Buy Stocks</v>
      </c>
      <c r="AQ1098" s="63" t="str">
        <f t="shared" si="193"/>
        <v/>
      </c>
      <c r="AR1098" s="63" t="str">
        <f t="shared" si="194"/>
        <v/>
      </c>
      <c r="AS1098" s="63" t="str">
        <f t="shared" si="195"/>
        <v/>
      </c>
      <c r="AT1098" s="78" t="str">
        <f t="shared" si="196"/>
        <v/>
      </c>
      <c r="AU1098" s="78" t="str">
        <f t="shared" si="197"/>
        <v/>
      </c>
      <c r="AV1098" s="64" t="str">
        <f ca="1">IFERROR(__xludf.DUMMYFUNCTION("IF(TRIM(AU1098)="""","""",AU1098/INDEX(FILTER(AT$3:AT1098,TRIM(AT$3:AT1098)&lt;&gt;""""),ROWS(FILTER(AT$3:AT1098,TRIM(AT$3:AT1098)&lt;&gt;"""")))-1)"),"")</f>
        <v/>
      </c>
      <c r="AW1098" s="65" t="e">
        <f t="shared" ca="1" si="189"/>
        <v>#VALUE!</v>
      </c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</row>
    <row r="1099" spans="1:68" ht="19" x14ac:dyDescent="0.25">
      <c r="A1099" s="5"/>
      <c r="B1099" s="5"/>
      <c r="C1099" s="5"/>
      <c r="D1099" s="5"/>
      <c r="E1099" s="5"/>
      <c r="F1099" s="5"/>
      <c r="G1099" s="5"/>
      <c r="H1099" s="6"/>
      <c r="I1099" s="5"/>
      <c r="J1099" s="88"/>
      <c r="K1099" s="88"/>
      <c r="L1099" s="88"/>
      <c r="M1099" s="88"/>
      <c r="N1099" s="88"/>
      <c r="O1099" s="88"/>
      <c r="P1099" s="88"/>
      <c r="Q1099" s="89"/>
      <c r="R1099" s="88"/>
      <c r="S1099" s="88"/>
      <c r="T1099" s="90"/>
      <c r="U1099" s="6"/>
      <c r="V1099" s="87">
        <v>45512</v>
      </c>
      <c r="W1099" s="45">
        <v>192.61</v>
      </c>
      <c r="X1099" s="91"/>
      <c r="Y1099" s="77"/>
      <c r="Z1099" s="5"/>
      <c r="AA1099" s="5"/>
      <c r="AB1099" s="5"/>
      <c r="AC1099" s="5"/>
      <c r="AD1099" s="5"/>
      <c r="AE1099" s="5"/>
      <c r="AF1099" s="5"/>
      <c r="AG1099" s="5"/>
      <c r="AH1099" s="6"/>
      <c r="AI1099" s="87">
        <v>45512</v>
      </c>
      <c r="AJ1099" s="53">
        <v>192.61</v>
      </c>
      <c r="AK1099" s="54">
        <f t="shared" si="187"/>
        <v>3.1102783725910133E-2</v>
      </c>
      <c r="AL1099" s="55">
        <f t="shared" si="190"/>
        <v>37.455308718220166</v>
      </c>
      <c r="AM1099" s="56">
        <v>25</v>
      </c>
      <c r="AN1099" s="57">
        <f t="shared" si="188"/>
        <v>-12.455308718220166</v>
      </c>
      <c r="AO1099" s="76">
        <f t="shared" si="191"/>
        <v>-0.82939286682420243</v>
      </c>
      <c r="AP1099" s="63" t="str">
        <f t="shared" si="192"/>
        <v/>
      </c>
      <c r="AQ1099" s="63" t="str">
        <f t="shared" si="193"/>
        <v>Sell Stocks</v>
      </c>
      <c r="AR1099" s="63" t="str">
        <f t="shared" si="194"/>
        <v/>
      </c>
      <c r="AS1099" s="63" t="str">
        <f t="shared" si="195"/>
        <v>Sell Stocks</v>
      </c>
      <c r="AT1099" s="78" t="str">
        <f t="shared" si="196"/>
        <v/>
      </c>
      <c r="AU1099" s="77">
        <f t="shared" si="197"/>
        <v>192.61</v>
      </c>
      <c r="AV1099" s="64">
        <f ca="1">IFERROR(__xludf.DUMMYFUNCTION("IF(TRIM(AU1099)="""","""",AU1099/INDEX(FILTER(AT$3:AT1099,TRIM(AT$3:AT1099)&lt;&gt;""""),ROWS(FILTER(AT$3:AT1099,TRIM(AT$3:AT1099)&lt;&gt;"""")))-1)"),0.0184538917089678)</f>
        <v>1.8453891708967801E-2</v>
      </c>
      <c r="AW1099" s="65" t="e">
        <f t="shared" ca="1" si="189"/>
        <v>#VALUE!</v>
      </c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</row>
    <row r="1100" spans="1:68" ht="19" x14ac:dyDescent="0.25">
      <c r="A1100" s="5"/>
      <c r="B1100" s="5"/>
      <c r="C1100" s="5"/>
      <c r="D1100" s="5"/>
      <c r="E1100" s="5"/>
      <c r="F1100" s="5"/>
      <c r="G1100" s="5"/>
      <c r="H1100" s="6"/>
      <c r="I1100" s="5"/>
      <c r="J1100" s="88"/>
      <c r="K1100" s="88"/>
      <c r="L1100" s="88"/>
      <c r="M1100" s="88"/>
      <c r="N1100" s="88"/>
      <c r="O1100" s="88"/>
      <c r="P1100" s="88"/>
      <c r="Q1100" s="89"/>
      <c r="R1100" s="88"/>
      <c r="S1100" s="88"/>
      <c r="T1100" s="90"/>
      <c r="U1100" s="6"/>
      <c r="V1100" s="87">
        <v>45513</v>
      </c>
      <c r="W1100" s="45">
        <v>191.45</v>
      </c>
      <c r="X1100" s="91"/>
      <c r="Y1100" s="77"/>
      <c r="Z1100" s="5"/>
      <c r="AA1100" s="5"/>
      <c r="AB1100" s="5"/>
      <c r="AC1100" s="5"/>
      <c r="AD1100" s="5"/>
      <c r="AE1100" s="5"/>
      <c r="AF1100" s="5"/>
      <c r="AG1100" s="5"/>
      <c r="AH1100" s="6"/>
      <c r="AI1100" s="87">
        <v>45513</v>
      </c>
      <c r="AJ1100" s="53">
        <v>191.45</v>
      </c>
      <c r="AK1100" s="54">
        <f t="shared" si="187"/>
        <v>-6.022532578786266E-3</v>
      </c>
      <c r="AL1100" s="55">
        <f t="shared" si="190"/>
        <v>37.85016274607834</v>
      </c>
      <c r="AM1100" s="56">
        <v>25</v>
      </c>
      <c r="AN1100" s="57">
        <f t="shared" si="188"/>
        <v>-12.85016274607834</v>
      </c>
      <c r="AO1100" s="76">
        <f t="shared" si="191"/>
        <v>-6.2828305420441835</v>
      </c>
      <c r="AP1100" s="63" t="str">
        <f t="shared" si="192"/>
        <v/>
      </c>
      <c r="AQ1100" s="63" t="str">
        <f t="shared" si="193"/>
        <v>Sell Stocks</v>
      </c>
      <c r="AR1100" s="63" t="str">
        <f t="shared" si="194"/>
        <v/>
      </c>
      <c r="AS1100" s="63" t="str">
        <f t="shared" si="195"/>
        <v/>
      </c>
      <c r="AT1100" s="78" t="str">
        <f t="shared" si="196"/>
        <v/>
      </c>
      <c r="AU1100" s="78" t="str">
        <f t="shared" si="197"/>
        <v/>
      </c>
      <c r="AV1100" s="64" t="str">
        <f ca="1">IFERROR(__xludf.DUMMYFUNCTION("IF(TRIM(AU1100)="""","""",AU1100/INDEX(FILTER(AT$3:AT1100,TRIM(AT$3:AT1100)&lt;&gt;""""),ROWS(FILTER(AT$3:AT1100,TRIM(AT$3:AT1100)&lt;&gt;"""")))-1)"),"")</f>
        <v/>
      </c>
      <c r="AW1100" s="65" t="e">
        <f t="shared" ca="1" si="189"/>
        <v>#VALUE!</v>
      </c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</row>
    <row r="1101" spans="1:68" ht="19" x14ac:dyDescent="0.25">
      <c r="A1101" s="5"/>
      <c r="B1101" s="5"/>
      <c r="C1101" s="5"/>
      <c r="D1101" s="5"/>
      <c r="E1101" s="5"/>
      <c r="F1101" s="5"/>
      <c r="G1101" s="5"/>
      <c r="H1101" s="6"/>
      <c r="I1101" s="5"/>
      <c r="J1101" s="88"/>
      <c r="K1101" s="88"/>
      <c r="L1101" s="88"/>
      <c r="M1101" s="88"/>
      <c r="N1101" s="88"/>
      <c r="O1101" s="88"/>
      <c r="P1101" s="88"/>
      <c r="Q1101" s="89"/>
      <c r="R1101" s="88"/>
      <c r="S1101" s="88"/>
      <c r="T1101" s="90"/>
      <c r="U1101" s="6"/>
      <c r="V1101" s="87">
        <v>45516</v>
      </c>
      <c r="W1101" s="45">
        <v>189.48</v>
      </c>
      <c r="X1101" s="91"/>
      <c r="Y1101" s="77"/>
      <c r="Z1101" s="5"/>
      <c r="AA1101" s="5"/>
      <c r="AB1101" s="5"/>
      <c r="AC1101" s="5"/>
      <c r="AD1101" s="5"/>
      <c r="AE1101" s="5"/>
      <c r="AF1101" s="5"/>
      <c r="AG1101" s="5"/>
      <c r="AH1101" s="6"/>
      <c r="AI1101" s="87">
        <v>45516</v>
      </c>
      <c r="AJ1101" s="53">
        <v>189.48</v>
      </c>
      <c r="AK1101" s="54">
        <f t="shared" si="187"/>
        <v>-1.0289892922434096E-2</v>
      </c>
      <c r="AL1101" s="55">
        <f t="shared" si="190"/>
        <v>27.985198931023547</v>
      </c>
      <c r="AM1101" s="56">
        <v>25</v>
      </c>
      <c r="AN1101" s="57">
        <f t="shared" si="188"/>
        <v>-2.9851989310235467</v>
      </c>
      <c r="AO1101" s="76">
        <f t="shared" si="191"/>
        <v>-7.4305928296006156</v>
      </c>
      <c r="AP1101" s="63" t="str">
        <f t="shared" si="192"/>
        <v/>
      </c>
      <c r="AQ1101" s="63" t="str">
        <f t="shared" si="193"/>
        <v>Sell Stocks</v>
      </c>
      <c r="AR1101" s="63" t="str">
        <f t="shared" si="194"/>
        <v/>
      </c>
      <c r="AS1101" s="63" t="str">
        <f t="shared" si="195"/>
        <v/>
      </c>
      <c r="AT1101" s="78" t="str">
        <f t="shared" si="196"/>
        <v/>
      </c>
      <c r="AU1101" s="78" t="str">
        <f t="shared" si="197"/>
        <v/>
      </c>
      <c r="AV1101" s="64" t="str">
        <f ca="1">IFERROR(__xludf.DUMMYFUNCTION("IF(TRIM(AU1101)="""","""",AU1101/INDEX(FILTER(AT$3:AT1101,TRIM(AT$3:AT1101)&lt;&gt;""""),ROWS(FILTER(AT$3:AT1101,TRIM(AT$3:AT1101)&lt;&gt;"""")))-1)"),"")</f>
        <v/>
      </c>
      <c r="AW1101" s="65" t="e">
        <f t="shared" ca="1" si="189"/>
        <v>#VALUE!</v>
      </c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</row>
    <row r="1102" spans="1:68" ht="19" x14ac:dyDescent="0.25">
      <c r="A1102" s="5"/>
      <c r="B1102" s="5"/>
      <c r="C1102" s="5"/>
      <c r="D1102" s="5"/>
      <c r="E1102" s="5"/>
      <c r="F1102" s="5"/>
      <c r="G1102" s="5"/>
      <c r="H1102" s="6"/>
      <c r="I1102" s="5"/>
      <c r="J1102" s="88"/>
      <c r="K1102" s="88"/>
      <c r="L1102" s="88"/>
      <c r="M1102" s="88"/>
      <c r="N1102" s="88"/>
      <c r="O1102" s="88"/>
      <c r="P1102" s="88"/>
      <c r="Q1102" s="89"/>
      <c r="R1102" s="88"/>
      <c r="S1102" s="88"/>
      <c r="T1102" s="90"/>
      <c r="U1102" s="6"/>
      <c r="V1102" s="87">
        <v>45517</v>
      </c>
      <c r="W1102" s="45">
        <v>190.99</v>
      </c>
      <c r="X1102" s="91"/>
      <c r="Y1102" s="77"/>
      <c r="Z1102" s="5"/>
      <c r="AA1102" s="5"/>
      <c r="AB1102" s="5"/>
      <c r="AC1102" s="5"/>
      <c r="AD1102" s="5"/>
      <c r="AE1102" s="5"/>
      <c r="AF1102" s="5"/>
      <c r="AG1102" s="5"/>
      <c r="AH1102" s="6"/>
      <c r="AI1102" s="87">
        <v>45517</v>
      </c>
      <c r="AJ1102" s="53">
        <v>190.99</v>
      </c>
      <c r="AK1102" s="54">
        <f t="shared" si="187"/>
        <v>7.9691788051510226E-3</v>
      </c>
      <c r="AL1102" s="55">
        <f t="shared" si="190"/>
        <v>25.956694847305844</v>
      </c>
      <c r="AM1102" s="56">
        <v>25</v>
      </c>
      <c r="AN1102" s="57">
        <f t="shared" si="188"/>
        <v>-0.95669484730584387</v>
      </c>
      <c r="AO1102" s="76">
        <f t="shared" si="191"/>
        <v>-6.6396804559154701</v>
      </c>
      <c r="AP1102" s="63" t="str">
        <f t="shared" si="192"/>
        <v/>
      </c>
      <c r="AQ1102" s="63" t="str">
        <f t="shared" si="193"/>
        <v>Sell Stocks</v>
      </c>
      <c r="AR1102" s="63" t="str">
        <f t="shared" si="194"/>
        <v/>
      </c>
      <c r="AS1102" s="63" t="str">
        <f t="shared" si="195"/>
        <v/>
      </c>
      <c r="AT1102" s="78" t="str">
        <f t="shared" si="196"/>
        <v/>
      </c>
      <c r="AU1102" s="78" t="str">
        <f t="shared" si="197"/>
        <v/>
      </c>
      <c r="AV1102" s="64" t="str">
        <f ca="1">IFERROR(__xludf.DUMMYFUNCTION("IF(TRIM(AU1102)="""","""",AU1102/INDEX(FILTER(AT$3:AT1102,TRIM(AT$3:AT1102)&lt;&gt;""""),ROWS(FILTER(AT$3:AT1102,TRIM(AT$3:AT1102)&lt;&gt;"""")))-1)"),"")</f>
        <v/>
      </c>
      <c r="AW1102" s="65" t="e">
        <f t="shared" ca="1" si="189"/>
        <v>#VALUE!</v>
      </c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</row>
    <row r="1103" spans="1:68" ht="19" x14ac:dyDescent="0.25">
      <c r="A1103" s="5"/>
      <c r="B1103" s="5"/>
      <c r="C1103" s="5"/>
      <c r="D1103" s="5"/>
      <c r="E1103" s="5"/>
      <c r="F1103" s="5"/>
      <c r="G1103" s="5"/>
      <c r="H1103" s="6"/>
      <c r="I1103" s="5"/>
      <c r="J1103" s="88"/>
      <c r="K1103" s="88"/>
      <c r="L1103" s="88"/>
      <c r="M1103" s="88"/>
      <c r="N1103" s="88"/>
      <c r="O1103" s="88"/>
      <c r="P1103" s="88"/>
      <c r="Q1103" s="89"/>
      <c r="R1103" s="88"/>
      <c r="S1103" s="88"/>
      <c r="T1103" s="90"/>
      <c r="U1103" s="6"/>
      <c r="V1103" s="87">
        <v>45518</v>
      </c>
      <c r="W1103" s="45">
        <v>192.32</v>
      </c>
      <c r="X1103" s="91"/>
      <c r="Y1103" s="77"/>
      <c r="Z1103" s="5"/>
      <c r="AA1103" s="5"/>
      <c r="AB1103" s="5"/>
      <c r="AC1103" s="5"/>
      <c r="AD1103" s="5"/>
      <c r="AE1103" s="5"/>
      <c r="AF1103" s="5"/>
      <c r="AG1103" s="5"/>
      <c r="AH1103" s="6"/>
      <c r="AI1103" s="87">
        <v>45518</v>
      </c>
      <c r="AJ1103" s="53">
        <v>192.32</v>
      </c>
      <c r="AK1103" s="54">
        <f t="shared" si="187"/>
        <v>6.9637153777684091E-3</v>
      </c>
      <c r="AL1103" s="55">
        <f t="shared" si="190"/>
        <v>25.656401350880813</v>
      </c>
      <c r="AM1103" s="56">
        <v>25</v>
      </c>
      <c r="AN1103" s="57">
        <f t="shared" si="188"/>
        <v>-0.65640135088081308</v>
      </c>
      <c r="AO1103" s="76">
        <f t="shared" si="191"/>
        <v>-5.9807533187017423</v>
      </c>
      <c r="AP1103" s="63" t="str">
        <f t="shared" si="192"/>
        <v/>
      </c>
      <c r="AQ1103" s="63" t="str">
        <f t="shared" si="193"/>
        <v>Sell Stocks</v>
      </c>
      <c r="AR1103" s="63" t="str">
        <f t="shared" si="194"/>
        <v/>
      </c>
      <c r="AS1103" s="63" t="str">
        <f t="shared" si="195"/>
        <v/>
      </c>
      <c r="AT1103" s="78" t="str">
        <f t="shared" si="196"/>
        <v/>
      </c>
      <c r="AU1103" s="78" t="str">
        <f t="shared" si="197"/>
        <v/>
      </c>
      <c r="AV1103" s="64" t="str">
        <f ca="1">IFERROR(__xludf.DUMMYFUNCTION("IF(TRIM(AU1103)="""","""",AU1103/INDEX(FILTER(AT$3:AT1103,TRIM(AT$3:AT1103)&lt;&gt;""""),ROWS(FILTER(AT$3:AT1103,TRIM(AT$3:AT1103)&lt;&gt;"""")))-1)"),"")</f>
        <v/>
      </c>
      <c r="AW1103" s="65" t="e">
        <f t="shared" ca="1" si="189"/>
        <v>#VALUE!</v>
      </c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</row>
    <row r="1104" spans="1:68" ht="19" x14ac:dyDescent="0.25">
      <c r="A1104" s="5"/>
      <c r="B1104" s="5"/>
      <c r="C1104" s="5"/>
      <c r="D1104" s="5"/>
      <c r="E1104" s="5"/>
      <c r="F1104" s="5"/>
      <c r="G1104" s="5"/>
      <c r="H1104" s="6"/>
      <c r="I1104" s="5"/>
      <c r="J1104" s="88"/>
      <c r="K1104" s="88"/>
      <c r="L1104" s="88"/>
      <c r="M1104" s="88"/>
      <c r="N1104" s="88"/>
      <c r="O1104" s="88"/>
      <c r="P1104" s="88"/>
      <c r="Q1104" s="89"/>
      <c r="R1104" s="88"/>
      <c r="S1104" s="88"/>
      <c r="T1104" s="90"/>
      <c r="U1104" s="6"/>
      <c r="V1104" s="87">
        <v>45519</v>
      </c>
      <c r="W1104" s="45">
        <v>193.95</v>
      </c>
      <c r="X1104" s="91"/>
      <c r="Y1104" s="77"/>
      <c r="Z1104" s="5"/>
      <c r="AA1104" s="5"/>
      <c r="AB1104" s="5"/>
      <c r="AC1104" s="5"/>
      <c r="AD1104" s="5"/>
      <c r="AE1104" s="5"/>
      <c r="AF1104" s="5"/>
      <c r="AG1104" s="5"/>
      <c r="AH1104" s="6"/>
      <c r="AI1104" s="87">
        <v>45519</v>
      </c>
      <c r="AJ1104" s="53">
        <v>193.95</v>
      </c>
      <c r="AK1104" s="54">
        <f t="shared" si="187"/>
        <v>8.4754575707155499E-3</v>
      </c>
      <c r="AL1104" s="55">
        <f t="shared" si="190"/>
        <v>14.107715529647294</v>
      </c>
      <c r="AM1104" s="56">
        <v>25</v>
      </c>
      <c r="AN1104" s="57">
        <f t="shared" si="188"/>
        <v>10.892284470352706</v>
      </c>
      <c r="AO1104" s="76">
        <f t="shared" si="191"/>
        <v>-1.3112346809871673</v>
      </c>
      <c r="AP1104" s="63" t="str">
        <f t="shared" si="192"/>
        <v/>
      </c>
      <c r="AQ1104" s="63" t="str">
        <f t="shared" si="193"/>
        <v>Sell Stocks</v>
      </c>
      <c r="AR1104" s="63" t="str">
        <f t="shared" si="194"/>
        <v/>
      </c>
      <c r="AS1104" s="63" t="str">
        <f t="shared" si="195"/>
        <v/>
      </c>
      <c r="AT1104" s="78" t="str">
        <f t="shared" si="196"/>
        <v/>
      </c>
      <c r="AU1104" s="78" t="str">
        <f t="shared" si="197"/>
        <v/>
      </c>
      <c r="AV1104" s="64" t="str">
        <f ca="1">IFERROR(__xludf.DUMMYFUNCTION("IF(TRIM(AU1104)="""","""",AU1104/INDEX(FILTER(AT$3:AT1104,TRIM(AT$3:AT1104)&lt;&gt;""""),ROWS(FILTER(AT$3:AT1104,TRIM(AT$3:AT1104)&lt;&gt;"""")))-1)"),"")</f>
        <v/>
      </c>
      <c r="AW1104" s="65" t="e">
        <f t="shared" ca="1" si="189"/>
        <v>#VALUE!</v>
      </c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</row>
    <row r="1105" spans="1:68" ht="19" x14ac:dyDescent="0.25">
      <c r="A1105" s="5"/>
      <c r="B1105" s="5"/>
      <c r="C1105" s="5"/>
      <c r="D1105" s="5"/>
      <c r="E1105" s="5"/>
      <c r="F1105" s="5"/>
      <c r="G1105" s="5"/>
      <c r="H1105" s="6"/>
      <c r="I1105" s="5"/>
      <c r="J1105" s="88"/>
      <c r="K1105" s="88"/>
      <c r="L1105" s="88"/>
      <c r="M1105" s="88"/>
      <c r="N1105" s="88"/>
      <c r="O1105" s="88"/>
      <c r="P1105" s="88"/>
      <c r="Q1105" s="89"/>
      <c r="R1105" s="88"/>
      <c r="S1105" s="88"/>
      <c r="T1105" s="90"/>
      <c r="U1105" s="6"/>
      <c r="V1105" s="87">
        <v>45520</v>
      </c>
      <c r="W1105" s="45">
        <v>193.78</v>
      </c>
      <c r="X1105" s="91"/>
      <c r="Y1105" s="77"/>
      <c r="Z1105" s="5"/>
      <c r="AA1105" s="5"/>
      <c r="AB1105" s="5"/>
      <c r="AC1105" s="5"/>
      <c r="AD1105" s="5"/>
      <c r="AE1105" s="5"/>
      <c r="AF1105" s="5"/>
      <c r="AG1105" s="5"/>
      <c r="AH1105" s="6"/>
      <c r="AI1105" s="87">
        <v>45520</v>
      </c>
      <c r="AJ1105" s="53">
        <v>193.78</v>
      </c>
      <c r="AK1105" s="54">
        <f t="shared" si="187"/>
        <v>-8.7651456560966512E-4</v>
      </c>
      <c r="AL1105" s="55">
        <f t="shared" si="190"/>
        <v>12.811024335665294</v>
      </c>
      <c r="AM1105" s="56">
        <v>25</v>
      </c>
      <c r="AN1105" s="57">
        <f t="shared" si="188"/>
        <v>12.188975664334706</v>
      </c>
      <c r="AO1105" s="76">
        <f t="shared" si="191"/>
        <v>3.6965930010954415</v>
      </c>
      <c r="AP1105" s="63" t="str">
        <f t="shared" si="192"/>
        <v>Buy Stocks</v>
      </c>
      <c r="AQ1105" s="63" t="str">
        <f t="shared" si="193"/>
        <v/>
      </c>
      <c r="AR1105" s="63" t="str">
        <f t="shared" si="194"/>
        <v>Buy Stocks</v>
      </c>
      <c r="AS1105" s="63" t="str">
        <f t="shared" si="195"/>
        <v/>
      </c>
      <c r="AT1105" s="77">
        <f t="shared" si="196"/>
        <v>193.78</v>
      </c>
      <c r="AU1105" s="78" t="str">
        <f t="shared" si="197"/>
        <v/>
      </c>
      <c r="AV1105" s="64" t="str">
        <f ca="1">IFERROR(__xludf.DUMMYFUNCTION("IF(TRIM(AU1105)="""","""",AU1105/INDEX(FILTER(AT$3:AT1105,TRIM(AT$3:AT1105)&lt;&gt;""""),ROWS(FILTER(AT$3:AT1105,TRIM(AT$3:AT1105)&lt;&gt;"""")))-1)"),"")</f>
        <v/>
      </c>
      <c r="AW1105" s="65" t="e">
        <f t="shared" ca="1" si="189"/>
        <v>#VALUE!</v>
      </c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</row>
    <row r="1106" spans="1:68" ht="19" x14ac:dyDescent="0.25">
      <c r="A1106" s="5"/>
      <c r="B1106" s="5"/>
      <c r="C1106" s="5"/>
      <c r="D1106" s="5"/>
      <c r="E1106" s="5"/>
      <c r="F1106" s="5"/>
      <c r="G1106" s="5"/>
      <c r="H1106" s="6"/>
      <c r="I1106" s="5"/>
      <c r="J1106" s="88"/>
      <c r="K1106" s="88"/>
      <c r="L1106" s="88"/>
      <c r="M1106" s="88"/>
      <c r="N1106" s="88"/>
      <c r="O1106" s="88"/>
      <c r="P1106" s="88"/>
      <c r="Q1106" s="89"/>
      <c r="R1106" s="88"/>
      <c r="S1106" s="88"/>
      <c r="T1106" s="90"/>
      <c r="U1106" s="6"/>
      <c r="V1106" s="87">
        <v>45523</v>
      </c>
      <c r="W1106" s="45">
        <v>194.73</v>
      </c>
      <c r="X1106" s="91"/>
      <c r="Y1106" s="77"/>
      <c r="Z1106" s="5"/>
      <c r="AA1106" s="5"/>
      <c r="AB1106" s="5"/>
      <c r="AC1106" s="5"/>
      <c r="AD1106" s="5"/>
      <c r="AE1106" s="5"/>
      <c r="AF1106" s="5"/>
      <c r="AG1106" s="5"/>
      <c r="AH1106" s="6"/>
      <c r="AI1106" s="87">
        <v>45523</v>
      </c>
      <c r="AJ1106" s="53">
        <v>194.73</v>
      </c>
      <c r="AK1106" s="54">
        <f t="shared" si="187"/>
        <v>4.9024667148311885E-3</v>
      </c>
      <c r="AL1106" s="55">
        <f t="shared" si="190"/>
        <v>6.0504981960733817</v>
      </c>
      <c r="AM1106" s="56">
        <v>25</v>
      </c>
      <c r="AN1106" s="57">
        <f t="shared" si="188"/>
        <v>18.949501803926619</v>
      </c>
      <c r="AO1106" s="76">
        <f t="shared" si="191"/>
        <v>8.0835331480854755</v>
      </c>
      <c r="AP1106" s="63" t="str">
        <f t="shared" si="192"/>
        <v>Buy Stocks</v>
      </c>
      <c r="AQ1106" s="63" t="str">
        <f t="shared" si="193"/>
        <v/>
      </c>
      <c r="AR1106" s="63" t="str">
        <f t="shared" si="194"/>
        <v/>
      </c>
      <c r="AS1106" s="63" t="str">
        <f t="shared" si="195"/>
        <v/>
      </c>
      <c r="AT1106" s="78" t="str">
        <f t="shared" si="196"/>
        <v/>
      </c>
      <c r="AU1106" s="78" t="str">
        <f t="shared" si="197"/>
        <v/>
      </c>
      <c r="AV1106" s="64" t="str">
        <f ca="1">IFERROR(__xludf.DUMMYFUNCTION("IF(TRIM(AU1106)="""","""",AU1106/INDEX(FILTER(AT$3:AT1106,TRIM(AT$3:AT1106)&lt;&gt;""""),ROWS(FILTER(AT$3:AT1106,TRIM(AT$3:AT1106)&lt;&gt;"""")))-1)"),"")</f>
        <v/>
      </c>
      <c r="AW1106" s="65" t="e">
        <f t="shared" ca="1" si="189"/>
        <v>#VALUE!</v>
      </c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</row>
    <row r="1107" spans="1:68" ht="19" x14ac:dyDescent="0.25">
      <c r="A1107" s="5"/>
      <c r="B1107" s="5"/>
      <c r="C1107" s="5"/>
      <c r="D1107" s="5"/>
      <c r="E1107" s="5"/>
      <c r="F1107" s="5"/>
      <c r="G1107" s="5"/>
      <c r="H1107" s="6"/>
      <c r="I1107" s="5"/>
      <c r="J1107" s="88"/>
      <c r="K1107" s="88"/>
      <c r="L1107" s="88"/>
      <c r="M1107" s="88"/>
      <c r="N1107" s="88"/>
      <c r="O1107" s="88"/>
      <c r="P1107" s="88"/>
      <c r="Q1107" s="89"/>
      <c r="R1107" s="88"/>
      <c r="S1107" s="88"/>
      <c r="T1107" s="90"/>
      <c r="U1107" s="6"/>
      <c r="V1107" s="87">
        <v>45524</v>
      </c>
      <c r="W1107" s="45">
        <v>196.03</v>
      </c>
      <c r="X1107" s="91"/>
      <c r="Y1107" s="77"/>
      <c r="Z1107" s="5"/>
      <c r="AA1107" s="5"/>
      <c r="AB1107" s="5"/>
      <c r="AC1107" s="5"/>
      <c r="AD1107" s="5"/>
      <c r="AE1107" s="5"/>
      <c r="AF1107" s="5"/>
      <c r="AG1107" s="5"/>
      <c r="AH1107" s="6"/>
      <c r="AI1107" s="87">
        <v>45524</v>
      </c>
      <c r="AJ1107" s="53">
        <v>196.03</v>
      </c>
      <c r="AK1107" s="54">
        <f t="shared" si="187"/>
        <v>6.6759102346840571E-3</v>
      </c>
      <c r="AL1107" s="55">
        <f t="shared" si="190"/>
        <v>5.7798362866132127</v>
      </c>
      <c r="AM1107" s="56">
        <v>25</v>
      </c>
      <c r="AN1107" s="57">
        <f t="shared" si="188"/>
        <v>19.220163713386789</v>
      </c>
      <c r="AO1107" s="76">
        <f t="shared" si="191"/>
        <v>12.118904860224003</v>
      </c>
      <c r="AP1107" s="63" t="str">
        <f t="shared" si="192"/>
        <v>Buy Stocks</v>
      </c>
      <c r="AQ1107" s="63" t="str">
        <f t="shared" si="193"/>
        <v/>
      </c>
      <c r="AR1107" s="63" t="str">
        <f t="shared" si="194"/>
        <v/>
      </c>
      <c r="AS1107" s="63" t="str">
        <f t="shared" si="195"/>
        <v/>
      </c>
      <c r="AT1107" s="78" t="str">
        <f t="shared" si="196"/>
        <v/>
      </c>
      <c r="AU1107" s="78" t="str">
        <f t="shared" si="197"/>
        <v/>
      </c>
      <c r="AV1107" s="64" t="str">
        <f ca="1">IFERROR(__xludf.DUMMYFUNCTION("IF(TRIM(AU1107)="""","""",AU1107/INDEX(FILTER(AT$3:AT1107,TRIM(AT$3:AT1107)&lt;&gt;""""),ROWS(FILTER(AT$3:AT1107,TRIM(AT$3:AT1107)&lt;&gt;"""")))-1)"),"")</f>
        <v/>
      </c>
      <c r="AW1107" s="65" t="e">
        <f t="shared" ca="1" si="189"/>
        <v>#VALUE!</v>
      </c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</row>
    <row r="1108" spans="1:68" ht="19" x14ac:dyDescent="0.25">
      <c r="A1108" s="5"/>
      <c r="B1108" s="5"/>
      <c r="C1108" s="5"/>
      <c r="D1108" s="5"/>
      <c r="E1108" s="5"/>
      <c r="F1108" s="5"/>
      <c r="G1108" s="5"/>
      <c r="H1108" s="6"/>
      <c r="I1108" s="5"/>
      <c r="J1108" s="88"/>
      <c r="K1108" s="88"/>
      <c r="L1108" s="88"/>
      <c r="M1108" s="88"/>
      <c r="N1108" s="88"/>
      <c r="O1108" s="88"/>
      <c r="P1108" s="88"/>
      <c r="Q1108" s="89"/>
      <c r="R1108" s="88"/>
      <c r="S1108" s="88"/>
      <c r="T1108" s="90"/>
      <c r="U1108" s="6"/>
      <c r="V1108" s="87">
        <v>45525</v>
      </c>
      <c r="W1108" s="45">
        <v>197.21</v>
      </c>
      <c r="X1108" s="91"/>
      <c r="Y1108" s="77"/>
      <c r="Z1108" s="5"/>
      <c r="AA1108" s="5"/>
      <c r="AB1108" s="5"/>
      <c r="AC1108" s="5"/>
      <c r="AD1108" s="5"/>
      <c r="AE1108" s="5"/>
      <c r="AF1108" s="5"/>
      <c r="AG1108" s="5"/>
      <c r="AH1108" s="6"/>
      <c r="AI1108" s="87">
        <v>45525</v>
      </c>
      <c r="AJ1108" s="53">
        <v>197.21</v>
      </c>
      <c r="AK1108" s="54">
        <f t="shared" si="187"/>
        <v>6.0194868132428248E-3</v>
      </c>
      <c r="AL1108" s="55">
        <f t="shared" si="190"/>
        <v>5.6383574509188508</v>
      </c>
      <c r="AM1108" s="56">
        <v>25</v>
      </c>
      <c r="AN1108" s="57">
        <f t="shared" si="188"/>
        <v>19.36164254908115</v>
      </c>
      <c r="AO1108" s="76">
        <f t="shared" si="191"/>
        <v>16.122513640216393</v>
      </c>
      <c r="AP1108" s="63" t="str">
        <f t="shared" si="192"/>
        <v>Buy Stocks</v>
      </c>
      <c r="AQ1108" s="63" t="str">
        <f t="shared" si="193"/>
        <v/>
      </c>
      <c r="AR1108" s="63" t="str">
        <f t="shared" si="194"/>
        <v/>
      </c>
      <c r="AS1108" s="63" t="str">
        <f t="shared" si="195"/>
        <v/>
      </c>
      <c r="AT1108" s="78" t="str">
        <f t="shared" si="196"/>
        <v/>
      </c>
      <c r="AU1108" s="78" t="str">
        <f t="shared" si="197"/>
        <v/>
      </c>
      <c r="AV1108" s="64" t="str">
        <f ca="1">IFERROR(__xludf.DUMMYFUNCTION("IF(TRIM(AU1108)="""","""",AU1108/INDEX(FILTER(AT$3:AT1108,TRIM(AT$3:AT1108)&lt;&gt;""""),ROWS(FILTER(AT$3:AT1108,TRIM(AT$3:AT1108)&lt;&gt;"""")))-1)"),"")</f>
        <v/>
      </c>
      <c r="AW1108" s="65" t="e">
        <f t="shared" ca="1" si="189"/>
        <v>#VALUE!</v>
      </c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</row>
    <row r="1109" spans="1:68" ht="19" x14ac:dyDescent="0.25">
      <c r="A1109" s="5"/>
      <c r="B1109" s="5"/>
      <c r="C1109" s="5"/>
      <c r="D1109" s="5"/>
      <c r="E1109" s="5"/>
      <c r="F1109" s="5"/>
      <c r="G1109" s="5"/>
      <c r="H1109" s="6"/>
      <c r="I1109" s="5"/>
      <c r="J1109" s="88"/>
      <c r="K1109" s="88"/>
      <c r="L1109" s="88"/>
      <c r="M1109" s="88"/>
      <c r="N1109" s="88"/>
      <c r="O1109" s="88"/>
      <c r="P1109" s="88"/>
      <c r="Q1109" s="89"/>
      <c r="R1109" s="88"/>
      <c r="S1109" s="88"/>
      <c r="T1109" s="90"/>
      <c r="U1109" s="6"/>
      <c r="V1109" s="87">
        <v>45526</v>
      </c>
      <c r="W1109" s="45">
        <v>195.96</v>
      </c>
      <c r="X1109" s="91"/>
      <c r="Y1109" s="77"/>
      <c r="Z1109" s="5"/>
      <c r="AA1109" s="5"/>
      <c r="AB1109" s="5"/>
      <c r="AC1109" s="5"/>
      <c r="AD1109" s="5"/>
      <c r="AE1109" s="5"/>
      <c r="AF1109" s="5"/>
      <c r="AG1109" s="5"/>
      <c r="AH1109" s="6"/>
      <c r="AI1109" s="87">
        <v>45526</v>
      </c>
      <c r="AJ1109" s="53">
        <v>195.96</v>
      </c>
      <c r="AK1109" s="54">
        <f t="shared" si="187"/>
        <v>-6.3384209725673157E-3</v>
      </c>
      <c r="AL1109" s="55">
        <f t="shared" si="190"/>
        <v>8.8463533917603527</v>
      </c>
      <c r="AM1109" s="56">
        <v>25</v>
      </c>
      <c r="AN1109" s="57">
        <f t="shared" si="188"/>
        <v>16.153646608239647</v>
      </c>
      <c r="AO1109" s="76">
        <f t="shared" si="191"/>
        <v>17.174786067793782</v>
      </c>
      <c r="AP1109" s="63" t="str">
        <f t="shared" si="192"/>
        <v>Buy Stocks</v>
      </c>
      <c r="AQ1109" s="63" t="str">
        <f t="shared" si="193"/>
        <v/>
      </c>
      <c r="AR1109" s="63" t="str">
        <f t="shared" si="194"/>
        <v/>
      </c>
      <c r="AS1109" s="63" t="str">
        <f t="shared" si="195"/>
        <v/>
      </c>
      <c r="AT1109" s="78" t="str">
        <f t="shared" si="196"/>
        <v/>
      </c>
      <c r="AU1109" s="78" t="str">
        <f t="shared" si="197"/>
        <v/>
      </c>
      <c r="AV1109" s="64" t="str">
        <f ca="1">IFERROR(__xludf.DUMMYFUNCTION("IF(TRIM(AU1109)="""","""",AU1109/INDEX(FILTER(AT$3:AT1109,TRIM(AT$3:AT1109)&lt;&gt;""""),ROWS(FILTER(AT$3:AT1109,TRIM(AT$3:AT1109)&lt;&gt;"""")))-1)"),"")</f>
        <v/>
      </c>
      <c r="AW1109" s="65" t="e">
        <f t="shared" ca="1" si="189"/>
        <v>#VALUE!</v>
      </c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</row>
    <row r="1110" spans="1:68" ht="19" x14ac:dyDescent="0.25">
      <c r="A1110" s="5"/>
      <c r="B1110" s="5"/>
      <c r="C1110" s="5"/>
      <c r="D1110" s="5"/>
      <c r="E1110" s="5"/>
      <c r="F1110" s="5"/>
      <c r="G1110" s="5"/>
      <c r="H1110" s="6"/>
      <c r="I1110" s="5"/>
      <c r="J1110" s="88"/>
      <c r="K1110" s="88"/>
      <c r="L1110" s="88"/>
      <c r="M1110" s="88"/>
      <c r="N1110" s="88"/>
      <c r="O1110" s="88"/>
      <c r="P1110" s="88"/>
      <c r="Q1110" s="89"/>
      <c r="R1110" s="88"/>
      <c r="S1110" s="88"/>
      <c r="T1110" s="90"/>
      <c r="U1110" s="6"/>
      <c r="V1110" s="44">
        <v>45527</v>
      </c>
      <c r="W1110" s="45">
        <v>196.1</v>
      </c>
      <c r="X1110" s="91"/>
      <c r="Y1110" s="77"/>
      <c r="Z1110" s="5"/>
      <c r="AA1110" s="5"/>
      <c r="AB1110" s="5"/>
      <c r="AC1110" s="5"/>
      <c r="AD1110" s="5"/>
      <c r="AE1110" s="5"/>
      <c r="AF1110" s="5"/>
      <c r="AG1110" s="5"/>
      <c r="AH1110" s="6"/>
      <c r="AI1110" s="44">
        <v>45527</v>
      </c>
      <c r="AJ1110" s="53">
        <v>196.1</v>
      </c>
      <c r="AK1110" s="54">
        <f t="shared" si="187"/>
        <v>7.1443151663608262E-4</v>
      </c>
      <c r="AL1110" s="55">
        <f t="shared" si="190"/>
        <v>8.5798535094044386</v>
      </c>
      <c r="AM1110" s="56">
        <v>25</v>
      </c>
      <c r="AN1110" s="57">
        <f t="shared" si="188"/>
        <v>16.420146490595563</v>
      </c>
      <c r="AO1110" s="76">
        <f t="shared" si="191"/>
        <v>18.021020233045952</v>
      </c>
      <c r="AP1110" s="63" t="str">
        <f t="shared" si="192"/>
        <v>Buy Stocks</v>
      </c>
      <c r="AQ1110" s="63" t="str">
        <f t="shared" si="193"/>
        <v/>
      </c>
      <c r="AR1110" s="63" t="str">
        <f t="shared" si="194"/>
        <v/>
      </c>
      <c r="AS1110" s="63" t="str">
        <f t="shared" si="195"/>
        <v/>
      </c>
      <c r="AT1110" s="78" t="str">
        <f t="shared" si="196"/>
        <v/>
      </c>
      <c r="AU1110" s="78" t="str">
        <f t="shared" si="197"/>
        <v/>
      </c>
      <c r="AV1110" s="64" t="str">
        <f ca="1">IFERROR(__xludf.DUMMYFUNCTION("IF(TRIM(AU1110)="""","""",AU1110/INDEX(FILTER(AT$3:AT1110,TRIM(AT$3:AT1110)&lt;&gt;""""),ROWS(FILTER(AT$3:AT1110,TRIM(AT$3:AT1110)&lt;&gt;"""")))-1)"),"")</f>
        <v/>
      </c>
      <c r="AW1110" s="65" t="e">
        <f t="shared" ca="1" si="189"/>
        <v>#VALUE!</v>
      </c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</row>
    <row r="1111" spans="1:68" ht="19" x14ac:dyDescent="0.25">
      <c r="A1111" s="5"/>
      <c r="B1111" s="5"/>
      <c r="C1111" s="5"/>
      <c r="D1111" s="5"/>
      <c r="E1111" s="5"/>
      <c r="F1111" s="5"/>
      <c r="G1111" s="5"/>
      <c r="H1111" s="6"/>
      <c r="I1111" s="5"/>
      <c r="J1111" s="88"/>
      <c r="K1111" s="88"/>
      <c r="L1111" s="88"/>
      <c r="M1111" s="88"/>
      <c r="N1111" s="88"/>
      <c r="O1111" s="88"/>
      <c r="P1111" s="88"/>
      <c r="Q1111" s="89"/>
      <c r="R1111" s="88"/>
      <c r="S1111" s="88"/>
      <c r="T1111" s="90"/>
      <c r="U1111" s="6"/>
      <c r="V1111" s="44">
        <v>45530</v>
      </c>
      <c r="W1111" s="45">
        <v>197.98</v>
      </c>
      <c r="X1111" s="91"/>
      <c r="Y1111" s="77"/>
      <c r="Z1111" s="5"/>
      <c r="AA1111" s="5"/>
      <c r="AB1111" s="5"/>
      <c r="AC1111" s="5"/>
      <c r="AD1111" s="5"/>
      <c r="AE1111" s="5"/>
      <c r="AF1111" s="5"/>
      <c r="AG1111" s="5"/>
      <c r="AH1111" s="6"/>
      <c r="AI1111" s="44">
        <v>45530</v>
      </c>
      <c r="AJ1111" s="53">
        <v>197.98</v>
      </c>
      <c r="AK1111" s="54">
        <f t="shared" si="187"/>
        <v>9.5869454360020256E-3</v>
      </c>
      <c r="AL1111" s="55">
        <f t="shared" si="190"/>
        <v>9.9737326388234919</v>
      </c>
      <c r="AM1111" s="56">
        <v>25</v>
      </c>
      <c r="AN1111" s="57">
        <f t="shared" si="188"/>
        <v>15.026267361176508</v>
      </c>
      <c r="AO1111" s="76">
        <f t="shared" si="191"/>
        <v>17.236373344495931</v>
      </c>
      <c r="AP1111" s="63" t="str">
        <f t="shared" si="192"/>
        <v>Buy Stocks</v>
      </c>
      <c r="AQ1111" s="63" t="str">
        <f t="shared" si="193"/>
        <v/>
      </c>
      <c r="AR1111" s="63" t="str">
        <f t="shared" si="194"/>
        <v/>
      </c>
      <c r="AS1111" s="63" t="str">
        <f t="shared" si="195"/>
        <v/>
      </c>
      <c r="AT1111" s="78" t="str">
        <f t="shared" si="196"/>
        <v/>
      </c>
      <c r="AU1111" s="78" t="str">
        <f t="shared" si="197"/>
        <v/>
      </c>
      <c r="AV1111" s="64" t="str">
        <f ca="1">IFERROR(__xludf.DUMMYFUNCTION("IF(TRIM(AU1111)="""","""",AU1111/INDEX(FILTER(AT$3:AT1111,TRIM(AT$3:AT1111)&lt;&gt;""""),ROWS(FILTER(AT$3:AT1111,TRIM(AT$3:AT1111)&lt;&gt;"""")))-1)"),"")</f>
        <v/>
      </c>
      <c r="AW1111" s="65" t="e">
        <f t="shared" ca="1" si="189"/>
        <v>#VALUE!</v>
      </c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</row>
    <row r="1112" spans="1:68" ht="19" x14ac:dyDescent="0.25">
      <c r="A1112" s="5"/>
      <c r="B1112" s="5"/>
      <c r="C1112" s="5"/>
      <c r="D1112" s="5"/>
      <c r="E1112" s="5"/>
      <c r="F1112" s="5"/>
      <c r="G1112" s="5"/>
      <c r="H1112" s="6"/>
      <c r="I1112" s="5"/>
      <c r="J1112" s="88"/>
      <c r="K1112" s="88"/>
      <c r="L1112" s="88"/>
      <c r="M1112" s="88"/>
      <c r="N1112" s="88"/>
      <c r="O1112" s="88"/>
      <c r="P1112" s="88"/>
      <c r="Q1112" s="89"/>
      <c r="R1112" s="88"/>
      <c r="S1112" s="88"/>
      <c r="T1112" s="90"/>
      <c r="U1112" s="6"/>
      <c r="V1112" s="44">
        <v>45531</v>
      </c>
      <c r="W1112" s="45">
        <v>198.73</v>
      </c>
      <c r="X1112" s="91"/>
      <c r="Y1112" s="77"/>
      <c r="Z1112" s="5"/>
      <c r="AA1112" s="5"/>
      <c r="AB1112" s="5"/>
      <c r="AC1112" s="5"/>
      <c r="AD1112" s="5"/>
      <c r="AE1112" s="5"/>
      <c r="AF1112" s="5"/>
      <c r="AG1112" s="5"/>
      <c r="AH1112" s="6"/>
      <c r="AI1112" s="44">
        <v>45531</v>
      </c>
      <c r="AJ1112" s="53">
        <v>198.73</v>
      </c>
      <c r="AK1112" s="54">
        <f t="shared" si="187"/>
        <v>3.7882614405495563E-3</v>
      </c>
      <c r="AL1112" s="55">
        <f t="shared" si="190"/>
        <v>9.5660936531845984</v>
      </c>
      <c r="AM1112" s="56">
        <v>25</v>
      </c>
      <c r="AN1112" s="57">
        <f t="shared" si="188"/>
        <v>15.433906346815402</v>
      </c>
      <c r="AO1112" s="76">
        <f t="shared" si="191"/>
        <v>16.479121871181654</v>
      </c>
      <c r="AP1112" s="63" t="str">
        <f t="shared" si="192"/>
        <v>Buy Stocks</v>
      </c>
      <c r="AQ1112" s="63" t="str">
        <f t="shared" si="193"/>
        <v/>
      </c>
      <c r="AR1112" s="63" t="str">
        <f t="shared" si="194"/>
        <v/>
      </c>
      <c r="AS1112" s="63" t="str">
        <f t="shared" si="195"/>
        <v/>
      </c>
      <c r="AT1112" s="78" t="str">
        <f t="shared" si="196"/>
        <v/>
      </c>
      <c r="AU1112" s="78" t="str">
        <f t="shared" si="197"/>
        <v/>
      </c>
      <c r="AV1112" s="64" t="str">
        <f ca="1">IFERROR(__xludf.DUMMYFUNCTION("IF(TRIM(AU1112)="""","""",AU1112/INDEX(FILTER(AT$3:AT1112,TRIM(AT$3:AT1112)&lt;&gt;""""),ROWS(FILTER(AT$3:AT1112,TRIM(AT$3:AT1112)&lt;&gt;"""")))-1)"),"")</f>
        <v/>
      </c>
      <c r="AW1112" s="65" t="e">
        <f t="shared" ca="1" si="189"/>
        <v>#VALUE!</v>
      </c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</row>
    <row r="1113" spans="1:68" ht="19" x14ac:dyDescent="0.25">
      <c r="A1113" s="5"/>
      <c r="B1113" s="5"/>
      <c r="C1113" s="5"/>
      <c r="D1113" s="5"/>
      <c r="E1113" s="5"/>
      <c r="F1113" s="5"/>
      <c r="G1113" s="5"/>
      <c r="H1113" s="6"/>
      <c r="I1113" s="5"/>
      <c r="J1113" s="88"/>
      <c r="K1113" s="88"/>
      <c r="L1113" s="88"/>
      <c r="M1113" s="88"/>
      <c r="N1113" s="88"/>
      <c r="O1113" s="88"/>
      <c r="P1113" s="88"/>
      <c r="Q1113" s="89"/>
      <c r="R1113" s="88"/>
      <c r="S1113" s="88"/>
      <c r="T1113" s="90"/>
      <c r="U1113" s="6"/>
      <c r="V1113" s="44">
        <v>45532</v>
      </c>
      <c r="W1113" s="45">
        <v>198.46</v>
      </c>
      <c r="X1113" s="91"/>
      <c r="Y1113" s="77"/>
      <c r="Z1113" s="5"/>
      <c r="AA1113" s="5"/>
      <c r="AB1113" s="5"/>
      <c r="AC1113" s="5"/>
      <c r="AD1113" s="5"/>
      <c r="AE1113" s="5"/>
      <c r="AF1113" s="5"/>
      <c r="AG1113" s="5"/>
      <c r="AH1113" s="6"/>
      <c r="AI1113" s="44">
        <v>45532</v>
      </c>
      <c r="AJ1113" s="53">
        <v>198.46</v>
      </c>
      <c r="AK1113" s="54">
        <f t="shared" si="187"/>
        <v>-1.3586272832485369E-3</v>
      </c>
      <c r="AL1113" s="55">
        <f t="shared" si="190"/>
        <v>9.4122334241100454</v>
      </c>
      <c r="AM1113" s="56">
        <v>25</v>
      </c>
      <c r="AN1113" s="57">
        <f t="shared" si="188"/>
        <v>15.587766575889955</v>
      </c>
      <c r="AO1113" s="76">
        <f t="shared" si="191"/>
        <v>15.724346676543416</v>
      </c>
      <c r="AP1113" s="63" t="str">
        <f t="shared" si="192"/>
        <v>Buy Stocks</v>
      </c>
      <c r="AQ1113" s="63" t="str">
        <f t="shared" si="193"/>
        <v/>
      </c>
      <c r="AR1113" s="63" t="str">
        <f t="shared" si="194"/>
        <v/>
      </c>
      <c r="AS1113" s="63" t="str">
        <f t="shared" si="195"/>
        <v/>
      </c>
      <c r="AT1113" s="78" t="str">
        <f t="shared" si="196"/>
        <v/>
      </c>
      <c r="AU1113" s="78" t="str">
        <f t="shared" si="197"/>
        <v/>
      </c>
      <c r="AV1113" s="64" t="str">
        <f ca="1">IFERROR(__xludf.DUMMYFUNCTION("IF(TRIM(AU1113)="""","""",AU1113/INDEX(FILTER(AT$3:AT1113,TRIM(AT$3:AT1113)&lt;&gt;""""),ROWS(FILTER(AT$3:AT1113,TRIM(AT$3:AT1113)&lt;&gt;"""")))-1)"),"")</f>
        <v/>
      </c>
      <c r="AW1113" s="65" t="e">
        <f t="shared" ca="1" si="189"/>
        <v>#VALUE!</v>
      </c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</row>
    <row r="1114" spans="1:68" ht="19" x14ac:dyDescent="0.25">
      <c r="A1114" s="5"/>
      <c r="B1114" s="5"/>
      <c r="C1114" s="5"/>
      <c r="D1114" s="5"/>
      <c r="E1114" s="5"/>
      <c r="F1114" s="5"/>
      <c r="G1114" s="5"/>
      <c r="H1114" s="6"/>
      <c r="I1114" s="5"/>
      <c r="J1114" s="88"/>
      <c r="K1114" s="88"/>
      <c r="L1114" s="88"/>
      <c r="M1114" s="88"/>
      <c r="N1114" s="88"/>
      <c r="O1114" s="88"/>
      <c r="P1114" s="88"/>
      <c r="Q1114" s="89"/>
      <c r="R1114" s="88"/>
      <c r="S1114" s="88"/>
      <c r="T1114" s="90"/>
      <c r="U1114" s="6"/>
      <c r="V1114" s="44">
        <v>45533</v>
      </c>
      <c r="W1114" s="45">
        <v>198.9</v>
      </c>
      <c r="X1114" s="91"/>
      <c r="Y1114" s="77"/>
      <c r="Z1114" s="5"/>
      <c r="AA1114" s="5"/>
      <c r="AB1114" s="5"/>
      <c r="AC1114" s="5"/>
      <c r="AD1114" s="5"/>
      <c r="AE1114" s="5"/>
      <c r="AF1114" s="5"/>
      <c r="AG1114" s="5"/>
      <c r="AH1114" s="6"/>
      <c r="AI1114" s="44">
        <v>45533</v>
      </c>
      <c r="AJ1114" s="53">
        <v>198.9</v>
      </c>
      <c r="AK1114" s="54">
        <f t="shared" si="187"/>
        <v>2.2170714501663635E-3</v>
      </c>
      <c r="AL1114" s="55">
        <f t="shared" si="190"/>
        <v>6.5856778403554221</v>
      </c>
      <c r="AM1114" s="56">
        <v>25</v>
      </c>
      <c r="AN1114" s="57">
        <f t="shared" si="188"/>
        <v>18.414322159644577</v>
      </c>
      <c r="AO1114" s="76">
        <f t="shared" si="191"/>
        <v>16.1764817868244</v>
      </c>
      <c r="AP1114" s="63" t="str">
        <f t="shared" si="192"/>
        <v>Buy Stocks</v>
      </c>
      <c r="AQ1114" s="63" t="str">
        <f t="shared" si="193"/>
        <v/>
      </c>
      <c r="AR1114" s="63" t="str">
        <f t="shared" si="194"/>
        <v/>
      </c>
      <c r="AS1114" s="63" t="str">
        <f t="shared" si="195"/>
        <v/>
      </c>
      <c r="AT1114" s="78" t="str">
        <f t="shared" si="196"/>
        <v/>
      </c>
      <c r="AU1114" s="78" t="str">
        <f t="shared" si="197"/>
        <v/>
      </c>
      <c r="AV1114" s="64" t="str">
        <f ca="1">IFERROR(__xludf.DUMMYFUNCTION("IF(TRIM(AU1114)="""","""",AU1114/INDEX(FILTER(AT$3:AT1114,TRIM(AT$3:AT1114)&lt;&gt;""""),ROWS(FILTER(AT$3:AT1114,TRIM(AT$3:AT1114)&lt;&gt;"""")))-1)"),"")</f>
        <v/>
      </c>
      <c r="AW1114" s="65" t="e">
        <f t="shared" ca="1" si="189"/>
        <v>#VALUE!</v>
      </c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</row>
    <row r="1115" spans="1:68" ht="19" x14ac:dyDescent="0.25">
      <c r="A1115" s="5"/>
      <c r="B1115" s="5"/>
      <c r="C1115" s="5"/>
      <c r="D1115" s="5"/>
      <c r="E1115" s="5"/>
      <c r="F1115" s="5"/>
      <c r="G1115" s="5"/>
      <c r="H1115" s="6"/>
      <c r="I1115" s="5"/>
      <c r="J1115" s="88"/>
      <c r="K1115" s="88"/>
      <c r="L1115" s="88"/>
      <c r="M1115" s="88"/>
      <c r="N1115" s="88"/>
      <c r="O1115" s="88"/>
      <c r="P1115" s="88"/>
      <c r="Q1115" s="89"/>
      <c r="R1115" s="88"/>
      <c r="S1115" s="88"/>
      <c r="T1115" s="90"/>
      <c r="U1115" s="6"/>
      <c r="V1115" s="44">
        <v>45534</v>
      </c>
      <c r="W1115" s="45">
        <v>202.13</v>
      </c>
      <c r="X1115" s="91"/>
      <c r="Y1115" s="77"/>
      <c r="Z1115" s="5"/>
      <c r="AA1115" s="5"/>
      <c r="AB1115" s="5"/>
      <c r="AC1115" s="5"/>
      <c r="AD1115" s="5"/>
      <c r="AE1115" s="5"/>
      <c r="AF1115" s="5"/>
      <c r="AG1115" s="5"/>
      <c r="AH1115" s="6"/>
      <c r="AI1115" s="44">
        <v>45534</v>
      </c>
      <c r="AJ1115" s="53">
        <v>202.13</v>
      </c>
      <c r="AK1115" s="54">
        <f t="shared" si="187"/>
        <v>1.6239316239316182E-2</v>
      </c>
      <c r="AL1115" s="55">
        <f t="shared" si="190"/>
        <v>10.969984631160404</v>
      </c>
      <c r="AM1115" s="56">
        <v>25</v>
      </c>
      <c r="AN1115" s="57">
        <f t="shared" si="188"/>
        <v>14.030015368839596</v>
      </c>
      <c r="AO1115" s="76">
        <f t="shared" si="191"/>
        <v>15.698455562473209</v>
      </c>
      <c r="AP1115" s="63" t="str">
        <f t="shared" si="192"/>
        <v>Buy Stocks</v>
      </c>
      <c r="AQ1115" s="63" t="str">
        <f t="shared" si="193"/>
        <v/>
      </c>
      <c r="AR1115" s="63" t="str">
        <f t="shared" si="194"/>
        <v/>
      </c>
      <c r="AS1115" s="63" t="str">
        <f t="shared" si="195"/>
        <v/>
      </c>
      <c r="AT1115" s="78" t="str">
        <f t="shared" si="196"/>
        <v/>
      </c>
      <c r="AU1115" s="78" t="str">
        <f t="shared" si="197"/>
        <v/>
      </c>
      <c r="AV1115" s="64" t="str">
        <f ca="1">IFERROR(__xludf.DUMMYFUNCTION("IF(TRIM(AU1115)="""","""",AU1115/INDEX(FILTER(AT$3:AT1115,TRIM(AT$3:AT1115)&lt;&gt;""""),ROWS(FILTER(AT$3:AT1115,TRIM(AT$3:AT1115)&lt;&gt;"""")))-1)"),"")</f>
        <v/>
      </c>
      <c r="AW1115" s="65" t="e">
        <f t="shared" ca="1" si="189"/>
        <v>#VALUE!</v>
      </c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</row>
    <row r="1116" spans="1:68" ht="19" x14ac:dyDescent="0.25">
      <c r="A1116" s="5"/>
      <c r="B1116" s="5"/>
      <c r="C1116" s="5"/>
      <c r="D1116" s="5"/>
      <c r="E1116" s="5"/>
      <c r="F1116" s="5"/>
      <c r="G1116" s="5"/>
      <c r="H1116" s="6"/>
      <c r="I1116" s="5"/>
      <c r="J1116" s="88"/>
      <c r="K1116" s="88"/>
      <c r="L1116" s="88"/>
      <c r="M1116" s="88"/>
      <c r="N1116" s="88"/>
      <c r="O1116" s="88"/>
      <c r="P1116" s="88"/>
      <c r="Q1116" s="89"/>
      <c r="R1116" s="88"/>
      <c r="S1116" s="88"/>
      <c r="T1116" s="90"/>
      <c r="U1116" s="6"/>
      <c r="V1116" s="44">
        <v>45538</v>
      </c>
      <c r="W1116" s="45">
        <v>201.28</v>
      </c>
      <c r="X1116" s="91"/>
      <c r="Y1116" s="77"/>
      <c r="Z1116" s="5"/>
      <c r="AA1116" s="5"/>
      <c r="AB1116" s="5"/>
      <c r="AC1116" s="5"/>
      <c r="AD1116" s="5"/>
      <c r="AE1116" s="5"/>
      <c r="AF1116" s="5"/>
      <c r="AG1116" s="5"/>
      <c r="AH1116" s="6"/>
      <c r="AI1116" s="44">
        <v>45538</v>
      </c>
      <c r="AJ1116" s="53">
        <v>201.28</v>
      </c>
      <c r="AK1116" s="54">
        <f t="shared" si="187"/>
        <v>-4.20521446593769E-3</v>
      </c>
      <c r="AL1116" s="55">
        <f t="shared" si="190"/>
        <v>12.470877192482558</v>
      </c>
      <c r="AM1116" s="56">
        <v>25</v>
      </c>
      <c r="AN1116" s="57">
        <f t="shared" si="188"/>
        <v>12.529122807517442</v>
      </c>
      <c r="AO1116" s="76">
        <f t="shared" si="191"/>
        <v>15.199026651741395</v>
      </c>
      <c r="AP1116" s="63" t="str">
        <f t="shared" si="192"/>
        <v>Buy Stocks</v>
      </c>
      <c r="AQ1116" s="63" t="str">
        <f t="shared" si="193"/>
        <v/>
      </c>
      <c r="AR1116" s="63" t="str">
        <f t="shared" si="194"/>
        <v/>
      </c>
      <c r="AS1116" s="63" t="str">
        <f t="shared" si="195"/>
        <v/>
      </c>
      <c r="AT1116" s="78" t="str">
        <f t="shared" si="196"/>
        <v/>
      </c>
      <c r="AU1116" s="78" t="str">
        <f t="shared" si="197"/>
        <v/>
      </c>
      <c r="AV1116" s="64" t="str">
        <f ca="1">IFERROR(__xludf.DUMMYFUNCTION("IF(TRIM(AU1116)="""","""",AU1116/INDEX(FILTER(AT$3:AT1116,TRIM(AT$3:AT1116)&lt;&gt;""""),ROWS(FILTER(AT$3:AT1116,TRIM(AT$3:AT1116)&lt;&gt;"""")))-1)"),"")</f>
        <v/>
      </c>
      <c r="AW1116" s="65" t="e">
        <f t="shared" ca="1" si="189"/>
        <v>#VALUE!</v>
      </c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</row>
    <row r="1117" spans="1:68" ht="19" x14ac:dyDescent="0.25">
      <c r="A1117" s="5"/>
      <c r="B1117" s="5"/>
      <c r="C1117" s="5"/>
      <c r="D1117" s="5"/>
      <c r="E1117" s="5"/>
      <c r="F1117" s="5"/>
      <c r="G1117" s="5"/>
      <c r="H1117" s="6"/>
      <c r="I1117" s="5"/>
      <c r="J1117" s="88"/>
      <c r="K1117" s="88"/>
      <c r="L1117" s="88"/>
      <c r="M1117" s="88"/>
      <c r="N1117" s="88"/>
      <c r="O1117" s="88"/>
      <c r="P1117" s="88"/>
      <c r="Q1117" s="89"/>
      <c r="R1117" s="88"/>
      <c r="S1117" s="88"/>
      <c r="T1117" s="90"/>
      <c r="U1117" s="6"/>
      <c r="V1117" s="44">
        <v>45539</v>
      </c>
      <c r="W1117" s="45">
        <v>204.11</v>
      </c>
      <c r="X1117" s="91"/>
      <c r="Y1117" s="77"/>
      <c r="Z1117" s="5"/>
      <c r="AA1117" s="5"/>
      <c r="AB1117" s="5"/>
      <c r="AC1117" s="5"/>
      <c r="AD1117" s="5"/>
      <c r="AE1117" s="5"/>
      <c r="AF1117" s="5"/>
      <c r="AG1117" s="5"/>
      <c r="AH1117" s="6"/>
      <c r="AI1117" s="44">
        <v>45539</v>
      </c>
      <c r="AJ1117" s="53">
        <v>204.11</v>
      </c>
      <c r="AK1117" s="54">
        <f t="shared" si="187"/>
        <v>1.4060015898251343E-2</v>
      </c>
      <c r="AL1117" s="55">
        <f t="shared" si="190"/>
        <v>14.647544057179191</v>
      </c>
      <c r="AM1117" s="56">
        <v>25</v>
      </c>
      <c r="AN1117" s="57">
        <f t="shared" si="188"/>
        <v>10.352455942820809</v>
      </c>
      <c r="AO1117" s="76">
        <f t="shared" si="191"/>
        <v>14.182736570942476</v>
      </c>
      <c r="AP1117" s="63" t="str">
        <f t="shared" si="192"/>
        <v>Buy Stocks</v>
      </c>
      <c r="AQ1117" s="63" t="str">
        <f t="shared" si="193"/>
        <v/>
      </c>
      <c r="AR1117" s="63" t="str">
        <f t="shared" si="194"/>
        <v/>
      </c>
      <c r="AS1117" s="63" t="str">
        <f t="shared" si="195"/>
        <v/>
      </c>
      <c r="AT1117" s="78" t="str">
        <f t="shared" si="196"/>
        <v/>
      </c>
      <c r="AU1117" s="78" t="str">
        <f t="shared" si="197"/>
        <v/>
      </c>
      <c r="AV1117" s="64" t="str">
        <f ca="1">IFERROR(__xludf.DUMMYFUNCTION("IF(TRIM(AU1117)="""","""",AU1117/INDEX(FILTER(AT$3:AT1117,TRIM(AT$3:AT1117)&lt;&gt;""""),ROWS(FILTER(AT$3:AT1117,TRIM(AT$3:AT1117)&lt;&gt;"""")))-1)"),"")</f>
        <v/>
      </c>
      <c r="AW1117" s="65" t="e">
        <f t="shared" ca="1" si="189"/>
        <v>#VALUE!</v>
      </c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</row>
    <row r="1118" spans="1:68" ht="19" x14ac:dyDescent="0.25">
      <c r="A1118" s="5"/>
      <c r="B1118" s="5"/>
      <c r="C1118" s="5"/>
      <c r="D1118" s="5"/>
      <c r="E1118" s="5"/>
      <c r="F1118" s="5"/>
      <c r="G1118" s="5"/>
      <c r="H1118" s="6"/>
      <c r="I1118" s="5"/>
      <c r="J1118" s="88"/>
      <c r="K1118" s="88"/>
      <c r="L1118" s="88"/>
      <c r="M1118" s="88"/>
      <c r="N1118" s="88"/>
      <c r="O1118" s="88"/>
      <c r="P1118" s="88"/>
      <c r="Q1118" s="89"/>
      <c r="R1118" s="88"/>
      <c r="S1118" s="88"/>
      <c r="T1118" s="90"/>
      <c r="U1118" s="6"/>
      <c r="V1118" s="44">
        <v>45540</v>
      </c>
      <c r="W1118" s="45">
        <v>202.59</v>
      </c>
      <c r="X1118" s="91"/>
      <c r="Y1118" s="77"/>
      <c r="Z1118" s="5"/>
      <c r="AA1118" s="5"/>
      <c r="AB1118" s="5"/>
      <c r="AC1118" s="5"/>
      <c r="AD1118" s="5"/>
      <c r="AE1118" s="5"/>
      <c r="AF1118" s="5"/>
      <c r="AG1118" s="5"/>
      <c r="AH1118" s="6"/>
      <c r="AI1118" s="44">
        <v>45540</v>
      </c>
      <c r="AJ1118" s="53">
        <v>202.59</v>
      </c>
      <c r="AK1118" s="54">
        <f t="shared" si="187"/>
        <v>-7.4469648718828996E-3</v>
      </c>
      <c r="AL1118" s="55">
        <f t="shared" si="190"/>
        <v>16.882163866432649</v>
      </c>
      <c r="AM1118" s="56">
        <v>25</v>
      </c>
      <c r="AN1118" s="57">
        <f t="shared" si="188"/>
        <v>8.1178361335673515</v>
      </c>
      <c r="AO1118" s="76">
        <f t="shared" si="191"/>
        <v>12.688750482477953</v>
      </c>
      <c r="AP1118" s="63" t="str">
        <f t="shared" si="192"/>
        <v>Buy Stocks</v>
      </c>
      <c r="AQ1118" s="63" t="str">
        <f t="shared" si="193"/>
        <v/>
      </c>
      <c r="AR1118" s="63" t="str">
        <f t="shared" si="194"/>
        <v/>
      </c>
      <c r="AS1118" s="63" t="str">
        <f t="shared" si="195"/>
        <v/>
      </c>
      <c r="AT1118" s="78" t="str">
        <f t="shared" si="196"/>
        <v/>
      </c>
      <c r="AU1118" s="78" t="str">
        <f t="shared" si="197"/>
        <v/>
      </c>
      <c r="AV1118" s="64" t="str">
        <f ca="1">IFERROR(__xludf.DUMMYFUNCTION("IF(TRIM(AU1118)="""","""",AU1118/INDEX(FILTER(AT$3:AT1118,TRIM(AT$3:AT1118)&lt;&gt;""""),ROWS(FILTER(AT$3:AT1118,TRIM(AT$3:AT1118)&lt;&gt;"""")))-1)"),"")</f>
        <v/>
      </c>
      <c r="AW1118" s="65" t="e">
        <f t="shared" ca="1" si="189"/>
        <v>#VALUE!</v>
      </c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</row>
    <row r="1119" spans="1:68" ht="19" x14ac:dyDescent="0.25">
      <c r="A1119" s="5"/>
      <c r="B1119" s="5"/>
      <c r="C1119" s="5"/>
      <c r="D1119" s="5"/>
      <c r="E1119" s="5"/>
      <c r="F1119" s="5"/>
      <c r="G1119" s="5"/>
      <c r="H1119" s="6"/>
      <c r="I1119" s="5"/>
      <c r="J1119" s="88"/>
      <c r="K1119" s="88"/>
      <c r="L1119" s="88"/>
      <c r="M1119" s="88"/>
      <c r="N1119" s="88"/>
      <c r="O1119" s="88"/>
      <c r="P1119" s="88"/>
      <c r="Q1119" s="89"/>
      <c r="R1119" s="88"/>
      <c r="S1119" s="88"/>
      <c r="T1119" s="90"/>
      <c r="U1119" s="6"/>
      <c r="V1119" s="44">
        <v>45541</v>
      </c>
      <c r="W1119" s="45">
        <v>200.74</v>
      </c>
      <c r="X1119" s="91"/>
      <c r="Y1119" s="77"/>
      <c r="Z1119" s="5"/>
      <c r="AA1119" s="5"/>
      <c r="AB1119" s="5"/>
      <c r="AC1119" s="5"/>
      <c r="AD1119" s="5"/>
      <c r="AE1119" s="5"/>
      <c r="AF1119" s="5"/>
      <c r="AG1119" s="5"/>
      <c r="AH1119" s="6"/>
      <c r="AI1119" s="44">
        <v>45541</v>
      </c>
      <c r="AJ1119" s="53">
        <v>200.74</v>
      </c>
      <c r="AK1119" s="54">
        <f t="shared" si="187"/>
        <v>-9.1317439162841296E-3</v>
      </c>
      <c r="AL1119" s="55">
        <f t="shared" si="190"/>
        <v>19.439316873115857</v>
      </c>
      <c r="AM1119" s="56">
        <v>25</v>
      </c>
      <c r="AN1119" s="57">
        <f t="shared" si="188"/>
        <v>5.5606831268841432</v>
      </c>
      <c r="AO1119" s="76">
        <f t="shared" si="191"/>
        <v>10.118022675925868</v>
      </c>
      <c r="AP1119" s="63" t="str">
        <f t="shared" si="192"/>
        <v>Buy Stocks</v>
      </c>
      <c r="AQ1119" s="63" t="str">
        <f t="shared" si="193"/>
        <v/>
      </c>
      <c r="AR1119" s="63" t="str">
        <f t="shared" si="194"/>
        <v/>
      </c>
      <c r="AS1119" s="63" t="str">
        <f t="shared" si="195"/>
        <v/>
      </c>
      <c r="AT1119" s="78" t="str">
        <f t="shared" si="196"/>
        <v/>
      </c>
      <c r="AU1119" s="78" t="str">
        <f t="shared" si="197"/>
        <v/>
      </c>
      <c r="AV1119" s="64" t="str">
        <f ca="1">IFERROR(__xludf.DUMMYFUNCTION("IF(TRIM(AU1119)="""","""",AU1119/INDEX(FILTER(AT$3:AT1119,TRIM(AT$3:AT1119)&lt;&gt;""""),ROWS(FILTER(AT$3:AT1119,TRIM(AT$3:AT1119)&lt;&gt;"""")))-1)"),"")</f>
        <v/>
      </c>
      <c r="AW1119" s="65" t="e">
        <f t="shared" ca="1" si="189"/>
        <v>#VALUE!</v>
      </c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</row>
    <row r="1120" spans="1:68" ht="19" x14ac:dyDescent="0.25">
      <c r="A1120" s="5"/>
      <c r="B1120" s="5"/>
      <c r="C1120" s="5"/>
      <c r="D1120" s="5"/>
      <c r="E1120" s="5"/>
      <c r="F1120" s="5"/>
      <c r="G1120" s="5"/>
      <c r="H1120" s="6"/>
      <c r="I1120" s="5"/>
      <c r="J1120" s="88"/>
      <c r="K1120" s="88"/>
      <c r="L1120" s="88"/>
      <c r="M1120" s="88"/>
      <c r="N1120" s="88"/>
      <c r="O1120" s="88"/>
      <c r="P1120" s="88"/>
      <c r="Q1120" s="89"/>
      <c r="R1120" s="88"/>
      <c r="S1120" s="88"/>
      <c r="T1120" s="90"/>
      <c r="U1120" s="6"/>
      <c r="V1120" s="44">
        <v>45544</v>
      </c>
      <c r="W1120" s="45">
        <v>203.53</v>
      </c>
      <c r="X1120" s="91"/>
      <c r="Y1120" s="77"/>
      <c r="Z1120" s="5"/>
      <c r="AA1120" s="5"/>
      <c r="AB1120" s="5"/>
      <c r="AC1120" s="5"/>
      <c r="AD1120" s="5"/>
      <c r="AE1120" s="5"/>
      <c r="AF1120" s="5"/>
      <c r="AG1120" s="5"/>
      <c r="AH1120" s="6"/>
      <c r="AI1120" s="44">
        <v>45544</v>
      </c>
      <c r="AJ1120" s="53">
        <v>203.53</v>
      </c>
      <c r="AK1120" s="54">
        <f t="shared" si="187"/>
        <v>1.3898575271495517E-2</v>
      </c>
      <c r="AL1120" s="55">
        <f t="shared" si="190"/>
        <v>18.394731654165174</v>
      </c>
      <c r="AM1120" s="56">
        <v>25</v>
      </c>
      <c r="AN1120" s="57">
        <f t="shared" si="188"/>
        <v>6.6052683458348262</v>
      </c>
      <c r="AO1120" s="76">
        <f t="shared" si="191"/>
        <v>8.6330732713249141</v>
      </c>
      <c r="AP1120" s="63" t="str">
        <f t="shared" si="192"/>
        <v>Buy Stocks</v>
      </c>
      <c r="AQ1120" s="63" t="str">
        <f t="shared" si="193"/>
        <v/>
      </c>
      <c r="AR1120" s="63" t="str">
        <f t="shared" si="194"/>
        <v/>
      </c>
      <c r="AS1120" s="63" t="str">
        <f t="shared" si="195"/>
        <v/>
      </c>
      <c r="AT1120" s="78" t="str">
        <f t="shared" si="196"/>
        <v/>
      </c>
      <c r="AU1120" s="78" t="str">
        <f t="shared" si="197"/>
        <v/>
      </c>
      <c r="AV1120" s="64" t="str">
        <f ca="1">IFERROR(__xludf.DUMMYFUNCTION("IF(TRIM(AU1120)="""","""",AU1120/INDEX(FILTER(AT$3:AT1120,TRIM(AT$3:AT1120)&lt;&gt;""""),ROWS(FILTER(AT$3:AT1120,TRIM(AT$3:AT1120)&lt;&gt;"""")))-1)"),"")</f>
        <v/>
      </c>
      <c r="AW1120" s="65" t="e">
        <f t="shared" ca="1" si="189"/>
        <v>#VALUE!</v>
      </c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</row>
    <row r="1121" spans="1:68" ht="19" x14ac:dyDescent="0.25">
      <c r="A1121" s="5"/>
      <c r="B1121" s="5"/>
      <c r="C1121" s="5"/>
      <c r="D1121" s="5"/>
      <c r="E1121" s="5"/>
      <c r="F1121" s="5"/>
      <c r="G1121" s="5"/>
      <c r="H1121" s="6"/>
      <c r="I1121" s="5"/>
      <c r="J1121" s="88"/>
      <c r="K1121" s="88"/>
      <c r="L1121" s="88"/>
      <c r="M1121" s="88"/>
      <c r="N1121" s="88"/>
      <c r="O1121" s="88"/>
      <c r="P1121" s="88"/>
      <c r="Q1121" s="89"/>
      <c r="R1121" s="88"/>
      <c r="S1121" s="88"/>
      <c r="T1121" s="90"/>
      <c r="U1121" s="6"/>
      <c r="V1121" s="44">
        <v>45545</v>
      </c>
      <c r="W1121" s="45">
        <v>205.32</v>
      </c>
      <c r="X1121" s="91"/>
      <c r="Y1121" s="77"/>
      <c r="Z1121" s="5"/>
      <c r="AA1121" s="5"/>
      <c r="AB1121" s="5"/>
      <c r="AC1121" s="5"/>
      <c r="AD1121" s="5"/>
      <c r="AE1121" s="5"/>
      <c r="AF1121" s="5"/>
      <c r="AG1121" s="5"/>
      <c r="AH1121" s="6"/>
      <c r="AI1121" s="44">
        <v>45545</v>
      </c>
      <c r="AJ1121" s="53">
        <v>205.32</v>
      </c>
      <c r="AK1121" s="54">
        <f t="shared" si="187"/>
        <v>8.794772269444362E-3</v>
      </c>
      <c r="AL1121" s="55">
        <f t="shared" si="190"/>
        <v>18.197704471491278</v>
      </c>
      <c r="AM1121" s="56">
        <v>25</v>
      </c>
      <c r="AN1121" s="57">
        <f t="shared" si="188"/>
        <v>6.8022955285087221</v>
      </c>
      <c r="AO1121" s="76">
        <f t="shared" si="191"/>
        <v>7.4877078155231711</v>
      </c>
      <c r="AP1121" s="63" t="str">
        <f t="shared" si="192"/>
        <v>Buy Stocks</v>
      </c>
      <c r="AQ1121" s="63" t="str">
        <f t="shared" si="193"/>
        <v/>
      </c>
      <c r="AR1121" s="63" t="str">
        <f t="shared" si="194"/>
        <v/>
      </c>
      <c r="AS1121" s="63" t="str">
        <f t="shared" si="195"/>
        <v/>
      </c>
      <c r="AT1121" s="78" t="str">
        <f t="shared" si="196"/>
        <v/>
      </c>
      <c r="AU1121" s="78" t="str">
        <f t="shared" si="197"/>
        <v/>
      </c>
      <c r="AV1121" s="64" t="str">
        <f ca="1">IFERROR(__xludf.DUMMYFUNCTION("IF(TRIM(AU1121)="""","""",AU1121/INDEX(FILTER(AT$3:AT1121,TRIM(AT$3:AT1121)&lt;&gt;""""),ROWS(FILTER(AT$3:AT1121,TRIM(AT$3:AT1121)&lt;&gt;"""")))-1)"),"")</f>
        <v/>
      </c>
      <c r="AW1121" s="65" t="e">
        <f t="shared" ca="1" si="189"/>
        <v>#VALUE!</v>
      </c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</row>
    <row r="1122" spans="1:68" ht="19" x14ac:dyDescent="0.25">
      <c r="A1122" s="5"/>
      <c r="B1122" s="5"/>
      <c r="C1122" s="5"/>
      <c r="D1122" s="5"/>
      <c r="E1122" s="5"/>
      <c r="F1122" s="5"/>
      <c r="G1122" s="5"/>
      <c r="H1122" s="6"/>
      <c r="I1122" s="5"/>
      <c r="J1122" s="88"/>
      <c r="K1122" s="88"/>
      <c r="L1122" s="88"/>
      <c r="M1122" s="88"/>
      <c r="N1122" s="88"/>
      <c r="O1122" s="88"/>
      <c r="P1122" s="88"/>
      <c r="Q1122" s="89"/>
      <c r="R1122" s="88"/>
      <c r="S1122" s="88"/>
      <c r="T1122" s="90"/>
      <c r="U1122" s="6"/>
      <c r="V1122" s="44">
        <v>45546</v>
      </c>
      <c r="W1122" s="45">
        <v>209.89</v>
      </c>
      <c r="X1122" s="91"/>
      <c r="Y1122" s="77"/>
      <c r="Z1122" s="5"/>
      <c r="AA1122" s="5"/>
      <c r="AB1122" s="5"/>
      <c r="AC1122" s="5"/>
      <c r="AD1122" s="5"/>
      <c r="AE1122" s="5"/>
      <c r="AF1122" s="5"/>
      <c r="AG1122" s="5"/>
      <c r="AH1122" s="6"/>
      <c r="AI1122" s="44">
        <v>45546</v>
      </c>
      <c r="AJ1122" s="53">
        <v>209.89</v>
      </c>
      <c r="AK1122" s="54">
        <f t="shared" si="187"/>
        <v>2.2257938827196622E-2</v>
      </c>
      <c r="AL1122" s="55">
        <f t="shared" si="190"/>
        <v>21.646736084501306</v>
      </c>
      <c r="AM1122" s="56">
        <v>25</v>
      </c>
      <c r="AN1122" s="57">
        <f t="shared" si="188"/>
        <v>3.3532639154986938</v>
      </c>
      <c r="AO1122" s="76">
        <f t="shared" si="191"/>
        <v>6.0878694100587474</v>
      </c>
      <c r="AP1122" s="63" t="str">
        <f t="shared" si="192"/>
        <v>Buy Stocks</v>
      </c>
      <c r="AQ1122" s="63" t="str">
        <f t="shared" si="193"/>
        <v/>
      </c>
      <c r="AR1122" s="63" t="str">
        <f t="shared" si="194"/>
        <v/>
      </c>
      <c r="AS1122" s="63" t="str">
        <f t="shared" si="195"/>
        <v/>
      </c>
      <c r="AT1122" s="78" t="str">
        <f t="shared" si="196"/>
        <v/>
      </c>
      <c r="AU1122" s="78" t="str">
        <f t="shared" si="197"/>
        <v/>
      </c>
      <c r="AV1122" s="64" t="str">
        <f ca="1">IFERROR(__xludf.DUMMYFUNCTION("IF(TRIM(AU1122)="""","""",AU1122/INDEX(FILTER(AT$3:AT1122,TRIM(AT$3:AT1122)&lt;&gt;""""),ROWS(FILTER(AT$3:AT1122,TRIM(AT$3:AT1122)&lt;&gt;"""")))-1)"),"")</f>
        <v/>
      </c>
      <c r="AW1122" s="65" t="e">
        <f t="shared" ca="1" si="189"/>
        <v>#VALUE!</v>
      </c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</row>
    <row r="1123" spans="1:68" ht="19" x14ac:dyDescent="0.25">
      <c r="A1123" s="5"/>
      <c r="B1123" s="5"/>
      <c r="C1123" s="5"/>
      <c r="D1123" s="5"/>
      <c r="E1123" s="5"/>
      <c r="F1123" s="5"/>
      <c r="G1123" s="5"/>
      <c r="H1123" s="6"/>
      <c r="I1123" s="5"/>
      <c r="J1123" s="88"/>
      <c r="K1123" s="88"/>
      <c r="L1123" s="88"/>
      <c r="M1123" s="88"/>
      <c r="N1123" s="88"/>
      <c r="O1123" s="88"/>
      <c r="P1123" s="88"/>
      <c r="Q1123" s="89"/>
      <c r="R1123" s="88"/>
      <c r="S1123" s="88"/>
      <c r="T1123" s="90"/>
      <c r="U1123" s="6"/>
      <c r="V1123" s="44">
        <v>45547</v>
      </c>
      <c r="W1123" s="45">
        <v>211.61</v>
      </c>
      <c r="X1123" s="91"/>
      <c r="Y1123" s="77"/>
      <c r="Z1123" s="5"/>
      <c r="AA1123" s="5"/>
      <c r="AB1123" s="5"/>
      <c r="AC1123" s="5"/>
      <c r="AD1123" s="5"/>
      <c r="AE1123" s="5"/>
      <c r="AF1123" s="5"/>
      <c r="AG1123" s="5"/>
      <c r="AH1123" s="6"/>
      <c r="AI1123" s="44">
        <v>45547</v>
      </c>
      <c r="AJ1123" s="53">
        <v>211.61</v>
      </c>
      <c r="AK1123" s="54">
        <f t="shared" si="187"/>
        <v>8.1947686883607762E-3</v>
      </c>
      <c r="AL1123" s="55">
        <f t="shared" si="190"/>
        <v>18.256120908659927</v>
      </c>
      <c r="AM1123" s="56">
        <v>25</v>
      </c>
      <c r="AN1123" s="57">
        <f t="shared" si="188"/>
        <v>6.743879091340073</v>
      </c>
      <c r="AO1123" s="76">
        <f t="shared" si="191"/>
        <v>5.8130780016132917</v>
      </c>
      <c r="AP1123" s="63" t="str">
        <f t="shared" si="192"/>
        <v>Buy Stocks</v>
      </c>
      <c r="AQ1123" s="63" t="str">
        <f t="shared" si="193"/>
        <v/>
      </c>
      <c r="AR1123" s="63" t="str">
        <f t="shared" si="194"/>
        <v/>
      </c>
      <c r="AS1123" s="63" t="str">
        <f t="shared" si="195"/>
        <v/>
      </c>
      <c r="AT1123" s="78" t="str">
        <f t="shared" si="196"/>
        <v/>
      </c>
      <c r="AU1123" s="78" t="str">
        <f t="shared" si="197"/>
        <v/>
      </c>
      <c r="AV1123" s="64" t="str">
        <f ca="1">IFERROR(__xludf.DUMMYFUNCTION("IF(TRIM(AU1123)="""","""",AU1123/INDEX(FILTER(AT$3:AT1123,TRIM(AT$3:AT1123)&lt;&gt;""""),ROWS(FILTER(AT$3:AT1123,TRIM(AT$3:AT1123)&lt;&gt;"""")))-1)"),"")</f>
        <v/>
      </c>
      <c r="AW1123" s="65" t="e">
        <f t="shared" ca="1" si="189"/>
        <v>#VALUE!</v>
      </c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</row>
    <row r="1124" spans="1:68" ht="19" x14ac:dyDescent="0.25">
      <c r="A1124" s="5"/>
      <c r="B1124" s="5"/>
      <c r="C1124" s="5"/>
      <c r="D1124" s="5"/>
      <c r="E1124" s="5"/>
      <c r="F1124" s="5"/>
      <c r="G1124" s="5"/>
      <c r="H1124" s="6"/>
      <c r="I1124" s="5"/>
      <c r="J1124" s="88"/>
      <c r="K1124" s="88"/>
      <c r="L1124" s="88"/>
      <c r="M1124" s="88"/>
      <c r="N1124" s="88"/>
      <c r="O1124" s="88"/>
      <c r="P1124" s="88"/>
      <c r="Q1124" s="89"/>
      <c r="R1124" s="88"/>
      <c r="S1124" s="88"/>
      <c r="T1124" s="90"/>
      <c r="U1124" s="6"/>
      <c r="V1124" s="44">
        <v>45548</v>
      </c>
      <c r="W1124" s="45">
        <v>214.79</v>
      </c>
      <c r="X1124" s="91"/>
      <c r="Y1124" s="77"/>
      <c r="Z1124" s="5"/>
      <c r="AA1124" s="5"/>
      <c r="AB1124" s="5"/>
      <c r="AC1124" s="5"/>
      <c r="AD1124" s="5"/>
      <c r="AE1124" s="5"/>
      <c r="AF1124" s="5"/>
      <c r="AG1124" s="5"/>
      <c r="AH1124" s="6"/>
      <c r="AI1124" s="44">
        <v>45548</v>
      </c>
      <c r="AJ1124" s="53">
        <v>214.79</v>
      </c>
      <c r="AK1124" s="54">
        <f t="shared" si="187"/>
        <v>1.502764519635158E-2</v>
      </c>
      <c r="AL1124" s="55">
        <f t="shared" si="190"/>
        <v>9.0285322337639844</v>
      </c>
      <c r="AM1124" s="56">
        <v>25</v>
      </c>
      <c r="AN1124" s="57">
        <f t="shared" si="188"/>
        <v>15.971467766236016</v>
      </c>
      <c r="AO1124" s="76">
        <f t="shared" si="191"/>
        <v>7.8952349294836663</v>
      </c>
      <c r="AP1124" s="63" t="str">
        <f t="shared" si="192"/>
        <v>Buy Stocks</v>
      </c>
      <c r="AQ1124" s="63" t="str">
        <f t="shared" si="193"/>
        <v/>
      </c>
      <c r="AR1124" s="63" t="str">
        <f t="shared" si="194"/>
        <v/>
      </c>
      <c r="AS1124" s="63" t="str">
        <f t="shared" si="195"/>
        <v/>
      </c>
      <c r="AT1124" s="78" t="str">
        <f t="shared" si="196"/>
        <v/>
      </c>
      <c r="AU1124" s="78" t="str">
        <f t="shared" si="197"/>
        <v/>
      </c>
      <c r="AV1124" s="64" t="str">
        <f ca="1">IFERROR(__xludf.DUMMYFUNCTION("IF(TRIM(AU1124)="""","""",AU1124/INDEX(FILTER(AT$3:AT1124,TRIM(AT$3:AT1124)&lt;&gt;""""),ROWS(FILTER(AT$3:AT1124,TRIM(AT$3:AT1124)&lt;&gt;"""")))-1)"),"")</f>
        <v/>
      </c>
      <c r="AW1124" s="65" t="e">
        <f t="shared" ca="1" si="189"/>
        <v>#VALUE!</v>
      </c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</row>
    <row r="1125" spans="1:68" ht="19" x14ac:dyDescent="0.25">
      <c r="A1125" s="5"/>
      <c r="B1125" s="5"/>
      <c r="C1125" s="5"/>
      <c r="D1125" s="5"/>
      <c r="E1125" s="5"/>
      <c r="F1125" s="5"/>
      <c r="G1125" s="5"/>
      <c r="H1125" s="6"/>
      <c r="I1125" s="5"/>
      <c r="J1125" s="88"/>
      <c r="K1125" s="88"/>
      <c r="L1125" s="88"/>
      <c r="M1125" s="88"/>
      <c r="N1125" s="88"/>
      <c r="O1125" s="88"/>
      <c r="P1125" s="88"/>
      <c r="Q1125" s="89"/>
      <c r="R1125" s="88"/>
      <c r="S1125" s="88"/>
      <c r="T1125" s="90"/>
      <c r="U1125" s="6"/>
      <c r="V1125" s="44">
        <v>45551</v>
      </c>
      <c r="W1125" s="45">
        <v>217.16</v>
      </c>
      <c r="X1125" s="91"/>
      <c r="Y1125" s="77"/>
      <c r="Z1125" s="5"/>
      <c r="AA1125" s="5"/>
      <c r="AB1125" s="5"/>
      <c r="AC1125" s="5"/>
      <c r="AD1125" s="5"/>
      <c r="AE1125" s="5"/>
      <c r="AF1125" s="5"/>
      <c r="AG1125" s="5"/>
      <c r="AH1125" s="6"/>
      <c r="AI1125" s="44">
        <v>45551</v>
      </c>
      <c r="AJ1125" s="53">
        <v>217.16</v>
      </c>
      <c r="AK1125" s="54">
        <f t="shared" si="187"/>
        <v>1.1034033241771102E-2</v>
      </c>
      <c r="AL1125" s="55">
        <f t="shared" si="190"/>
        <v>9.2031380898274247</v>
      </c>
      <c r="AM1125" s="56">
        <v>25</v>
      </c>
      <c r="AN1125" s="57">
        <f t="shared" si="188"/>
        <v>15.796861910172575</v>
      </c>
      <c r="AO1125" s="76">
        <f t="shared" si="191"/>
        <v>9.7335536423512146</v>
      </c>
      <c r="AP1125" s="63" t="str">
        <f t="shared" si="192"/>
        <v>Buy Stocks</v>
      </c>
      <c r="AQ1125" s="63" t="str">
        <f t="shared" si="193"/>
        <v/>
      </c>
      <c r="AR1125" s="63" t="str">
        <f t="shared" si="194"/>
        <v/>
      </c>
      <c r="AS1125" s="63" t="str">
        <f t="shared" si="195"/>
        <v/>
      </c>
      <c r="AT1125" s="78" t="str">
        <f t="shared" si="196"/>
        <v/>
      </c>
      <c r="AU1125" s="78" t="str">
        <f t="shared" si="197"/>
        <v/>
      </c>
      <c r="AV1125" s="64" t="str">
        <f ca="1">IFERROR(__xludf.DUMMYFUNCTION("IF(TRIM(AU1125)="""","""",AU1125/INDEX(FILTER(AT$3:AT1125,TRIM(AT$3:AT1125)&lt;&gt;""""),ROWS(FILTER(AT$3:AT1125,TRIM(AT$3:AT1125)&lt;&gt;"""")))-1)"),"")</f>
        <v/>
      </c>
      <c r="AW1125" s="65" t="e">
        <f t="shared" ca="1" si="189"/>
        <v>#VALUE!</v>
      </c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</row>
    <row r="1126" spans="1:68" ht="19" x14ac:dyDescent="0.25">
      <c r="A1126" s="5"/>
      <c r="B1126" s="5"/>
      <c r="C1126" s="5"/>
      <c r="D1126" s="5"/>
      <c r="E1126" s="5"/>
      <c r="F1126" s="5"/>
      <c r="G1126" s="5"/>
      <c r="H1126" s="6"/>
      <c r="I1126" s="5"/>
      <c r="J1126" s="88"/>
      <c r="K1126" s="88"/>
      <c r="L1126" s="88"/>
      <c r="M1126" s="88"/>
      <c r="N1126" s="88"/>
      <c r="O1126" s="88"/>
      <c r="P1126" s="88"/>
      <c r="Q1126" s="89"/>
      <c r="R1126" s="88"/>
      <c r="S1126" s="88"/>
      <c r="T1126" s="90"/>
      <c r="U1126" s="6"/>
      <c r="V1126" s="44">
        <v>45552</v>
      </c>
      <c r="W1126" s="45">
        <v>214.13</v>
      </c>
      <c r="X1126" s="91"/>
      <c r="Y1126" s="77"/>
      <c r="Z1126" s="5"/>
      <c r="AA1126" s="5"/>
      <c r="AB1126" s="5"/>
      <c r="AC1126" s="5"/>
      <c r="AD1126" s="5"/>
      <c r="AE1126" s="5"/>
      <c r="AF1126" s="5"/>
      <c r="AG1126" s="5"/>
      <c r="AH1126" s="6"/>
      <c r="AI1126" s="44">
        <v>45552</v>
      </c>
      <c r="AJ1126" s="53">
        <v>214.13</v>
      </c>
      <c r="AK1126" s="54">
        <f t="shared" si="187"/>
        <v>-1.3952845827960969E-2</v>
      </c>
      <c r="AL1126" s="55">
        <f t="shared" si="190"/>
        <v>21.62861721128192</v>
      </c>
      <c r="AM1126" s="56">
        <v>25</v>
      </c>
      <c r="AN1126" s="57">
        <f t="shared" si="188"/>
        <v>3.3713827887180798</v>
      </c>
      <c r="AO1126" s="76">
        <f t="shared" si="191"/>
        <v>9.0473710943930872</v>
      </c>
      <c r="AP1126" s="63" t="str">
        <f t="shared" si="192"/>
        <v>Buy Stocks</v>
      </c>
      <c r="AQ1126" s="63" t="str">
        <f t="shared" si="193"/>
        <v/>
      </c>
      <c r="AR1126" s="63" t="str">
        <f t="shared" si="194"/>
        <v/>
      </c>
      <c r="AS1126" s="63" t="str">
        <f t="shared" si="195"/>
        <v/>
      </c>
      <c r="AT1126" s="78" t="str">
        <f t="shared" si="196"/>
        <v/>
      </c>
      <c r="AU1126" s="78" t="str">
        <f t="shared" si="197"/>
        <v/>
      </c>
      <c r="AV1126" s="64" t="str">
        <f ca="1">IFERROR(__xludf.DUMMYFUNCTION("IF(TRIM(AU1126)="""","""",AU1126/INDEX(FILTER(AT$3:AT1126,TRIM(AT$3:AT1126)&lt;&gt;""""),ROWS(FILTER(AT$3:AT1126,TRIM(AT$3:AT1126)&lt;&gt;"""")))-1)"),"")</f>
        <v/>
      </c>
      <c r="AW1126" s="65" t="e">
        <f t="shared" ca="1" si="189"/>
        <v>#VALUE!</v>
      </c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</row>
    <row r="1127" spans="1:68" ht="19" x14ac:dyDescent="0.25">
      <c r="A1127" s="5"/>
      <c r="B1127" s="5"/>
      <c r="C1127" s="5"/>
      <c r="D1127" s="5"/>
      <c r="E1127" s="5"/>
      <c r="F1127" s="5"/>
      <c r="G1127" s="5"/>
      <c r="H1127" s="6"/>
      <c r="I1127" s="5"/>
      <c r="J1127" s="88"/>
      <c r="K1127" s="88"/>
      <c r="L1127" s="88"/>
      <c r="M1127" s="88"/>
      <c r="N1127" s="88"/>
      <c r="O1127" s="88"/>
      <c r="P1127" s="88"/>
      <c r="Q1127" s="89"/>
      <c r="R1127" s="88"/>
      <c r="S1127" s="88"/>
      <c r="T1127" s="90"/>
      <c r="U1127" s="6"/>
      <c r="V1127" s="44">
        <v>45553</v>
      </c>
      <c r="W1127" s="45">
        <v>214.94</v>
      </c>
      <c r="X1127" s="91"/>
      <c r="Y1127" s="77"/>
      <c r="Z1127" s="5"/>
      <c r="AA1127" s="5"/>
      <c r="AB1127" s="5"/>
      <c r="AC1127" s="5"/>
      <c r="AD1127" s="5"/>
      <c r="AE1127" s="5"/>
      <c r="AF1127" s="5"/>
      <c r="AG1127" s="5"/>
      <c r="AH1127" s="6"/>
      <c r="AI1127" s="44">
        <v>45553</v>
      </c>
      <c r="AJ1127" s="53">
        <v>214.94</v>
      </c>
      <c r="AK1127" s="54">
        <f t="shared" si="187"/>
        <v>3.7827487974595453E-3</v>
      </c>
      <c r="AL1127" s="55">
        <f t="shared" si="190"/>
        <v>17.884288594504312</v>
      </c>
      <c r="AM1127" s="56">
        <v>25</v>
      </c>
      <c r="AN1127" s="57">
        <f t="shared" si="188"/>
        <v>7.1157114054956878</v>
      </c>
      <c r="AO1127" s="76">
        <f t="shared" si="191"/>
        <v>9.799860592392486</v>
      </c>
      <c r="AP1127" s="63" t="str">
        <f t="shared" si="192"/>
        <v>Buy Stocks</v>
      </c>
      <c r="AQ1127" s="63" t="str">
        <f t="shared" si="193"/>
        <v/>
      </c>
      <c r="AR1127" s="63" t="str">
        <f t="shared" si="194"/>
        <v/>
      </c>
      <c r="AS1127" s="63" t="str">
        <f t="shared" si="195"/>
        <v/>
      </c>
      <c r="AT1127" s="78" t="str">
        <f t="shared" si="196"/>
        <v/>
      </c>
      <c r="AU1127" s="78" t="str">
        <f t="shared" si="197"/>
        <v/>
      </c>
      <c r="AV1127" s="64" t="str">
        <f ca="1">IFERROR(__xludf.DUMMYFUNCTION("IF(TRIM(AU1127)="""","""",AU1127/INDEX(FILTER(AT$3:AT1127,TRIM(AT$3:AT1127)&lt;&gt;""""),ROWS(FILTER(AT$3:AT1127,TRIM(AT$3:AT1127)&lt;&gt;"""")))-1)"),"")</f>
        <v/>
      </c>
      <c r="AW1127" s="65" t="e">
        <f t="shared" ca="1" si="189"/>
        <v>#VALUE!</v>
      </c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</row>
    <row r="1128" spans="1:68" ht="19" x14ac:dyDescent="0.25">
      <c r="A1128" s="5"/>
      <c r="B1128" s="5"/>
      <c r="C1128" s="5"/>
      <c r="D1128" s="5"/>
      <c r="E1128" s="5"/>
      <c r="F1128" s="5"/>
      <c r="G1128" s="5"/>
      <c r="H1128" s="6"/>
      <c r="I1128" s="5"/>
      <c r="J1128" s="88"/>
      <c r="K1128" s="88"/>
      <c r="L1128" s="88"/>
      <c r="M1128" s="88"/>
      <c r="N1128" s="88"/>
      <c r="O1128" s="88"/>
      <c r="P1128" s="88"/>
      <c r="Q1128" s="89"/>
      <c r="R1128" s="88"/>
      <c r="S1128" s="88"/>
      <c r="T1128" s="90"/>
      <c r="U1128" s="6"/>
      <c r="V1128" s="44">
        <v>45554</v>
      </c>
      <c r="W1128" s="45">
        <v>213.89</v>
      </c>
      <c r="X1128" s="91"/>
      <c r="Y1128" s="77"/>
      <c r="Z1128" s="5"/>
      <c r="AA1128" s="5"/>
      <c r="AB1128" s="5"/>
      <c r="AC1128" s="5"/>
      <c r="AD1128" s="5"/>
      <c r="AE1128" s="5"/>
      <c r="AF1128" s="5"/>
      <c r="AG1128" s="5"/>
      <c r="AH1128" s="6"/>
      <c r="AI1128" s="44">
        <v>45554</v>
      </c>
      <c r="AJ1128" s="53">
        <v>213.89</v>
      </c>
      <c r="AK1128" s="54">
        <f t="shared" si="187"/>
        <v>-4.8850842095469194E-3</v>
      </c>
      <c r="AL1128" s="55">
        <f t="shared" si="190"/>
        <v>18.719244926072768</v>
      </c>
      <c r="AM1128" s="56">
        <v>25</v>
      </c>
      <c r="AN1128" s="57">
        <f t="shared" si="188"/>
        <v>6.2807550739272315</v>
      </c>
      <c r="AO1128" s="76">
        <f t="shared" si="191"/>
        <v>9.7072357889099177</v>
      </c>
      <c r="AP1128" s="63" t="str">
        <f t="shared" si="192"/>
        <v>Buy Stocks</v>
      </c>
      <c r="AQ1128" s="63" t="str">
        <f t="shared" si="193"/>
        <v/>
      </c>
      <c r="AR1128" s="63" t="str">
        <f t="shared" si="194"/>
        <v/>
      </c>
      <c r="AS1128" s="63" t="str">
        <f t="shared" si="195"/>
        <v/>
      </c>
      <c r="AT1128" s="78" t="str">
        <f t="shared" si="196"/>
        <v/>
      </c>
      <c r="AU1128" s="78" t="str">
        <f t="shared" si="197"/>
        <v/>
      </c>
      <c r="AV1128" s="64" t="str">
        <f ca="1">IFERROR(__xludf.DUMMYFUNCTION("IF(TRIM(AU1128)="""","""",AU1128/INDEX(FILTER(AT$3:AT1128,TRIM(AT$3:AT1128)&lt;&gt;""""),ROWS(FILTER(AT$3:AT1128,TRIM(AT$3:AT1128)&lt;&gt;"""")))-1)"),"")</f>
        <v/>
      </c>
      <c r="AW1128" s="65" t="e">
        <f t="shared" ca="1" si="189"/>
        <v>#VALUE!</v>
      </c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</row>
    <row r="1129" spans="1:68" ht="19" x14ac:dyDescent="0.25">
      <c r="A1129" s="5"/>
      <c r="B1129" s="5"/>
      <c r="C1129" s="5"/>
      <c r="D1129" s="5"/>
      <c r="E1129" s="5"/>
      <c r="F1129" s="5"/>
      <c r="G1129" s="5"/>
      <c r="H1129" s="6"/>
      <c r="I1129" s="5"/>
      <c r="J1129" s="88"/>
      <c r="K1129" s="88"/>
      <c r="L1129" s="88"/>
      <c r="M1129" s="88"/>
      <c r="N1129" s="88"/>
      <c r="O1129" s="88"/>
      <c r="P1129" s="88"/>
      <c r="Q1129" s="89"/>
      <c r="R1129" s="88"/>
      <c r="S1129" s="88"/>
      <c r="T1129" s="90"/>
      <c r="U1129" s="6"/>
      <c r="V1129" s="44">
        <v>45555</v>
      </c>
      <c r="W1129" s="45">
        <v>217.7</v>
      </c>
      <c r="X1129" s="91"/>
      <c r="Y1129" s="77"/>
      <c r="Z1129" s="5"/>
      <c r="AA1129" s="5"/>
      <c r="AB1129" s="5"/>
      <c r="AC1129" s="5"/>
      <c r="AD1129" s="5"/>
      <c r="AE1129" s="5"/>
      <c r="AF1129" s="5"/>
      <c r="AG1129" s="5"/>
      <c r="AH1129" s="6"/>
      <c r="AI1129" s="44">
        <v>45555</v>
      </c>
      <c r="AJ1129" s="53">
        <v>217.7</v>
      </c>
      <c r="AK1129" s="54">
        <f t="shared" si="187"/>
        <v>1.7812894478470342E-2</v>
      </c>
      <c r="AL1129" s="55">
        <f t="shared" si="190"/>
        <v>19.98331620203178</v>
      </c>
      <c r="AM1129" s="56">
        <v>25</v>
      </c>
      <c r="AN1129" s="57">
        <f t="shared" si="188"/>
        <v>5.0166837979682199</v>
      </c>
      <c r="AO1129" s="76">
        <f t="shared" si="191"/>
        <v>7.5162789952563589</v>
      </c>
      <c r="AP1129" s="63" t="str">
        <f t="shared" si="192"/>
        <v>Buy Stocks</v>
      </c>
      <c r="AQ1129" s="63" t="str">
        <f t="shared" si="193"/>
        <v/>
      </c>
      <c r="AR1129" s="63" t="str">
        <f t="shared" si="194"/>
        <v/>
      </c>
      <c r="AS1129" s="63" t="str">
        <f t="shared" si="195"/>
        <v/>
      </c>
      <c r="AT1129" s="78" t="str">
        <f t="shared" si="196"/>
        <v/>
      </c>
      <c r="AU1129" s="78" t="str">
        <f t="shared" si="197"/>
        <v/>
      </c>
      <c r="AV1129" s="64" t="str">
        <f ca="1">IFERROR(__xludf.DUMMYFUNCTION("IF(TRIM(AU1129)="""","""",AU1129/INDEX(FILTER(AT$3:AT1129,TRIM(AT$3:AT1129)&lt;&gt;""""),ROWS(FILTER(AT$3:AT1129,TRIM(AT$3:AT1129)&lt;&gt;"""")))-1)"),"")</f>
        <v/>
      </c>
      <c r="AW1129" s="65" t="e">
        <f t="shared" ca="1" si="189"/>
        <v>#VALUE!</v>
      </c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</row>
    <row r="1130" spans="1:68" ht="19" x14ac:dyDescent="0.25">
      <c r="A1130" s="5"/>
      <c r="B1130" s="5"/>
      <c r="C1130" s="5"/>
      <c r="D1130" s="5"/>
      <c r="E1130" s="5"/>
      <c r="F1130" s="5"/>
      <c r="G1130" s="5"/>
      <c r="H1130" s="6"/>
      <c r="I1130" s="5"/>
      <c r="J1130" s="88"/>
      <c r="K1130" s="88"/>
      <c r="L1130" s="88"/>
      <c r="M1130" s="88"/>
      <c r="N1130" s="88"/>
      <c r="O1130" s="88"/>
      <c r="P1130" s="88"/>
      <c r="Q1130" s="89"/>
      <c r="R1130" s="88"/>
      <c r="S1130" s="88"/>
      <c r="T1130" s="90"/>
      <c r="U1130" s="6"/>
      <c r="V1130" s="44">
        <v>45558</v>
      </c>
      <c r="W1130" s="45">
        <v>220.5</v>
      </c>
      <c r="X1130" s="91"/>
      <c r="Y1130" s="77"/>
      <c r="Z1130" s="5"/>
      <c r="AA1130" s="5"/>
      <c r="AB1130" s="5"/>
      <c r="AC1130" s="5"/>
      <c r="AD1130" s="5"/>
      <c r="AE1130" s="5"/>
      <c r="AF1130" s="5"/>
      <c r="AG1130" s="5"/>
      <c r="AH1130" s="6"/>
      <c r="AI1130" s="44">
        <v>45558</v>
      </c>
      <c r="AJ1130" s="53">
        <v>220.5</v>
      </c>
      <c r="AK1130" s="54">
        <f t="shared" si="187"/>
        <v>1.2861736334405238E-2</v>
      </c>
      <c r="AL1130" s="55">
        <f t="shared" si="190"/>
        <v>20.495722946024312</v>
      </c>
      <c r="AM1130" s="56">
        <v>25</v>
      </c>
      <c r="AN1130" s="57">
        <f t="shared" si="188"/>
        <v>4.504277053975688</v>
      </c>
      <c r="AO1130" s="76">
        <f t="shared" si="191"/>
        <v>5.2577620240169818</v>
      </c>
      <c r="AP1130" s="63" t="str">
        <f t="shared" si="192"/>
        <v>Buy Stocks</v>
      </c>
      <c r="AQ1130" s="63" t="str">
        <f t="shared" si="193"/>
        <v/>
      </c>
      <c r="AR1130" s="63" t="str">
        <f t="shared" si="194"/>
        <v/>
      </c>
      <c r="AS1130" s="63" t="str">
        <f t="shared" si="195"/>
        <v/>
      </c>
      <c r="AT1130" s="78" t="str">
        <f t="shared" si="196"/>
        <v/>
      </c>
      <c r="AU1130" s="78" t="str">
        <f t="shared" si="197"/>
        <v/>
      </c>
      <c r="AV1130" s="64" t="str">
        <f ca="1">IFERROR(__xludf.DUMMYFUNCTION("IF(TRIM(AU1130)="""","""",AU1130/INDEX(FILTER(AT$3:AT1130,TRIM(AT$3:AT1130)&lt;&gt;""""),ROWS(FILTER(AT$3:AT1130,TRIM(AT$3:AT1130)&lt;&gt;"""")))-1)"),"")</f>
        <v/>
      </c>
      <c r="AW1130" s="65" t="e">
        <f t="shared" ca="1" si="189"/>
        <v>#VALUE!</v>
      </c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</row>
    <row r="1131" spans="1:68" ht="19" x14ac:dyDescent="0.25">
      <c r="A1131" s="5"/>
      <c r="B1131" s="5"/>
      <c r="C1131" s="5"/>
      <c r="D1131" s="5"/>
      <c r="E1131" s="5"/>
      <c r="F1131" s="5"/>
      <c r="G1131" s="5"/>
      <c r="H1131" s="6"/>
      <c r="I1131" s="5"/>
      <c r="J1131" s="88"/>
      <c r="K1131" s="88"/>
      <c r="L1131" s="88"/>
      <c r="M1131" s="88"/>
      <c r="N1131" s="88"/>
      <c r="O1131" s="88"/>
      <c r="P1131" s="88"/>
      <c r="Q1131" s="89"/>
      <c r="R1131" s="88"/>
      <c r="S1131" s="88"/>
      <c r="T1131" s="90"/>
      <c r="U1131" s="6"/>
      <c r="V1131" s="44">
        <v>45559</v>
      </c>
      <c r="W1131" s="45">
        <v>220.97</v>
      </c>
      <c r="X1131" s="91"/>
      <c r="Y1131" s="77"/>
      <c r="Z1131" s="5"/>
      <c r="AA1131" s="5"/>
      <c r="AB1131" s="5"/>
      <c r="AC1131" s="5"/>
      <c r="AD1131" s="5"/>
      <c r="AE1131" s="5"/>
      <c r="AF1131" s="5"/>
      <c r="AG1131" s="5"/>
      <c r="AH1131" s="6"/>
      <c r="AI1131" s="44">
        <v>45559</v>
      </c>
      <c r="AJ1131" s="53">
        <v>220.97</v>
      </c>
      <c r="AK1131" s="54">
        <f t="shared" si="187"/>
        <v>2.1315192743764921E-3</v>
      </c>
      <c r="AL1131" s="55">
        <f t="shared" si="190"/>
        <v>14.29617559289062</v>
      </c>
      <c r="AM1131" s="56">
        <v>25</v>
      </c>
      <c r="AN1131" s="57">
        <f t="shared" si="188"/>
        <v>10.70382440710938</v>
      </c>
      <c r="AO1131" s="76">
        <f t="shared" si="191"/>
        <v>6.7242503476952411</v>
      </c>
      <c r="AP1131" s="63" t="str">
        <f t="shared" si="192"/>
        <v>Buy Stocks</v>
      </c>
      <c r="AQ1131" s="63" t="str">
        <f t="shared" si="193"/>
        <v/>
      </c>
      <c r="AR1131" s="63" t="str">
        <f t="shared" si="194"/>
        <v/>
      </c>
      <c r="AS1131" s="63" t="str">
        <f t="shared" si="195"/>
        <v/>
      </c>
      <c r="AT1131" s="78" t="str">
        <f t="shared" si="196"/>
        <v/>
      </c>
      <c r="AU1131" s="78" t="str">
        <f t="shared" si="197"/>
        <v/>
      </c>
      <c r="AV1131" s="64" t="str">
        <f ca="1">IFERROR(__xludf.DUMMYFUNCTION("IF(TRIM(AU1131)="""","""",AU1131/INDEX(FILTER(AT$3:AT1131,TRIM(AT$3:AT1131)&lt;&gt;""""),ROWS(FILTER(AT$3:AT1131,TRIM(AT$3:AT1131)&lt;&gt;"""")))-1)"),"")</f>
        <v/>
      </c>
      <c r="AW1131" s="65" t="e">
        <f t="shared" ca="1" si="189"/>
        <v>#VALUE!</v>
      </c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</row>
    <row r="1132" spans="1:68" ht="19" x14ac:dyDescent="0.25">
      <c r="A1132" s="5"/>
      <c r="B1132" s="5"/>
      <c r="C1132" s="5"/>
      <c r="D1132" s="5"/>
      <c r="E1132" s="5"/>
      <c r="F1132" s="5"/>
      <c r="G1132" s="5"/>
      <c r="H1132" s="6"/>
      <c r="I1132" s="5"/>
      <c r="J1132" s="88"/>
      <c r="K1132" s="88"/>
      <c r="L1132" s="88"/>
      <c r="M1132" s="88"/>
      <c r="N1132" s="88"/>
      <c r="O1132" s="88"/>
      <c r="P1132" s="88"/>
      <c r="Q1132" s="89"/>
      <c r="R1132" s="88"/>
      <c r="S1132" s="88"/>
      <c r="T1132" s="90"/>
      <c r="U1132" s="6"/>
      <c r="V1132" s="44">
        <v>45560</v>
      </c>
      <c r="W1132" s="45">
        <v>221.23</v>
      </c>
      <c r="X1132" s="91"/>
      <c r="Y1132" s="77"/>
      <c r="Z1132" s="5"/>
      <c r="AA1132" s="5"/>
      <c r="AB1132" s="5"/>
      <c r="AC1132" s="5"/>
      <c r="AD1132" s="5"/>
      <c r="AE1132" s="5"/>
      <c r="AF1132" s="5"/>
      <c r="AG1132" s="5"/>
      <c r="AH1132" s="6"/>
      <c r="AI1132" s="44">
        <v>45560</v>
      </c>
      <c r="AJ1132" s="53">
        <v>221.23</v>
      </c>
      <c r="AK1132" s="54">
        <f t="shared" si="187"/>
        <v>1.1766303118070365E-3</v>
      </c>
      <c r="AL1132" s="55">
        <f t="shared" si="190"/>
        <v>14.70386022682664</v>
      </c>
      <c r="AM1132" s="56">
        <v>25</v>
      </c>
      <c r="AN1132" s="57">
        <f t="shared" si="188"/>
        <v>10.29613977317336</v>
      </c>
      <c r="AO1132" s="76">
        <f t="shared" si="191"/>
        <v>7.3603360212307765</v>
      </c>
      <c r="AP1132" s="63" t="str">
        <f t="shared" si="192"/>
        <v>Buy Stocks</v>
      </c>
      <c r="AQ1132" s="63" t="str">
        <f t="shared" si="193"/>
        <v/>
      </c>
      <c r="AR1132" s="63" t="str">
        <f t="shared" si="194"/>
        <v/>
      </c>
      <c r="AS1132" s="63" t="str">
        <f t="shared" si="195"/>
        <v/>
      </c>
      <c r="AT1132" s="78" t="str">
        <f t="shared" si="196"/>
        <v/>
      </c>
      <c r="AU1132" s="78" t="str">
        <f t="shared" si="197"/>
        <v/>
      </c>
      <c r="AV1132" s="64" t="str">
        <f ca="1">IFERROR(__xludf.DUMMYFUNCTION("IF(TRIM(AU1132)="""","""",AU1132/INDEX(FILTER(AT$3:AT1132,TRIM(AT$3:AT1132)&lt;&gt;""""),ROWS(FILTER(AT$3:AT1132,TRIM(AT$3:AT1132)&lt;&gt;"""")))-1)"),"")</f>
        <v/>
      </c>
      <c r="AW1132" s="65" t="e">
        <f t="shared" ca="1" si="189"/>
        <v>#VALUE!</v>
      </c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</row>
    <row r="1133" spans="1:68" ht="19" x14ac:dyDescent="0.25">
      <c r="A1133" s="5"/>
      <c r="B1133" s="5"/>
      <c r="C1133" s="5"/>
      <c r="D1133" s="5"/>
      <c r="E1133" s="5"/>
      <c r="F1133" s="5"/>
      <c r="G1133" s="5"/>
      <c r="H1133" s="6"/>
      <c r="I1133" s="5"/>
      <c r="J1133" s="88"/>
      <c r="K1133" s="88"/>
      <c r="L1133" s="88"/>
      <c r="M1133" s="88"/>
      <c r="N1133" s="88"/>
      <c r="O1133" s="88"/>
      <c r="P1133" s="88"/>
      <c r="Q1133" s="89"/>
      <c r="R1133" s="88"/>
      <c r="S1133" s="88"/>
      <c r="T1133" s="90"/>
      <c r="U1133" s="6"/>
      <c r="V1133" s="44">
        <v>45561</v>
      </c>
      <c r="W1133" s="45">
        <v>223.43</v>
      </c>
      <c r="X1133" s="91"/>
      <c r="Y1133" s="77"/>
      <c r="Z1133" s="5"/>
      <c r="AA1133" s="5"/>
      <c r="AB1133" s="5"/>
      <c r="AC1133" s="5"/>
      <c r="AD1133" s="5"/>
      <c r="AE1133" s="5"/>
      <c r="AF1133" s="5"/>
      <c r="AG1133" s="5"/>
      <c r="AH1133" s="6"/>
      <c r="AI1133" s="44">
        <v>45561</v>
      </c>
      <c r="AJ1133" s="53">
        <v>223.43</v>
      </c>
      <c r="AK1133" s="54">
        <f t="shared" si="187"/>
        <v>9.9444017538308227E-3</v>
      </c>
      <c r="AL1133" s="55">
        <f t="shared" si="190"/>
        <v>11.270424463024902</v>
      </c>
      <c r="AM1133" s="56">
        <v>25</v>
      </c>
      <c r="AN1133" s="57">
        <f t="shared" si="188"/>
        <v>13.729575536975098</v>
      </c>
      <c r="AO1133" s="76">
        <f t="shared" si="191"/>
        <v>8.8501001138403499</v>
      </c>
      <c r="AP1133" s="63" t="str">
        <f t="shared" si="192"/>
        <v>Buy Stocks</v>
      </c>
      <c r="AQ1133" s="63" t="str">
        <f t="shared" si="193"/>
        <v/>
      </c>
      <c r="AR1133" s="63" t="str">
        <f t="shared" si="194"/>
        <v/>
      </c>
      <c r="AS1133" s="63" t="str">
        <f t="shared" si="195"/>
        <v/>
      </c>
      <c r="AT1133" s="78" t="str">
        <f t="shared" si="196"/>
        <v/>
      </c>
      <c r="AU1133" s="78" t="str">
        <f t="shared" si="197"/>
        <v/>
      </c>
      <c r="AV1133" s="64" t="str">
        <f ca="1">IFERROR(__xludf.DUMMYFUNCTION("IF(TRIM(AU1133)="""","""",AU1133/INDEX(FILTER(AT$3:AT1133,TRIM(AT$3:AT1133)&lt;&gt;""""),ROWS(FILTER(AT$3:AT1133,TRIM(AT$3:AT1133)&lt;&gt;"""")))-1)"),"")</f>
        <v/>
      </c>
      <c r="AW1133" s="65" t="e">
        <f t="shared" ca="1" si="189"/>
        <v>#VALUE!</v>
      </c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</row>
    <row r="1134" spans="1:68" ht="19" x14ac:dyDescent="0.25">
      <c r="A1134" s="5"/>
      <c r="B1134" s="5"/>
      <c r="C1134" s="5"/>
      <c r="D1134" s="5"/>
      <c r="E1134" s="5"/>
      <c r="F1134" s="5"/>
      <c r="G1134" s="5"/>
      <c r="H1134" s="6"/>
      <c r="I1134" s="5"/>
      <c r="J1134" s="88"/>
      <c r="K1134" s="88"/>
      <c r="L1134" s="88"/>
      <c r="M1134" s="88"/>
      <c r="N1134" s="88"/>
      <c r="O1134" s="88"/>
      <c r="P1134" s="88"/>
      <c r="Q1134" s="89"/>
      <c r="R1134" s="88"/>
      <c r="S1134" s="88"/>
      <c r="T1134" s="90"/>
      <c r="U1134" s="6"/>
      <c r="V1134" s="44">
        <v>45562</v>
      </c>
      <c r="W1134" s="45">
        <v>220.84</v>
      </c>
      <c r="X1134" s="91"/>
      <c r="Y1134" s="77"/>
      <c r="Z1134" s="5"/>
      <c r="AA1134" s="5"/>
      <c r="AB1134" s="5"/>
      <c r="AC1134" s="5"/>
      <c r="AD1134" s="5"/>
      <c r="AE1134" s="5"/>
      <c r="AF1134" s="5"/>
      <c r="AG1134" s="5"/>
      <c r="AH1134" s="6"/>
      <c r="AI1134" s="44">
        <v>45562</v>
      </c>
      <c r="AJ1134" s="53">
        <v>220.84</v>
      </c>
      <c r="AK1134" s="54">
        <f t="shared" si="187"/>
        <v>-1.1591997493622164E-2</v>
      </c>
      <c r="AL1134" s="55">
        <f t="shared" si="190"/>
        <v>15.11079395900919</v>
      </c>
      <c r="AM1134" s="56">
        <v>25</v>
      </c>
      <c r="AN1134" s="57">
        <f t="shared" si="188"/>
        <v>9.8892060409908105</v>
      </c>
      <c r="AO1134" s="76">
        <f t="shared" si="191"/>
        <v>9.8246045624448666</v>
      </c>
      <c r="AP1134" s="63" t="str">
        <f t="shared" si="192"/>
        <v>Buy Stocks</v>
      </c>
      <c r="AQ1134" s="63" t="str">
        <f t="shared" si="193"/>
        <v/>
      </c>
      <c r="AR1134" s="63" t="str">
        <f t="shared" si="194"/>
        <v/>
      </c>
      <c r="AS1134" s="63" t="str">
        <f t="shared" si="195"/>
        <v/>
      </c>
      <c r="AT1134" s="78" t="str">
        <f t="shared" si="196"/>
        <v/>
      </c>
      <c r="AU1134" s="78" t="str">
        <f t="shared" si="197"/>
        <v/>
      </c>
      <c r="AV1134" s="64" t="str">
        <f ca="1">IFERROR(__xludf.DUMMYFUNCTION("IF(TRIM(AU1134)="""","""",AU1134/INDEX(FILTER(AT$3:AT1134,TRIM(AT$3:AT1134)&lt;&gt;""""),ROWS(FILTER(AT$3:AT1134,TRIM(AT$3:AT1134)&lt;&gt;"""")))-1)"),"")</f>
        <v/>
      </c>
      <c r="AW1134" s="65" t="e">
        <f t="shared" ca="1" si="189"/>
        <v>#VALUE!</v>
      </c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</row>
    <row r="1135" spans="1:68" ht="19" x14ac:dyDescent="0.25">
      <c r="A1135" s="5"/>
      <c r="B1135" s="5"/>
      <c r="C1135" s="5"/>
      <c r="D1135" s="5"/>
      <c r="E1135" s="5"/>
      <c r="F1135" s="5"/>
      <c r="G1135" s="5"/>
      <c r="H1135" s="6"/>
      <c r="I1135" s="5"/>
      <c r="J1135" s="88"/>
      <c r="K1135" s="88"/>
      <c r="L1135" s="88"/>
      <c r="M1135" s="88"/>
      <c r="N1135" s="88"/>
      <c r="O1135" s="88"/>
      <c r="P1135" s="88"/>
      <c r="Q1135" s="89"/>
      <c r="R1135" s="88"/>
      <c r="S1135" s="88"/>
      <c r="T1135" s="90"/>
      <c r="U1135" s="6"/>
      <c r="V1135" s="44">
        <v>45565</v>
      </c>
      <c r="W1135" s="45">
        <v>221.08</v>
      </c>
      <c r="X1135" s="91"/>
      <c r="Y1135" s="77"/>
      <c r="Z1135" s="5"/>
      <c r="AA1135" s="5"/>
      <c r="AB1135" s="5"/>
      <c r="AC1135" s="5"/>
      <c r="AD1135" s="5"/>
      <c r="AE1135" s="5"/>
      <c r="AF1135" s="5"/>
      <c r="AG1135" s="5"/>
      <c r="AH1135" s="6"/>
      <c r="AI1135" s="44">
        <v>45565</v>
      </c>
      <c r="AJ1135" s="53">
        <v>221.08</v>
      </c>
      <c r="AK1135" s="54">
        <f t="shared" si="187"/>
        <v>1.0867596449919414E-3</v>
      </c>
      <c r="AL1135" s="55">
        <f t="shared" si="190"/>
        <v>12.267227289838663</v>
      </c>
      <c r="AM1135" s="56">
        <v>25</v>
      </c>
      <c r="AN1135" s="57">
        <f t="shared" si="188"/>
        <v>12.732772710161337</v>
      </c>
      <c r="AO1135" s="76">
        <f t="shared" si="191"/>
        <v>11.470303693681997</v>
      </c>
      <c r="AP1135" s="63" t="str">
        <f t="shared" si="192"/>
        <v>Buy Stocks</v>
      </c>
      <c r="AQ1135" s="63" t="str">
        <f t="shared" si="193"/>
        <v/>
      </c>
      <c r="AR1135" s="63" t="str">
        <f t="shared" si="194"/>
        <v/>
      </c>
      <c r="AS1135" s="63" t="str">
        <f t="shared" si="195"/>
        <v/>
      </c>
      <c r="AT1135" s="78" t="str">
        <f t="shared" si="196"/>
        <v/>
      </c>
      <c r="AU1135" s="78" t="str">
        <f t="shared" si="197"/>
        <v/>
      </c>
      <c r="AV1135" s="64" t="str">
        <f ca="1">IFERROR(__xludf.DUMMYFUNCTION("IF(TRIM(AU1135)="""","""",AU1135/INDEX(FILTER(AT$3:AT1135,TRIM(AT$3:AT1135)&lt;&gt;""""),ROWS(FILTER(AT$3:AT1135,TRIM(AT$3:AT1135)&lt;&gt;"""")))-1)"),"")</f>
        <v/>
      </c>
      <c r="AW1135" s="65" t="e">
        <f t="shared" ca="1" si="189"/>
        <v>#VALUE!</v>
      </c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</row>
    <row r="1136" spans="1:68" ht="19" x14ac:dyDescent="0.25">
      <c r="A1136" s="5"/>
      <c r="B1136" s="5"/>
      <c r="C1136" s="5"/>
      <c r="D1136" s="5"/>
      <c r="E1136" s="5"/>
      <c r="F1136" s="5"/>
      <c r="G1136" s="5"/>
      <c r="H1136" s="6"/>
      <c r="I1136" s="5"/>
      <c r="J1136" s="88"/>
      <c r="K1136" s="88"/>
      <c r="L1136" s="88"/>
      <c r="M1136" s="88"/>
      <c r="N1136" s="88"/>
      <c r="O1136" s="88"/>
      <c r="P1136" s="88"/>
      <c r="Q1136" s="89"/>
      <c r="R1136" s="88"/>
      <c r="S1136" s="88"/>
      <c r="T1136" s="90"/>
      <c r="U1136" s="6"/>
      <c r="V1136" s="44">
        <v>45566</v>
      </c>
      <c r="W1136" s="45">
        <v>219.35</v>
      </c>
      <c r="X1136" s="91"/>
      <c r="Y1136" s="77"/>
      <c r="Z1136" s="5"/>
      <c r="AA1136" s="5"/>
      <c r="AB1136" s="5"/>
      <c r="AC1136" s="5"/>
      <c r="AD1136" s="5"/>
      <c r="AE1136" s="5"/>
      <c r="AF1136" s="5"/>
      <c r="AG1136" s="5"/>
      <c r="AH1136" s="6"/>
      <c r="AI1136" s="44">
        <v>45566</v>
      </c>
      <c r="AJ1136" s="53">
        <v>219.35</v>
      </c>
      <c r="AK1136" s="54">
        <f t="shared" si="187"/>
        <v>-7.8252216392257212E-3</v>
      </c>
      <c r="AL1136" s="55">
        <f t="shared" si="190"/>
        <v>13.438827194973149</v>
      </c>
      <c r="AM1136" s="56">
        <v>25</v>
      </c>
      <c r="AN1136" s="57">
        <f t="shared" si="188"/>
        <v>11.561172805026851</v>
      </c>
      <c r="AO1136" s="76">
        <f t="shared" si="191"/>
        <v>11.64177337326549</v>
      </c>
      <c r="AP1136" s="63" t="str">
        <f t="shared" si="192"/>
        <v>Buy Stocks</v>
      </c>
      <c r="AQ1136" s="63" t="str">
        <f t="shared" si="193"/>
        <v/>
      </c>
      <c r="AR1136" s="63" t="str">
        <f t="shared" si="194"/>
        <v/>
      </c>
      <c r="AS1136" s="63" t="str">
        <f t="shared" si="195"/>
        <v/>
      </c>
      <c r="AT1136" s="78" t="str">
        <f t="shared" si="196"/>
        <v/>
      </c>
      <c r="AU1136" s="78" t="str">
        <f t="shared" si="197"/>
        <v/>
      </c>
      <c r="AV1136" s="64" t="str">
        <f ca="1">IFERROR(__xludf.DUMMYFUNCTION("IF(TRIM(AU1136)="""","""",AU1136/INDEX(FILTER(AT$3:AT1136,TRIM(AT$3:AT1136)&lt;&gt;""""),ROWS(FILTER(AT$3:AT1136,TRIM(AT$3:AT1136)&lt;&gt;"""")))-1)"),"")</f>
        <v/>
      </c>
      <c r="AW1136" s="65" t="e">
        <f t="shared" ca="1" si="189"/>
        <v>#VALUE!</v>
      </c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</row>
    <row r="1137" spans="1:68" ht="19" x14ac:dyDescent="0.25">
      <c r="A1137" s="5"/>
      <c r="B1137" s="5"/>
      <c r="C1137" s="5"/>
      <c r="D1137" s="5"/>
      <c r="E1137" s="5"/>
      <c r="F1137" s="5"/>
      <c r="G1137" s="5"/>
      <c r="H1137" s="6"/>
      <c r="I1137" s="5"/>
      <c r="J1137" s="88"/>
      <c r="K1137" s="88"/>
      <c r="L1137" s="88"/>
      <c r="M1137" s="88"/>
      <c r="N1137" s="88"/>
      <c r="O1137" s="88"/>
      <c r="P1137" s="88"/>
      <c r="Q1137" s="89"/>
      <c r="R1137" s="88"/>
      <c r="S1137" s="88"/>
      <c r="T1137" s="90"/>
      <c r="U1137" s="6"/>
      <c r="V1137" s="44">
        <v>45567</v>
      </c>
      <c r="W1137" s="45">
        <v>219.73</v>
      </c>
      <c r="X1137" s="91"/>
      <c r="Y1137" s="77"/>
      <c r="Z1137" s="5"/>
      <c r="AA1137" s="5"/>
      <c r="AB1137" s="5"/>
      <c r="AC1137" s="5"/>
      <c r="AD1137" s="5"/>
      <c r="AE1137" s="5"/>
      <c r="AF1137" s="5"/>
      <c r="AG1137" s="5"/>
      <c r="AH1137" s="6"/>
      <c r="AI1137" s="44">
        <v>45567</v>
      </c>
      <c r="AJ1137" s="53">
        <v>219.73</v>
      </c>
      <c r="AK1137" s="54">
        <f t="shared" si="187"/>
        <v>1.7323911556872407E-3</v>
      </c>
      <c r="AL1137" s="55">
        <f t="shared" si="190"/>
        <v>13.512637983972308</v>
      </c>
      <c r="AM1137" s="56">
        <v>25</v>
      </c>
      <c r="AN1137" s="57">
        <f t="shared" si="188"/>
        <v>11.487362016027692</v>
      </c>
      <c r="AO1137" s="76">
        <f t="shared" si="191"/>
        <v>11.880017821836358</v>
      </c>
      <c r="AP1137" s="63" t="str">
        <f t="shared" si="192"/>
        <v>Buy Stocks</v>
      </c>
      <c r="AQ1137" s="63" t="str">
        <f t="shared" si="193"/>
        <v/>
      </c>
      <c r="AR1137" s="63" t="str">
        <f t="shared" si="194"/>
        <v/>
      </c>
      <c r="AS1137" s="63" t="str">
        <f t="shared" si="195"/>
        <v/>
      </c>
      <c r="AT1137" s="78" t="str">
        <f t="shared" si="196"/>
        <v/>
      </c>
      <c r="AU1137" s="78" t="str">
        <f t="shared" si="197"/>
        <v/>
      </c>
      <c r="AV1137" s="64" t="str">
        <f ca="1">IFERROR(__xludf.DUMMYFUNCTION("IF(TRIM(AU1137)="""","""",AU1137/INDEX(FILTER(AT$3:AT1137,TRIM(AT$3:AT1137)&lt;&gt;""""),ROWS(FILTER(AT$3:AT1137,TRIM(AT$3:AT1137)&lt;&gt;"""")))-1)"),"")</f>
        <v/>
      </c>
      <c r="AW1137" s="65" t="e">
        <f t="shared" ca="1" si="189"/>
        <v>#VALUE!</v>
      </c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</row>
    <row r="1138" spans="1:68" ht="19" x14ac:dyDescent="0.25">
      <c r="A1138" s="5"/>
      <c r="B1138" s="5"/>
      <c r="C1138" s="5"/>
      <c r="D1138" s="5"/>
      <c r="E1138" s="5"/>
      <c r="F1138" s="5"/>
      <c r="G1138" s="5"/>
      <c r="H1138" s="6"/>
      <c r="I1138" s="5"/>
      <c r="J1138" s="88"/>
      <c r="K1138" s="88"/>
      <c r="L1138" s="88"/>
      <c r="M1138" s="88"/>
      <c r="N1138" s="88"/>
      <c r="O1138" s="88"/>
      <c r="P1138" s="88"/>
      <c r="Q1138" s="89"/>
      <c r="R1138" s="88"/>
      <c r="S1138" s="88"/>
      <c r="T1138" s="90"/>
      <c r="U1138" s="6"/>
      <c r="V1138" s="44">
        <v>45568</v>
      </c>
      <c r="W1138" s="45">
        <v>222.72</v>
      </c>
      <c r="X1138" s="91"/>
      <c r="Y1138" s="77"/>
      <c r="Z1138" s="5"/>
      <c r="AA1138" s="5"/>
      <c r="AB1138" s="5"/>
      <c r="AC1138" s="5"/>
      <c r="AD1138" s="5"/>
      <c r="AE1138" s="5"/>
      <c r="AF1138" s="5"/>
      <c r="AG1138" s="5"/>
      <c r="AH1138" s="6"/>
      <c r="AI1138" s="44">
        <v>45568</v>
      </c>
      <c r="AJ1138" s="53">
        <v>222.72</v>
      </c>
      <c r="AK1138" s="54">
        <f t="shared" si="187"/>
        <v>1.3607609338733839E-2</v>
      </c>
      <c r="AL1138" s="55">
        <f t="shared" si="190"/>
        <v>15.536942702394565</v>
      </c>
      <c r="AM1138" s="56">
        <v>25</v>
      </c>
      <c r="AN1138" s="57">
        <f t="shared" si="188"/>
        <v>9.4630572976054346</v>
      </c>
      <c r="AO1138" s="76">
        <f t="shared" si="191"/>
        <v>11.026714173962423</v>
      </c>
      <c r="AP1138" s="63" t="str">
        <f t="shared" si="192"/>
        <v>Buy Stocks</v>
      </c>
      <c r="AQ1138" s="63" t="str">
        <f t="shared" si="193"/>
        <v/>
      </c>
      <c r="AR1138" s="63" t="str">
        <f t="shared" si="194"/>
        <v/>
      </c>
      <c r="AS1138" s="63" t="str">
        <f t="shared" si="195"/>
        <v/>
      </c>
      <c r="AT1138" s="78" t="str">
        <f t="shared" si="196"/>
        <v/>
      </c>
      <c r="AU1138" s="78" t="str">
        <f t="shared" si="197"/>
        <v/>
      </c>
      <c r="AV1138" s="64" t="str">
        <f ca="1">IFERROR(__xludf.DUMMYFUNCTION("IF(TRIM(AU1138)="""","""",AU1138/INDEX(FILTER(AT$3:AT1138,TRIM(AT$3:AT1138)&lt;&gt;""""),ROWS(FILTER(AT$3:AT1138,TRIM(AT$3:AT1138)&lt;&gt;"""")))-1)"),"")</f>
        <v/>
      </c>
      <c r="AW1138" s="65" t="e">
        <f t="shared" ca="1" si="189"/>
        <v>#VALUE!</v>
      </c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</row>
    <row r="1139" spans="1:68" ht="19" x14ac:dyDescent="0.25">
      <c r="A1139" s="5"/>
      <c r="B1139" s="5"/>
      <c r="C1139" s="5"/>
      <c r="D1139" s="5"/>
      <c r="E1139" s="5"/>
      <c r="F1139" s="5"/>
      <c r="G1139" s="5"/>
      <c r="H1139" s="6"/>
      <c r="I1139" s="5"/>
      <c r="J1139" s="88"/>
      <c r="K1139" s="88"/>
      <c r="L1139" s="88"/>
      <c r="M1139" s="88"/>
      <c r="N1139" s="88"/>
      <c r="O1139" s="88"/>
      <c r="P1139" s="88"/>
      <c r="Q1139" s="89"/>
      <c r="R1139" s="88"/>
      <c r="S1139" s="88"/>
      <c r="T1139" s="90"/>
      <c r="U1139" s="6"/>
      <c r="V1139" s="44">
        <v>45569</v>
      </c>
      <c r="W1139" s="45">
        <v>226</v>
      </c>
      <c r="X1139" s="91"/>
      <c r="Y1139" s="77"/>
      <c r="Z1139" s="5"/>
      <c r="AA1139" s="5"/>
      <c r="AB1139" s="5"/>
      <c r="AC1139" s="5"/>
      <c r="AD1139" s="5"/>
      <c r="AE1139" s="5"/>
      <c r="AF1139" s="5"/>
      <c r="AG1139" s="5"/>
      <c r="AH1139" s="6"/>
      <c r="AI1139" s="44">
        <v>45569</v>
      </c>
      <c r="AJ1139" s="53">
        <v>226</v>
      </c>
      <c r="AK1139" s="54">
        <f t="shared" si="187"/>
        <v>1.4727011494252817E-2</v>
      </c>
      <c r="AL1139" s="55">
        <f t="shared" si="190"/>
        <v>15.031071186106432</v>
      </c>
      <c r="AM1139" s="56">
        <v>25</v>
      </c>
      <c r="AN1139" s="57">
        <f t="shared" si="188"/>
        <v>9.9689288138935677</v>
      </c>
      <c r="AO1139" s="76">
        <f t="shared" si="191"/>
        <v>11.042658728542978</v>
      </c>
      <c r="AP1139" s="63" t="str">
        <f t="shared" si="192"/>
        <v>Buy Stocks</v>
      </c>
      <c r="AQ1139" s="63" t="str">
        <f t="shared" si="193"/>
        <v/>
      </c>
      <c r="AR1139" s="63" t="str">
        <f t="shared" si="194"/>
        <v/>
      </c>
      <c r="AS1139" s="63" t="str">
        <f t="shared" si="195"/>
        <v/>
      </c>
      <c r="AT1139" s="78" t="str">
        <f t="shared" si="196"/>
        <v/>
      </c>
      <c r="AU1139" s="78" t="str">
        <f t="shared" si="197"/>
        <v/>
      </c>
      <c r="AV1139" s="64" t="str">
        <f ca="1">IFERROR(__xludf.DUMMYFUNCTION("IF(TRIM(AU1139)="""","""",AU1139/INDEX(FILTER(AT$3:AT1139,TRIM(AT$3:AT1139)&lt;&gt;""""),ROWS(FILTER(AT$3:AT1139,TRIM(AT$3:AT1139)&lt;&gt;"""")))-1)"),"")</f>
        <v/>
      </c>
      <c r="AW1139" s="65" t="e">
        <f t="shared" ca="1" si="189"/>
        <v>#VALUE!</v>
      </c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</row>
    <row r="1140" spans="1:68" ht="19" x14ac:dyDescent="0.25">
      <c r="A1140" s="5"/>
      <c r="B1140" s="5"/>
      <c r="C1140" s="5"/>
      <c r="D1140" s="5"/>
      <c r="E1140" s="5"/>
      <c r="F1140" s="5"/>
      <c r="G1140" s="5"/>
      <c r="H1140" s="6"/>
      <c r="I1140" s="5"/>
      <c r="J1140" s="88"/>
      <c r="K1140" s="88"/>
      <c r="L1140" s="88"/>
      <c r="M1140" s="88"/>
      <c r="N1140" s="88"/>
      <c r="O1140" s="88"/>
      <c r="P1140" s="88"/>
      <c r="Q1140" s="89"/>
      <c r="R1140" s="88"/>
      <c r="S1140" s="88"/>
      <c r="T1140" s="90"/>
      <c r="U1140" s="6"/>
      <c r="V1140" s="44">
        <v>45572</v>
      </c>
      <c r="W1140" s="45">
        <v>227.12</v>
      </c>
      <c r="X1140" s="91"/>
      <c r="Y1140" s="77"/>
      <c r="Z1140" s="5"/>
      <c r="AA1140" s="5"/>
      <c r="AB1140" s="5"/>
      <c r="AC1140" s="5"/>
      <c r="AD1140" s="5"/>
      <c r="AE1140" s="5"/>
      <c r="AF1140" s="5"/>
      <c r="AG1140" s="5"/>
      <c r="AH1140" s="6"/>
      <c r="AI1140" s="44">
        <v>45572</v>
      </c>
      <c r="AJ1140" s="53">
        <v>227.12</v>
      </c>
      <c r="AK1140" s="54">
        <f t="shared" si="187"/>
        <v>4.9557522123893083E-3</v>
      </c>
      <c r="AL1140" s="55">
        <f t="shared" si="190"/>
        <v>14.697972460103648</v>
      </c>
      <c r="AM1140" s="56">
        <v>25</v>
      </c>
      <c r="AN1140" s="57">
        <f t="shared" si="188"/>
        <v>10.302027539896352</v>
      </c>
      <c r="AO1140" s="76">
        <f t="shared" si="191"/>
        <v>10.556509694489979</v>
      </c>
      <c r="AP1140" s="63" t="str">
        <f t="shared" si="192"/>
        <v>Buy Stocks</v>
      </c>
      <c r="AQ1140" s="63" t="str">
        <f t="shared" si="193"/>
        <v/>
      </c>
      <c r="AR1140" s="63" t="str">
        <f t="shared" si="194"/>
        <v/>
      </c>
      <c r="AS1140" s="63" t="str">
        <f t="shared" si="195"/>
        <v/>
      </c>
      <c r="AT1140" s="78" t="str">
        <f t="shared" si="196"/>
        <v/>
      </c>
      <c r="AU1140" s="78" t="str">
        <f t="shared" si="197"/>
        <v/>
      </c>
      <c r="AV1140" s="64" t="str">
        <f ca="1">IFERROR(__xludf.DUMMYFUNCTION("IF(TRIM(AU1140)="""","""",AU1140/INDEX(FILTER(AT$3:AT1140,TRIM(AT$3:AT1140)&lt;&gt;""""),ROWS(FILTER(AT$3:AT1140,TRIM(AT$3:AT1140)&lt;&gt;"""")))-1)"),"")</f>
        <v/>
      </c>
      <c r="AW1140" s="65" t="e">
        <f t="shared" ca="1" si="189"/>
        <v>#VALUE!</v>
      </c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</row>
    <row r="1141" spans="1:68" ht="19" x14ac:dyDescent="0.25">
      <c r="A1141" s="5"/>
      <c r="B1141" s="5"/>
      <c r="C1141" s="5"/>
      <c r="D1141" s="5"/>
      <c r="E1141" s="5"/>
      <c r="F1141" s="5"/>
      <c r="G1141" s="5"/>
      <c r="H1141" s="6"/>
      <c r="I1141" s="5"/>
      <c r="J1141" s="88"/>
      <c r="K1141" s="88"/>
      <c r="L1141" s="88"/>
      <c r="M1141" s="88"/>
      <c r="N1141" s="88"/>
      <c r="O1141" s="88"/>
      <c r="P1141" s="88"/>
      <c r="Q1141" s="89"/>
      <c r="R1141" s="88"/>
      <c r="S1141" s="88"/>
      <c r="T1141" s="90"/>
      <c r="U1141" s="6"/>
      <c r="V1141" s="44">
        <v>45573</v>
      </c>
      <c r="W1141" s="45">
        <v>228.62</v>
      </c>
      <c r="X1141" s="91"/>
      <c r="Y1141" s="77"/>
      <c r="Z1141" s="5"/>
      <c r="AA1141" s="5"/>
      <c r="AB1141" s="5"/>
      <c r="AC1141" s="5"/>
      <c r="AD1141" s="5"/>
      <c r="AE1141" s="5"/>
      <c r="AF1141" s="5"/>
      <c r="AG1141" s="5"/>
      <c r="AH1141" s="6"/>
      <c r="AI1141" s="44">
        <v>45573</v>
      </c>
      <c r="AJ1141" s="53">
        <v>228.62</v>
      </c>
      <c r="AK1141" s="54">
        <f t="shared" si="187"/>
        <v>6.604438182458594E-3</v>
      </c>
      <c r="AL1141" s="55">
        <f t="shared" si="190"/>
        <v>8.9330739935062571</v>
      </c>
      <c r="AM1141" s="56">
        <v>25</v>
      </c>
      <c r="AN1141" s="57">
        <f t="shared" si="188"/>
        <v>16.066926006493745</v>
      </c>
      <c r="AO1141" s="76">
        <f t="shared" si="191"/>
        <v>11.457660334783359</v>
      </c>
      <c r="AP1141" s="63" t="str">
        <f t="shared" si="192"/>
        <v>Buy Stocks</v>
      </c>
      <c r="AQ1141" s="63" t="str">
        <f t="shared" si="193"/>
        <v/>
      </c>
      <c r="AR1141" s="63" t="str">
        <f t="shared" si="194"/>
        <v/>
      </c>
      <c r="AS1141" s="63" t="str">
        <f t="shared" si="195"/>
        <v/>
      </c>
      <c r="AT1141" s="78" t="str">
        <f t="shared" si="196"/>
        <v/>
      </c>
      <c r="AU1141" s="78" t="str">
        <f t="shared" si="197"/>
        <v/>
      </c>
      <c r="AV1141" s="64" t="str">
        <f ca="1">IFERROR(__xludf.DUMMYFUNCTION("IF(TRIM(AU1141)="""","""",AU1141/INDEX(FILTER(AT$3:AT1141,TRIM(AT$3:AT1141)&lt;&gt;""""),ROWS(FILTER(AT$3:AT1141,TRIM(AT$3:AT1141)&lt;&gt;"""")))-1)"),"")</f>
        <v/>
      </c>
      <c r="AW1141" s="65" t="e">
        <f t="shared" ca="1" si="189"/>
        <v>#VALUE!</v>
      </c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</row>
    <row r="1142" spans="1:68" ht="19" x14ac:dyDescent="0.25">
      <c r="A1142" s="5"/>
      <c r="B1142" s="5"/>
      <c r="C1142" s="5"/>
      <c r="D1142" s="5"/>
      <c r="E1142" s="5"/>
      <c r="F1142" s="5"/>
      <c r="G1142" s="5"/>
      <c r="H1142" s="6"/>
      <c r="I1142" s="5"/>
      <c r="J1142" s="88"/>
      <c r="K1142" s="88"/>
      <c r="L1142" s="88"/>
      <c r="M1142" s="88"/>
      <c r="N1142" s="88"/>
      <c r="O1142" s="88"/>
      <c r="P1142" s="88"/>
      <c r="Q1142" s="89"/>
      <c r="R1142" s="88"/>
      <c r="S1142" s="88"/>
      <c r="T1142" s="90"/>
      <c r="U1142" s="6"/>
      <c r="V1142" s="44">
        <v>45574</v>
      </c>
      <c r="W1142" s="45">
        <v>234.3</v>
      </c>
      <c r="X1142" s="91"/>
      <c r="Y1142" s="77"/>
      <c r="Z1142" s="5"/>
      <c r="AA1142" s="5"/>
      <c r="AB1142" s="5"/>
      <c r="AC1142" s="5"/>
      <c r="AD1142" s="5"/>
      <c r="AE1142" s="5"/>
      <c r="AF1142" s="5"/>
      <c r="AG1142" s="5"/>
      <c r="AH1142" s="6"/>
      <c r="AI1142" s="44">
        <v>45574</v>
      </c>
      <c r="AJ1142" s="53">
        <v>234.3</v>
      </c>
      <c r="AK1142" s="54">
        <f t="shared" si="187"/>
        <v>2.4844720496894457E-2</v>
      </c>
      <c r="AL1142" s="55">
        <f t="shared" si="190"/>
        <v>12.53102938595082</v>
      </c>
      <c r="AM1142" s="56">
        <v>25</v>
      </c>
      <c r="AN1142" s="57">
        <f t="shared" si="188"/>
        <v>12.46897061404918</v>
      </c>
      <c r="AO1142" s="76">
        <f t="shared" si="191"/>
        <v>11.653982054387654</v>
      </c>
      <c r="AP1142" s="63" t="str">
        <f t="shared" si="192"/>
        <v>Buy Stocks</v>
      </c>
      <c r="AQ1142" s="63" t="str">
        <f t="shared" si="193"/>
        <v/>
      </c>
      <c r="AR1142" s="63" t="str">
        <f t="shared" si="194"/>
        <v/>
      </c>
      <c r="AS1142" s="63" t="str">
        <f t="shared" si="195"/>
        <v/>
      </c>
      <c r="AT1142" s="78" t="str">
        <f t="shared" si="196"/>
        <v/>
      </c>
      <c r="AU1142" s="78" t="str">
        <f t="shared" si="197"/>
        <v/>
      </c>
      <c r="AV1142" s="64" t="str">
        <f ca="1">IFERROR(__xludf.DUMMYFUNCTION("IF(TRIM(AU1142)="""","""",AU1142/INDEX(FILTER(AT$3:AT1142,TRIM(AT$3:AT1142)&lt;&gt;""""),ROWS(FILTER(AT$3:AT1142,TRIM(AT$3:AT1142)&lt;&gt;"""")))-1)"),"")</f>
        <v/>
      </c>
      <c r="AW1142" s="65" t="e">
        <f t="shared" ca="1" si="189"/>
        <v>#VALUE!</v>
      </c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</row>
    <row r="1143" spans="1:68" ht="19" x14ac:dyDescent="0.25">
      <c r="A1143" s="5"/>
      <c r="B1143" s="5"/>
      <c r="C1143" s="5"/>
      <c r="D1143" s="5"/>
      <c r="E1143" s="5"/>
      <c r="F1143" s="5"/>
      <c r="G1143" s="5"/>
      <c r="H1143" s="6"/>
      <c r="I1143" s="5"/>
      <c r="J1143" s="88"/>
      <c r="K1143" s="88"/>
      <c r="L1143" s="88"/>
      <c r="M1143" s="88"/>
      <c r="N1143" s="88"/>
      <c r="O1143" s="88"/>
      <c r="P1143" s="88"/>
      <c r="Q1143" s="89"/>
      <c r="R1143" s="88"/>
      <c r="S1143" s="88"/>
      <c r="T1143" s="90"/>
      <c r="U1143" s="6"/>
      <c r="V1143" s="44">
        <v>45575</v>
      </c>
      <c r="W1143" s="45">
        <v>233.02</v>
      </c>
      <c r="X1143" s="91"/>
      <c r="Y1143" s="77"/>
      <c r="Z1143" s="5"/>
      <c r="AA1143" s="5"/>
      <c r="AB1143" s="5"/>
      <c r="AC1143" s="5"/>
      <c r="AD1143" s="5"/>
      <c r="AE1143" s="5"/>
      <c r="AF1143" s="5"/>
      <c r="AG1143" s="5"/>
      <c r="AH1143" s="6"/>
      <c r="AI1143" s="44">
        <v>45575</v>
      </c>
      <c r="AJ1143" s="53">
        <v>233.02</v>
      </c>
      <c r="AK1143" s="54">
        <f t="shared" si="187"/>
        <v>-5.4630815194195437E-3</v>
      </c>
      <c r="AL1143" s="55">
        <f t="shared" si="190"/>
        <v>18.013190656848664</v>
      </c>
      <c r="AM1143" s="56">
        <v>25</v>
      </c>
      <c r="AN1143" s="57">
        <f t="shared" si="188"/>
        <v>6.9868093431513358</v>
      </c>
      <c r="AO1143" s="76">
        <f t="shared" si="191"/>
        <v>11.158732463496836</v>
      </c>
      <c r="AP1143" s="63" t="str">
        <f t="shared" si="192"/>
        <v>Buy Stocks</v>
      </c>
      <c r="AQ1143" s="63" t="str">
        <f t="shared" si="193"/>
        <v/>
      </c>
      <c r="AR1143" s="63" t="str">
        <f t="shared" si="194"/>
        <v/>
      </c>
      <c r="AS1143" s="63" t="str">
        <f t="shared" si="195"/>
        <v/>
      </c>
      <c r="AT1143" s="78" t="str">
        <f t="shared" si="196"/>
        <v/>
      </c>
      <c r="AU1143" s="78" t="str">
        <f t="shared" si="197"/>
        <v/>
      </c>
      <c r="AV1143" s="64" t="str">
        <f ca="1">IFERROR(__xludf.DUMMYFUNCTION("IF(TRIM(AU1143)="""","""",AU1143/INDEX(FILTER(AT$3:AT1143,TRIM(AT$3:AT1143)&lt;&gt;""""),ROWS(FILTER(AT$3:AT1143,TRIM(AT$3:AT1143)&lt;&gt;"""")))-1)"),"")</f>
        <v/>
      </c>
      <c r="AW1143" s="65" t="e">
        <f t="shared" ca="1" si="189"/>
        <v>#VALUE!</v>
      </c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</row>
    <row r="1144" spans="1:68" ht="19" x14ac:dyDescent="0.25">
      <c r="A1144" s="5"/>
      <c r="B1144" s="5"/>
      <c r="C1144" s="5"/>
      <c r="D1144" s="5"/>
      <c r="E1144" s="5"/>
      <c r="F1144" s="5"/>
      <c r="G1144" s="5"/>
      <c r="H1144" s="6"/>
      <c r="I1144" s="5"/>
      <c r="J1144" s="88"/>
      <c r="K1144" s="88"/>
      <c r="L1144" s="88"/>
      <c r="M1144" s="88"/>
      <c r="N1144" s="88"/>
      <c r="O1144" s="88"/>
      <c r="P1144" s="88"/>
      <c r="Q1144" s="89"/>
      <c r="R1144" s="88"/>
      <c r="S1144" s="88"/>
      <c r="T1144" s="90"/>
      <c r="U1144" s="6"/>
      <c r="V1144" s="44">
        <v>45576</v>
      </c>
      <c r="W1144" s="45">
        <v>233.26</v>
      </c>
      <c r="X1144" s="91"/>
      <c r="Y1144" s="77"/>
      <c r="Z1144" s="5"/>
      <c r="AA1144" s="5"/>
      <c r="AB1144" s="5"/>
      <c r="AC1144" s="5"/>
      <c r="AD1144" s="5"/>
      <c r="AE1144" s="5"/>
      <c r="AF1144" s="5"/>
      <c r="AG1144" s="5"/>
      <c r="AH1144" s="6"/>
      <c r="AI1144" s="44">
        <v>45576</v>
      </c>
      <c r="AJ1144" s="53">
        <v>233.26</v>
      </c>
      <c r="AK1144" s="54">
        <f t="shared" si="187"/>
        <v>1.029954510342268E-3</v>
      </c>
      <c r="AL1144" s="55">
        <f t="shared" si="190"/>
        <v>17.958294317409152</v>
      </c>
      <c r="AM1144" s="56">
        <v>25</v>
      </c>
      <c r="AN1144" s="57">
        <f t="shared" si="188"/>
        <v>7.0417056825908482</v>
      </c>
      <c r="AO1144" s="76">
        <f t="shared" si="191"/>
        <v>10.57328783723629</v>
      </c>
      <c r="AP1144" s="63" t="str">
        <f t="shared" si="192"/>
        <v>Buy Stocks</v>
      </c>
      <c r="AQ1144" s="63" t="str">
        <f t="shared" si="193"/>
        <v/>
      </c>
      <c r="AR1144" s="63" t="str">
        <f t="shared" si="194"/>
        <v/>
      </c>
      <c r="AS1144" s="63" t="str">
        <f t="shared" si="195"/>
        <v/>
      </c>
      <c r="AT1144" s="78" t="str">
        <f t="shared" si="196"/>
        <v/>
      </c>
      <c r="AU1144" s="78" t="str">
        <f t="shared" si="197"/>
        <v/>
      </c>
      <c r="AV1144" s="64" t="str">
        <f ca="1">IFERROR(__xludf.DUMMYFUNCTION("IF(TRIM(AU1144)="""","""",AU1144/INDEX(FILTER(AT$3:AT1144,TRIM(AT$3:AT1144)&lt;&gt;""""),ROWS(FILTER(AT$3:AT1144,TRIM(AT$3:AT1144)&lt;&gt;"""")))-1)"),"")</f>
        <v/>
      </c>
      <c r="AW1144" s="65" t="e">
        <f t="shared" ca="1" si="189"/>
        <v>#VALUE!</v>
      </c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</row>
    <row r="1145" spans="1:68" ht="19" x14ac:dyDescent="0.25">
      <c r="A1145" s="5"/>
      <c r="B1145" s="5"/>
      <c r="C1145" s="5"/>
      <c r="D1145" s="5"/>
      <c r="E1145" s="5"/>
      <c r="F1145" s="5"/>
      <c r="G1145" s="5"/>
      <c r="H1145" s="6"/>
      <c r="I1145" s="5"/>
      <c r="J1145" s="88"/>
      <c r="K1145" s="88"/>
      <c r="L1145" s="88"/>
      <c r="M1145" s="88"/>
      <c r="N1145" s="88"/>
      <c r="O1145" s="88"/>
      <c r="P1145" s="88"/>
      <c r="Q1145" s="89"/>
      <c r="R1145" s="88"/>
      <c r="S1145" s="88"/>
      <c r="T1145" s="90"/>
      <c r="U1145" s="6"/>
      <c r="V1145" s="44">
        <v>45579</v>
      </c>
      <c r="W1145" s="45">
        <v>235.26</v>
      </c>
      <c r="X1145" s="91"/>
      <c r="Y1145" s="77"/>
      <c r="Z1145" s="5"/>
      <c r="AA1145" s="5"/>
      <c r="AB1145" s="5"/>
      <c r="AC1145" s="5"/>
      <c r="AD1145" s="5"/>
      <c r="AE1145" s="5"/>
      <c r="AF1145" s="5"/>
      <c r="AG1145" s="5"/>
      <c r="AH1145" s="6"/>
      <c r="AI1145" s="44">
        <v>45579</v>
      </c>
      <c r="AJ1145" s="53">
        <v>235.26</v>
      </c>
      <c r="AK1145" s="54">
        <f t="shared" si="187"/>
        <v>8.5741232958929103E-3</v>
      </c>
      <c r="AL1145" s="55">
        <f t="shared" si="190"/>
        <v>17.959404204508754</v>
      </c>
      <c r="AM1145" s="56">
        <v>25</v>
      </c>
      <c r="AN1145" s="57">
        <f t="shared" si="188"/>
        <v>7.0405957954912459</v>
      </c>
      <c r="AO1145" s="76">
        <f t="shared" si="191"/>
        <v>9.9210014883552695</v>
      </c>
      <c r="AP1145" s="63" t="str">
        <f t="shared" si="192"/>
        <v>Buy Stocks</v>
      </c>
      <c r="AQ1145" s="63" t="str">
        <f t="shared" si="193"/>
        <v/>
      </c>
      <c r="AR1145" s="63" t="str">
        <f t="shared" si="194"/>
        <v/>
      </c>
      <c r="AS1145" s="63" t="str">
        <f t="shared" si="195"/>
        <v/>
      </c>
      <c r="AT1145" s="78" t="str">
        <f t="shared" si="196"/>
        <v/>
      </c>
      <c r="AU1145" s="78" t="str">
        <f t="shared" si="197"/>
        <v/>
      </c>
      <c r="AV1145" s="64" t="str">
        <f ca="1">IFERROR(__xludf.DUMMYFUNCTION("IF(TRIM(AU1145)="""","""",AU1145/INDEX(FILTER(AT$3:AT1145,TRIM(AT$3:AT1145)&lt;&gt;""""),ROWS(FILTER(AT$3:AT1145,TRIM(AT$3:AT1145)&lt;&gt;"""")))-1)"),"")</f>
        <v/>
      </c>
      <c r="AW1145" s="65" t="e">
        <f t="shared" ca="1" si="189"/>
        <v>#VALUE!</v>
      </c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</row>
    <row r="1146" spans="1:68" ht="19" x14ac:dyDescent="0.25">
      <c r="A1146" s="5"/>
      <c r="B1146" s="5"/>
      <c r="C1146" s="5"/>
      <c r="D1146" s="5"/>
      <c r="E1146" s="5"/>
      <c r="F1146" s="5"/>
      <c r="G1146" s="5"/>
      <c r="H1146" s="6"/>
      <c r="I1146" s="5"/>
      <c r="J1146" s="88"/>
      <c r="K1146" s="88"/>
      <c r="L1146" s="88"/>
      <c r="M1146" s="88"/>
      <c r="N1146" s="88"/>
      <c r="O1146" s="88"/>
      <c r="P1146" s="88"/>
      <c r="Q1146" s="89"/>
      <c r="R1146" s="88"/>
      <c r="S1146" s="88"/>
      <c r="T1146" s="90"/>
      <c r="U1146" s="6"/>
      <c r="V1146" s="44">
        <v>45580</v>
      </c>
      <c r="W1146" s="45">
        <v>232.96</v>
      </c>
      <c r="X1146" s="91"/>
      <c r="Y1146" s="77"/>
      <c r="Z1146" s="5"/>
      <c r="AA1146" s="5"/>
      <c r="AB1146" s="5"/>
      <c r="AC1146" s="5"/>
      <c r="AD1146" s="5"/>
      <c r="AE1146" s="5"/>
      <c r="AF1146" s="5"/>
      <c r="AG1146" s="5"/>
      <c r="AH1146" s="6"/>
      <c r="AI1146" s="44">
        <v>45580</v>
      </c>
      <c r="AJ1146" s="53">
        <v>232.96</v>
      </c>
      <c r="AK1146" s="54">
        <f t="shared" si="187"/>
        <v>-9.776417580549146E-3</v>
      </c>
      <c r="AL1146" s="55">
        <f t="shared" si="190"/>
        <v>21.642094168023494</v>
      </c>
      <c r="AM1146" s="56">
        <v>25</v>
      </c>
      <c r="AN1146" s="57">
        <f t="shared" si="188"/>
        <v>3.3579058319765061</v>
      </c>
      <c r="AO1146" s="76">
        <f t="shared" si="191"/>
        <v>7.3791974534518232</v>
      </c>
      <c r="AP1146" s="63" t="str">
        <f t="shared" si="192"/>
        <v>Buy Stocks</v>
      </c>
      <c r="AQ1146" s="63" t="str">
        <f t="shared" si="193"/>
        <v/>
      </c>
      <c r="AR1146" s="63" t="str">
        <f t="shared" si="194"/>
        <v/>
      </c>
      <c r="AS1146" s="63" t="str">
        <f t="shared" si="195"/>
        <v/>
      </c>
      <c r="AT1146" s="78" t="str">
        <f t="shared" si="196"/>
        <v/>
      </c>
      <c r="AU1146" s="78" t="str">
        <f t="shared" si="197"/>
        <v/>
      </c>
      <c r="AV1146" s="64" t="str">
        <f ca="1">IFERROR(__xludf.DUMMYFUNCTION("IF(TRIM(AU1146)="""","""",AU1146/INDEX(FILTER(AT$3:AT1146,TRIM(AT$3:AT1146)&lt;&gt;""""),ROWS(FILTER(AT$3:AT1146,TRIM(AT$3:AT1146)&lt;&gt;"""")))-1)"),"")</f>
        <v/>
      </c>
      <c r="AW1146" s="65" t="e">
        <f t="shared" ca="1" si="189"/>
        <v>#VALUE!</v>
      </c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</row>
    <row r="1147" spans="1:68" ht="19" x14ac:dyDescent="0.25">
      <c r="A1147" s="5"/>
      <c r="B1147" s="5"/>
      <c r="C1147" s="5"/>
      <c r="D1147" s="5"/>
      <c r="E1147" s="5"/>
      <c r="F1147" s="5"/>
      <c r="G1147" s="5"/>
      <c r="H1147" s="6"/>
      <c r="I1147" s="5"/>
      <c r="J1147" s="88"/>
      <c r="K1147" s="88"/>
      <c r="L1147" s="88"/>
      <c r="M1147" s="88"/>
      <c r="N1147" s="88"/>
      <c r="O1147" s="88"/>
      <c r="P1147" s="88"/>
      <c r="Q1147" s="89"/>
      <c r="R1147" s="88"/>
      <c r="S1147" s="88"/>
      <c r="T1147" s="90"/>
      <c r="U1147" s="6"/>
      <c r="V1147" s="44">
        <v>45581</v>
      </c>
      <c r="W1147" s="45">
        <v>233.67</v>
      </c>
      <c r="X1147" s="91"/>
      <c r="Y1147" s="77"/>
      <c r="Z1147" s="5"/>
      <c r="AA1147" s="5"/>
      <c r="AB1147" s="5"/>
      <c r="AC1147" s="5"/>
      <c r="AD1147" s="5"/>
      <c r="AE1147" s="5"/>
      <c r="AF1147" s="5"/>
      <c r="AG1147" s="5"/>
      <c r="AH1147" s="6"/>
      <c r="AI1147" s="44">
        <v>45581</v>
      </c>
      <c r="AJ1147" s="53">
        <v>233.67</v>
      </c>
      <c r="AK1147" s="54">
        <f t="shared" si="187"/>
        <v>3.047733516483353E-3</v>
      </c>
      <c r="AL1147" s="55">
        <f t="shared" si="190"/>
        <v>11.44587935056621</v>
      </c>
      <c r="AM1147" s="56">
        <v>25</v>
      </c>
      <c r="AN1147" s="57">
        <f t="shared" si="188"/>
        <v>13.55412064943379</v>
      </c>
      <c r="AO1147" s="76">
        <f t="shared" si="191"/>
        <v>7.5962274605287448</v>
      </c>
      <c r="AP1147" s="63" t="str">
        <f t="shared" si="192"/>
        <v>Buy Stocks</v>
      </c>
      <c r="AQ1147" s="63" t="str">
        <f t="shared" si="193"/>
        <v/>
      </c>
      <c r="AR1147" s="63" t="str">
        <f t="shared" si="194"/>
        <v/>
      </c>
      <c r="AS1147" s="63" t="str">
        <f t="shared" si="195"/>
        <v/>
      </c>
      <c r="AT1147" s="78" t="str">
        <f t="shared" si="196"/>
        <v/>
      </c>
      <c r="AU1147" s="78" t="str">
        <f t="shared" si="197"/>
        <v/>
      </c>
      <c r="AV1147" s="64" t="str">
        <f ca="1">IFERROR(__xludf.DUMMYFUNCTION("IF(TRIM(AU1147)="""","""",AU1147/INDEX(FILTER(AT$3:AT1147,TRIM(AT$3:AT1147)&lt;&gt;""""),ROWS(FILTER(AT$3:AT1147,TRIM(AT$3:AT1147)&lt;&gt;"""")))-1)"),"")</f>
        <v/>
      </c>
      <c r="AW1147" s="65" t="e">
        <f t="shared" ca="1" si="189"/>
        <v>#VALUE!</v>
      </c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</row>
    <row r="1148" spans="1:68" ht="19" x14ac:dyDescent="0.25">
      <c r="A1148" s="5"/>
      <c r="B1148" s="5"/>
      <c r="C1148" s="5"/>
      <c r="D1148" s="5"/>
      <c r="E1148" s="5"/>
      <c r="F1148" s="5"/>
      <c r="G1148" s="5"/>
      <c r="H1148" s="6"/>
      <c r="I1148" s="5"/>
      <c r="J1148" s="88"/>
      <c r="K1148" s="88"/>
      <c r="L1148" s="88"/>
      <c r="M1148" s="88"/>
      <c r="N1148" s="88"/>
      <c r="O1148" s="88"/>
      <c r="P1148" s="88"/>
      <c r="Q1148" s="89"/>
      <c r="R1148" s="88"/>
      <c r="S1148" s="88"/>
      <c r="T1148" s="90"/>
      <c r="U1148" s="6"/>
      <c r="V1148" s="44">
        <v>45582</v>
      </c>
      <c r="W1148" s="45">
        <v>232.88</v>
      </c>
      <c r="X1148" s="91"/>
      <c r="Y1148" s="77"/>
      <c r="Z1148" s="5"/>
      <c r="AA1148" s="5"/>
      <c r="AB1148" s="5"/>
      <c r="AC1148" s="5"/>
      <c r="AD1148" s="5"/>
      <c r="AE1148" s="5"/>
      <c r="AF1148" s="5"/>
      <c r="AG1148" s="5"/>
      <c r="AH1148" s="6"/>
      <c r="AI1148" s="44">
        <v>45582</v>
      </c>
      <c r="AJ1148" s="53">
        <v>232.88</v>
      </c>
      <c r="AK1148" s="54">
        <f t="shared" si="187"/>
        <v>-3.3808362220224542E-3</v>
      </c>
      <c r="AL1148" s="55">
        <f t="shared" si="190"/>
        <v>10.964401346846083</v>
      </c>
      <c r="AM1148" s="56">
        <v>25</v>
      </c>
      <c r="AN1148" s="57">
        <f t="shared" si="188"/>
        <v>14.035598653153917</v>
      </c>
      <c r="AO1148" s="76">
        <f t="shared" si="191"/>
        <v>9.005985322529261</v>
      </c>
      <c r="AP1148" s="63" t="str">
        <f t="shared" si="192"/>
        <v>Buy Stocks</v>
      </c>
      <c r="AQ1148" s="63" t="str">
        <f t="shared" si="193"/>
        <v/>
      </c>
      <c r="AR1148" s="63" t="str">
        <f t="shared" si="194"/>
        <v/>
      </c>
      <c r="AS1148" s="63" t="str">
        <f t="shared" si="195"/>
        <v/>
      </c>
      <c r="AT1148" s="78" t="str">
        <f t="shared" si="196"/>
        <v/>
      </c>
      <c r="AU1148" s="78" t="str">
        <f t="shared" si="197"/>
        <v/>
      </c>
      <c r="AV1148" s="64" t="str">
        <f ca="1">IFERROR(__xludf.DUMMYFUNCTION("IF(TRIM(AU1148)="""","""",AU1148/INDEX(FILTER(AT$3:AT1148,TRIM(AT$3:AT1148)&lt;&gt;""""),ROWS(FILTER(AT$3:AT1148,TRIM(AT$3:AT1148)&lt;&gt;"""")))-1)"),"")</f>
        <v/>
      </c>
      <c r="AW1148" s="65" t="e">
        <f t="shared" ca="1" si="189"/>
        <v>#VALUE!</v>
      </c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</row>
    <row r="1149" spans="1:68" ht="19" x14ac:dyDescent="0.25">
      <c r="A1149" s="5"/>
      <c r="B1149" s="5"/>
      <c r="C1149" s="5"/>
      <c r="D1149" s="5"/>
      <c r="E1149" s="5"/>
      <c r="F1149" s="5"/>
      <c r="G1149" s="5"/>
      <c r="H1149" s="6"/>
      <c r="I1149" s="5"/>
      <c r="J1149" s="88"/>
      <c r="K1149" s="88"/>
      <c r="L1149" s="88"/>
      <c r="M1149" s="88"/>
      <c r="N1149" s="88"/>
      <c r="O1149" s="88"/>
      <c r="P1149" s="88"/>
      <c r="Q1149" s="89"/>
      <c r="R1149" s="88"/>
      <c r="S1149" s="88"/>
      <c r="T1149" s="90"/>
      <c r="U1149" s="6"/>
      <c r="V1149" s="44">
        <v>45583</v>
      </c>
      <c r="W1149" s="45">
        <v>232.2</v>
      </c>
      <c r="X1149" s="91"/>
      <c r="Y1149" s="77"/>
      <c r="Z1149" s="5"/>
      <c r="AA1149" s="5"/>
      <c r="AB1149" s="5"/>
      <c r="AC1149" s="5"/>
      <c r="AD1149" s="5"/>
      <c r="AE1149" s="5"/>
      <c r="AF1149" s="5"/>
      <c r="AG1149" s="5"/>
      <c r="AH1149" s="6"/>
      <c r="AI1149" s="44">
        <v>45583</v>
      </c>
      <c r="AJ1149" s="53">
        <v>232.2</v>
      </c>
      <c r="AK1149" s="54">
        <f t="shared" si="187"/>
        <v>-2.9199587770525337E-3</v>
      </c>
      <c r="AL1149" s="55">
        <f t="shared" si="190"/>
        <v>11.065818278669935</v>
      </c>
      <c r="AM1149" s="56">
        <v>25</v>
      </c>
      <c r="AN1149" s="57">
        <f t="shared" si="188"/>
        <v>13.934181721330065</v>
      </c>
      <c r="AO1149" s="76">
        <f t="shared" si="191"/>
        <v>10.384480530277106</v>
      </c>
      <c r="AP1149" s="63" t="str">
        <f t="shared" si="192"/>
        <v>Buy Stocks</v>
      </c>
      <c r="AQ1149" s="63" t="str">
        <f t="shared" si="193"/>
        <v/>
      </c>
      <c r="AR1149" s="63" t="str">
        <f t="shared" si="194"/>
        <v/>
      </c>
      <c r="AS1149" s="63" t="str">
        <f t="shared" si="195"/>
        <v/>
      </c>
      <c r="AT1149" s="78" t="str">
        <f t="shared" si="196"/>
        <v/>
      </c>
      <c r="AU1149" s="78" t="str">
        <f t="shared" si="197"/>
        <v/>
      </c>
      <c r="AV1149" s="64" t="str">
        <f ca="1">IFERROR(__xludf.DUMMYFUNCTION("IF(TRIM(AU1149)="""","""",AU1149/INDEX(FILTER(AT$3:AT1149,TRIM(AT$3:AT1149)&lt;&gt;""""),ROWS(FILTER(AT$3:AT1149,TRIM(AT$3:AT1149)&lt;&gt;"""")))-1)"),"")</f>
        <v/>
      </c>
      <c r="AW1149" s="65" t="e">
        <f t="shared" ca="1" si="189"/>
        <v>#VALUE!</v>
      </c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</row>
    <row r="1150" spans="1:68" ht="19" x14ac:dyDescent="0.25">
      <c r="A1150" s="5"/>
      <c r="B1150" s="5"/>
      <c r="C1150" s="5"/>
      <c r="D1150" s="5"/>
      <c r="E1150" s="5"/>
      <c r="F1150" s="5"/>
      <c r="G1150" s="5"/>
      <c r="H1150" s="6"/>
      <c r="I1150" s="5"/>
      <c r="J1150" s="88"/>
      <c r="K1150" s="88"/>
      <c r="L1150" s="88"/>
      <c r="M1150" s="88"/>
      <c r="N1150" s="88"/>
      <c r="O1150" s="88"/>
      <c r="P1150" s="88"/>
      <c r="Q1150" s="89"/>
      <c r="R1150" s="88"/>
      <c r="S1150" s="88"/>
      <c r="T1150" s="90"/>
      <c r="U1150" s="6"/>
      <c r="V1150" s="44">
        <v>45586</v>
      </c>
      <c r="W1150" s="45">
        <v>231.75</v>
      </c>
      <c r="X1150" s="91"/>
      <c r="Y1150" s="77"/>
      <c r="Z1150" s="5"/>
      <c r="AA1150" s="5"/>
      <c r="AB1150" s="5"/>
      <c r="AC1150" s="5"/>
      <c r="AD1150" s="5"/>
      <c r="AE1150" s="5"/>
      <c r="AF1150" s="5"/>
      <c r="AG1150" s="5"/>
      <c r="AH1150" s="6"/>
      <c r="AI1150" s="44">
        <v>45586</v>
      </c>
      <c r="AJ1150" s="53">
        <v>231.75</v>
      </c>
      <c r="AK1150" s="54">
        <f t="shared" si="187"/>
        <v>-1.9379844961240345E-3</v>
      </c>
      <c r="AL1150" s="55">
        <f t="shared" si="190"/>
        <v>7.2648217517611249</v>
      </c>
      <c r="AM1150" s="56">
        <v>25</v>
      </c>
      <c r="AN1150" s="57">
        <f t="shared" si="188"/>
        <v>17.735178248238874</v>
      </c>
      <c r="AO1150" s="76">
        <f t="shared" si="191"/>
        <v>12.52339702082663</v>
      </c>
      <c r="AP1150" s="63" t="str">
        <f t="shared" si="192"/>
        <v>Buy Stocks</v>
      </c>
      <c r="AQ1150" s="63" t="str">
        <f t="shared" si="193"/>
        <v/>
      </c>
      <c r="AR1150" s="63" t="str">
        <f t="shared" si="194"/>
        <v/>
      </c>
      <c r="AS1150" s="63" t="str">
        <f t="shared" si="195"/>
        <v/>
      </c>
      <c r="AT1150" s="78" t="str">
        <f t="shared" si="196"/>
        <v/>
      </c>
      <c r="AU1150" s="78" t="str">
        <f t="shared" si="197"/>
        <v/>
      </c>
      <c r="AV1150" s="64" t="str">
        <f ca="1">IFERROR(__xludf.DUMMYFUNCTION("IF(TRIM(AU1150)="""","""",AU1150/INDEX(FILTER(AT$3:AT1150,TRIM(AT$3:AT1150)&lt;&gt;""""),ROWS(FILTER(AT$3:AT1150,TRIM(AT$3:AT1150)&lt;&gt;"""")))-1)"),"")</f>
        <v/>
      </c>
      <c r="AW1150" s="65" t="e">
        <f t="shared" ca="1" si="189"/>
        <v>#VALUE!</v>
      </c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</row>
    <row r="1151" spans="1:68" ht="19" x14ac:dyDescent="0.25">
      <c r="A1151" s="5"/>
      <c r="B1151" s="5"/>
      <c r="C1151" s="5"/>
      <c r="D1151" s="5"/>
      <c r="E1151" s="5"/>
      <c r="F1151" s="5"/>
      <c r="G1151" s="5"/>
      <c r="H1151" s="6"/>
      <c r="I1151" s="5"/>
      <c r="J1151" s="88"/>
      <c r="K1151" s="88"/>
      <c r="L1151" s="88"/>
      <c r="M1151" s="88"/>
      <c r="N1151" s="88"/>
      <c r="O1151" s="88"/>
      <c r="P1151" s="88"/>
      <c r="Q1151" s="89"/>
      <c r="R1151" s="88"/>
      <c r="S1151" s="88"/>
      <c r="T1151" s="90"/>
      <c r="U1151" s="6"/>
      <c r="V1151" s="44">
        <v>45587</v>
      </c>
      <c r="W1151" s="45">
        <v>232.25</v>
      </c>
      <c r="X1151" s="91"/>
      <c r="Y1151" s="77"/>
      <c r="Z1151" s="5"/>
      <c r="AA1151" s="5"/>
      <c r="AB1151" s="5"/>
      <c r="AC1151" s="5"/>
      <c r="AD1151" s="5"/>
      <c r="AE1151" s="5"/>
      <c r="AF1151" s="5"/>
      <c r="AG1151" s="5"/>
      <c r="AH1151" s="6"/>
      <c r="AI1151" s="44">
        <v>45587</v>
      </c>
      <c r="AJ1151" s="53">
        <v>232.25</v>
      </c>
      <c r="AK1151" s="54">
        <f t="shared" si="187"/>
        <v>2.1574973031284195E-3</v>
      </c>
      <c r="AL1151" s="55">
        <f t="shared" si="190"/>
        <v>4.7500991643218731</v>
      </c>
      <c r="AM1151" s="56">
        <v>25</v>
      </c>
      <c r="AN1151" s="57">
        <f t="shared" si="188"/>
        <v>20.249900835678126</v>
      </c>
      <c r="AO1151" s="76">
        <f t="shared" si="191"/>
        <v>15.901796021566955</v>
      </c>
      <c r="AP1151" s="63" t="str">
        <f t="shared" si="192"/>
        <v>Buy Stocks</v>
      </c>
      <c r="AQ1151" s="63" t="str">
        <f t="shared" si="193"/>
        <v/>
      </c>
      <c r="AR1151" s="63" t="str">
        <f t="shared" si="194"/>
        <v/>
      </c>
      <c r="AS1151" s="63" t="str">
        <f t="shared" si="195"/>
        <v/>
      </c>
      <c r="AT1151" s="78" t="str">
        <f t="shared" si="196"/>
        <v/>
      </c>
      <c r="AU1151" s="78" t="str">
        <f t="shared" si="197"/>
        <v/>
      </c>
      <c r="AV1151" s="64" t="str">
        <f ca="1">IFERROR(__xludf.DUMMYFUNCTION("IF(TRIM(AU1151)="""","""",AU1151/INDEX(FILTER(AT$3:AT1151,TRIM(AT$3:AT1151)&lt;&gt;""""),ROWS(FILTER(AT$3:AT1151,TRIM(AT$3:AT1151)&lt;&gt;"""")))-1)"),"")</f>
        <v/>
      </c>
      <c r="AW1151" s="65" t="e">
        <f t="shared" ca="1" si="189"/>
        <v>#VALUE!</v>
      </c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</row>
    <row r="1152" spans="1:68" ht="19" x14ac:dyDescent="0.25">
      <c r="A1152" s="5"/>
      <c r="B1152" s="5"/>
      <c r="C1152" s="5"/>
      <c r="D1152" s="5"/>
      <c r="E1152" s="5"/>
      <c r="F1152" s="5"/>
      <c r="G1152" s="5"/>
      <c r="H1152" s="6"/>
      <c r="I1152" s="5"/>
      <c r="J1152" s="88"/>
      <c r="K1152" s="88"/>
      <c r="L1152" s="88"/>
      <c r="M1152" s="88"/>
      <c r="N1152" s="88"/>
      <c r="O1152" s="88"/>
      <c r="P1152" s="88"/>
      <c r="Q1152" s="89"/>
      <c r="R1152" s="88"/>
      <c r="S1152" s="88"/>
      <c r="T1152" s="90"/>
      <c r="U1152" s="6"/>
      <c r="V1152" s="44">
        <v>45588</v>
      </c>
      <c r="W1152" s="45">
        <v>232.75</v>
      </c>
      <c r="X1152" s="91"/>
      <c r="Y1152" s="77"/>
      <c r="Z1152" s="5"/>
      <c r="AA1152" s="5"/>
      <c r="AB1152" s="5"/>
      <c r="AC1152" s="5"/>
      <c r="AD1152" s="5"/>
      <c r="AE1152" s="5"/>
      <c r="AF1152" s="5"/>
      <c r="AG1152" s="5"/>
      <c r="AH1152" s="6"/>
      <c r="AI1152" s="44">
        <v>45588</v>
      </c>
      <c r="AJ1152" s="53">
        <v>232.75</v>
      </c>
      <c r="AK1152" s="54">
        <f t="shared" si="187"/>
        <v>2.1528525296017342E-3</v>
      </c>
      <c r="AL1152" s="55">
        <f t="shared" si="190"/>
        <v>4.3412536970270459</v>
      </c>
      <c r="AM1152" s="56">
        <v>25</v>
      </c>
      <c r="AN1152" s="57">
        <f t="shared" si="188"/>
        <v>20.658746302972954</v>
      </c>
      <c r="AO1152" s="76">
        <f t="shared" si="191"/>
        <v>17.322721152274788</v>
      </c>
      <c r="AP1152" s="63" t="str">
        <f t="shared" si="192"/>
        <v>Buy Stocks</v>
      </c>
      <c r="AQ1152" s="63" t="str">
        <f t="shared" si="193"/>
        <v/>
      </c>
      <c r="AR1152" s="63" t="str">
        <f t="shared" si="194"/>
        <v/>
      </c>
      <c r="AS1152" s="63" t="str">
        <f t="shared" si="195"/>
        <v/>
      </c>
      <c r="AT1152" s="78" t="str">
        <f t="shared" si="196"/>
        <v/>
      </c>
      <c r="AU1152" s="78" t="str">
        <f t="shared" si="197"/>
        <v/>
      </c>
      <c r="AV1152" s="64" t="str">
        <f ca="1">IFERROR(__xludf.DUMMYFUNCTION("IF(TRIM(AU1152)="""","""",AU1152/INDEX(FILTER(AT$3:AT1152,TRIM(AT$3:AT1152)&lt;&gt;""""),ROWS(FILTER(AT$3:AT1152,TRIM(AT$3:AT1152)&lt;&gt;"""")))-1)"),"")</f>
        <v/>
      </c>
      <c r="AW1152" s="65" t="e">
        <f t="shared" ca="1" si="189"/>
        <v>#VALUE!</v>
      </c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</row>
    <row r="1153" spans="1:68" ht="19" x14ac:dyDescent="0.25">
      <c r="A1153" s="5"/>
      <c r="B1153" s="5"/>
      <c r="C1153" s="5"/>
      <c r="D1153" s="5"/>
      <c r="E1153" s="5"/>
      <c r="F1153" s="5"/>
      <c r="G1153" s="5"/>
      <c r="H1153" s="6"/>
      <c r="I1153" s="5"/>
      <c r="J1153" s="88"/>
      <c r="K1153" s="88"/>
      <c r="L1153" s="88"/>
      <c r="M1153" s="88"/>
      <c r="N1153" s="88"/>
      <c r="O1153" s="88"/>
      <c r="P1153" s="88"/>
      <c r="Q1153" s="89"/>
      <c r="R1153" s="88"/>
      <c r="S1153" s="88"/>
      <c r="T1153" s="90"/>
      <c r="U1153" s="6"/>
      <c r="V1153" s="44">
        <v>45589</v>
      </c>
      <c r="W1153" s="45">
        <v>218.39</v>
      </c>
      <c r="X1153" s="91"/>
      <c r="Y1153" s="77"/>
      <c r="Z1153" s="5"/>
      <c r="AA1153" s="5"/>
      <c r="AB1153" s="5"/>
      <c r="AC1153" s="5"/>
      <c r="AD1153" s="5"/>
      <c r="AE1153" s="5"/>
      <c r="AF1153" s="5"/>
      <c r="AG1153" s="5"/>
      <c r="AH1153" s="6"/>
      <c r="AI1153" s="44">
        <v>45589</v>
      </c>
      <c r="AJ1153" s="53">
        <v>218.39</v>
      </c>
      <c r="AK1153" s="54">
        <f t="shared" si="187"/>
        <v>-6.1697099892588647E-2</v>
      </c>
      <c r="AL1153" s="55">
        <f t="shared" si="190"/>
        <v>43.858074110875478</v>
      </c>
      <c r="AM1153" s="56">
        <v>25</v>
      </c>
      <c r="AN1153" s="57">
        <f t="shared" si="188"/>
        <v>-18.858074110875478</v>
      </c>
      <c r="AO1153" s="76">
        <f t="shared" si="191"/>
        <v>10.743986599468908</v>
      </c>
      <c r="AP1153" s="63" t="str">
        <f t="shared" si="192"/>
        <v>Buy Stocks</v>
      </c>
      <c r="AQ1153" s="63" t="str">
        <f t="shared" si="193"/>
        <v/>
      </c>
      <c r="AR1153" s="63" t="str">
        <f t="shared" si="194"/>
        <v/>
      </c>
      <c r="AS1153" s="63" t="str">
        <f t="shared" si="195"/>
        <v/>
      </c>
      <c r="AT1153" s="78" t="str">
        <f t="shared" si="196"/>
        <v/>
      </c>
      <c r="AU1153" s="78" t="str">
        <f t="shared" si="197"/>
        <v/>
      </c>
      <c r="AV1153" s="64" t="str">
        <f ca="1">IFERROR(__xludf.DUMMYFUNCTION("IF(TRIM(AU1153)="""","""",AU1153/INDEX(FILTER(AT$3:AT1153,TRIM(AT$3:AT1153)&lt;&gt;""""),ROWS(FILTER(AT$3:AT1153,TRIM(AT$3:AT1153)&lt;&gt;"""")))-1)"),"")</f>
        <v/>
      </c>
      <c r="AW1153" s="65" t="e">
        <f t="shared" ca="1" si="189"/>
        <v>#VALUE!</v>
      </c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</row>
    <row r="1154" spans="1:68" ht="19" x14ac:dyDescent="0.25">
      <c r="A1154" s="5"/>
      <c r="B1154" s="5"/>
      <c r="C1154" s="5"/>
      <c r="D1154" s="5"/>
      <c r="E1154" s="5"/>
      <c r="F1154" s="5"/>
      <c r="G1154" s="5"/>
      <c r="H1154" s="6"/>
      <c r="I1154" s="5"/>
      <c r="J1154" s="88"/>
      <c r="K1154" s="88"/>
      <c r="L1154" s="88"/>
      <c r="M1154" s="88"/>
      <c r="N1154" s="88"/>
      <c r="O1154" s="88"/>
      <c r="P1154" s="88"/>
      <c r="Q1154" s="89"/>
      <c r="R1154" s="88"/>
      <c r="S1154" s="88"/>
      <c r="T1154" s="90"/>
      <c r="U1154" s="6"/>
      <c r="V1154" s="44">
        <v>45590</v>
      </c>
      <c r="W1154" s="45">
        <v>214.67</v>
      </c>
      <c r="X1154" s="91"/>
      <c r="Y1154" s="77"/>
      <c r="Z1154" s="5"/>
      <c r="AA1154" s="5"/>
      <c r="AB1154" s="5"/>
      <c r="AC1154" s="5"/>
      <c r="AD1154" s="5"/>
      <c r="AE1154" s="5"/>
      <c r="AF1154" s="5"/>
      <c r="AG1154" s="5"/>
      <c r="AH1154" s="6"/>
      <c r="AI1154" s="44">
        <v>45590</v>
      </c>
      <c r="AJ1154" s="53">
        <v>214.67</v>
      </c>
      <c r="AK1154" s="54">
        <f t="shared" si="187"/>
        <v>-1.7033746966436225E-2</v>
      </c>
      <c r="AL1154" s="55">
        <f t="shared" si="190"/>
        <v>43.06355262277895</v>
      </c>
      <c r="AM1154" s="56">
        <v>25</v>
      </c>
      <c r="AN1154" s="57">
        <f t="shared" si="188"/>
        <v>-18.06355262277895</v>
      </c>
      <c r="AO1154" s="76">
        <f t="shared" si="191"/>
        <v>4.3444397306471059</v>
      </c>
      <c r="AP1154" s="63" t="str">
        <f t="shared" si="192"/>
        <v>Buy Stocks</v>
      </c>
      <c r="AQ1154" s="63" t="str">
        <f t="shared" si="193"/>
        <v/>
      </c>
      <c r="AR1154" s="63" t="str">
        <f t="shared" si="194"/>
        <v/>
      </c>
      <c r="AS1154" s="63" t="str">
        <f t="shared" si="195"/>
        <v/>
      </c>
      <c r="AT1154" s="78" t="str">
        <f t="shared" si="196"/>
        <v/>
      </c>
      <c r="AU1154" s="78" t="str">
        <f t="shared" si="197"/>
        <v/>
      </c>
      <c r="AV1154" s="64" t="str">
        <f ca="1">IFERROR(__xludf.DUMMYFUNCTION("IF(TRIM(AU1154)="""","""",AU1154/INDEX(FILTER(AT$3:AT1154,TRIM(AT$3:AT1154)&lt;&gt;""""),ROWS(FILTER(AT$3:AT1154,TRIM(AT$3:AT1154)&lt;&gt;"""")))-1)"),"")</f>
        <v/>
      </c>
      <c r="AW1154" s="65" t="e">
        <f t="shared" ca="1" si="189"/>
        <v>#VALUE!</v>
      </c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</row>
    <row r="1155" spans="1:68" ht="19" x14ac:dyDescent="0.25">
      <c r="A1155" s="5"/>
      <c r="B1155" s="5"/>
      <c r="C1155" s="5"/>
      <c r="D1155" s="5"/>
      <c r="E1155" s="5"/>
      <c r="F1155" s="5"/>
      <c r="G1155" s="5"/>
      <c r="H1155" s="6"/>
      <c r="I1155" s="5"/>
      <c r="J1155" s="88"/>
      <c r="K1155" s="88"/>
      <c r="L1155" s="88"/>
      <c r="M1155" s="88"/>
      <c r="N1155" s="88"/>
      <c r="O1155" s="88"/>
      <c r="P1155" s="88"/>
      <c r="Q1155" s="89"/>
      <c r="R1155" s="88"/>
      <c r="S1155" s="88"/>
      <c r="T1155" s="90"/>
      <c r="U1155" s="6"/>
      <c r="V1155" s="44">
        <v>45593</v>
      </c>
      <c r="W1155" s="45">
        <v>212.91</v>
      </c>
      <c r="X1155" s="91"/>
      <c r="Y1155" s="77"/>
      <c r="Z1155" s="5"/>
      <c r="AA1155" s="5"/>
      <c r="AB1155" s="5"/>
      <c r="AC1155" s="5"/>
      <c r="AD1155" s="5"/>
      <c r="AE1155" s="5"/>
      <c r="AF1155" s="5"/>
      <c r="AG1155" s="5"/>
      <c r="AH1155" s="6"/>
      <c r="AI1155" s="44">
        <v>45593</v>
      </c>
      <c r="AJ1155" s="53">
        <v>212.91</v>
      </c>
      <c r="AK1155" s="54">
        <f t="shared" ref="AK1155:AK1218" si="198">AJ1155/AJ1154-1</f>
        <v>-8.1986304560487389E-3</v>
      </c>
      <c r="AL1155" s="55">
        <f t="shared" si="190"/>
        <v>42.059985181518506</v>
      </c>
      <c r="AM1155" s="56">
        <v>25</v>
      </c>
      <c r="AN1155" s="57">
        <f t="shared" ref="AN1155:AN1218" si="199">AM1155-AL1155</f>
        <v>-17.059985181518506</v>
      </c>
      <c r="AO1155" s="76">
        <f t="shared" si="191"/>
        <v>-2.6145929553043716</v>
      </c>
      <c r="AP1155" s="63" t="str">
        <f t="shared" si="192"/>
        <v/>
      </c>
      <c r="AQ1155" s="63" t="str">
        <f t="shared" si="193"/>
        <v>Sell Stocks</v>
      </c>
      <c r="AR1155" s="63" t="str">
        <f t="shared" si="194"/>
        <v/>
      </c>
      <c r="AS1155" s="63" t="str">
        <f t="shared" si="195"/>
        <v>Sell Stocks</v>
      </c>
      <c r="AT1155" s="78" t="str">
        <f t="shared" si="196"/>
        <v/>
      </c>
      <c r="AU1155" s="77">
        <f t="shared" si="197"/>
        <v>212.91</v>
      </c>
      <c r="AV1155" s="64">
        <f ca="1">IFERROR(__xludf.DUMMYFUNCTION("IF(TRIM(AU1155)="""","""",AU1155/INDEX(FILTER(AT$3:AT1155,TRIM(AT$3:AT1155)&lt;&gt;""""),ROWS(FILTER(AT$3:AT1155,TRIM(AT$3:AT1155)&lt;&gt;"""")))-1)"),0.0987201981628651)</f>
        <v>9.8720198162865105E-2</v>
      </c>
      <c r="AW1155" s="65" t="e">
        <f t="shared" ref="AW1155:AW1218" ca="1" si="200">AW1154*(1+AV1155)</f>
        <v>#VALUE!</v>
      </c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</row>
    <row r="1156" spans="1:68" ht="19" x14ac:dyDescent="0.25">
      <c r="A1156" s="5"/>
      <c r="B1156" s="5"/>
      <c r="C1156" s="5"/>
      <c r="D1156" s="5"/>
      <c r="E1156" s="5"/>
      <c r="F1156" s="5"/>
      <c r="G1156" s="5"/>
      <c r="H1156" s="6"/>
      <c r="I1156" s="5"/>
      <c r="J1156" s="88"/>
      <c r="K1156" s="88"/>
      <c r="L1156" s="88"/>
      <c r="M1156" s="88"/>
      <c r="N1156" s="88"/>
      <c r="O1156" s="88"/>
      <c r="P1156" s="88"/>
      <c r="Q1156" s="89"/>
      <c r="R1156" s="88"/>
      <c r="S1156" s="88"/>
      <c r="T1156" s="90"/>
      <c r="U1156" s="6"/>
      <c r="V1156" s="44">
        <v>45594</v>
      </c>
      <c r="W1156" s="45">
        <v>210.43</v>
      </c>
      <c r="X1156" s="91"/>
      <c r="Y1156" s="77"/>
      <c r="Z1156" s="5"/>
      <c r="AA1156" s="5"/>
      <c r="AB1156" s="5"/>
      <c r="AC1156" s="5"/>
      <c r="AD1156" s="5"/>
      <c r="AE1156" s="5"/>
      <c r="AF1156" s="5"/>
      <c r="AG1156" s="5"/>
      <c r="AH1156" s="6"/>
      <c r="AI1156" s="44">
        <v>45594</v>
      </c>
      <c r="AJ1156" s="53">
        <v>210.43</v>
      </c>
      <c r="AK1156" s="54">
        <f t="shared" si="198"/>
        <v>-1.1648114226668449E-2</v>
      </c>
      <c r="AL1156" s="55">
        <f t="shared" si="190"/>
        <v>39.244608041327474</v>
      </c>
      <c r="AM1156" s="56">
        <v>25</v>
      </c>
      <c r="AN1156" s="57">
        <f t="shared" si="199"/>
        <v>-14.244608041327474</v>
      </c>
      <c r="AO1156" s="76">
        <f t="shared" si="191"/>
        <v>-9.5134947307054905</v>
      </c>
      <c r="AP1156" s="63" t="str">
        <f t="shared" si="192"/>
        <v/>
      </c>
      <c r="AQ1156" s="63" t="str">
        <f t="shared" si="193"/>
        <v>Sell Stocks</v>
      </c>
      <c r="AR1156" s="63" t="str">
        <f t="shared" si="194"/>
        <v/>
      </c>
      <c r="AS1156" s="63" t="str">
        <f t="shared" si="195"/>
        <v/>
      </c>
      <c r="AT1156" s="78" t="str">
        <f t="shared" si="196"/>
        <v/>
      </c>
      <c r="AU1156" s="78" t="str">
        <f t="shared" si="197"/>
        <v/>
      </c>
      <c r="AV1156" s="64" t="str">
        <f ca="1">IFERROR(__xludf.DUMMYFUNCTION("IF(TRIM(AU1156)="""","""",AU1156/INDEX(FILTER(AT$3:AT1156,TRIM(AT$3:AT1156)&lt;&gt;""""),ROWS(FILTER(AT$3:AT1156,TRIM(AT$3:AT1156)&lt;&gt;"""")))-1)"),"")</f>
        <v/>
      </c>
      <c r="AW1156" s="65" t="e">
        <f t="shared" ca="1" si="200"/>
        <v>#VALUE!</v>
      </c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</row>
    <row r="1157" spans="1:68" ht="19" x14ac:dyDescent="0.25">
      <c r="A1157" s="5"/>
      <c r="B1157" s="5"/>
      <c r="C1157" s="5"/>
      <c r="D1157" s="5"/>
      <c r="E1157" s="5"/>
      <c r="F1157" s="5"/>
      <c r="G1157" s="5"/>
      <c r="H1157" s="6"/>
      <c r="I1157" s="5"/>
      <c r="J1157" s="88"/>
      <c r="K1157" s="88"/>
      <c r="L1157" s="88"/>
      <c r="M1157" s="88"/>
      <c r="N1157" s="88"/>
      <c r="O1157" s="88"/>
      <c r="P1157" s="88"/>
      <c r="Q1157" s="89"/>
      <c r="R1157" s="88"/>
      <c r="S1157" s="88"/>
      <c r="T1157" s="90"/>
      <c r="U1157" s="6"/>
      <c r="V1157" s="44">
        <v>45595</v>
      </c>
      <c r="W1157" s="45">
        <v>204.9</v>
      </c>
      <c r="X1157" s="91"/>
      <c r="Y1157" s="77"/>
      <c r="Z1157" s="5"/>
      <c r="AA1157" s="5"/>
      <c r="AB1157" s="5"/>
      <c r="AC1157" s="5"/>
      <c r="AD1157" s="5"/>
      <c r="AE1157" s="5"/>
      <c r="AF1157" s="5"/>
      <c r="AG1157" s="5"/>
      <c r="AH1157" s="6"/>
      <c r="AI1157" s="44">
        <v>45595</v>
      </c>
      <c r="AJ1157" s="53">
        <v>204.9</v>
      </c>
      <c r="AK1157" s="54">
        <f t="shared" si="198"/>
        <v>-2.627952288171842E-2</v>
      </c>
      <c r="AL1157" s="55">
        <f t="shared" si="190"/>
        <v>34.34484075238727</v>
      </c>
      <c r="AM1157" s="56">
        <v>25</v>
      </c>
      <c r="AN1157" s="57">
        <f t="shared" si="199"/>
        <v>-9.3448407523872703</v>
      </c>
      <c r="AO1157" s="76">
        <f t="shared" si="191"/>
        <v>-15.514212141777538</v>
      </c>
      <c r="AP1157" s="63" t="str">
        <f t="shared" si="192"/>
        <v/>
      </c>
      <c r="AQ1157" s="63" t="str">
        <f t="shared" si="193"/>
        <v>Sell Stocks</v>
      </c>
      <c r="AR1157" s="63" t="str">
        <f t="shared" si="194"/>
        <v/>
      </c>
      <c r="AS1157" s="63" t="str">
        <f t="shared" si="195"/>
        <v/>
      </c>
      <c r="AT1157" s="78" t="str">
        <f t="shared" si="196"/>
        <v/>
      </c>
      <c r="AU1157" s="78" t="str">
        <f t="shared" si="197"/>
        <v/>
      </c>
      <c r="AV1157" s="64" t="str">
        <f ca="1">IFERROR(__xludf.DUMMYFUNCTION("IF(TRIM(AU1157)="""","""",AU1157/INDEX(FILTER(AT$3:AT1157,TRIM(AT$3:AT1157)&lt;&gt;""""),ROWS(FILTER(AT$3:AT1157,TRIM(AT$3:AT1157)&lt;&gt;"""")))-1)"),"")</f>
        <v/>
      </c>
      <c r="AW1157" s="65" t="e">
        <f t="shared" ca="1" si="200"/>
        <v>#VALUE!</v>
      </c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</row>
    <row r="1158" spans="1:68" ht="19" x14ac:dyDescent="0.25">
      <c r="A1158" s="5"/>
      <c r="B1158" s="5"/>
      <c r="C1158" s="5"/>
      <c r="D1158" s="5"/>
      <c r="E1158" s="5"/>
      <c r="F1158" s="5"/>
      <c r="G1158" s="5"/>
      <c r="H1158" s="6"/>
      <c r="I1158" s="5"/>
      <c r="J1158" s="88"/>
      <c r="K1158" s="88"/>
      <c r="L1158" s="88"/>
      <c r="M1158" s="88"/>
      <c r="N1158" s="88"/>
      <c r="O1158" s="88"/>
      <c r="P1158" s="88"/>
      <c r="Q1158" s="89"/>
      <c r="R1158" s="88"/>
      <c r="S1158" s="88"/>
      <c r="T1158" s="90"/>
      <c r="U1158" s="6"/>
      <c r="V1158" s="44">
        <v>45596</v>
      </c>
      <c r="W1158" s="45">
        <v>206.72</v>
      </c>
      <c r="X1158" s="91"/>
      <c r="Y1158" s="77"/>
      <c r="Z1158" s="5"/>
      <c r="AA1158" s="5"/>
      <c r="AB1158" s="5"/>
      <c r="AC1158" s="5"/>
      <c r="AD1158" s="5"/>
      <c r="AE1158" s="5"/>
      <c r="AF1158" s="5"/>
      <c r="AG1158" s="5"/>
      <c r="AH1158" s="6"/>
      <c r="AI1158" s="44">
        <v>45596</v>
      </c>
      <c r="AJ1158" s="53">
        <v>206.72</v>
      </c>
      <c r="AK1158" s="54">
        <f t="shared" si="198"/>
        <v>8.8823816495851027E-3</v>
      </c>
      <c r="AL1158" s="55">
        <f t="shared" si="190"/>
        <v>20.596254537986958</v>
      </c>
      <c r="AM1158" s="56">
        <v>25</v>
      </c>
      <c r="AN1158" s="57">
        <f t="shared" si="199"/>
        <v>4.4037454620130418</v>
      </c>
      <c r="AO1158" s="76">
        <f t="shared" si="191"/>
        <v>-10.861848227199832</v>
      </c>
      <c r="AP1158" s="63" t="str">
        <f t="shared" si="192"/>
        <v/>
      </c>
      <c r="AQ1158" s="63" t="str">
        <f t="shared" si="193"/>
        <v>Sell Stocks</v>
      </c>
      <c r="AR1158" s="63" t="str">
        <f t="shared" si="194"/>
        <v/>
      </c>
      <c r="AS1158" s="63" t="str">
        <f t="shared" si="195"/>
        <v/>
      </c>
      <c r="AT1158" s="78" t="str">
        <f t="shared" si="196"/>
        <v/>
      </c>
      <c r="AU1158" s="78" t="str">
        <f t="shared" si="197"/>
        <v/>
      </c>
      <c r="AV1158" s="64" t="str">
        <f ca="1">IFERROR(__xludf.DUMMYFUNCTION("IF(TRIM(AU1158)="""","""",AU1158/INDEX(FILTER(AT$3:AT1158,TRIM(AT$3:AT1158)&lt;&gt;""""),ROWS(FILTER(AT$3:AT1158,TRIM(AT$3:AT1158)&lt;&gt;"""")))-1)"),"")</f>
        <v/>
      </c>
      <c r="AW1158" s="65" t="e">
        <f t="shared" ca="1" si="200"/>
        <v>#VALUE!</v>
      </c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</row>
    <row r="1159" spans="1:68" ht="19" x14ac:dyDescent="0.25">
      <c r="A1159" s="5"/>
      <c r="B1159" s="5"/>
      <c r="C1159" s="5"/>
      <c r="D1159" s="5"/>
      <c r="E1159" s="5"/>
      <c r="F1159" s="5"/>
      <c r="G1159" s="5"/>
      <c r="H1159" s="6"/>
      <c r="I1159" s="5"/>
      <c r="J1159" s="88"/>
      <c r="K1159" s="88"/>
      <c r="L1159" s="88"/>
      <c r="M1159" s="88"/>
      <c r="N1159" s="88"/>
      <c r="O1159" s="88"/>
      <c r="P1159" s="88"/>
      <c r="Q1159" s="89"/>
      <c r="R1159" s="88"/>
      <c r="S1159" s="88"/>
      <c r="T1159" s="90"/>
      <c r="U1159" s="6"/>
      <c r="V1159" s="44">
        <v>45597</v>
      </c>
      <c r="W1159" s="45">
        <v>208.25</v>
      </c>
      <c r="X1159" s="91"/>
      <c r="Y1159" s="77"/>
      <c r="Z1159" s="5"/>
      <c r="AA1159" s="5"/>
      <c r="AB1159" s="5"/>
      <c r="AC1159" s="5"/>
      <c r="AD1159" s="5"/>
      <c r="AE1159" s="5"/>
      <c r="AF1159" s="5"/>
      <c r="AG1159" s="5"/>
      <c r="AH1159" s="6"/>
      <c r="AI1159" s="44">
        <v>45597</v>
      </c>
      <c r="AJ1159" s="53">
        <v>208.25</v>
      </c>
      <c r="AK1159" s="54">
        <f t="shared" si="198"/>
        <v>7.4013157894736725E-3</v>
      </c>
      <c r="AL1159" s="55">
        <f t="shared" ref="AL1159:AL1222" si="201">_xlfn.STDEV.S(AK1155:AK1159)*SQRT(252)*100</f>
        <v>23.128207461492764</v>
      </c>
      <c r="AM1159" s="56">
        <v>25</v>
      </c>
      <c r="AN1159" s="57">
        <f t="shared" si="199"/>
        <v>1.8717925385072363</v>
      </c>
      <c r="AO1159" s="76">
        <f t="shared" ref="AO1159:AO1222" si="202">AVERAGE(AN1155:AN1159)</f>
        <v>-6.8747791949425947</v>
      </c>
      <c r="AP1159" s="63" t="str">
        <f t="shared" ref="AP1159:AP1222" si="203">IF(AO1159&gt;0,"Buy Stocks","")</f>
        <v/>
      </c>
      <c r="AQ1159" s="63" t="str">
        <f t="shared" ref="AQ1159:AQ1222" si="204">IF(AO1159&lt;0,"Sell Stocks","")</f>
        <v>Sell Stocks</v>
      </c>
      <c r="AR1159" s="63" t="str">
        <f t="shared" ref="AR1159:AR1222" si="205">IF(AND(AP1159="Buy Stocks",AP1158=""),"Buy Stocks","")</f>
        <v/>
      </c>
      <c r="AS1159" s="63" t="str">
        <f t="shared" ref="AS1159:AS1222" si="206">IF(AND(AQ1159="Sell Stocks",AQ1158=""),"Sell Stocks","")</f>
        <v/>
      </c>
      <c r="AT1159" s="78" t="str">
        <f t="shared" ref="AT1159:AT1222" si="207">IF(AR1159="Buy Stocks",AJ1159,"")</f>
        <v/>
      </c>
      <c r="AU1159" s="78" t="str">
        <f t="shared" ref="AU1159:AU1222" si="208">IF(AS1159="Sell Stocks",AJ1159,"")</f>
        <v/>
      </c>
      <c r="AV1159" s="64" t="str">
        <f ca="1">IFERROR(__xludf.DUMMYFUNCTION("IF(TRIM(AU1159)="""","""",AU1159/INDEX(FILTER(AT$3:AT1159,TRIM(AT$3:AT1159)&lt;&gt;""""),ROWS(FILTER(AT$3:AT1159,TRIM(AT$3:AT1159)&lt;&gt;"""")))-1)"),"")</f>
        <v/>
      </c>
      <c r="AW1159" s="65" t="e">
        <f t="shared" ca="1" si="200"/>
        <v>#VALUE!</v>
      </c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</row>
    <row r="1160" spans="1:68" ht="19" x14ac:dyDescent="0.25">
      <c r="A1160" s="5"/>
      <c r="B1160" s="5"/>
      <c r="C1160" s="5"/>
      <c r="D1160" s="5"/>
      <c r="E1160" s="5"/>
      <c r="F1160" s="5"/>
      <c r="G1160" s="5"/>
      <c r="H1160" s="6"/>
      <c r="I1160" s="5"/>
      <c r="J1160" s="88"/>
      <c r="K1160" s="88"/>
      <c r="L1160" s="88"/>
      <c r="M1160" s="88"/>
      <c r="N1160" s="88"/>
      <c r="O1160" s="88"/>
      <c r="P1160" s="88"/>
      <c r="Q1160" s="89"/>
      <c r="R1160" s="88"/>
      <c r="S1160" s="88"/>
      <c r="T1160" s="90"/>
      <c r="U1160" s="6"/>
      <c r="V1160" s="44">
        <v>45600</v>
      </c>
      <c r="W1160" s="45">
        <v>206.32</v>
      </c>
      <c r="X1160" s="91"/>
      <c r="Y1160" s="77"/>
      <c r="Z1160" s="5"/>
      <c r="AA1160" s="5"/>
      <c r="AB1160" s="5"/>
      <c r="AC1160" s="5"/>
      <c r="AD1160" s="5"/>
      <c r="AE1160" s="5"/>
      <c r="AF1160" s="5"/>
      <c r="AG1160" s="5"/>
      <c r="AH1160" s="6"/>
      <c r="AI1160" s="44">
        <v>45600</v>
      </c>
      <c r="AJ1160" s="53">
        <v>206.32</v>
      </c>
      <c r="AK1160" s="54">
        <f t="shared" si="198"/>
        <v>-9.2677070828331987E-3</v>
      </c>
      <c r="AL1160" s="55">
        <f t="shared" si="201"/>
        <v>23.20547484626999</v>
      </c>
      <c r="AM1160" s="56">
        <v>25</v>
      </c>
      <c r="AN1160" s="57">
        <f t="shared" si="199"/>
        <v>1.7945251537300102</v>
      </c>
      <c r="AO1160" s="76">
        <f t="shared" si="202"/>
        <v>-3.1038771278928912</v>
      </c>
      <c r="AP1160" s="63" t="str">
        <f t="shared" si="203"/>
        <v/>
      </c>
      <c r="AQ1160" s="63" t="str">
        <f t="shared" si="204"/>
        <v>Sell Stocks</v>
      </c>
      <c r="AR1160" s="63" t="str">
        <f t="shared" si="205"/>
        <v/>
      </c>
      <c r="AS1160" s="63" t="str">
        <f t="shared" si="206"/>
        <v/>
      </c>
      <c r="AT1160" s="78" t="str">
        <f t="shared" si="207"/>
        <v/>
      </c>
      <c r="AU1160" s="78" t="str">
        <f t="shared" si="208"/>
        <v/>
      </c>
      <c r="AV1160" s="64" t="str">
        <f ca="1">IFERROR(__xludf.DUMMYFUNCTION("IF(TRIM(AU1160)="""","""",AU1160/INDEX(FILTER(AT$3:AT1160,TRIM(AT$3:AT1160)&lt;&gt;""""),ROWS(FILTER(AT$3:AT1160,TRIM(AT$3:AT1160)&lt;&gt;"""")))-1)"),"")</f>
        <v/>
      </c>
      <c r="AW1160" s="65" t="e">
        <f t="shared" ca="1" si="200"/>
        <v>#VALUE!</v>
      </c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</row>
    <row r="1161" spans="1:68" ht="19" x14ac:dyDescent="0.25">
      <c r="A1161" s="5"/>
      <c r="B1161" s="5"/>
      <c r="C1161" s="5"/>
      <c r="D1161" s="5"/>
      <c r="E1161" s="5"/>
      <c r="F1161" s="5"/>
      <c r="G1161" s="5"/>
      <c r="H1161" s="6"/>
      <c r="I1161" s="5"/>
      <c r="J1161" s="88"/>
      <c r="K1161" s="88"/>
      <c r="L1161" s="88"/>
      <c r="M1161" s="88"/>
      <c r="N1161" s="88"/>
      <c r="O1161" s="88"/>
      <c r="P1161" s="88"/>
      <c r="Q1161" s="89"/>
      <c r="R1161" s="88"/>
      <c r="S1161" s="88"/>
      <c r="T1161" s="90"/>
      <c r="U1161" s="6"/>
      <c r="V1161" s="44">
        <v>45601</v>
      </c>
      <c r="W1161" s="45">
        <v>207.57</v>
      </c>
      <c r="X1161" s="91"/>
      <c r="Y1161" s="77"/>
      <c r="Z1161" s="5"/>
      <c r="AA1161" s="5"/>
      <c r="AB1161" s="5"/>
      <c r="AC1161" s="5"/>
      <c r="AD1161" s="5"/>
      <c r="AE1161" s="5"/>
      <c r="AF1161" s="5"/>
      <c r="AG1161" s="5"/>
      <c r="AH1161" s="6"/>
      <c r="AI1161" s="44">
        <v>45601</v>
      </c>
      <c r="AJ1161" s="53">
        <v>207.57</v>
      </c>
      <c r="AK1161" s="54">
        <f t="shared" si="198"/>
        <v>6.0585498255136816E-3</v>
      </c>
      <c r="AL1161" s="55">
        <f t="shared" si="201"/>
        <v>23.970133785183609</v>
      </c>
      <c r="AM1161" s="56">
        <v>25</v>
      </c>
      <c r="AN1161" s="57">
        <f t="shared" si="199"/>
        <v>1.0298662148163906</v>
      </c>
      <c r="AO1161" s="76">
        <f t="shared" si="202"/>
        <v>-4.8982276664118272E-2</v>
      </c>
      <c r="AP1161" s="63" t="str">
        <f t="shared" si="203"/>
        <v/>
      </c>
      <c r="AQ1161" s="63" t="str">
        <f t="shared" si="204"/>
        <v>Sell Stocks</v>
      </c>
      <c r="AR1161" s="63" t="str">
        <f t="shared" si="205"/>
        <v/>
      </c>
      <c r="AS1161" s="63" t="str">
        <f t="shared" si="206"/>
        <v/>
      </c>
      <c r="AT1161" s="78" t="str">
        <f t="shared" si="207"/>
        <v/>
      </c>
      <c r="AU1161" s="78" t="str">
        <f t="shared" si="208"/>
        <v/>
      </c>
      <c r="AV1161" s="64" t="str">
        <f ca="1">IFERROR(__xludf.DUMMYFUNCTION("IF(TRIM(AU1161)="""","""",AU1161/INDEX(FILTER(AT$3:AT1161,TRIM(AT$3:AT1161)&lt;&gt;""""),ROWS(FILTER(AT$3:AT1161,TRIM(AT$3:AT1161)&lt;&gt;"""")))-1)"),"")</f>
        <v/>
      </c>
      <c r="AW1161" s="65" t="e">
        <f t="shared" ca="1" si="200"/>
        <v>#VALUE!</v>
      </c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</row>
    <row r="1162" spans="1:68" ht="19" x14ac:dyDescent="0.25">
      <c r="A1162" s="5"/>
      <c r="B1162" s="5"/>
      <c r="C1162" s="5"/>
      <c r="D1162" s="5"/>
      <c r="E1162" s="5"/>
      <c r="F1162" s="5"/>
      <c r="G1162" s="5"/>
      <c r="H1162" s="6"/>
      <c r="I1162" s="5"/>
      <c r="J1162" s="88"/>
      <c r="K1162" s="88"/>
      <c r="L1162" s="88"/>
      <c r="M1162" s="88"/>
      <c r="N1162" s="88"/>
      <c r="O1162" s="88"/>
      <c r="P1162" s="88"/>
      <c r="Q1162" s="89"/>
      <c r="R1162" s="88"/>
      <c r="S1162" s="88"/>
      <c r="T1162" s="90"/>
      <c r="U1162" s="6"/>
      <c r="V1162" s="44">
        <v>45602</v>
      </c>
      <c r="W1162" s="45">
        <v>213.6</v>
      </c>
      <c r="X1162" s="91"/>
      <c r="Y1162" s="77"/>
      <c r="Z1162" s="5"/>
      <c r="AA1162" s="5"/>
      <c r="AB1162" s="5"/>
      <c r="AC1162" s="5"/>
      <c r="AD1162" s="5"/>
      <c r="AE1162" s="5"/>
      <c r="AF1162" s="5"/>
      <c r="AG1162" s="5"/>
      <c r="AH1162" s="6"/>
      <c r="AI1162" s="44">
        <v>45602</v>
      </c>
      <c r="AJ1162" s="53">
        <v>213.6</v>
      </c>
      <c r="AK1162" s="54">
        <f t="shared" si="198"/>
        <v>2.9050440815146628E-2</v>
      </c>
      <c r="AL1162" s="55">
        <f t="shared" si="201"/>
        <v>21.668818174893982</v>
      </c>
      <c r="AM1162" s="56">
        <v>25</v>
      </c>
      <c r="AN1162" s="57">
        <f t="shared" si="199"/>
        <v>3.3311818251060181</v>
      </c>
      <c r="AO1162" s="76">
        <f t="shared" si="202"/>
        <v>2.4862222388345394</v>
      </c>
      <c r="AP1162" s="63" t="str">
        <f t="shared" si="203"/>
        <v>Buy Stocks</v>
      </c>
      <c r="AQ1162" s="63" t="str">
        <f t="shared" si="204"/>
        <v/>
      </c>
      <c r="AR1162" s="63" t="str">
        <f t="shared" si="205"/>
        <v>Buy Stocks</v>
      </c>
      <c r="AS1162" s="63" t="str">
        <f t="shared" si="206"/>
        <v/>
      </c>
      <c r="AT1162" s="77">
        <f t="shared" si="207"/>
        <v>213.6</v>
      </c>
      <c r="AU1162" s="78" t="str">
        <f t="shared" si="208"/>
        <v/>
      </c>
      <c r="AV1162" s="64" t="str">
        <f ca="1">IFERROR(__xludf.DUMMYFUNCTION("IF(TRIM(AU1162)="""","""",AU1162/INDEX(FILTER(AT$3:AT1162,TRIM(AT$3:AT1162)&lt;&gt;""""),ROWS(FILTER(AT$3:AT1162,TRIM(AT$3:AT1162)&lt;&gt;"""")))-1)"),"")</f>
        <v/>
      </c>
      <c r="AW1162" s="65" t="e">
        <f t="shared" ca="1" si="200"/>
        <v>#VALUE!</v>
      </c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</row>
    <row r="1163" spans="1:68" ht="19" x14ac:dyDescent="0.25">
      <c r="A1163" s="5"/>
      <c r="B1163" s="5"/>
      <c r="C1163" s="5"/>
      <c r="D1163" s="5"/>
      <c r="E1163" s="5"/>
      <c r="F1163" s="5"/>
      <c r="G1163" s="5"/>
      <c r="H1163" s="6"/>
      <c r="I1163" s="5"/>
      <c r="J1163" s="88"/>
      <c r="K1163" s="88"/>
      <c r="L1163" s="88"/>
      <c r="M1163" s="88"/>
      <c r="N1163" s="88"/>
      <c r="O1163" s="88"/>
      <c r="P1163" s="88"/>
      <c r="Q1163" s="89"/>
      <c r="R1163" s="88"/>
      <c r="S1163" s="88"/>
      <c r="T1163" s="90"/>
      <c r="U1163" s="6"/>
      <c r="V1163" s="44">
        <v>45603</v>
      </c>
      <c r="W1163" s="45">
        <v>213.69</v>
      </c>
      <c r="X1163" s="91"/>
      <c r="Y1163" s="77"/>
      <c r="Z1163" s="5"/>
      <c r="AA1163" s="5"/>
      <c r="AB1163" s="5"/>
      <c r="AC1163" s="5"/>
      <c r="AD1163" s="5"/>
      <c r="AE1163" s="5"/>
      <c r="AF1163" s="5"/>
      <c r="AG1163" s="5"/>
      <c r="AH1163" s="6"/>
      <c r="AI1163" s="44">
        <v>45603</v>
      </c>
      <c r="AJ1163" s="53">
        <v>213.69</v>
      </c>
      <c r="AK1163" s="54">
        <f t="shared" si="198"/>
        <v>4.2134831460671762E-4</v>
      </c>
      <c r="AL1163" s="55">
        <f t="shared" si="201"/>
        <v>22.377275046863179</v>
      </c>
      <c r="AM1163" s="56">
        <v>25</v>
      </c>
      <c r="AN1163" s="57">
        <f t="shared" si="199"/>
        <v>2.6227249531368209</v>
      </c>
      <c r="AO1163" s="76">
        <f t="shared" si="202"/>
        <v>2.1300181370592952</v>
      </c>
      <c r="AP1163" s="63" t="str">
        <f t="shared" si="203"/>
        <v>Buy Stocks</v>
      </c>
      <c r="AQ1163" s="63" t="str">
        <f t="shared" si="204"/>
        <v/>
      </c>
      <c r="AR1163" s="63" t="str">
        <f t="shared" si="205"/>
        <v/>
      </c>
      <c r="AS1163" s="63" t="str">
        <f t="shared" si="206"/>
        <v/>
      </c>
      <c r="AT1163" s="78" t="str">
        <f t="shared" si="207"/>
        <v/>
      </c>
      <c r="AU1163" s="78" t="str">
        <f t="shared" si="208"/>
        <v/>
      </c>
      <c r="AV1163" s="64" t="str">
        <f ca="1">IFERROR(__xludf.DUMMYFUNCTION("IF(TRIM(AU1163)="""","""",AU1163/INDEX(FILTER(AT$3:AT1163,TRIM(AT$3:AT1163)&lt;&gt;""""),ROWS(FILTER(AT$3:AT1163,TRIM(AT$3:AT1163)&lt;&gt;"""")))-1)"),"")</f>
        <v/>
      </c>
      <c r="AW1163" s="65" t="e">
        <f t="shared" ca="1" si="200"/>
        <v>#VALUE!</v>
      </c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</row>
    <row r="1164" spans="1:68" ht="19" x14ac:dyDescent="0.25">
      <c r="A1164" s="5"/>
      <c r="B1164" s="5"/>
      <c r="C1164" s="5"/>
      <c r="D1164" s="5"/>
      <c r="E1164" s="5"/>
      <c r="F1164" s="5"/>
      <c r="G1164" s="5"/>
      <c r="H1164" s="6"/>
      <c r="I1164" s="5"/>
      <c r="J1164" s="88"/>
      <c r="K1164" s="88"/>
      <c r="L1164" s="88"/>
      <c r="M1164" s="88"/>
      <c r="N1164" s="88"/>
      <c r="O1164" s="88"/>
      <c r="P1164" s="88"/>
      <c r="Q1164" s="89"/>
      <c r="R1164" s="88"/>
      <c r="S1164" s="88"/>
      <c r="T1164" s="90"/>
      <c r="U1164" s="6"/>
      <c r="V1164" s="44">
        <v>45604</v>
      </c>
      <c r="W1164" s="45">
        <v>213.72</v>
      </c>
      <c r="X1164" s="91"/>
      <c r="Y1164" s="77"/>
      <c r="Z1164" s="5"/>
      <c r="AA1164" s="5"/>
      <c r="AB1164" s="5"/>
      <c r="AC1164" s="5"/>
      <c r="AD1164" s="5"/>
      <c r="AE1164" s="5"/>
      <c r="AF1164" s="5"/>
      <c r="AG1164" s="5"/>
      <c r="AH1164" s="6"/>
      <c r="AI1164" s="44">
        <v>45604</v>
      </c>
      <c r="AJ1164" s="53">
        <v>213.72</v>
      </c>
      <c r="AK1164" s="54">
        <f t="shared" si="198"/>
        <v>1.4039028499235329E-4</v>
      </c>
      <c r="AL1164" s="55">
        <f t="shared" si="201"/>
        <v>22.829753653704415</v>
      </c>
      <c r="AM1164" s="56">
        <v>25</v>
      </c>
      <c r="AN1164" s="57">
        <f t="shared" si="199"/>
        <v>2.1702463462955848</v>
      </c>
      <c r="AO1164" s="76">
        <f t="shared" si="202"/>
        <v>2.1897088986169648</v>
      </c>
      <c r="AP1164" s="63" t="str">
        <f t="shared" si="203"/>
        <v>Buy Stocks</v>
      </c>
      <c r="AQ1164" s="63" t="str">
        <f t="shared" si="204"/>
        <v/>
      </c>
      <c r="AR1164" s="63" t="str">
        <f t="shared" si="205"/>
        <v/>
      </c>
      <c r="AS1164" s="63" t="str">
        <f t="shared" si="206"/>
        <v/>
      </c>
      <c r="AT1164" s="78" t="str">
        <f t="shared" si="207"/>
        <v/>
      </c>
      <c r="AU1164" s="78" t="str">
        <f t="shared" si="208"/>
        <v/>
      </c>
      <c r="AV1164" s="64" t="str">
        <f ca="1">IFERROR(__xludf.DUMMYFUNCTION("IF(TRIM(AU1164)="""","""",AU1164/INDEX(FILTER(AT$3:AT1164,TRIM(AT$3:AT1164)&lt;&gt;""""),ROWS(FILTER(AT$3:AT1164,TRIM(AT$3:AT1164)&lt;&gt;"""")))-1)"),"")</f>
        <v/>
      </c>
      <c r="AW1164" s="65" t="e">
        <f t="shared" ca="1" si="200"/>
        <v>#VALUE!</v>
      </c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</row>
    <row r="1165" spans="1:68" ht="19" x14ac:dyDescent="0.25">
      <c r="A1165" s="5"/>
      <c r="B1165" s="5"/>
      <c r="C1165" s="5"/>
      <c r="D1165" s="5"/>
      <c r="E1165" s="5"/>
      <c r="F1165" s="5"/>
      <c r="G1165" s="5"/>
      <c r="H1165" s="6"/>
      <c r="I1165" s="5"/>
      <c r="J1165" s="88"/>
      <c r="K1165" s="88"/>
      <c r="L1165" s="88"/>
      <c r="M1165" s="88"/>
      <c r="N1165" s="88"/>
      <c r="O1165" s="88"/>
      <c r="P1165" s="88"/>
      <c r="Q1165" s="89"/>
      <c r="R1165" s="88"/>
      <c r="S1165" s="88"/>
      <c r="T1165" s="90"/>
      <c r="U1165" s="6"/>
      <c r="V1165" s="44">
        <v>45607</v>
      </c>
      <c r="W1165" s="45">
        <v>213.57</v>
      </c>
      <c r="X1165" s="91"/>
      <c r="Y1165" s="77"/>
      <c r="Z1165" s="5"/>
      <c r="AA1165" s="5"/>
      <c r="AB1165" s="5"/>
      <c r="AC1165" s="5"/>
      <c r="AD1165" s="5"/>
      <c r="AE1165" s="5"/>
      <c r="AF1165" s="5"/>
      <c r="AG1165" s="5"/>
      <c r="AH1165" s="6"/>
      <c r="AI1165" s="44">
        <v>45607</v>
      </c>
      <c r="AJ1165" s="53">
        <v>213.57</v>
      </c>
      <c r="AK1165" s="54">
        <f t="shared" si="198"/>
        <v>-7.0185289163393616E-4</v>
      </c>
      <c r="AL1165" s="55">
        <f t="shared" si="201"/>
        <v>20.02894144062607</v>
      </c>
      <c r="AM1165" s="56">
        <v>25</v>
      </c>
      <c r="AN1165" s="57">
        <f t="shared" si="199"/>
        <v>4.9710585593739296</v>
      </c>
      <c r="AO1165" s="76">
        <f t="shared" si="202"/>
        <v>2.8250155797457488</v>
      </c>
      <c r="AP1165" s="63" t="str">
        <f t="shared" si="203"/>
        <v>Buy Stocks</v>
      </c>
      <c r="AQ1165" s="63" t="str">
        <f t="shared" si="204"/>
        <v/>
      </c>
      <c r="AR1165" s="63" t="str">
        <f t="shared" si="205"/>
        <v/>
      </c>
      <c r="AS1165" s="63" t="str">
        <f t="shared" si="206"/>
        <v/>
      </c>
      <c r="AT1165" s="78" t="str">
        <f t="shared" si="207"/>
        <v/>
      </c>
      <c r="AU1165" s="78" t="str">
        <f t="shared" si="208"/>
        <v/>
      </c>
      <c r="AV1165" s="64" t="str">
        <f ca="1">IFERROR(__xludf.DUMMYFUNCTION("IF(TRIM(AU1165)="""","""",AU1165/INDEX(FILTER(AT$3:AT1165,TRIM(AT$3:AT1165)&lt;&gt;""""),ROWS(FILTER(AT$3:AT1165,TRIM(AT$3:AT1165)&lt;&gt;"""")))-1)"),"")</f>
        <v/>
      </c>
      <c r="AW1165" s="65" t="e">
        <f t="shared" ca="1" si="200"/>
        <v>#VALUE!</v>
      </c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</row>
    <row r="1166" spans="1:68" ht="19" x14ac:dyDescent="0.25">
      <c r="A1166" s="5"/>
      <c r="B1166" s="5"/>
      <c r="C1166" s="5"/>
      <c r="D1166" s="5"/>
      <c r="E1166" s="5"/>
      <c r="F1166" s="5"/>
      <c r="G1166" s="5"/>
      <c r="H1166" s="6"/>
      <c r="I1166" s="5"/>
      <c r="J1166" s="88"/>
      <c r="K1166" s="88"/>
      <c r="L1166" s="88"/>
      <c r="M1166" s="88"/>
      <c r="N1166" s="88"/>
      <c r="O1166" s="88"/>
      <c r="P1166" s="88"/>
      <c r="Q1166" s="89"/>
      <c r="R1166" s="88"/>
      <c r="S1166" s="88"/>
      <c r="T1166" s="90"/>
      <c r="U1166" s="6"/>
      <c r="V1166" s="44">
        <v>45608</v>
      </c>
      <c r="W1166" s="45">
        <v>210.86</v>
      </c>
      <c r="X1166" s="91"/>
      <c r="Y1166" s="77"/>
      <c r="Z1166" s="5"/>
      <c r="AA1166" s="5"/>
      <c r="AB1166" s="5"/>
      <c r="AC1166" s="5"/>
      <c r="AD1166" s="5"/>
      <c r="AE1166" s="5"/>
      <c r="AF1166" s="5"/>
      <c r="AG1166" s="5"/>
      <c r="AH1166" s="6"/>
      <c r="AI1166" s="44">
        <v>45608</v>
      </c>
      <c r="AJ1166" s="53">
        <v>210.86</v>
      </c>
      <c r="AK1166" s="54">
        <f t="shared" si="198"/>
        <v>-1.268904808727811E-2</v>
      </c>
      <c r="AL1166" s="55">
        <f t="shared" si="201"/>
        <v>24.502907362802951</v>
      </c>
      <c r="AM1166" s="56">
        <v>25</v>
      </c>
      <c r="AN1166" s="57">
        <f t="shared" si="199"/>
        <v>0.49709263719704921</v>
      </c>
      <c r="AO1166" s="76">
        <f t="shared" si="202"/>
        <v>2.7184608642218806</v>
      </c>
      <c r="AP1166" s="63" t="str">
        <f t="shared" si="203"/>
        <v>Buy Stocks</v>
      </c>
      <c r="AQ1166" s="63" t="str">
        <f t="shared" si="204"/>
        <v/>
      </c>
      <c r="AR1166" s="63" t="str">
        <f t="shared" si="205"/>
        <v/>
      </c>
      <c r="AS1166" s="63" t="str">
        <f t="shared" si="206"/>
        <v/>
      </c>
      <c r="AT1166" s="78" t="str">
        <f t="shared" si="207"/>
        <v/>
      </c>
      <c r="AU1166" s="78" t="str">
        <f t="shared" si="208"/>
        <v/>
      </c>
      <c r="AV1166" s="64" t="str">
        <f ca="1">IFERROR(__xludf.DUMMYFUNCTION("IF(TRIM(AU1166)="""","""",AU1166/INDEX(FILTER(AT$3:AT1166,TRIM(AT$3:AT1166)&lt;&gt;""""),ROWS(FILTER(AT$3:AT1166,TRIM(AT$3:AT1166)&lt;&gt;"""")))-1)"),"")</f>
        <v/>
      </c>
      <c r="AW1166" s="65" t="e">
        <f t="shared" ca="1" si="200"/>
        <v>#VALUE!</v>
      </c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</row>
    <row r="1167" spans="1:68" ht="19" x14ac:dyDescent="0.25">
      <c r="A1167" s="5"/>
      <c r="B1167" s="5"/>
      <c r="C1167" s="5"/>
      <c r="D1167" s="5"/>
      <c r="E1167" s="5"/>
      <c r="F1167" s="5"/>
      <c r="G1167" s="5"/>
      <c r="H1167" s="6"/>
      <c r="I1167" s="5"/>
      <c r="J1167" s="88"/>
      <c r="K1167" s="88"/>
      <c r="L1167" s="88"/>
      <c r="M1167" s="88"/>
      <c r="N1167" s="88"/>
      <c r="O1167" s="88"/>
      <c r="P1167" s="88"/>
      <c r="Q1167" s="89"/>
      <c r="R1167" s="88"/>
      <c r="S1167" s="88"/>
      <c r="T1167" s="90"/>
      <c r="U1167" s="6"/>
      <c r="V1167" s="44">
        <v>45609</v>
      </c>
      <c r="W1167" s="45">
        <v>210.92</v>
      </c>
      <c r="X1167" s="91"/>
      <c r="Y1167" s="77"/>
      <c r="Z1167" s="5"/>
      <c r="AA1167" s="5"/>
      <c r="AB1167" s="5"/>
      <c r="AC1167" s="5"/>
      <c r="AD1167" s="5"/>
      <c r="AE1167" s="5"/>
      <c r="AF1167" s="5"/>
      <c r="AG1167" s="5"/>
      <c r="AH1167" s="6"/>
      <c r="AI1167" s="44">
        <v>45609</v>
      </c>
      <c r="AJ1167" s="53">
        <v>210.92</v>
      </c>
      <c r="AK1167" s="54">
        <f t="shared" si="198"/>
        <v>2.8454898985086352E-4</v>
      </c>
      <c r="AL1167" s="55">
        <f t="shared" si="201"/>
        <v>9.0606208421662551</v>
      </c>
      <c r="AM1167" s="56">
        <v>25</v>
      </c>
      <c r="AN1167" s="57">
        <f t="shared" si="199"/>
        <v>15.939379157833745</v>
      </c>
      <c r="AO1167" s="76">
        <f t="shared" si="202"/>
        <v>5.2401003307674259</v>
      </c>
      <c r="AP1167" s="63" t="str">
        <f t="shared" si="203"/>
        <v>Buy Stocks</v>
      </c>
      <c r="AQ1167" s="63" t="str">
        <f t="shared" si="204"/>
        <v/>
      </c>
      <c r="AR1167" s="63" t="str">
        <f t="shared" si="205"/>
        <v/>
      </c>
      <c r="AS1167" s="63" t="str">
        <f t="shared" si="206"/>
        <v/>
      </c>
      <c r="AT1167" s="78" t="str">
        <f t="shared" si="207"/>
        <v/>
      </c>
      <c r="AU1167" s="78" t="str">
        <f t="shared" si="208"/>
        <v/>
      </c>
      <c r="AV1167" s="64" t="str">
        <f ca="1">IFERROR(__xludf.DUMMYFUNCTION("IF(TRIM(AU1167)="""","""",AU1167/INDEX(FILTER(AT$3:AT1167,TRIM(AT$3:AT1167)&lt;&gt;""""),ROWS(FILTER(AT$3:AT1167,TRIM(AT$3:AT1167)&lt;&gt;"""")))-1)"),"")</f>
        <v/>
      </c>
      <c r="AW1167" s="65" t="e">
        <f t="shared" ca="1" si="200"/>
        <v>#VALUE!</v>
      </c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</row>
    <row r="1168" spans="1:68" ht="19" x14ac:dyDescent="0.25">
      <c r="A1168" s="5"/>
      <c r="B1168" s="5"/>
      <c r="C1168" s="5"/>
      <c r="D1168" s="5"/>
      <c r="E1168" s="5"/>
      <c r="F1168" s="5"/>
      <c r="G1168" s="5"/>
      <c r="H1168" s="6"/>
      <c r="I1168" s="5"/>
      <c r="J1168" s="88"/>
      <c r="K1168" s="88"/>
      <c r="L1168" s="88"/>
      <c r="M1168" s="88"/>
      <c r="N1168" s="88"/>
      <c r="O1168" s="88"/>
      <c r="P1168" s="88"/>
      <c r="Q1168" s="89"/>
      <c r="R1168" s="88"/>
      <c r="S1168" s="88"/>
      <c r="T1168" s="90"/>
      <c r="U1168" s="6"/>
      <c r="V1168" s="44">
        <v>45610</v>
      </c>
      <c r="W1168" s="45">
        <v>208.99</v>
      </c>
      <c r="X1168" s="91"/>
      <c r="Y1168" s="77"/>
      <c r="Z1168" s="5"/>
      <c r="AA1168" s="5"/>
      <c r="AB1168" s="5"/>
      <c r="AC1168" s="5"/>
      <c r="AD1168" s="5"/>
      <c r="AE1168" s="5"/>
      <c r="AF1168" s="5"/>
      <c r="AG1168" s="5"/>
      <c r="AH1168" s="6"/>
      <c r="AI1168" s="44">
        <v>45610</v>
      </c>
      <c r="AJ1168" s="53">
        <v>208.99</v>
      </c>
      <c r="AK1168" s="54">
        <f t="shared" si="198"/>
        <v>-9.1503887729943445E-3</v>
      </c>
      <c r="AL1168" s="55">
        <f t="shared" si="201"/>
        <v>9.6400306447222839</v>
      </c>
      <c r="AM1168" s="56">
        <v>25</v>
      </c>
      <c r="AN1168" s="57">
        <f t="shared" si="199"/>
        <v>15.359969355277716</v>
      </c>
      <c r="AO1168" s="76">
        <f t="shared" si="202"/>
        <v>7.7875492111956053</v>
      </c>
      <c r="AP1168" s="63" t="str">
        <f t="shared" si="203"/>
        <v>Buy Stocks</v>
      </c>
      <c r="AQ1168" s="63" t="str">
        <f t="shared" si="204"/>
        <v/>
      </c>
      <c r="AR1168" s="63" t="str">
        <f t="shared" si="205"/>
        <v/>
      </c>
      <c r="AS1168" s="63" t="str">
        <f t="shared" si="206"/>
        <v/>
      </c>
      <c r="AT1168" s="78" t="str">
        <f t="shared" si="207"/>
        <v/>
      </c>
      <c r="AU1168" s="78" t="str">
        <f t="shared" si="208"/>
        <v/>
      </c>
      <c r="AV1168" s="64" t="str">
        <f ca="1">IFERROR(__xludf.DUMMYFUNCTION("IF(TRIM(AU1168)="""","""",AU1168/INDEX(FILTER(AT$3:AT1168,TRIM(AT$3:AT1168)&lt;&gt;""""),ROWS(FILTER(AT$3:AT1168,TRIM(AT$3:AT1168)&lt;&gt;"""")))-1)"),"")</f>
        <v/>
      </c>
      <c r="AW1168" s="65" t="e">
        <f t="shared" ca="1" si="200"/>
        <v>#VALUE!</v>
      </c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</row>
    <row r="1169" spans="1:68" ht="19" x14ac:dyDescent="0.25">
      <c r="A1169" s="5"/>
      <c r="B1169" s="5"/>
      <c r="C1169" s="5"/>
      <c r="D1169" s="5"/>
      <c r="E1169" s="5"/>
      <c r="F1169" s="5"/>
      <c r="G1169" s="5"/>
      <c r="H1169" s="6"/>
      <c r="I1169" s="5"/>
      <c r="J1169" s="88"/>
      <c r="K1169" s="88"/>
      <c r="L1169" s="88"/>
      <c r="M1169" s="88"/>
      <c r="N1169" s="88"/>
      <c r="O1169" s="88"/>
      <c r="P1169" s="88"/>
      <c r="Q1169" s="89"/>
      <c r="R1169" s="88"/>
      <c r="S1169" s="88"/>
      <c r="T1169" s="90"/>
      <c r="U1169" s="6"/>
      <c r="V1169" s="44">
        <v>45611</v>
      </c>
      <c r="W1169" s="45">
        <v>204.99</v>
      </c>
      <c r="X1169" s="91"/>
      <c r="Y1169" s="77"/>
      <c r="Z1169" s="5"/>
      <c r="AA1169" s="5"/>
      <c r="AB1169" s="5"/>
      <c r="AC1169" s="5"/>
      <c r="AD1169" s="5"/>
      <c r="AE1169" s="5"/>
      <c r="AF1169" s="5"/>
      <c r="AG1169" s="5"/>
      <c r="AH1169" s="6"/>
      <c r="AI1169" s="44">
        <v>45611</v>
      </c>
      <c r="AJ1169" s="53">
        <v>204.99</v>
      </c>
      <c r="AK1169" s="54">
        <f t="shared" si="198"/>
        <v>-1.9139671754629384E-2</v>
      </c>
      <c r="AL1169" s="55">
        <f t="shared" si="201"/>
        <v>13.015875863572857</v>
      </c>
      <c r="AM1169" s="56">
        <v>25</v>
      </c>
      <c r="AN1169" s="57">
        <f t="shared" si="199"/>
        <v>11.984124136427143</v>
      </c>
      <c r="AO1169" s="76">
        <f t="shared" si="202"/>
        <v>9.7503247692219155</v>
      </c>
      <c r="AP1169" s="63" t="str">
        <f t="shared" si="203"/>
        <v>Buy Stocks</v>
      </c>
      <c r="AQ1169" s="63" t="str">
        <f t="shared" si="204"/>
        <v/>
      </c>
      <c r="AR1169" s="63" t="str">
        <f t="shared" si="205"/>
        <v/>
      </c>
      <c r="AS1169" s="63" t="str">
        <f t="shared" si="206"/>
        <v/>
      </c>
      <c r="AT1169" s="78" t="str">
        <f t="shared" si="207"/>
        <v/>
      </c>
      <c r="AU1169" s="78" t="str">
        <f t="shared" si="208"/>
        <v/>
      </c>
      <c r="AV1169" s="64" t="str">
        <f ca="1">IFERROR(__xludf.DUMMYFUNCTION("IF(TRIM(AU1169)="""","""",AU1169/INDEX(FILTER(AT$3:AT1169,TRIM(AT$3:AT1169)&lt;&gt;""""),ROWS(FILTER(AT$3:AT1169,TRIM(AT$3:AT1169)&lt;&gt;"""")))-1)"),"")</f>
        <v/>
      </c>
      <c r="AW1169" s="65" t="e">
        <f t="shared" ca="1" si="200"/>
        <v>#VALUE!</v>
      </c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</row>
    <row r="1170" spans="1:68" ht="19" x14ac:dyDescent="0.25">
      <c r="A1170" s="5"/>
      <c r="B1170" s="5"/>
      <c r="C1170" s="5"/>
      <c r="D1170" s="5"/>
      <c r="E1170" s="5"/>
      <c r="F1170" s="5"/>
      <c r="G1170" s="5"/>
      <c r="H1170" s="6"/>
      <c r="I1170" s="5"/>
      <c r="J1170" s="88"/>
      <c r="K1170" s="88"/>
      <c r="L1170" s="88"/>
      <c r="M1170" s="88"/>
      <c r="N1170" s="88"/>
      <c r="O1170" s="88"/>
      <c r="P1170" s="88"/>
      <c r="Q1170" s="89"/>
      <c r="R1170" s="88"/>
      <c r="S1170" s="88"/>
      <c r="T1170" s="90"/>
      <c r="U1170" s="6"/>
      <c r="V1170" s="44">
        <v>45614</v>
      </c>
      <c r="W1170" s="45">
        <v>208.09</v>
      </c>
      <c r="X1170" s="91"/>
      <c r="Y1170" s="77"/>
      <c r="Z1170" s="5"/>
      <c r="AA1170" s="5"/>
      <c r="AB1170" s="5"/>
      <c r="AC1170" s="5"/>
      <c r="AD1170" s="5"/>
      <c r="AE1170" s="5"/>
      <c r="AF1170" s="5"/>
      <c r="AG1170" s="5"/>
      <c r="AH1170" s="6"/>
      <c r="AI1170" s="44">
        <v>45614</v>
      </c>
      <c r="AJ1170" s="53">
        <v>208.09</v>
      </c>
      <c r="AK1170" s="54">
        <f t="shared" si="198"/>
        <v>1.5122688911654247E-2</v>
      </c>
      <c r="AL1170" s="55">
        <f t="shared" si="201"/>
        <v>21.135480446690501</v>
      </c>
      <c r="AM1170" s="56">
        <v>25</v>
      </c>
      <c r="AN1170" s="57">
        <f t="shared" si="199"/>
        <v>3.8645195533094991</v>
      </c>
      <c r="AO1170" s="76">
        <f t="shared" si="202"/>
        <v>9.5290169680090298</v>
      </c>
      <c r="AP1170" s="63" t="str">
        <f t="shared" si="203"/>
        <v>Buy Stocks</v>
      </c>
      <c r="AQ1170" s="63" t="str">
        <f t="shared" si="204"/>
        <v/>
      </c>
      <c r="AR1170" s="63" t="str">
        <f t="shared" si="205"/>
        <v/>
      </c>
      <c r="AS1170" s="63" t="str">
        <f t="shared" si="206"/>
        <v/>
      </c>
      <c r="AT1170" s="78" t="str">
        <f t="shared" si="207"/>
        <v/>
      </c>
      <c r="AU1170" s="78" t="str">
        <f t="shared" si="208"/>
        <v/>
      </c>
      <c r="AV1170" s="64" t="str">
        <f ca="1">IFERROR(__xludf.DUMMYFUNCTION("IF(TRIM(AU1170)="""","""",AU1170/INDEX(FILTER(AT$3:AT1170,TRIM(AT$3:AT1170)&lt;&gt;""""),ROWS(FILTER(AT$3:AT1170,TRIM(AT$3:AT1170)&lt;&gt;"""")))-1)"),"")</f>
        <v/>
      </c>
      <c r="AW1170" s="65" t="e">
        <f t="shared" ca="1" si="200"/>
        <v>#VALUE!</v>
      </c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</row>
    <row r="1171" spans="1:68" ht="19" x14ac:dyDescent="0.25">
      <c r="A1171" s="5"/>
      <c r="B1171" s="5"/>
      <c r="C1171" s="5"/>
      <c r="D1171" s="5"/>
      <c r="E1171" s="5"/>
      <c r="F1171" s="5"/>
      <c r="G1171" s="5"/>
      <c r="H1171" s="6"/>
      <c r="I1171" s="5"/>
      <c r="J1171" s="88"/>
      <c r="K1171" s="88"/>
      <c r="L1171" s="88"/>
      <c r="M1171" s="88"/>
      <c r="N1171" s="88"/>
      <c r="O1171" s="88"/>
      <c r="P1171" s="88"/>
      <c r="Q1171" s="89"/>
      <c r="R1171" s="88"/>
      <c r="S1171" s="88"/>
      <c r="T1171" s="90"/>
      <c r="U1171" s="6"/>
      <c r="V1171" s="44">
        <v>45615</v>
      </c>
      <c r="W1171" s="45">
        <v>210.25</v>
      </c>
      <c r="X1171" s="91"/>
      <c r="Y1171" s="77"/>
      <c r="Z1171" s="5"/>
      <c r="AA1171" s="5"/>
      <c r="AB1171" s="5"/>
      <c r="AC1171" s="5"/>
      <c r="AD1171" s="5"/>
      <c r="AE1171" s="5"/>
      <c r="AF1171" s="5"/>
      <c r="AG1171" s="5"/>
      <c r="AH1171" s="6"/>
      <c r="AI1171" s="44">
        <v>45615</v>
      </c>
      <c r="AJ1171" s="53">
        <v>210.25</v>
      </c>
      <c r="AK1171" s="54">
        <f t="shared" si="198"/>
        <v>1.0380123984814249E-2</v>
      </c>
      <c r="AL1171" s="55">
        <f t="shared" si="201"/>
        <v>22.243120177261506</v>
      </c>
      <c r="AM1171" s="56">
        <v>25</v>
      </c>
      <c r="AN1171" s="57">
        <f t="shared" si="199"/>
        <v>2.7568798227384939</v>
      </c>
      <c r="AO1171" s="76">
        <f t="shared" si="202"/>
        <v>9.980974405117319</v>
      </c>
      <c r="AP1171" s="63" t="str">
        <f t="shared" si="203"/>
        <v>Buy Stocks</v>
      </c>
      <c r="AQ1171" s="63" t="str">
        <f t="shared" si="204"/>
        <v/>
      </c>
      <c r="AR1171" s="63" t="str">
        <f t="shared" si="205"/>
        <v/>
      </c>
      <c r="AS1171" s="63" t="str">
        <f t="shared" si="206"/>
        <v/>
      </c>
      <c r="AT1171" s="78" t="str">
        <f t="shared" si="207"/>
        <v/>
      </c>
      <c r="AU1171" s="78" t="str">
        <f t="shared" si="208"/>
        <v/>
      </c>
      <c r="AV1171" s="64" t="str">
        <f ca="1">IFERROR(__xludf.DUMMYFUNCTION("IF(TRIM(AU1171)="""","""",AU1171/INDEX(FILTER(AT$3:AT1171,TRIM(AT$3:AT1171)&lt;&gt;""""),ROWS(FILTER(AT$3:AT1171,TRIM(AT$3:AT1171)&lt;&gt;"""")))-1)"),"")</f>
        <v/>
      </c>
      <c r="AW1171" s="65" t="e">
        <f t="shared" ca="1" si="200"/>
        <v>#VALUE!</v>
      </c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</row>
    <row r="1172" spans="1:68" ht="19" x14ac:dyDescent="0.25">
      <c r="A1172" s="5"/>
      <c r="B1172" s="5"/>
      <c r="C1172" s="5"/>
      <c r="D1172" s="5"/>
      <c r="E1172" s="5"/>
      <c r="F1172" s="5"/>
      <c r="G1172" s="5"/>
      <c r="H1172" s="6"/>
      <c r="I1172" s="5"/>
      <c r="J1172" s="88"/>
      <c r="K1172" s="88"/>
      <c r="L1172" s="88"/>
      <c r="M1172" s="88"/>
      <c r="N1172" s="88"/>
      <c r="O1172" s="88"/>
      <c r="P1172" s="88"/>
      <c r="Q1172" s="89"/>
      <c r="R1172" s="88"/>
      <c r="S1172" s="88"/>
      <c r="T1172" s="90"/>
      <c r="U1172" s="6"/>
      <c r="V1172" s="44">
        <v>45616</v>
      </c>
      <c r="W1172" s="45">
        <v>214.6</v>
      </c>
      <c r="X1172" s="91"/>
      <c r="Y1172" s="77"/>
      <c r="Z1172" s="5"/>
      <c r="AA1172" s="5"/>
      <c r="AB1172" s="5"/>
      <c r="AC1172" s="5"/>
      <c r="AD1172" s="5"/>
      <c r="AE1172" s="5"/>
      <c r="AF1172" s="5"/>
      <c r="AG1172" s="5"/>
      <c r="AH1172" s="6"/>
      <c r="AI1172" s="44">
        <v>45616</v>
      </c>
      <c r="AJ1172" s="53">
        <v>214.6</v>
      </c>
      <c r="AK1172" s="54">
        <f t="shared" si="198"/>
        <v>2.0689655172413834E-2</v>
      </c>
      <c r="AL1172" s="55">
        <f t="shared" si="201"/>
        <v>26.921943082187262</v>
      </c>
      <c r="AM1172" s="56">
        <v>25</v>
      </c>
      <c r="AN1172" s="57">
        <f t="shared" si="199"/>
        <v>-1.9219430821872621</v>
      </c>
      <c r="AO1172" s="76">
        <f t="shared" si="202"/>
        <v>6.4087099571131194</v>
      </c>
      <c r="AP1172" s="63" t="str">
        <f t="shared" si="203"/>
        <v>Buy Stocks</v>
      </c>
      <c r="AQ1172" s="63" t="str">
        <f t="shared" si="204"/>
        <v/>
      </c>
      <c r="AR1172" s="63" t="str">
        <f t="shared" si="205"/>
        <v/>
      </c>
      <c r="AS1172" s="63" t="str">
        <f t="shared" si="206"/>
        <v/>
      </c>
      <c r="AT1172" s="78" t="str">
        <f t="shared" si="207"/>
        <v/>
      </c>
      <c r="AU1172" s="78" t="str">
        <f t="shared" si="208"/>
        <v/>
      </c>
      <c r="AV1172" s="64" t="str">
        <f ca="1">IFERROR(__xludf.DUMMYFUNCTION("IF(TRIM(AU1172)="""","""",AU1172/INDEX(FILTER(AT$3:AT1172,TRIM(AT$3:AT1172)&lt;&gt;""""),ROWS(FILTER(AT$3:AT1172,TRIM(AT$3:AT1172)&lt;&gt;"""")))-1)"),"")</f>
        <v/>
      </c>
      <c r="AW1172" s="65" t="e">
        <f t="shared" ca="1" si="200"/>
        <v>#VALUE!</v>
      </c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</row>
    <row r="1173" spans="1:68" ht="19" x14ac:dyDescent="0.25">
      <c r="A1173" s="5"/>
      <c r="B1173" s="5"/>
      <c r="C1173" s="5"/>
      <c r="D1173" s="5"/>
      <c r="E1173" s="5"/>
      <c r="F1173" s="5"/>
      <c r="G1173" s="5"/>
      <c r="H1173" s="6"/>
      <c r="I1173" s="5"/>
      <c r="J1173" s="88"/>
      <c r="K1173" s="88"/>
      <c r="L1173" s="88"/>
      <c r="M1173" s="88"/>
      <c r="N1173" s="88"/>
      <c r="O1173" s="88"/>
      <c r="P1173" s="88"/>
      <c r="Q1173" s="89"/>
      <c r="R1173" s="88"/>
      <c r="S1173" s="88"/>
      <c r="T1173" s="90"/>
      <c r="U1173" s="6"/>
      <c r="V1173" s="44">
        <v>45617</v>
      </c>
      <c r="W1173" s="45">
        <v>222.4</v>
      </c>
      <c r="X1173" s="91"/>
      <c r="Y1173" s="77"/>
      <c r="Z1173" s="5"/>
      <c r="AA1173" s="5"/>
      <c r="AB1173" s="5"/>
      <c r="AC1173" s="5"/>
      <c r="AD1173" s="5"/>
      <c r="AE1173" s="5"/>
      <c r="AF1173" s="5"/>
      <c r="AG1173" s="5"/>
      <c r="AH1173" s="6"/>
      <c r="AI1173" s="44">
        <v>45617</v>
      </c>
      <c r="AJ1173" s="53">
        <v>222.4</v>
      </c>
      <c r="AK1173" s="54">
        <f t="shared" si="198"/>
        <v>3.6346691519105301E-2</v>
      </c>
      <c r="AL1173" s="55">
        <f t="shared" si="201"/>
        <v>32.221873869196315</v>
      </c>
      <c r="AM1173" s="56">
        <v>25</v>
      </c>
      <c r="AN1173" s="57">
        <f t="shared" si="199"/>
        <v>-7.2218738691963154</v>
      </c>
      <c r="AO1173" s="76">
        <f t="shared" si="202"/>
        <v>1.8923413122183121</v>
      </c>
      <c r="AP1173" s="63" t="str">
        <f t="shared" si="203"/>
        <v>Buy Stocks</v>
      </c>
      <c r="AQ1173" s="63" t="str">
        <f t="shared" si="204"/>
        <v/>
      </c>
      <c r="AR1173" s="63" t="str">
        <f t="shared" si="205"/>
        <v/>
      </c>
      <c r="AS1173" s="63" t="str">
        <f t="shared" si="206"/>
        <v/>
      </c>
      <c r="AT1173" s="78" t="str">
        <f t="shared" si="207"/>
        <v/>
      </c>
      <c r="AU1173" s="78" t="str">
        <f t="shared" si="208"/>
        <v/>
      </c>
      <c r="AV1173" s="64" t="str">
        <f ca="1">IFERROR(__xludf.DUMMYFUNCTION("IF(TRIM(AU1173)="""","""",AU1173/INDEX(FILTER(AT$3:AT1173,TRIM(AT$3:AT1173)&lt;&gt;""""),ROWS(FILTER(AT$3:AT1173,TRIM(AT$3:AT1173)&lt;&gt;"""")))-1)"),"")</f>
        <v/>
      </c>
      <c r="AW1173" s="65" t="e">
        <f t="shared" ca="1" si="200"/>
        <v>#VALUE!</v>
      </c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</row>
    <row r="1174" spans="1:68" ht="19" x14ac:dyDescent="0.25">
      <c r="A1174" s="5"/>
      <c r="B1174" s="5"/>
      <c r="C1174" s="5"/>
      <c r="D1174" s="5"/>
      <c r="E1174" s="5"/>
      <c r="F1174" s="5"/>
      <c r="G1174" s="5"/>
      <c r="H1174" s="6"/>
      <c r="I1174" s="5"/>
      <c r="J1174" s="88"/>
      <c r="K1174" s="88"/>
      <c r="L1174" s="88"/>
      <c r="M1174" s="88"/>
      <c r="N1174" s="88"/>
      <c r="O1174" s="88"/>
      <c r="P1174" s="88"/>
      <c r="Q1174" s="89"/>
      <c r="R1174" s="88"/>
      <c r="S1174" s="88"/>
      <c r="T1174" s="90"/>
      <c r="U1174" s="6"/>
      <c r="V1174" s="44">
        <v>45618</v>
      </c>
      <c r="W1174" s="45">
        <v>222.97</v>
      </c>
      <c r="X1174" s="91"/>
      <c r="Y1174" s="77"/>
      <c r="Z1174" s="5"/>
      <c r="AA1174" s="5"/>
      <c r="AB1174" s="5"/>
      <c r="AC1174" s="5"/>
      <c r="AD1174" s="5"/>
      <c r="AE1174" s="5"/>
      <c r="AF1174" s="5"/>
      <c r="AG1174" s="5"/>
      <c r="AH1174" s="6"/>
      <c r="AI1174" s="44">
        <v>45618</v>
      </c>
      <c r="AJ1174" s="53">
        <v>222.97</v>
      </c>
      <c r="AK1174" s="54">
        <f t="shared" si="198"/>
        <v>2.5629496402876928E-3</v>
      </c>
      <c r="AL1174" s="55">
        <f t="shared" si="201"/>
        <v>20.137509661783113</v>
      </c>
      <c r="AM1174" s="56">
        <v>25</v>
      </c>
      <c r="AN1174" s="57">
        <f t="shared" si="199"/>
        <v>4.8624903382168867</v>
      </c>
      <c r="AO1174" s="76">
        <f t="shared" si="202"/>
        <v>0.46801455257626046</v>
      </c>
      <c r="AP1174" s="63" t="str">
        <f t="shared" si="203"/>
        <v>Buy Stocks</v>
      </c>
      <c r="AQ1174" s="63" t="str">
        <f t="shared" si="204"/>
        <v/>
      </c>
      <c r="AR1174" s="63" t="str">
        <f t="shared" si="205"/>
        <v/>
      </c>
      <c r="AS1174" s="63" t="str">
        <f t="shared" si="206"/>
        <v/>
      </c>
      <c r="AT1174" s="78" t="str">
        <f t="shared" si="207"/>
        <v/>
      </c>
      <c r="AU1174" s="78" t="str">
        <f t="shared" si="208"/>
        <v/>
      </c>
      <c r="AV1174" s="64" t="str">
        <f ca="1">IFERROR(__xludf.DUMMYFUNCTION("IF(TRIM(AU1174)="""","""",AU1174/INDEX(FILTER(AT$3:AT1174,TRIM(AT$3:AT1174)&lt;&gt;""""),ROWS(FILTER(AT$3:AT1174,TRIM(AT$3:AT1174)&lt;&gt;"""")))-1)"),"")</f>
        <v/>
      </c>
      <c r="AW1174" s="65" t="e">
        <f t="shared" ca="1" si="200"/>
        <v>#VALUE!</v>
      </c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</row>
    <row r="1175" spans="1:68" ht="19" x14ac:dyDescent="0.25">
      <c r="A1175" s="5"/>
      <c r="B1175" s="5"/>
      <c r="C1175" s="5"/>
      <c r="D1175" s="5"/>
      <c r="E1175" s="5"/>
      <c r="F1175" s="5"/>
      <c r="G1175" s="5"/>
      <c r="H1175" s="6"/>
      <c r="I1175" s="5"/>
      <c r="J1175" s="88"/>
      <c r="K1175" s="88"/>
      <c r="L1175" s="88"/>
      <c r="M1175" s="88"/>
      <c r="N1175" s="88"/>
      <c r="O1175" s="88"/>
      <c r="P1175" s="88"/>
      <c r="Q1175" s="89"/>
      <c r="R1175" s="88"/>
      <c r="S1175" s="88"/>
      <c r="T1175" s="90"/>
      <c r="U1175" s="6"/>
      <c r="V1175" s="44">
        <v>45621</v>
      </c>
      <c r="W1175" s="45">
        <v>226.13</v>
      </c>
      <c r="X1175" s="91"/>
      <c r="Y1175" s="77"/>
      <c r="Z1175" s="5"/>
      <c r="AA1175" s="5"/>
      <c r="AB1175" s="5"/>
      <c r="AC1175" s="5"/>
      <c r="AD1175" s="5"/>
      <c r="AE1175" s="5"/>
      <c r="AF1175" s="5"/>
      <c r="AG1175" s="5"/>
      <c r="AH1175" s="6"/>
      <c r="AI1175" s="44">
        <v>45621</v>
      </c>
      <c r="AJ1175" s="53">
        <v>226.13</v>
      </c>
      <c r="AK1175" s="54">
        <f t="shared" si="198"/>
        <v>1.4172310176256975E-2</v>
      </c>
      <c r="AL1175" s="55">
        <f t="shared" si="201"/>
        <v>20.205123361672399</v>
      </c>
      <c r="AM1175" s="56">
        <v>25</v>
      </c>
      <c r="AN1175" s="57">
        <f t="shared" si="199"/>
        <v>4.7948766383276009</v>
      </c>
      <c r="AO1175" s="76">
        <f t="shared" si="202"/>
        <v>0.65408596957988085</v>
      </c>
      <c r="AP1175" s="63" t="str">
        <f t="shared" si="203"/>
        <v>Buy Stocks</v>
      </c>
      <c r="AQ1175" s="63" t="str">
        <f t="shared" si="204"/>
        <v/>
      </c>
      <c r="AR1175" s="63" t="str">
        <f t="shared" si="205"/>
        <v/>
      </c>
      <c r="AS1175" s="63" t="str">
        <f t="shared" si="206"/>
        <v/>
      </c>
      <c r="AT1175" s="78" t="str">
        <f t="shared" si="207"/>
        <v/>
      </c>
      <c r="AU1175" s="78" t="str">
        <f t="shared" si="208"/>
        <v/>
      </c>
      <c r="AV1175" s="64" t="str">
        <f ca="1">IFERROR(__xludf.DUMMYFUNCTION("IF(TRIM(AU1175)="""","""",AU1175/INDEX(FILTER(AT$3:AT1175,TRIM(AT$3:AT1175)&lt;&gt;""""),ROWS(FILTER(AT$3:AT1175,TRIM(AT$3:AT1175)&lt;&gt;"""")))-1)"),"")</f>
        <v/>
      </c>
      <c r="AW1175" s="65" t="e">
        <f t="shared" ca="1" si="200"/>
        <v>#VALUE!</v>
      </c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</row>
    <row r="1176" spans="1:68" ht="19" x14ac:dyDescent="0.25">
      <c r="A1176" s="5"/>
      <c r="B1176" s="5"/>
      <c r="C1176" s="5"/>
      <c r="D1176" s="5"/>
      <c r="E1176" s="5"/>
      <c r="F1176" s="5"/>
      <c r="G1176" s="5"/>
      <c r="H1176" s="6"/>
      <c r="I1176" s="5"/>
      <c r="J1176" s="88"/>
      <c r="K1176" s="88"/>
      <c r="L1176" s="88"/>
      <c r="M1176" s="88"/>
      <c r="N1176" s="88"/>
      <c r="O1176" s="88"/>
      <c r="P1176" s="88"/>
      <c r="Q1176" s="89"/>
      <c r="R1176" s="88"/>
      <c r="S1176" s="88"/>
      <c r="T1176" s="90"/>
      <c r="U1176" s="6"/>
      <c r="V1176" s="44">
        <v>45622</v>
      </c>
      <c r="W1176" s="45">
        <v>228.83</v>
      </c>
      <c r="X1176" s="91"/>
      <c r="Y1176" s="77"/>
      <c r="Z1176" s="5"/>
      <c r="AA1176" s="5"/>
      <c r="AB1176" s="5"/>
      <c r="AC1176" s="5"/>
      <c r="AD1176" s="5"/>
      <c r="AE1176" s="5"/>
      <c r="AF1176" s="5"/>
      <c r="AG1176" s="5"/>
      <c r="AH1176" s="6"/>
      <c r="AI1176" s="44">
        <v>45622</v>
      </c>
      <c r="AJ1176" s="53">
        <v>228.83</v>
      </c>
      <c r="AK1176" s="54">
        <f t="shared" si="198"/>
        <v>1.194003449343306E-2</v>
      </c>
      <c r="AL1176" s="55">
        <f t="shared" si="201"/>
        <v>19.919728273139672</v>
      </c>
      <c r="AM1176" s="56">
        <v>25</v>
      </c>
      <c r="AN1176" s="57">
        <f t="shared" si="199"/>
        <v>5.0802717268603281</v>
      </c>
      <c r="AO1176" s="76">
        <f t="shared" si="202"/>
        <v>1.1187643504042477</v>
      </c>
      <c r="AP1176" s="63" t="str">
        <f t="shared" si="203"/>
        <v>Buy Stocks</v>
      </c>
      <c r="AQ1176" s="63" t="str">
        <f t="shared" si="204"/>
        <v/>
      </c>
      <c r="AR1176" s="63" t="str">
        <f t="shared" si="205"/>
        <v/>
      </c>
      <c r="AS1176" s="63" t="str">
        <f t="shared" si="206"/>
        <v/>
      </c>
      <c r="AT1176" s="78" t="str">
        <f t="shared" si="207"/>
        <v/>
      </c>
      <c r="AU1176" s="78" t="str">
        <f t="shared" si="208"/>
        <v/>
      </c>
      <c r="AV1176" s="64" t="str">
        <f ca="1">IFERROR(__xludf.DUMMYFUNCTION("IF(TRIM(AU1176)="""","""",AU1176/INDEX(FILTER(AT$3:AT1176,TRIM(AT$3:AT1176)&lt;&gt;""""),ROWS(FILTER(AT$3:AT1176,TRIM(AT$3:AT1176)&lt;&gt;"""")))-1)"),"")</f>
        <v/>
      </c>
      <c r="AW1176" s="65" t="e">
        <f t="shared" ca="1" si="200"/>
        <v>#VALUE!</v>
      </c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</row>
    <row r="1177" spans="1:68" ht="19" x14ac:dyDescent="0.25">
      <c r="A1177" s="5"/>
      <c r="B1177" s="5"/>
      <c r="C1177" s="5"/>
      <c r="D1177" s="5"/>
      <c r="E1177" s="5"/>
      <c r="F1177" s="5"/>
      <c r="G1177" s="5"/>
      <c r="H1177" s="6"/>
      <c r="I1177" s="5"/>
      <c r="J1177" s="88"/>
      <c r="K1177" s="88"/>
      <c r="L1177" s="88"/>
      <c r="M1177" s="88"/>
      <c r="N1177" s="88"/>
      <c r="O1177" s="88"/>
      <c r="P1177" s="88"/>
      <c r="Q1177" s="89"/>
      <c r="R1177" s="88"/>
      <c r="S1177" s="88"/>
      <c r="T1177" s="90"/>
      <c r="U1177" s="6"/>
      <c r="V1177" s="44">
        <v>45623</v>
      </c>
      <c r="W1177" s="45">
        <v>226.92</v>
      </c>
      <c r="X1177" s="91"/>
      <c r="Y1177" s="77"/>
      <c r="Z1177" s="5"/>
      <c r="AA1177" s="5"/>
      <c r="AB1177" s="5"/>
      <c r="AC1177" s="5"/>
      <c r="AD1177" s="5"/>
      <c r="AE1177" s="5"/>
      <c r="AF1177" s="5"/>
      <c r="AG1177" s="5"/>
      <c r="AH1177" s="6"/>
      <c r="AI1177" s="44">
        <v>45623</v>
      </c>
      <c r="AJ1177" s="53">
        <v>226.92</v>
      </c>
      <c r="AK1177" s="54">
        <f t="shared" si="198"/>
        <v>-8.3468076738191233E-3</v>
      </c>
      <c r="AL1177" s="55">
        <f t="shared" si="201"/>
        <v>26.304825097682961</v>
      </c>
      <c r="AM1177" s="56">
        <v>25</v>
      </c>
      <c r="AN1177" s="57">
        <f t="shared" si="199"/>
        <v>-1.3048250976829614</v>
      </c>
      <c r="AO1177" s="76">
        <f t="shared" si="202"/>
        <v>1.2421879473051078</v>
      </c>
      <c r="AP1177" s="63" t="str">
        <f t="shared" si="203"/>
        <v>Buy Stocks</v>
      </c>
      <c r="AQ1177" s="63" t="str">
        <f t="shared" si="204"/>
        <v/>
      </c>
      <c r="AR1177" s="63" t="str">
        <f t="shared" si="205"/>
        <v/>
      </c>
      <c r="AS1177" s="63" t="str">
        <f t="shared" si="206"/>
        <v/>
      </c>
      <c r="AT1177" s="78" t="str">
        <f t="shared" si="207"/>
        <v/>
      </c>
      <c r="AU1177" s="78" t="str">
        <f t="shared" si="208"/>
        <v/>
      </c>
      <c r="AV1177" s="64" t="str">
        <f ca="1">IFERROR(__xludf.DUMMYFUNCTION("IF(TRIM(AU1177)="""","""",AU1177/INDEX(FILTER(AT$3:AT1177,TRIM(AT$3:AT1177)&lt;&gt;""""),ROWS(FILTER(AT$3:AT1177,TRIM(AT$3:AT1177)&lt;&gt;"""")))-1)"),"")</f>
        <v/>
      </c>
      <c r="AW1177" s="65" t="e">
        <f t="shared" ca="1" si="200"/>
        <v>#VALUE!</v>
      </c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</row>
    <row r="1178" spans="1:68" ht="19" x14ac:dyDescent="0.25">
      <c r="A1178" s="5"/>
      <c r="B1178" s="5"/>
      <c r="C1178" s="5"/>
      <c r="D1178" s="5"/>
      <c r="E1178" s="5"/>
      <c r="F1178" s="5"/>
      <c r="G1178" s="5"/>
      <c r="H1178" s="6"/>
      <c r="I1178" s="5"/>
      <c r="J1178" s="88"/>
      <c r="K1178" s="88"/>
      <c r="L1178" s="88"/>
      <c r="M1178" s="88"/>
      <c r="N1178" s="88"/>
      <c r="O1178" s="88"/>
      <c r="P1178" s="88"/>
      <c r="Q1178" s="89"/>
      <c r="R1178" s="88"/>
      <c r="S1178" s="88"/>
      <c r="T1178" s="90"/>
      <c r="U1178" s="6"/>
      <c r="V1178" s="44">
        <v>45625</v>
      </c>
      <c r="W1178" s="45">
        <v>227.41</v>
      </c>
      <c r="X1178" s="91"/>
      <c r="Y1178" s="77"/>
      <c r="Z1178" s="5"/>
      <c r="AA1178" s="5"/>
      <c r="AB1178" s="5"/>
      <c r="AC1178" s="5"/>
      <c r="AD1178" s="5"/>
      <c r="AE1178" s="5"/>
      <c r="AF1178" s="5"/>
      <c r="AG1178" s="5"/>
      <c r="AH1178" s="6"/>
      <c r="AI1178" s="44">
        <v>45625</v>
      </c>
      <c r="AJ1178" s="53">
        <v>227.41</v>
      </c>
      <c r="AK1178" s="54">
        <f t="shared" si="198"/>
        <v>2.1593513132380782E-3</v>
      </c>
      <c r="AL1178" s="55">
        <f t="shared" si="201"/>
        <v>14.268942828086976</v>
      </c>
      <c r="AM1178" s="56">
        <v>25</v>
      </c>
      <c r="AN1178" s="57">
        <f t="shared" si="199"/>
        <v>10.731057171913024</v>
      </c>
      <c r="AO1178" s="76">
        <f t="shared" si="202"/>
        <v>4.832774155526975</v>
      </c>
      <c r="AP1178" s="63" t="str">
        <f t="shared" si="203"/>
        <v>Buy Stocks</v>
      </c>
      <c r="AQ1178" s="63" t="str">
        <f t="shared" si="204"/>
        <v/>
      </c>
      <c r="AR1178" s="63" t="str">
        <f t="shared" si="205"/>
        <v/>
      </c>
      <c r="AS1178" s="63" t="str">
        <f t="shared" si="206"/>
        <v/>
      </c>
      <c r="AT1178" s="78" t="str">
        <f t="shared" si="207"/>
        <v/>
      </c>
      <c r="AU1178" s="78" t="str">
        <f t="shared" si="208"/>
        <v/>
      </c>
      <c r="AV1178" s="64" t="str">
        <f ca="1">IFERROR(__xludf.DUMMYFUNCTION("IF(TRIM(AU1178)="""","""",AU1178/INDEX(FILTER(AT$3:AT1178,TRIM(AT$3:AT1178)&lt;&gt;""""),ROWS(FILTER(AT$3:AT1178,TRIM(AT$3:AT1178)&lt;&gt;"""")))-1)"),"")</f>
        <v/>
      </c>
      <c r="AW1178" s="65" t="e">
        <f t="shared" ca="1" si="200"/>
        <v>#VALUE!</v>
      </c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</row>
    <row r="1179" spans="1:68" ht="19" x14ac:dyDescent="0.25">
      <c r="A1179" s="5"/>
      <c r="B1179" s="5"/>
      <c r="C1179" s="5"/>
      <c r="D1179" s="5"/>
      <c r="E1179" s="5"/>
      <c r="F1179" s="5"/>
      <c r="G1179" s="5"/>
      <c r="H1179" s="6"/>
      <c r="I1179" s="5"/>
      <c r="J1179" s="88"/>
      <c r="K1179" s="88"/>
      <c r="L1179" s="88"/>
      <c r="M1179" s="88"/>
      <c r="N1179" s="88"/>
      <c r="O1179" s="88"/>
      <c r="P1179" s="88"/>
      <c r="Q1179" s="89"/>
      <c r="R1179" s="88"/>
      <c r="S1179" s="88"/>
      <c r="T1179" s="90"/>
      <c r="U1179" s="6"/>
      <c r="V1179" s="44">
        <v>45628</v>
      </c>
      <c r="W1179" s="45">
        <v>227.39</v>
      </c>
      <c r="X1179" s="91"/>
      <c r="Y1179" s="77"/>
      <c r="Z1179" s="5"/>
      <c r="AA1179" s="5"/>
      <c r="AB1179" s="5"/>
      <c r="AC1179" s="5"/>
      <c r="AD1179" s="5"/>
      <c r="AE1179" s="5"/>
      <c r="AF1179" s="5"/>
      <c r="AG1179" s="5"/>
      <c r="AH1179" s="6"/>
      <c r="AI1179" s="44">
        <v>45628</v>
      </c>
      <c r="AJ1179" s="53">
        <v>227.39</v>
      </c>
      <c r="AK1179" s="54">
        <f t="shared" si="198"/>
        <v>-8.7946880084510681E-5</v>
      </c>
      <c r="AL1179" s="55">
        <f t="shared" si="201"/>
        <v>14.615277600167511</v>
      </c>
      <c r="AM1179" s="56">
        <v>25</v>
      </c>
      <c r="AN1179" s="57">
        <f t="shared" si="199"/>
        <v>10.384722399832489</v>
      </c>
      <c r="AO1179" s="76">
        <f t="shared" si="202"/>
        <v>5.9372205678500958</v>
      </c>
      <c r="AP1179" s="63" t="str">
        <f t="shared" si="203"/>
        <v>Buy Stocks</v>
      </c>
      <c r="AQ1179" s="63" t="str">
        <f t="shared" si="204"/>
        <v/>
      </c>
      <c r="AR1179" s="63" t="str">
        <f t="shared" si="205"/>
        <v/>
      </c>
      <c r="AS1179" s="63" t="str">
        <f t="shared" si="206"/>
        <v/>
      </c>
      <c r="AT1179" s="78" t="str">
        <f t="shared" si="207"/>
        <v/>
      </c>
      <c r="AU1179" s="78" t="str">
        <f t="shared" si="208"/>
        <v/>
      </c>
      <c r="AV1179" s="64" t="str">
        <f ca="1">IFERROR(__xludf.DUMMYFUNCTION("IF(TRIM(AU1179)="""","""",AU1179/INDEX(FILTER(AT$3:AT1179,TRIM(AT$3:AT1179)&lt;&gt;""""),ROWS(FILTER(AT$3:AT1179,TRIM(AT$3:AT1179)&lt;&gt;"""")))-1)"),"")</f>
        <v/>
      </c>
      <c r="AW1179" s="65" t="e">
        <f t="shared" ca="1" si="200"/>
        <v>#VALUE!</v>
      </c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</row>
    <row r="1180" spans="1:68" ht="19" x14ac:dyDescent="0.25">
      <c r="A1180" s="5"/>
      <c r="B1180" s="5"/>
      <c r="C1180" s="5"/>
      <c r="D1180" s="5"/>
      <c r="E1180" s="5"/>
      <c r="F1180" s="5"/>
      <c r="G1180" s="5"/>
      <c r="H1180" s="6"/>
      <c r="I1180" s="5"/>
      <c r="J1180" s="88"/>
      <c r="K1180" s="88"/>
      <c r="L1180" s="88"/>
      <c r="M1180" s="88"/>
      <c r="N1180" s="88"/>
      <c r="O1180" s="88"/>
      <c r="P1180" s="88"/>
      <c r="Q1180" s="89"/>
      <c r="R1180" s="88"/>
      <c r="S1180" s="88"/>
      <c r="T1180" s="90"/>
      <c r="U1180" s="6"/>
      <c r="V1180" s="44">
        <v>45629</v>
      </c>
      <c r="W1180" s="45">
        <v>229</v>
      </c>
      <c r="X1180" s="91"/>
      <c r="Y1180" s="77"/>
      <c r="Z1180" s="5"/>
      <c r="AA1180" s="5"/>
      <c r="AB1180" s="5"/>
      <c r="AC1180" s="5"/>
      <c r="AD1180" s="5"/>
      <c r="AE1180" s="5"/>
      <c r="AF1180" s="5"/>
      <c r="AG1180" s="5"/>
      <c r="AH1180" s="6"/>
      <c r="AI1180" s="44">
        <v>45629</v>
      </c>
      <c r="AJ1180" s="53">
        <v>229</v>
      </c>
      <c r="AK1180" s="54">
        <f t="shared" si="198"/>
        <v>7.0803465411848343E-3</v>
      </c>
      <c r="AL1180" s="55">
        <f t="shared" si="201"/>
        <v>12.155887429208953</v>
      </c>
      <c r="AM1180" s="56">
        <v>25</v>
      </c>
      <c r="AN1180" s="57">
        <f t="shared" si="199"/>
        <v>12.844112570791047</v>
      </c>
      <c r="AO1180" s="76">
        <f t="shared" si="202"/>
        <v>7.5470677543427858</v>
      </c>
      <c r="AP1180" s="63" t="str">
        <f t="shared" si="203"/>
        <v>Buy Stocks</v>
      </c>
      <c r="AQ1180" s="63" t="str">
        <f t="shared" si="204"/>
        <v/>
      </c>
      <c r="AR1180" s="63" t="str">
        <f t="shared" si="205"/>
        <v/>
      </c>
      <c r="AS1180" s="63" t="str">
        <f t="shared" si="206"/>
        <v/>
      </c>
      <c r="AT1180" s="78" t="str">
        <f t="shared" si="207"/>
        <v/>
      </c>
      <c r="AU1180" s="78" t="str">
        <f t="shared" si="208"/>
        <v/>
      </c>
      <c r="AV1180" s="64" t="str">
        <f ca="1">IFERROR(__xludf.DUMMYFUNCTION("IF(TRIM(AU1180)="""","""",AU1180/INDEX(FILTER(AT$3:AT1180,TRIM(AT$3:AT1180)&lt;&gt;""""),ROWS(FILTER(AT$3:AT1180,TRIM(AT$3:AT1180)&lt;&gt;"""")))-1)"),"")</f>
        <v/>
      </c>
      <c r="AW1180" s="65" t="e">
        <f t="shared" ca="1" si="200"/>
        <v>#VALUE!</v>
      </c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</row>
    <row r="1181" spans="1:68" ht="19" x14ac:dyDescent="0.25">
      <c r="A1181" s="5"/>
      <c r="B1181" s="5"/>
      <c r="C1181" s="5"/>
      <c r="D1181" s="5"/>
      <c r="E1181" s="5"/>
      <c r="F1181" s="5"/>
      <c r="G1181" s="5"/>
      <c r="H1181" s="6"/>
      <c r="I1181" s="5"/>
      <c r="J1181" s="88"/>
      <c r="K1181" s="88"/>
      <c r="L1181" s="88"/>
      <c r="M1181" s="88"/>
      <c r="N1181" s="88"/>
      <c r="O1181" s="88"/>
      <c r="P1181" s="88"/>
      <c r="Q1181" s="89"/>
      <c r="R1181" s="88"/>
      <c r="S1181" s="88"/>
      <c r="T1181" s="90"/>
      <c r="U1181" s="6"/>
      <c r="V1181" s="44">
        <v>45630</v>
      </c>
      <c r="W1181" s="45">
        <v>233.49</v>
      </c>
      <c r="X1181" s="91"/>
      <c r="Y1181" s="77"/>
      <c r="Z1181" s="5"/>
      <c r="AA1181" s="5"/>
      <c r="AB1181" s="5"/>
      <c r="AC1181" s="5"/>
      <c r="AD1181" s="5"/>
      <c r="AE1181" s="5"/>
      <c r="AF1181" s="5"/>
      <c r="AG1181" s="5"/>
      <c r="AH1181" s="6"/>
      <c r="AI1181" s="44">
        <v>45630</v>
      </c>
      <c r="AJ1181" s="53">
        <v>233.49</v>
      </c>
      <c r="AK1181" s="54">
        <f t="shared" si="198"/>
        <v>1.9606986899563417E-2</v>
      </c>
      <c r="AL1181" s="55">
        <f t="shared" si="201"/>
        <v>16.374145003874656</v>
      </c>
      <c r="AM1181" s="56">
        <v>25</v>
      </c>
      <c r="AN1181" s="57">
        <f t="shared" si="199"/>
        <v>8.6258549961253443</v>
      </c>
      <c r="AO1181" s="76">
        <f t="shared" si="202"/>
        <v>8.2561844081957876</v>
      </c>
      <c r="AP1181" s="63" t="str">
        <f t="shared" si="203"/>
        <v>Buy Stocks</v>
      </c>
      <c r="AQ1181" s="63" t="str">
        <f t="shared" si="204"/>
        <v/>
      </c>
      <c r="AR1181" s="63" t="str">
        <f t="shared" si="205"/>
        <v/>
      </c>
      <c r="AS1181" s="63" t="str">
        <f t="shared" si="206"/>
        <v/>
      </c>
      <c r="AT1181" s="78" t="str">
        <f t="shared" si="207"/>
        <v/>
      </c>
      <c r="AU1181" s="78" t="str">
        <f t="shared" si="208"/>
        <v/>
      </c>
      <c r="AV1181" s="64" t="str">
        <f ca="1">IFERROR(__xludf.DUMMYFUNCTION("IF(TRIM(AU1181)="""","""",AU1181/INDEX(FILTER(AT$3:AT1181,TRIM(AT$3:AT1181)&lt;&gt;""""),ROWS(FILTER(AT$3:AT1181,TRIM(AT$3:AT1181)&lt;&gt;"""")))-1)"),"")</f>
        <v/>
      </c>
      <c r="AW1181" s="65" t="e">
        <f t="shared" ca="1" si="200"/>
        <v>#VALUE!</v>
      </c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</row>
    <row r="1182" spans="1:68" ht="19" x14ac:dyDescent="0.25">
      <c r="A1182" s="5"/>
      <c r="B1182" s="5"/>
      <c r="C1182" s="5"/>
      <c r="D1182" s="5"/>
      <c r="E1182" s="5"/>
      <c r="F1182" s="5"/>
      <c r="G1182" s="5"/>
      <c r="H1182" s="6"/>
      <c r="I1182" s="5"/>
      <c r="J1182" s="88"/>
      <c r="K1182" s="88"/>
      <c r="L1182" s="88"/>
      <c r="M1182" s="88"/>
      <c r="N1182" s="88"/>
      <c r="O1182" s="88"/>
      <c r="P1182" s="88"/>
      <c r="Q1182" s="89"/>
      <c r="R1182" s="88"/>
      <c r="S1182" s="88"/>
      <c r="T1182" s="90"/>
      <c r="U1182" s="6"/>
      <c r="V1182" s="44">
        <v>45631</v>
      </c>
      <c r="W1182" s="45">
        <v>234.75</v>
      </c>
      <c r="X1182" s="91"/>
      <c r="Y1182" s="77"/>
      <c r="Z1182" s="5"/>
      <c r="AA1182" s="5"/>
      <c r="AB1182" s="5"/>
      <c r="AC1182" s="5"/>
      <c r="AD1182" s="5"/>
      <c r="AE1182" s="5"/>
      <c r="AF1182" s="5"/>
      <c r="AG1182" s="5"/>
      <c r="AH1182" s="6"/>
      <c r="AI1182" s="44">
        <v>45631</v>
      </c>
      <c r="AJ1182" s="53">
        <v>234.75</v>
      </c>
      <c r="AK1182" s="54">
        <f t="shared" si="198"/>
        <v>5.3963767184890266E-3</v>
      </c>
      <c r="AL1182" s="55">
        <f t="shared" si="201"/>
        <v>12.168674552538485</v>
      </c>
      <c r="AM1182" s="56">
        <v>25</v>
      </c>
      <c r="AN1182" s="57">
        <f t="shared" si="199"/>
        <v>12.831325447461515</v>
      </c>
      <c r="AO1182" s="76">
        <f t="shared" si="202"/>
        <v>11.083414517224684</v>
      </c>
      <c r="AP1182" s="63" t="str">
        <f t="shared" si="203"/>
        <v>Buy Stocks</v>
      </c>
      <c r="AQ1182" s="63" t="str">
        <f t="shared" si="204"/>
        <v/>
      </c>
      <c r="AR1182" s="63" t="str">
        <f t="shared" si="205"/>
        <v/>
      </c>
      <c r="AS1182" s="63" t="str">
        <f t="shared" si="206"/>
        <v/>
      </c>
      <c r="AT1182" s="78" t="str">
        <f t="shared" si="207"/>
        <v/>
      </c>
      <c r="AU1182" s="78" t="str">
        <f t="shared" si="208"/>
        <v/>
      </c>
      <c r="AV1182" s="64" t="str">
        <f ca="1">IFERROR(__xludf.DUMMYFUNCTION("IF(TRIM(AU1182)="""","""",AU1182/INDEX(FILTER(AT$3:AT1182,TRIM(AT$3:AT1182)&lt;&gt;""""),ROWS(FILTER(AT$3:AT1182,TRIM(AT$3:AT1182)&lt;&gt;"""")))-1)"),"")</f>
        <v/>
      </c>
      <c r="AW1182" s="65" t="e">
        <f t="shared" ca="1" si="200"/>
        <v>#VALUE!</v>
      </c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</row>
    <row r="1183" spans="1:68" ht="19" x14ac:dyDescent="0.25">
      <c r="A1183" s="5"/>
      <c r="B1183" s="5"/>
      <c r="C1183" s="5"/>
      <c r="D1183" s="5"/>
      <c r="E1183" s="5"/>
      <c r="F1183" s="5"/>
      <c r="G1183" s="5"/>
      <c r="H1183" s="6"/>
      <c r="I1183" s="5"/>
      <c r="J1183" s="88"/>
      <c r="K1183" s="88"/>
      <c r="L1183" s="88"/>
      <c r="M1183" s="88"/>
      <c r="N1183" s="88"/>
      <c r="O1183" s="88"/>
      <c r="P1183" s="88"/>
      <c r="Q1183" s="89"/>
      <c r="R1183" s="88"/>
      <c r="S1183" s="88"/>
      <c r="T1183" s="90"/>
      <c r="U1183" s="6"/>
      <c r="V1183" s="44">
        <v>45632</v>
      </c>
      <c r="W1183" s="45">
        <v>238.04</v>
      </c>
      <c r="X1183" s="91"/>
      <c r="Y1183" s="77"/>
      <c r="Z1183" s="5"/>
      <c r="AA1183" s="5"/>
      <c r="AB1183" s="5"/>
      <c r="AC1183" s="5"/>
      <c r="AD1183" s="5"/>
      <c r="AE1183" s="5"/>
      <c r="AF1183" s="5"/>
      <c r="AG1183" s="5"/>
      <c r="AH1183" s="6"/>
      <c r="AI1183" s="44">
        <v>45632</v>
      </c>
      <c r="AJ1183" s="53">
        <v>238.04</v>
      </c>
      <c r="AK1183" s="54">
        <f t="shared" si="198"/>
        <v>1.4014909478168303E-2</v>
      </c>
      <c r="AL1183" s="55">
        <f t="shared" si="201"/>
        <v>12.211901625282316</v>
      </c>
      <c r="AM1183" s="56">
        <v>25</v>
      </c>
      <c r="AN1183" s="57">
        <f t="shared" si="199"/>
        <v>12.788098374717684</v>
      </c>
      <c r="AO1183" s="76">
        <f t="shared" si="202"/>
        <v>11.494822757785617</v>
      </c>
      <c r="AP1183" s="63" t="str">
        <f t="shared" si="203"/>
        <v>Buy Stocks</v>
      </c>
      <c r="AQ1183" s="63" t="str">
        <f t="shared" si="204"/>
        <v/>
      </c>
      <c r="AR1183" s="63" t="str">
        <f t="shared" si="205"/>
        <v/>
      </c>
      <c r="AS1183" s="63" t="str">
        <f t="shared" si="206"/>
        <v/>
      </c>
      <c r="AT1183" s="78" t="str">
        <f t="shared" si="207"/>
        <v/>
      </c>
      <c r="AU1183" s="78" t="str">
        <f t="shared" si="208"/>
        <v/>
      </c>
      <c r="AV1183" s="64" t="str">
        <f ca="1">IFERROR(__xludf.DUMMYFUNCTION("IF(TRIM(AU1183)="""","""",AU1183/INDEX(FILTER(AT$3:AT1183,TRIM(AT$3:AT1183)&lt;&gt;""""),ROWS(FILTER(AT$3:AT1183,TRIM(AT$3:AT1183)&lt;&gt;"""")))-1)"),"")</f>
        <v/>
      </c>
      <c r="AW1183" s="65" t="e">
        <f t="shared" ca="1" si="200"/>
        <v>#VALUE!</v>
      </c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</row>
    <row r="1184" spans="1:68" ht="19" x14ac:dyDescent="0.25">
      <c r="A1184" s="5"/>
      <c r="B1184" s="5"/>
      <c r="C1184" s="5"/>
      <c r="D1184" s="5"/>
      <c r="E1184" s="5"/>
      <c r="F1184" s="5"/>
      <c r="G1184" s="5"/>
      <c r="H1184" s="6"/>
      <c r="I1184" s="5"/>
      <c r="J1184" s="88"/>
      <c r="K1184" s="88"/>
      <c r="L1184" s="88"/>
      <c r="M1184" s="88"/>
      <c r="N1184" s="88"/>
      <c r="O1184" s="88"/>
      <c r="P1184" s="88"/>
      <c r="Q1184" s="89"/>
      <c r="R1184" s="88"/>
      <c r="S1184" s="88"/>
      <c r="T1184" s="90"/>
      <c r="U1184" s="6"/>
      <c r="V1184" s="44">
        <v>45635</v>
      </c>
      <c r="W1184" s="45">
        <v>230</v>
      </c>
      <c r="X1184" s="91"/>
      <c r="Y1184" s="77"/>
      <c r="Z1184" s="5"/>
      <c r="AA1184" s="5"/>
      <c r="AB1184" s="5"/>
      <c r="AC1184" s="5"/>
      <c r="AD1184" s="5"/>
      <c r="AE1184" s="5"/>
      <c r="AF1184" s="5"/>
      <c r="AG1184" s="5"/>
      <c r="AH1184" s="6"/>
      <c r="AI1184" s="44">
        <v>45635</v>
      </c>
      <c r="AJ1184" s="53">
        <v>230</v>
      </c>
      <c r="AK1184" s="54">
        <f t="shared" si="198"/>
        <v>-3.3775835993950509E-2</v>
      </c>
      <c r="AL1184" s="55">
        <f t="shared" si="201"/>
        <v>33.398213230780435</v>
      </c>
      <c r="AM1184" s="56">
        <v>25</v>
      </c>
      <c r="AN1184" s="57">
        <f t="shared" si="199"/>
        <v>-8.3982132307804349</v>
      </c>
      <c r="AO1184" s="76">
        <f t="shared" si="202"/>
        <v>7.7382356316630307</v>
      </c>
      <c r="AP1184" s="63" t="str">
        <f t="shared" si="203"/>
        <v>Buy Stocks</v>
      </c>
      <c r="AQ1184" s="63" t="str">
        <f t="shared" si="204"/>
        <v/>
      </c>
      <c r="AR1184" s="63" t="str">
        <f t="shared" si="205"/>
        <v/>
      </c>
      <c r="AS1184" s="63" t="str">
        <f t="shared" si="206"/>
        <v/>
      </c>
      <c r="AT1184" s="78" t="str">
        <f t="shared" si="207"/>
        <v/>
      </c>
      <c r="AU1184" s="78" t="str">
        <f t="shared" si="208"/>
        <v/>
      </c>
      <c r="AV1184" s="64" t="str">
        <f ca="1">IFERROR(__xludf.DUMMYFUNCTION("IF(TRIM(AU1184)="""","""",AU1184/INDEX(FILTER(AT$3:AT1184,TRIM(AT$3:AT1184)&lt;&gt;""""),ROWS(FILTER(AT$3:AT1184,TRIM(AT$3:AT1184)&lt;&gt;"""")))-1)"),"")</f>
        <v/>
      </c>
      <c r="AW1184" s="65" t="e">
        <f t="shared" ca="1" si="200"/>
        <v>#VALUE!</v>
      </c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</row>
    <row r="1185" spans="1:68" ht="19" x14ac:dyDescent="0.25">
      <c r="A1185" s="5"/>
      <c r="B1185" s="5"/>
      <c r="C1185" s="5"/>
      <c r="D1185" s="5"/>
      <c r="E1185" s="5"/>
      <c r="F1185" s="5"/>
      <c r="G1185" s="5"/>
      <c r="H1185" s="6"/>
      <c r="I1185" s="5"/>
      <c r="J1185" s="88"/>
      <c r="K1185" s="88"/>
      <c r="L1185" s="88"/>
      <c r="M1185" s="88"/>
      <c r="N1185" s="88"/>
      <c r="O1185" s="88"/>
      <c r="P1185" s="88"/>
      <c r="Q1185" s="89"/>
      <c r="R1185" s="88"/>
      <c r="S1185" s="88"/>
      <c r="T1185" s="90"/>
      <c r="U1185" s="6"/>
      <c r="V1185" s="44">
        <v>45636</v>
      </c>
      <c r="W1185" s="45">
        <v>231.72</v>
      </c>
      <c r="X1185" s="91"/>
      <c r="Y1185" s="77"/>
      <c r="Z1185" s="5"/>
      <c r="AA1185" s="5"/>
      <c r="AB1185" s="5"/>
      <c r="AC1185" s="5"/>
      <c r="AD1185" s="5"/>
      <c r="AE1185" s="5"/>
      <c r="AF1185" s="5"/>
      <c r="AG1185" s="5"/>
      <c r="AH1185" s="6"/>
      <c r="AI1185" s="44">
        <v>45636</v>
      </c>
      <c r="AJ1185" s="53">
        <v>231.72</v>
      </c>
      <c r="AK1185" s="54">
        <f t="shared" si="198"/>
        <v>7.4782608695651565E-3</v>
      </c>
      <c r="AL1185" s="55">
        <f t="shared" si="201"/>
        <v>33.434034699334525</v>
      </c>
      <c r="AM1185" s="56">
        <v>25</v>
      </c>
      <c r="AN1185" s="57">
        <f t="shared" si="199"/>
        <v>-8.434034699334525</v>
      </c>
      <c r="AO1185" s="76">
        <f t="shared" si="202"/>
        <v>3.4826061776379165</v>
      </c>
      <c r="AP1185" s="63" t="str">
        <f t="shared" si="203"/>
        <v>Buy Stocks</v>
      </c>
      <c r="AQ1185" s="63" t="str">
        <f t="shared" si="204"/>
        <v/>
      </c>
      <c r="AR1185" s="63" t="str">
        <f t="shared" si="205"/>
        <v/>
      </c>
      <c r="AS1185" s="63" t="str">
        <f t="shared" si="206"/>
        <v/>
      </c>
      <c r="AT1185" s="78" t="str">
        <f t="shared" si="207"/>
        <v/>
      </c>
      <c r="AU1185" s="78" t="str">
        <f t="shared" si="208"/>
        <v/>
      </c>
      <c r="AV1185" s="64" t="str">
        <f ca="1">IFERROR(__xludf.DUMMYFUNCTION("IF(TRIM(AU1185)="""","""",AU1185/INDEX(FILTER(AT$3:AT1185,TRIM(AT$3:AT1185)&lt;&gt;""""),ROWS(FILTER(AT$3:AT1185,TRIM(AT$3:AT1185)&lt;&gt;"""")))-1)"),"")</f>
        <v/>
      </c>
      <c r="AW1185" s="65" t="e">
        <f t="shared" ca="1" si="200"/>
        <v>#VALUE!</v>
      </c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</row>
    <row r="1186" spans="1:68" ht="19" x14ac:dyDescent="0.25">
      <c r="A1186" s="5"/>
      <c r="B1186" s="5"/>
      <c r="C1186" s="5"/>
      <c r="D1186" s="5"/>
      <c r="E1186" s="5"/>
      <c r="F1186" s="5"/>
      <c r="G1186" s="5"/>
      <c r="H1186" s="6"/>
      <c r="I1186" s="5"/>
      <c r="J1186" s="88"/>
      <c r="K1186" s="88"/>
      <c r="L1186" s="88"/>
      <c r="M1186" s="88"/>
      <c r="N1186" s="88"/>
      <c r="O1186" s="88"/>
      <c r="P1186" s="88"/>
      <c r="Q1186" s="89"/>
      <c r="R1186" s="88"/>
      <c r="S1186" s="88"/>
      <c r="T1186" s="90"/>
      <c r="U1186" s="6"/>
      <c r="V1186" s="44">
        <v>45637</v>
      </c>
      <c r="W1186" s="45">
        <v>230.12</v>
      </c>
      <c r="X1186" s="91"/>
      <c r="Y1186" s="77"/>
      <c r="Z1186" s="5"/>
      <c r="AA1186" s="5"/>
      <c r="AB1186" s="5"/>
      <c r="AC1186" s="5"/>
      <c r="AD1186" s="5"/>
      <c r="AE1186" s="5"/>
      <c r="AF1186" s="5"/>
      <c r="AG1186" s="5"/>
      <c r="AH1186" s="6"/>
      <c r="AI1186" s="44">
        <v>45637</v>
      </c>
      <c r="AJ1186" s="53">
        <v>230.12</v>
      </c>
      <c r="AK1186" s="54">
        <f t="shared" si="198"/>
        <v>-6.9048852062834065E-3</v>
      </c>
      <c r="AL1186" s="55">
        <f t="shared" si="201"/>
        <v>30.03501561267371</v>
      </c>
      <c r="AM1186" s="56">
        <v>25</v>
      </c>
      <c r="AN1186" s="57">
        <f t="shared" si="199"/>
        <v>-5.0350156126737105</v>
      </c>
      <c r="AO1186" s="76">
        <f t="shared" si="202"/>
        <v>0.75043205587810602</v>
      </c>
      <c r="AP1186" s="63" t="str">
        <f t="shared" si="203"/>
        <v>Buy Stocks</v>
      </c>
      <c r="AQ1186" s="63" t="str">
        <f t="shared" si="204"/>
        <v/>
      </c>
      <c r="AR1186" s="63" t="str">
        <f t="shared" si="205"/>
        <v/>
      </c>
      <c r="AS1186" s="63" t="str">
        <f t="shared" si="206"/>
        <v/>
      </c>
      <c r="AT1186" s="78" t="str">
        <f t="shared" si="207"/>
        <v/>
      </c>
      <c r="AU1186" s="78" t="str">
        <f t="shared" si="208"/>
        <v/>
      </c>
      <c r="AV1186" s="64" t="str">
        <f ca="1">IFERROR(__xludf.DUMMYFUNCTION("IF(TRIM(AU1186)="""","""",AU1186/INDEX(FILTER(AT$3:AT1186,TRIM(AT$3:AT1186)&lt;&gt;""""),ROWS(FILTER(AT$3:AT1186,TRIM(AT$3:AT1186)&lt;&gt;"""")))-1)"),"")</f>
        <v/>
      </c>
      <c r="AW1186" s="65" t="e">
        <f t="shared" ca="1" si="200"/>
        <v>#VALUE!</v>
      </c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</row>
    <row r="1187" spans="1:68" ht="19" x14ac:dyDescent="0.25">
      <c r="A1187" s="5"/>
      <c r="B1187" s="5"/>
      <c r="C1187" s="5"/>
      <c r="D1187" s="5"/>
      <c r="E1187" s="5"/>
      <c r="F1187" s="5"/>
      <c r="G1187" s="5"/>
      <c r="H1187" s="6"/>
      <c r="I1187" s="5"/>
      <c r="J1187" s="88"/>
      <c r="K1187" s="88"/>
      <c r="L1187" s="88"/>
      <c r="M1187" s="88"/>
      <c r="N1187" s="88"/>
      <c r="O1187" s="88"/>
      <c r="P1187" s="88"/>
      <c r="Q1187" s="89"/>
      <c r="R1187" s="88"/>
      <c r="S1187" s="88"/>
      <c r="T1187" s="90"/>
      <c r="U1187" s="6"/>
      <c r="V1187" s="44">
        <v>45638</v>
      </c>
      <c r="W1187" s="45">
        <v>232.26</v>
      </c>
      <c r="X1187" s="91"/>
      <c r="Y1187" s="77"/>
      <c r="Z1187" s="5"/>
      <c r="AA1187" s="5"/>
      <c r="AB1187" s="5"/>
      <c r="AC1187" s="5"/>
      <c r="AD1187" s="5"/>
      <c r="AE1187" s="5"/>
      <c r="AF1187" s="5"/>
      <c r="AG1187" s="5"/>
      <c r="AH1187" s="6"/>
      <c r="AI1187" s="44">
        <v>45638</v>
      </c>
      <c r="AJ1187" s="53">
        <v>232.26</v>
      </c>
      <c r="AK1187" s="54">
        <f t="shared" si="198"/>
        <v>9.2994959151746492E-3</v>
      </c>
      <c r="AL1187" s="55">
        <f t="shared" si="201"/>
        <v>30.820189490522942</v>
      </c>
      <c r="AM1187" s="56">
        <v>25</v>
      </c>
      <c r="AN1187" s="57">
        <f t="shared" si="199"/>
        <v>-5.8201894905229423</v>
      </c>
      <c r="AO1187" s="76">
        <f t="shared" si="202"/>
        <v>-2.9798709317187857</v>
      </c>
      <c r="AP1187" s="63" t="str">
        <f t="shared" si="203"/>
        <v/>
      </c>
      <c r="AQ1187" s="63" t="str">
        <f t="shared" si="204"/>
        <v>Sell Stocks</v>
      </c>
      <c r="AR1187" s="63" t="str">
        <f t="shared" si="205"/>
        <v/>
      </c>
      <c r="AS1187" s="63" t="str">
        <f t="shared" si="206"/>
        <v>Sell Stocks</v>
      </c>
      <c r="AT1187" s="78" t="str">
        <f t="shared" si="207"/>
        <v/>
      </c>
      <c r="AU1187" s="77">
        <f t="shared" si="208"/>
        <v>232.26</v>
      </c>
      <c r="AV1187" s="64">
        <f ca="1">IFERROR(__xludf.DUMMYFUNCTION("IF(TRIM(AU1187)="""","""",AU1187/INDEX(FILTER(AT$3:AT1187,TRIM(AT$3:AT1187)&lt;&gt;""""),ROWS(FILTER(AT$3:AT1187,TRIM(AT$3:AT1187)&lt;&gt;"""")))-1)"),0.0873595505617976)</f>
        <v>8.7359550561797603E-2</v>
      </c>
      <c r="AW1187" s="65" t="e">
        <f t="shared" ca="1" si="200"/>
        <v>#VALUE!</v>
      </c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</row>
    <row r="1188" spans="1:68" ht="19" x14ac:dyDescent="0.25">
      <c r="A1188" s="5"/>
      <c r="B1188" s="5"/>
      <c r="C1188" s="5"/>
      <c r="D1188" s="5"/>
      <c r="E1188" s="5"/>
      <c r="F1188" s="5"/>
      <c r="G1188" s="5"/>
      <c r="H1188" s="6"/>
      <c r="I1188" s="5"/>
      <c r="J1188" s="88"/>
      <c r="K1188" s="88"/>
      <c r="L1188" s="88"/>
      <c r="M1188" s="88"/>
      <c r="N1188" s="88"/>
      <c r="O1188" s="88"/>
      <c r="P1188" s="88"/>
      <c r="Q1188" s="89"/>
      <c r="R1188" s="88"/>
      <c r="S1188" s="88"/>
      <c r="T1188" s="90"/>
      <c r="U1188" s="6"/>
      <c r="V1188" s="44">
        <v>45639</v>
      </c>
      <c r="W1188" s="45">
        <v>230.82</v>
      </c>
      <c r="X1188" s="91"/>
      <c r="Y1188" s="77"/>
      <c r="Z1188" s="5"/>
      <c r="AA1188" s="5"/>
      <c r="AB1188" s="5"/>
      <c r="AC1188" s="5"/>
      <c r="AD1188" s="5"/>
      <c r="AE1188" s="5"/>
      <c r="AF1188" s="5"/>
      <c r="AG1188" s="5"/>
      <c r="AH1188" s="6"/>
      <c r="AI1188" s="44">
        <v>45639</v>
      </c>
      <c r="AJ1188" s="53">
        <v>230.82</v>
      </c>
      <c r="AK1188" s="54">
        <f t="shared" si="198"/>
        <v>-6.1999483337639161E-3</v>
      </c>
      <c r="AL1188" s="55">
        <f t="shared" si="201"/>
        <v>27.358688856720057</v>
      </c>
      <c r="AM1188" s="56">
        <v>25</v>
      </c>
      <c r="AN1188" s="57">
        <f t="shared" si="199"/>
        <v>-2.3586888567200575</v>
      </c>
      <c r="AO1188" s="76">
        <f t="shared" si="202"/>
        <v>-6.009228378006334</v>
      </c>
      <c r="AP1188" s="63" t="str">
        <f t="shared" si="203"/>
        <v/>
      </c>
      <c r="AQ1188" s="63" t="str">
        <f t="shared" si="204"/>
        <v>Sell Stocks</v>
      </c>
      <c r="AR1188" s="63" t="str">
        <f t="shared" si="205"/>
        <v/>
      </c>
      <c r="AS1188" s="63" t="str">
        <f t="shared" si="206"/>
        <v/>
      </c>
      <c r="AT1188" s="78" t="str">
        <f t="shared" si="207"/>
        <v/>
      </c>
      <c r="AU1188" s="78" t="str">
        <f t="shared" si="208"/>
        <v/>
      </c>
      <c r="AV1188" s="64" t="str">
        <f ca="1">IFERROR(__xludf.DUMMYFUNCTION("IF(TRIM(AU1188)="""","""",AU1188/INDEX(FILTER(AT$3:AT1188,TRIM(AT$3:AT1188)&lt;&gt;""""),ROWS(FILTER(AT$3:AT1188,TRIM(AT$3:AT1188)&lt;&gt;"""")))-1)"),"")</f>
        <v/>
      </c>
      <c r="AW1188" s="65" t="e">
        <f t="shared" ca="1" si="200"/>
        <v>#VALUE!</v>
      </c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</row>
    <row r="1189" spans="1:68" ht="19" x14ac:dyDescent="0.25">
      <c r="A1189" s="5"/>
      <c r="B1189" s="5"/>
      <c r="C1189" s="5"/>
      <c r="D1189" s="5"/>
      <c r="E1189" s="5"/>
      <c r="F1189" s="5"/>
      <c r="G1189" s="5"/>
      <c r="H1189" s="6"/>
      <c r="I1189" s="5"/>
      <c r="J1189" s="88"/>
      <c r="K1189" s="88"/>
      <c r="L1189" s="88"/>
      <c r="M1189" s="88"/>
      <c r="N1189" s="88"/>
      <c r="O1189" s="88"/>
      <c r="P1189" s="88"/>
      <c r="Q1189" s="89"/>
      <c r="R1189" s="88"/>
      <c r="S1189" s="88"/>
      <c r="T1189" s="90"/>
      <c r="U1189" s="6"/>
      <c r="V1189" s="44">
        <v>45642</v>
      </c>
      <c r="W1189" s="45">
        <v>229.33</v>
      </c>
      <c r="X1189" s="91"/>
      <c r="Y1189" s="77"/>
      <c r="Z1189" s="5"/>
      <c r="AA1189" s="5"/>
      <c r="AB1189" s="5"/>
      <c r="AC1189" s="5"/>
      <c r="AD1189" s="5"/>
      <c r="AE1189" s="5"/>
      <c r="AF1189" s="5"/>
      <c r="AG1189" s="5"/>
      <c r="AH1189" s="6"/>
      <c r="AI1189" s="44">
        <v>45642</v>
      </c>
      <c r="AJ1189" s="53">
        <v>229.33</v>
      </c>
      <c r="AK1189" s="54">
        <f t="shared" si="198"/>
        <v>-6.4552465124338987E-3</v>
      </c>
      <c r="AL1189" s="55">
        <f t="shared" si="201"/>
        <v>13.009441330278355</v>
      </c>
      <c r="AM1189" s="56">
        <v>25</v>
      </c>
      <c r="AN1189" s="57">
        <f t="shared" si="199"/>
        <v>11.990558669721645</v>
      </c>
      <c r="AO1189" s="76">
        <f t="shared" si="202"/>
        <v>-1.9314739979059179</v>
      </c>
      <c r="AP1189" s="63" t="str">
        <f t="shared" si="203"/>
        <v/>
      </c>
      <c r="AQ1189" s="63" t="str">
        <f t="shared" si="204"/>
        <v>Sell Stocks</v>
      </c>
      <c r="AR1189" s="63" t="str">
        <f t="shared" si="205"/>
        <v/>
      </c>
      <c r="AS1189" s="63" t="str">
        <f t="shared" si="206"/>
        <v/>
      </c>
      <c r="AT1189" s="78" t="str">
        <f t="shared" si="207"/>
        <v/>
      </c>
      <c r="AU1189" s="78" t="str">
        <f t="shared" si="208"/>
        <v/>
      </c>
      <c r="AV1189" s="64" t="str">
        <f ca="1">IFERROR(__xludf.DUMMYFUNCTION("IF(TRIM(AU1189)="""","""",AU1189/INDEX(FILTER(AT$3:AT1189,TRIM(AT$3:AT1189)&lt;&gt;""""),ROWS(FILTER(AT$3:AT1189,TRIM(AT$3:AT1189)&lt;&gt;"""")))-1)"),"")</f>
        <v/>
      </c>
      <c r="AW1189" s="65" t="e">
        <f t="shared" ca="1" si="200"/>
        <v>#VALUE!</v>
      </c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</row>
    <row r="1190" spans="1:68" ht="19" x14ac:dyDescent="0.25">
      <c r="A1190" s="5"/>
      <c r="B1190" s="5"/>
      <c r="C1190" s="5"/>
      <c r="D1190" s="5"/>
      <c r="E1190" s="5"/>
      <c r="F1190" s="5"/>
      <c r="G1190" s="5"/>
      <c r="H1190" s="6"/>
      <c r="I1190" s="5"/>
      <c r="J1190" s="88"/>
      <c r="K1190" s="88"/>
      <c r="L1190" s="88"/>
      <c r="M1190" s="88"/>
      <c r="N1190" s="88"/>
      <c r="O1190" s="88"/>
      <c r="P1190" s="88"/>
      <c r="Q1190" s="89"/>
      <c r="R1190" s="88"/>
      <c r="S1190" s="88"/>
      <c r="T1190" s="90"/>
      <c r="U1190" s="6"/>
      <c r="V1190" s="44">
        <v>45643</v>
      </c>
      <c r="W1190" s="45">
        <v>228.97</v>
      </c>
      <c r="X1190" s="91"/>
      <c r="Y1190" s="77"/>
      <c r="Z1190" s="5"/>
      <c r="AA1190" s="5"/>
      <c r="AB1190" s="5"/>
      <c r="AC1190" s="5"/>
      <c r="AD1190" s="5"/>
      <c r="AE1190" s="5"/>
      <c r="AF1190" s="5"/>
      <c r="AG1190" s="5"/>
      <c r="AH1190" s="6"/>
      <c r="AI1190" s="44">
        <v>45643</v>
      </c>
      <c r="AJ1190" s="53">
        <v>228.97</v>
      </c>
      <c r="AK1190" s="54">
        <f t="shared" si="198"/>
        <v>-1.5697902585793955E-3</v>
      </c>
      <c r="AL1190" s="55">
        <f t="shared" si="201"/>
        <v>10.904421213942229</v>
      </c>
      <c r="AM1190" s="56">
        <v>25</v>
      </c>
      <c r="AN1190" s="57">
        <f t="shared" si="199"/>
        <v>14.095578786057771</v>
      </c>
      <c r="AO1190" s="76">
        <f t="shared" si="202"/>
        <v>2.5744486991725415</v>
      </c>
      <c r="AP1190" s="63" t="str">
        <f t="shared" si="203"/>
        <v>Buy Stocks</v>
      </c>
      <c r="AQ1190" s="63" t="str">
        <f t="shared" si="204"/>
        <v/>
      </c>
      <c r="AR1190" s="63" t="str">
        <f t="shared" si="205"/>
        <v>Buy Stocks</v>
      </c>
      <c r="AS1190" s="63" t="str">
        <f t="shared" si="206"/>
        <v/>
      </c>
      <c r="AT1190" s="77">
        <f t="shared" si="207"/>
        <v>228.97</v>
      </c>
      <c r="AU1190" s="78" t="str">
        <f t="shared" si="208"/>
        <v/>
      </c>
      <c r="AV1190" s="64" t="str">
        <f ca="1">IFERROR(__xludf.DUMMYFUNCTION("IF(TRIM(AU1190)="""","""",AU1190/INDEX(FILTER(AT$3:AT1190,TRIM(AT$3:AT1190)&lt;&gt;""""),ROWS(FILTER(AT$3:AT1190,TRIM(AT$3:AT1190)&lt;&gt;"""")))-1)"),"")</f>
        <v/>
      </c>
      <c r="AW1190" s="65" t="e">
        <f t="shared" ca="1" si="200"/>
        <v>#VALUE!</v>
      </c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</row>
    <row r="1191" spans="1:68" ht="19" x14ac:dyDescent="0.25">
      <c r="A1191" s="5"/>
      <c r="B1191" s="5"/>
      <c r="C1191" s="5"/>
      <c r="D1191" s="5"/>
      <c r="E1191" s="5"/>
      <c r="F1191" s="5"/>
      <c r="G1191" s="5"/>
      <c r="H1191" s="6"/>
      <c r="I1191" s="5"/>
      <c r="J1191" s="88"/>
      <c r="K1191" s="88"/>
      <c r="L1191" s="88"/>
      <c r="M1191" s="88"/>
      <c r="N1191" s="88"/>
      <c r="O1191" s="88"/>
      <c r="P1191" s="88"/>
      <c r="Q1191" s="89"/>
      <c r="R1191" s="88"/>
      <c r="S1191" s="88"/>
      <c r="T1191" s="90"/>
      <c r="U1191" s="6"/>
      <c r="V1191" s="44">
        <v>45644</v>
      </c>
      <c r="W1191" s="45">
        <v>220.17</v>
      </c>
      <c r="X1191" s="91"/>
      <c r="Y1191" s="77"/>
      <c r="Z1191" s="5"/>
      <c r="AA1191" s="5"/>
      <c r="AB1191" s="5"/>
      <c r="AC1191" s="5"/>
      <c r="AD1191" s="5"/>
      <c r="AE1191" s="5"/>
      <c r="AF1191" s="5"/>
      <c r="AG1191" s="5"/>
      <c r="AH1191" s="6"/>
      <c r="AI1191" s="44">
        <v>45644</v>
      </c>
      <c r="AJ1191" s="53">
        <v>220.17</v>
      </c>
      <c r="AK1191" s="54">
        <f t="shared" si="198"/>
        <v>-3.8432982486788725E-2</v>
      </c>
      <c r="AL1191" s="55">
        <f t="shared" si="201"/>
        <v>28.28778910054406</v>
      </c>
      <c r="AM1191" s="56">
        <v>25</v>
      </c>
      <c r="AN1191" s="57">
        <f t="shared" si="199"/>
        <v>-3.2877891005440603</v>
      </c>
      <c r="AO1191" s="76">
        <f t="shared" si="202"/>
        <v>2.9238940015984709</v>
      </c>
      <c r="AP1191" s="63" t="str">
        <f t="shared" si="203"/>
        <v>Buy Stocks</v>
      </c>
      <c r="AQ1191" s="63" t="str">
        <f t="shared" si="204"/>
        <v/>
      </c>
      <c r="AR1191" s="63" t="str">
        <f t="shared" si="205"/>
        <v/>
      </c>
      <c r="AS1191" s="63" t="str">
        <f t="shared" si="206"/>
        <v/>
      </c>
      <c r="AT1191" s="78" t="str">
        <f t="shared" si="207"/>
        <v/>
      </c>
      <c r="AU1191" s="78" t="str">
        <f t="shared" si="208"/>
        <v/>
      </c>
      <c r="AV1191" s="64" t="str">
        <f ca="1">IFERROR(__xludf.DUMMYFUNCTION("IF(TRIM(AU1191)="""","""",AU1191/INDEX(FILTER(AT$3:AT1191,TRIM(AT$3:AT1191)&lt;&gt;""""),ROWS(FILTER(AT$3:AT1191,TRIM(AT$3:AT1191)&lt;&gt;"""")))-1)"),"")</f>
        <v/>
      </c>
      <c r="AW1191" s="65" t="e">
        <f t="shared" ca="1" si="200"/>
        <v>#VALUE!</v>
      </c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</row>
    <row r="1192" spans="1:68" ht="19" x14ac:dyDescent="0.25">
      <c r="A1192" s="5"/>
      <c r="B1192" s="5"/>
      <c r="C1192" s="5"/>
      <c r="D1192" s="5"/>
      <c r="E1192" s="5"/>
      <c r="F1192" s="5"/>
      <c r="G1192" s="5"/>
      <c r="H1192" s="6"/>
      <c r="I1192" s="5"/>
      <c r="J1192" s="88"/>
      <c r="K1192" s="88"/>
      <c r="L1192" s="88"/>
      <c r="M1192" s="88"/>
      <c r="N1192" s="88"/>
      <c r="O1192" s="88"/>
      <c r="P1192" s="88"/>
      <c r="Q1192" s="89"/>
      <c r="R1192" s="88"/>
      <c r="S1192" s="88"/>
      <c r="T1192" s="90"/>
      <c r="U1192" s="6"/>
      <c r="V1192" s="44">
        <v>45645</v>
      </c>
      <c r="W1192" s="45">
        <v>223.92</v>
      </c>
      <c r="X1192" s="91"/>
      <c r="Y1192" s="77"/>
      <c r="Z1192" s="5"/>
      <c r="AA1192" s="5"/>
      <c r="AB1192" s="5"/>
      <c r="AC1192" s="5"/>
      <c r="AD1192" s="5"/>
      <c r="AE1192" s="5"/>
      <c r="AF1192" s="5"/>
      <c r="AG1192" s="5"/>
      <c r="AH1192" s="6"/>
      <c r="AI1192" s="44">
        <v>45645</v>
      </c>
      <c r="AJ1192" s="53">
        <v>223.92</v>
      </c>
      <c r="AK1192" s="54">
        <f t="shared" si="198"/>
        <v>1.7032293227960293E-2</v>
      </c>
      <c r="AL1192" s="55">
        <f t="shared" si="201"/>
        <v>31.70860158169048</v>
      </c>
      <c r="AM1192" s="56">
        <v>25</v>
      </c>
      <c r="AN1192" s="57">
        <f t="shared" si="199"/>
        <v>-6.7086015816904805</v>
      </c>
      <c r="AO1192" s="76">
        <f t="shared" si="202"/>
        <v>2.7462115833649632</v>
      </c>
      <c r="AP1192" s="63" t="str">
        <f t="shared" si="203"/>
        <v>Buy Stocks</v>
      </c>
      <c r="AQ1192" s="63" t="str">
        <f t="shared" si="204"/>
        <v/>
      </c>
      <c r="AR1192" s="63" t="str">
        <f t="shared" si="205"/>
        <v/>
      </c>
      <c r="AS1192" s="63" t="str">
        <f t="shared" si="206"/>
        <v/>
      </c>
      <c r="AT1192" s="78" t="str">
        <f t="shared" si="207"/>
        <v/>
      </c>
      <c r="AU1192" s="78" t="str">
        <f t="shared" si="208"/>
        <v/>
      </c>
      <c r="AV1192" s="64" t="str">
        <f ca="1">IFERROR(__xludf.DUMMYFUNCTION("IF(TRIM(AU1192)="""","""",AU1192/INDEX(FILTER(AT$3:AT1192,TRIM(AT$3:AT1192)&lt;&gt;""""),ROWS(FILTER(AT$3:AT1192,TRIM(AT$3:AT1192)&lt;&gt;"""")))-1)"),"")</f>
        <v/>
      </c>
      <c r="AW1192" s="65" t="e">
        <f t="shared" ca="1" si="200"/>
        <v>#VALUE!</v>
      </c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</row>
    <row r="1193" spans="1:68" ht="19" x14ac:dyDescent="0.25">
      <c r="A1193" s="5"/>
      <c r="B1193" s="5"/>
      <c r="C1193" s="5"/>
      <c r="D1193" s="5"/>
      <c r="E1193" s="5"/>
      <c r="F1193" s="5"/>
      <c r="G1193" s="5"/>
      <c r="H1193" s="6"/>
      <c r="I1193" s="5"/>
      <c r="J1193" s="88"/>
      <c r="K1193" s="88"/>
      <c r="L1193" s="88"/>
      <c r="M1193" s="88"/>
      <c r="N1193" s="88"/>
      <c r="O1193" s="88"/>
      <c r="P1193" s="88"/>
      <c r="Q1193" s="89"/>
      <c r="R1193" s="88"/>
      <c r="S1193" s="88"/>
      <c r="T1193" s="90"/>
      <c r="U1193" s="6"/>
      <c r="V1193" s="44">
        <v>45646</v>
      </c>
      <c r="W1193" s="45">
        <v>223.36</v>
      </c>
      <c r="X1193" s="91"/>
      <c r="Y1193" s="77"/>
      <c r="Z1193" s="5"/>
      <c r="AA1193" s="5"/>
      <c r="AB1193" s="5"/>
      <c r="AC1193" s="5"/>
      <c r="AD1193" s="5"/>
      <c r="AE1193" s="5"/>
      <c r="AF1193" s="5"/>
      <c r="AG1193" s="5"/>
      <c r="AH1193" s="6"/>
      <c r="AI1193" s="44">
        <v>45646</v>
      </c>
      <c r="AJ1193" s="53">
        <v>223.36</v>
      </c>
      <c r="AK1193" s="54">
        <f t="shared" si="198"/>
        <v>-2.5008931761342224E-3</v>
      </c>
      <c r="AL1193" s="55">
        <f t="shared" si="201"/>
        <v>31.884851717406111</v>
      </c>
      <c r="AM1193" s="56">
        <v>25</v>
      </c>
      <c r="AN1193" s="57">
        <f t="shared" si="199"/>
        <v>-6.8848517174061108</v>
      </c>
      <c r="AO1193" s="76">
        <f t="shared" si="202"/>
        <v>1.8409790112277526</v>
      </c>
      <c r="AP1193" s="63" t="str">
        <f t="shared" si="203"/>
        <v>Buy Stocks</v>
      </c>
      <c r="AQ1193" s="63" t="str">
        <f t="shared" si="204"/>
        <v/>
      </c>
      <c r="AR1193" s="63" t="str">
        <f t="shared" si="205"/>
        <v/>
      </c>
      <c r="AS1193" s="63" t="str">
        <f t="shared" si="206"/>
        <v/>
      </c>
      <c r="AT1193" s="78" t="str">
        <f t="shared" si="207"/>
        <v/>
      </c>
      <c r="AU1193" s="78" t="str">
        <f t="shared" si="208"/>
        <v/>
      </c>
      <c r="AV1193" s="64" t="str">
        <f ca="1">IFERROR(__xludf.DUMMYFUNCTION("IF(TRIM(AU1193)="""","""",AU1193/INDEX(FILTER(AT$3:AT1193,TRIM(AT$3:AT1193)&lt;&gt;""""),ROWS(FILTER(AT$3:AT1193,TRIM(AT$3:AT1193)&lt;&gt;"""")))-1)"),"")</f>
        <v/>
      </c>
      <c r="AW1193" s="65" t="e">
        <f t="shared" ca="1" si="200"/>
        <v>#VALUE!</v>
      </c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</row>
    <row r="1194" spans="1:68" ht="19" x14ac:dyDescent="0.25">
      <c r="A1194" s="5"/>
      <c r="B1194" s="5"/>
      <c r="C1194" s="5"/>
      <c r="D1194" s="5"/>
      <c r="E1194" s="5"/>
      <c r="F1194" s="5"/>
      <c r="G1194" s="5"/>
      <c r="H1194" s="6"/>
      <c r="I1194" s="5"/>
      <c r="J1194" s="88"/>
      <c r="K1194" s="88"/>
      <c r="L1194" s="88"/>
      <c r="M1194" s="88"/>
      <c r="N1194" s="88"/>
      <c r="O1194" s="88"/>
      <c r="P1194" s="88"/>
      <c r="Q1194" s="89"/>
      <c r="R1194" s="88"/>
      <c r="S1194" s="88"/>
      <c r="T1194" s="90"/>
      <c r="U1194" s="6"/>
      <c r="V1194" s="44">
        <v>45649</v>
      </c>
      <c r="W1194" s="45">
        <v>221.93</v>
      </c>
      <c r="X1194" s="91"/>
      <c r="Y1194" s="77"/>
      <c r="Z1194" s="5"/>
      <c r="AA1194" s="5"/>
      <c r="AB1194" s="5"/>
      <c r="AC1194" s="5"/>
      <c r="AD1194" s="5"/>
      <c r="AE1194" s="5"/>
      <c r="AF1194" s="5"/>
      <c r="AG1194" s="5"/>
      <c r="AH1194" s="6"/>
      <c r="AI1194" s="44">
        <v>45649</v>
      </c>
      <c r="AJ1194" s="53">
        <v>221.93</v>
      </c>
      <c r="AK1194" s="54">
        <f t="shared" si="198"/>
        <v>-6.402220630372546E-3</v>
      </c>
      <c r="AL1194" s="55">
        <f t="shared" si="201"/>
        <v>31.88480068063425</v>
      </c>
      <c r="AM1194" s="56">
        <v>25</v>
      </c>
      <c r="AN1194" s="57">
        <f t="shared" si="199"/>
        <v>-6.8848006806342497</v>
      </c>
      <c r="AO1194" s="76">
        <f t="shared" si="202"/>
        <v>-1.9340928588434259</v>
      </c>
      <c r="AP1194" s="63" t="str">
        <f t="shared" si="203"/>
        <v/>
      </c>
      <c r="AQ1194" s="63" t="str">
        <f t="shared" si="204"/>
        <v>Sell Stocks</v>
      </c>
      <c r="AR1194" s="63" t="str">
        <f t="shared" si="205"/>
        <v/>
      </c>
      <c r="AS1194" s="63" t="str">
        <f t="shared" si="206"/>
        <v>Sell Stocks</v>
      </c>
      <c r="AT1194" s="78" t="str">
        <f t="shared" si="207"/>
        <v/>
      </c>
      <c r="AU1194" s="77">
        <f t="shared" si="208"/>
        <v>221.93</v>
      </c>
      <c r="AV1194" s="64">
        <f ca="1">IFERROR(__xludf.DUMMYFUNCTION("IF(TRIM(AU1194)="""","""",AU1194/INDEX(FILTER(AT$3:AT1194,TRIM(AT$3:AT1194)&lt;&gt;""""),ROWS(FILTER(AT$3:AT1194,TRIM(AT$3:AT1194)&lt;&gt;"""")))-1)"),-0.0307463859894309)</f>
        <v>-3.0746385989430899E-2</v>
      </c>
      <c r="AW1194" s="65" t="e">
        <f t="shared" ca="1" si="200"/>
        <v>#VALUE!</v>
      </c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</row>
    <row r="1195" spans="1:68" ht="19" x14ac:dyDescent="0.25">
      <c r="A1195" s="5"/>
      <c r="B1195" s="5"/>
      <c r="C1195" s="5"/>
      <c r="D1195" s="5"/>
      <c r="E1195" s="5"/>
      <c r="F1195" s="5"/>
      <c r="G1195" s="5"/>
      <c r="H1195" s="6"/>
      <c r="I1195" s="5"/>
      <c r="J1195" s="88"/>
      <c r="K1195" s="88"/>
      <c r="L1195" s="88"/>
      <c r="M1195" s="88"/>
      <c r="N1195" s="88"/>
      <c r="O1195" s="88"/>
      <c r="P1195" s="88"/>
      <c r="Q1195" s="89"/>
      <c r="R1195" s="88"/>
      <c r="S1195" s="88"/>
      <c r="T1195" s="90"/>
      <c r="U1195" s="6"/>
      <c r="V1195" s="44">
        <v>45650</v>
      </c>
      <c r="W1195" s="45">
        <v>224.41</v>
      </c>
      <c r="X1195" s="91"/>
      <c r="Y1195" s="77"/>
      <c r="Z1195" s="5"/>
      <c r="AA1195" s="5"/>
      <c r="AB1195" s="5"/>
      <c r="AC1195" s="5"/>
      <c r="AD1195" s="5"/>
      <c r="AE1195" s="5"/>
      <c r="AF1195" s="5"/>
      <c r="AG1195" s="5"/>
      <c r="AH1195" s="6"/>
      <c r="AI1195" s="44">
        <v>45650</v>
      </c>
      <c r="AJ1195" s="53">
        <v>224.41</v>
      </c>
      <c r="AK1195" s="54">
        <f t="shared" si="198"/>
        <v>1.1174694723561363E-2</v>
      </c>
      <c r="AL1195" s="55">
        <f t="shared" si="201"/>
        <v>34.287883232042113</v>
      </c>
      <c r="AM1195" s="56">
        <v>25</v>
      </c>
      <c r="AN1195" s="57">
        <f t="shared" si="199"/>
        <v>-9.2878832320421125</v>
      </c>
      <c r="AO1195" s="76">
        <f t="shared" si="202"/>
        <v>-6.6107852624634038</v>
      </c>
      <c r="AP1195" s="63" t="str">
        <f t="shared" si="203"/>
        <v/>
      </c>
      <c r="AQ1195" s="63" t="str">
        <f t="shared" si="204"/>
        <v>Sell Stocks</v>
      </c>
      <c r="AR1195" s="63" t="str">
        <f t="shared" si="205"/>
        <v/>
      </c>
      <c r="AS1195" s="63" t="str">
        <f t="shared" si="206"/>
        <v/>
      </c>
      <c r="AT1195" s="78" t="str">
        <f t="shared" si="207"/>
        <v/>
      </c>
      <c r="AU1195" s="78" t="str">
        <f t="shared" si="208"/>
        <v/>
      </c>
      <c r="AV1195" s="64" t="str">
        <f ca="1">IFERROR(__xludf.DUMMYFUNCTION("IF(TRIM(AU1195)="""","""",AU1195/INDEX(FILTER(AT$3:AT1195,TRIM(AT$3:AT1195)&lt;&gt;""""),ROWS(FILTER(AT$3:AT1195,TRIM(AT$3:AT1195)&lt;&gt;"""")))-1)"),"")</f>
        <v/>
      </c>
      <c r="AW1195" s="65" t="e">
        <f t="shared" ca="1" si="200"/>
        <v>#VALUE!</v>
      </c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</row>
    <row r="1196" spans="1:68" ht="19" x14ac:dyDescent="0.25">
      <c r="A1196" s="5"/>
      <c r="B1196" s="5"/>
      <c r="C1196" s="5"/>
      <c r="D1196" s="5"/>
      <c r="E1196" s="5"/>
      <c r="F1196" s="5"/>
      <c r="G1196" s="5"/>
      <c r="H1196" s="6"/>
      <c r="I1196" s="5"/>
      <c r="J1196" s="88"/>
      <c r="K1196" s="88"/>
      <c r="L1196" s="88"/>
      <c r="M1196" s="88"/>
      <c r="N1196" s="88"/>
      <c r="O1196" s="88"/>
      <c r="P1196" s="88"/>
      <c r="Q1196" s="89"/>
      <c r="R1196" s="88"/>
      <c r="S1196" s="88"/>
      <c r="T1196" s="90"/>
      <c r="U1196" s="6"/>
      <c r="V1196" s="44">
        <v>45652</v>
      </c>
      <c r="W1196" s="45">
        <v>224.89</v>
      </c>
      <c r="X1196" s="91"/>
      <c r="Y1196" s="77"/>
      <c r="Z1196" s="5"/>
      <c r="AA1196" s="5"/>
      <c r="AB1196" s="5"/>
      <c r="AC1196" s="5"/>
      <c r="AD1196" s="5"/>
      <c r="AE1196" s="5"/>
      <c r="AF1196" s="5"/>
      <c r="AG1196" s="5"/>
      <c r="AH1196" s="6"/>
      <c r="AI1196" s="44">
        <v>45652</v>
      </c>
      <c r="AJ1196" s="53">
        <v>224.89</v>
      </c>
      <c r="AK1196" s="54">
        <f t="shared" si="198"/>
        <v>2.1389421148789722E-3</v>
      </c>
      <c r="AL1196" s="55">
        <f t="shared" si="201"/>
        <v>15.36698094263299</v>
      </c>
      <c r="AM1196" s="56">
        <v>25</v>
      </c>
      <c r="AN1196" s="57">
        <f t="shared" si="199"/>
        <v>9.6330190573670098</v>
      </c>
      <c r="AO1196" s="76">
        <f t="shared" si="202"/>
        <v>-4.026623630881188</v>
      </c>
      <c r="AP1196" s="63" t="str">
        <f t="shared" si="203"/>
        <v/>
      </c>
      <c r="AQ1196" s="63" t="str">
        <f t="shared" si="204"/>
        <v>Sell Stocks</v>
      </c>
      <c r="AR1196" s="63" t="str">
        <f t="shared" si="205"/>
        <v/>
      </c>
      <c r="AS1196" s="63" t="str">
        <f t="shared" si="206"/>
        <v/>
      </c>
      <c r="AT1196" s="78" t="str">
        <f t="shared" si="207"/>
        <v/>
      </c>
      <c r="AU1196" s="78" t="str">
        <f t="shared" si="208"/>
        <v/>
      </c>
      <c r="AV1196" s="64" t="str">
        <f ca="1">IFERROR(__xludf.DUMMYFUNCTION("IF(TRIM(AU1196)="""","""",AU1196/INDEX(FILTER(AT$3:AT1196,TRIM(AT$3:AT1196)&lt;&gt;""""),ROWS(FILTER(AT$3:AT1196,TRIM(AT$3:AT1196)&lt;&gt;"""")))-1)"),"")</f>
        <v/>
      </c>
      <c r="AW1196" s="65" t="e">
        <f t="shared" ca="1" si="200"/>
        <v>#VALUE!</v>
      </c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</row>
    <row r="1197" spans="1:68" ht="19" x14ac:dyDescent="0.25">
      <c r="A1197" s="5"/>
      <c r="B1197" s="5"/>
      <c r="C1197" s="5"/>
      <c r="D1197" s="5"/>
      <c r="E1197" s="5"/>
      <c r="F1197" s="5"/>
      <c r="G1197" s="5"/>
      <c r="H1197" s="6"/>
      <c r="I1197" s="5"/>
      <c r="J1197" s="88"/>
      <c r="K1197" s="88"/>
      <c r="L1197" s="88"/>
      <c r="M1197" s="88"/>
      <c r="N1197" s="88"/>
      <c r="O1197" s="88"/>
      <c r="P1197" s="88"/>
      <c r="Q1197" s="89"/>
      <c r="R1197" s="88"/>
      <c r="S1197" s="88"/>
      <c r="T1197" s="90"/>
      <c r="U1197" s="6"/>
      <c r="V1197" s="44">
        <v>45653</v>
      </c>
      <c r="W1197" s="45">
        <v>222.78</v>
      </c>
      <c r="X1197" s="91"/>
      <c r="Y1197" s="77"/>
      <c r="Z1197" s="5"/>
      <c r="AA1197" s="5"/>
      <c r="AB1197" s="5"/>
      <c r="AC1197" s="5"/>
      <c r="AD1197" s="5"/>
      <c r="AE1197" s="5"/>
      <c r="AF1197" s="5"/>
      <c r="AG1197" s="5"/>
      <c r="AH1197" s="6"/>
      <c r="AI1197" s="44">
        <v>45653</v>
      </c>
      <c r="AJ1197" s="53">
        <v>222.78</v>
      </c>
      <c r="AK1197" s="54">
        <f t="shared" si="198"/>
        <v>-9.3823647116367814E-3</v>
      </c>
      <c r="AL1197" s="55">
        <f t="shared" si="201"/>
        <v>12.792940202349509</v>
      </c>
      <c r="AM1197" s="56">
        <v>25</v>
      </c>
      <c r="AN1197" s="57">
        <f t="shared" si="199"/>
        <v>12.207059797650491</v>
      </c>
      <c r="AO1197" s="76">
        <f t="shared" si="202"/>
        <v>-0.24349135501299451</v>
      </c>
      <c r="AP1197" s="63" t="str">
        <f t="shared" si="203"/>
        <v/>
      </c>
      <c r="AQ1197" s="63" t="str">
        <f t="shared" si="204"/>
        <v>Sell Stocks</v>
      </c>
      <c r="AR1197" s="63" t="str">
        <f t="shared" si="205"/>
        <v/>
      </c>
      <c r="AS1197" s="63" t="str">
        <f t="shared" si="206"/>
        <v/>
      </c>
      <c r="AT1197" s="78" t="str">
        <f t="shared" si="207"/>
        <v/>
      </c>
      <c r="AU1197" s="78" t="str">
        <f t="shared" si="208"/>
        <v/>
      </c>
      <c r="AV1197" s="64" t="str">
        <f ca="1">IFERROR(__xludf.DUMMYFUNCTION("IF(TRIM(AU1197)="""","""",AU1197/INDEX(FILTER(AT$3:AT1197,TRIM(AT$3:AT1197)&lt;&gt;""""),ROWS(FILTER(AT$3:AT1197,TRIM(AT$3:AT1197)&lt;&gt;"""")))-1)"),"")</f>
        <v/>
      </c>
      <c r="AW1197" s="65" t="e">
        <f t="shared" ca="1" si="200"/>
        <v>#VALUE!</v>
      </c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</row>
    <row r="1198" spans="1:68" ht="19" x14ac:dyDescent="0.25">
      <c r="A1198" s="5"/>
      <c r="B1198" s="5"/>
      <c r="C1198" s="5"/>
      <c r="D1198" s="5"/>
      <c r="E1198" s="5"/>
      <c r="F1198" s="5"/>
      <c r="G1198" s="5"/>
      <c r="H1198" s="6"/>
      <c r="I1198" s="5"/>
      <c r="J1198" s="88"/>
      <c r="K1198" s="88"/>
      <c r="L1198" s="88"/>
      <c r="M1198" s="88"/>
      <c r="N1198" s="88"/>
      <c r="O1198" s="88"/>
      <c r="P1198" s="88"/>
      <c r="Q1198" s="89"/>
      <c r="R1198" s="88"/>
      <c r="S1198" s="88"/>
      <c r="T1198" s="90"/>
      <c r="U1198" s="6"/>
      <c r="V1198" s="44">
        <v>45656</v>
      </c>
      <c r="W1198" s="45">
        <v>220.25</v>
      </c>
      <c r="X1198" s="91"/>
      <c r="Y1198" s="77"/>
      <c r="Z1198" s="5"/>
      <c r="AA1198" s="5"/>
      <c r="AB1198" s="5"/>
      <c r="AC1198" s="5"/>
      <c r="AD1198" s="5"/>
      <c r="AE1198" s="5"/>
      <c r="AF1198" s="5"/>
      <c r="AG1198" s="5"/>
      <c r="AH1198" s="6"/>
      <c r="AI1198" s="44">
        <v>45656</v>
      </c>
      <c r="AJ1198" s="53">
        <v>220.25</v>
      </c>
      <c r="AK1198" s="54">
        <f t="shared" si="198"/>
        <v>-1.1356495197055394E-2</v>
      </c>
      <c r="AL1198" s="55">
        <f t="shared" si="201"/>
        <v>14.832186005926443</v>
      </c>
      <c r="AM1198" s="56">
        <v>25</v>
      </c>
      <c r="AN1198" s="57">
        <f t="shared" si="199"/>
        <v>10.167813994073557</v>
      </c>
      <c r="AO1198" s="76">
        <f t="shared" si="202"/>
        <v>3.1670417872829391</v>
      </c>
      <c r="AP1198" s="63" t="str">
        <f t="shared" si="203"/>
        <v>Buy Stocks</v>
      </c>
      <c r="AQ1198" s="63" t="str">
        <f t="shared" si="204"/>
        <v/>
      </c>
      <c r="AR1198" s="63" t="str">
        <f t="shared" si="205"/>
        <v>Buy Stocks</v>
      </c>
      <c r="AS1198" s="63" t="str">
        <f t="shared" si="206"/>
        <v/>
      </c>
      <c r="AT1198" s="77">
        <f t="shared" si="207"/>
        <v>220.25</v>
      </c>
      <c r="AU1198" s="78" t="str">
        <f t="shared" si="208"/>
        <v/>
      </c>
      <c r="AV1198" s="64" t="str">
        <f ca="1">IFERROR(__xludf.DUMMYFUNCTION("IF(TRIM(AU1198)="""","""",AU1198/INDEX(FILTER(AT$3:AT1198,TRIM(AT$3:AT1198)&lt;&gt;""""),ROWS(FILTER(AT$3:AT1198,TRIM(AT$3:AT1198)&lt;&gt;"""")))-1)"),"")</f>
        <v/>
      </c>
      <c r="AW1198" s="65" t="e">
        <f t="shared" ca="1" si="200"/>
        <v>#VALUE!</v>
      </c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</row>
    <row r="1199" spans="1:68" ht="19" x14ac:dyDescent="0.25">
      <c r="A1199" s="5"/>
      <c r="B1199" s="5"/>
      <c r="C1199" s="5"/>
      <c r="D1199" s="5"/>
      <c r="E1199" s="5"/>
      <c r="F1199" s="5"/>
      <c r="G1199" s="5"/>
      <c r="H1199" s="6"/>
      <c r="I1199" s="5"/>
      <c r="J1199" s="88"/>
      <c r="K1199" s="88"/>
      <c r="L1199" s="88"/>
      <c r="M1199" s="88"/>
      <c r="N1199" s="88"/>
      <c r="O1199" s="88"/>
      <c r="P1199" s="88"/>
      <c r="Q1199" s="89"/>
      <c r="R1199" s="88"/>
      <c r="S1199" s="88"/>
      <c r="T1199" s="90"/>
      <c r="U1199" s="6"/>
      <c r="V1199" s="44">
        <v>45657</v>
      </c>
      <c r="W1199" s="45">
        <v>219.83</v>
      </c>
      <c r="X1199" s="91"/>
      <c r="Y1199" s="77"/>
      <c r="Z1199" s="5"/>
      <c r="AA1199" s="5"/>
      <c r="AB1199" s="5"/>
      <c r="AC1199" s="5"/>
      <c r="AD1199" s="5"/>
      <c r="AE1199" s="5"/>
      <c r="AF1199" s="5"/>
      <c r="AG1199" s="5"/>
      <c r="AH1199" s="6"/>
      <c r="AI1199" s="44">
        <v>45657</v>
      </c>
      <c r="AJ1199" s="53">
        <v>219.83</v>
      </c>
      <c r="AK1199" s="54">
        <f t="shared" si="198"/>
        <v>-1.9069239500566493E-3</v>
      </c>
      <c r="AL1199" s="55">
        <f t="shared" si="201"/>
        <v>14.476867780210092</v>
      </c>
      <c r="AM1199" s="56">
        <v>25</v>
      </c>
      <c r="AN1199" s="57">
        <f t="shared" si="199"/>
        <v>10.523132219789908</v>
      </c>
      <c r="AO1199" s="76">
        <f t="shared" si="202"/>
        <v>6.6486283673677704</v>
      </c>
      <c r="AP1199" s="63" t="str">
        <f t="shared" si="203"/>
        <v>Buy Stocks</v>
      </c>
      <c r="AQ1199" s="63" t="str">
        <f t="shared" si="204"/>
        <v/>
      </c>
      <c r="AR1199" s="63" t="str">
        <f t="shared" si="205"/>
        <v/>
      </c>
      <c r="AS1199" s="63" t="str">
        <f t="shared" si="206"/>
        <v/>
      </c>
      <c r="AT1199" s="78" t="str">
        <f t="shared" si="207"/>
        <v/>
      </c>
      <c r="AU1199" s="78" t="str">
        <f t="shared" si="208"/>
        <v/>
      </c>
      <c r="AV1199" s="64" t="str">
        <f ca="1">IFERROR(__xludf.DUMMYFUNCTION("IF(TRIM(AU1199)="""","""",AU1199/INDEX(FILTER(AT$3:AT1199,TRIM(AT$3:AT1199)&lt;&gt;""""),ROWS(FILTER(AT$3:AT1199,TRIM(AT$3:AT1199)&lt;&gt;"""")))-1)"),"")</f>
        <v/>
      </c>
      <c r="AW1199" s="65" t="e">
        <f t="shared" ca="1" si="200"/>
        <v>#VALUE!</v>
      </c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</row>
    <row r="1200" spans="1:68" ht="19" x14ac:dyDescent="0.25">
      <c r="A1200" s="5"/>
      <c r="B1200" s="5"/>
      <c r="C1200" s="5"/>
      <c r="D1200" s="5"/>
      <c r="E1200" s="5"/>
      <c r="F1200" s="5"/>
      <c r="G1200" s="5"/>
      <c r="H1200" s="6"/>
      <c r="I1200" s="5"/>
      <c r="J1200" s="88"/>
      <c r="K1200" s="88"/>
      <c r="L1200" s="88"/>
      <c r="M1200" s="88"/>
      <c r="N1200" s="88"/>
      <c r="O1200" s="88"/>
      <c r="P1200" s="88"/>
      <c r="Q1200" s="89"/>
      <c r="R1200" s="88"/>
      <c r="S1200" s="88"/>
      <c r="T1200" s="90"/>
      <c r="U1200" s="6"/>
      <c r="V1200" s="44">
        <v>45659</v>
      </c>
      <c r="W1200" s="45">
        <v>219.94</v>
      </c>
      <c r="X1200" s="91"/>
      <c r="Y1200" s="77"/>
      <c r="Z1200" s="5"/>
      <c r="AA1200" s="5"/>
      <c r="AB1200" s="5"/>
      <c r="AC1200" s="5"/>
      <c r="AD1200" s="5"/>
      <c r="AE1200" s="5"/>
      <c r="AF1200" s="5"/>
      <c r="AG1200" s="5"/>
      <c r="AH1200" s="6"/>
      <c r="AI1200" s="44">
        <v>45659</v>
      </c>
      <c r="AJ1200" s="53">
        <v>219.94</v>
      </c>
      <c r="AK1200" s="54">
        <f t="shared" si="198"/>
        <v>5.0038666242091523E-4</v>
      </c>
      <c r="AL1200" s="55">
        <f t="shared" si="201"/>
        <v>9.5711869776842384</v>
      </c>
      <c r="AM1200" s="56">
        <v>25</v>
      </c>
      <c r="AN1200" s="57">
        <f t="shared" si="199"/>
        <v>15.428813022315762</v>
      </c>
      <c r="AO1200" s="76">
        <f t="shared" si="202"/>
        <v>11.591967618239346</v>
      </c>
      <c r="AP1200" s="63" t="str">
        <f t="shared" si="203"/>
        <v>Buy Stocks</v>
      </c>
      <c r="AQ1200" s="63" t="str">
        <f t="shared" si="204"/>
        <v/>
      </c>
      <c r="AR1200" s="63" t="str">
        <f t="shared" si="205"/>
        <v/>
      </c>
      <c r="AS1200" s="63" t="str">
        <f t="shared" si="206"/>
        <v/>
      </c>
      <c r="AT1200" s="78" t="str">
        <f t="shared" si="207"/>
        <v/>
      </c>
      <c r="AU1200" s="78" t="str">
        <f t="shared" si="208"/>
        <v/>
      </c>
      <c r="AV1200" s="64" t="str">
        <f ca="1">IFERROR(__xludf.DUMMYFUNCTION("IF(TRIM(AU1200)="""","""",AU1200/INDEX(FILTER(AT$3:AT1200,TRIM(AT$3:AT1200)&lt;&gt;""""),ROWS(FILTER(AT$3:AT1200,TRIM(AT$3:AT1200)&lt;&gt;"""")))-1)"),"")</f>
        <v/>
      </c>
      <c r="AW1200" s="65" t="e">
        <f t="shared" ca="1" si="200"/>
        <v>#VALUE!</v>
      </c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</row>
    <row r="1201" spans="1:68" ht="19" x14ac:dyDescent="0.25">
      <c r="A1201" s="5"/>
      <c r="B1201" s="5"/>
      <c r="C1201" s="5"/>
      <c r="D1201" s="5"/>
      <c r="E1201" s="5"/>
      <c r="F1201" s="5"/>
      <c r="G1201" s="5"/>
      <c r="H1201" s="6"/>
      <c r="I1201" s="5"/>
      <c r="J1201" s="88"/>
      <c r="K1201" s="88"/>
      <c r="L1201" s="88"/>
      <c r="M1201" s="88"/>
      <c r="N1201" s="88"/>
      <c r="O1201" s="88"/>
      <c r="P1201" s="88"/>
      <c r="Q1201" s="89"/>
      <c r="R1201" s="88"/>
      <c r="S1201" s="88"/>
      <c r="T1201" s="90"/>
      <c r="U1201" s="6"/>
      <c r="V1201" s="44">
        <v>45660</v>
      </c>
      <c r="W1201" s="45">
        <v>222.65</v>
      </c>
      <c r="X1201" s="91"/>
      <c r="Y1201" s="77"/>
      <c r="Z1201" s="5"/>
      <c r="AA1201" s="5"/>
      <c r="AB1201" s="5"/>
      <c r="AC1201" s="5"/>
      <c r="AD1201" s="5"/>
      <c r="AE1201" s="5"/>
      <c r="AF1201" s="5"/>
      <c r="AG1201" s="5"/>
      <c r="AH1201" s="6"/>
      <c r="AI1201" s="44">
        <v>45660</v>
      </c>
      <c r="AJ1201" s="53">
        <v>222.65</v>
      </c>
      <c r="AK1201" s="54">
        <f t="shared" si="198"/>
        <v>1.2321542238792338E-2</v>
      </c>
      <c r="AL1201" s="55">
        <f t="shared" si="201"/>
        <v>14.921283218074095</v>
      </c>
      <c r="AM1201" s="56">
        <v>25</v>
      </c>
      <c r="AN1201" s="57">
        <f t="shared" si="199"/>
        <v>10.078716781925905</v>
      </c>
      <c r="AO1201" s="76">
        <f t="shared" si="202"/>
        <v>11.681107163151125</v>
      </c>
      <c r="AP1201" s="63" t="str">
        <f t="shared" si="203"/>
        <v>Buy Stocks</v>
      </c>
      <c r="AQ1201" s="63" t="str">
        <f t="shared" si="204"/>
        <v/>
      </c>
      <c r="AR1201" s="63" t="str">
        <f t="shared" si="205"/>
        <v/>
      </c>
      <c r="AS1201" s="63" t="str">
        <f t="shared" si="206"/>
        <v/>
      </c>
      <c r="AT1201" s="78" t="str">
        <f t="shared" si="207"/>
        <v/>
      </c>
      <c r="AU1201" s="78" t="str">
        <f t="shared" si="208"/>
        <v/>
      </c>
      <c r="AV1201" s="64" t="str">
        <f ca="1">IFERROR(__xludf.DUMMYFUNCTION("IF(TRIM(AU1201)="""","""",AU1201/INDEX(FILTER(AT$3:AT1201,TRIM(AT$3:AT1201)&lt;&gt;""""),ROWS(FILTER(AT$3:AT1201,TRIM(AT$3:AT1201)&lt;&gt;"""")))-1)"),"")</f>
        <v/>
      </c>
      <c r="AW1201" s="65" t="e">
        <f t="shared" ca="1" si="200"/>
        <v>#VALUE!</v>
      </c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</row>
    <row r="1202" spans="1:68" ht="19" x14ac:dyDescent="0.25">
      <c r="A1202" s="5"/>
      <c r="B1202" s="5"/>
      <c r="C1202" s="5"/>
      <c r="D1202" s="5"/>
      <c r="E1202" s="5"/>
      <c r="F1202" s="5"/>
      <c r="G1202" s="5"/>
      <c r="H1202" s="6"/>
      <c r="I1202" s="5"/>
      <c r="J1202" s="88"/>
      <c r="K1202" s="88"/>
      <c r="L1202" s="88"/>
      <c r="M1202" s="88"/>
      <c r="N1202" s="88"/>
      <c r="O1202" s="88"/>
      <c r="P1202" s="88"/>
      <c r="Q1202" s="89"/>
      <c r="R1202" s="88"/>
      <c r="S1202" s="88"/>
      <c r="T1202" s="90"/>
      <c r="U1202" s="6"/>
      <c r="V1202" s="44">
        <v>45663</v>
      </c>
      <c r="W1202" s="45">
        <v>222.67</v>
      </c>
      <c r="X1202" s="91"/>
      <c r="Y1202" s="77"/>
      <c r="Z1202" s="5"/>
      <c r="AA1202" s="5"/>
      <c r="AB1202" s="5"/>
      <c r="AC1202" s="5"/>
      <c r="AD1202" s="5"/>
      <c r="AE1202" s="5"/>
      <c r="AF1202" s="5"/>
      <c r="AG1202" s="5"/>
      <c r="AH1202" s="6"/>
      <c r="AI1202" s="44">
        <v>45663</v>
      </c>
      <c r="AJ1202" s="53">
        <v>222.67</v>
      </c>
      <c r="AK1202" s="54">
        <f t="shared" si="198"/>
        <v>8.9827082865312491E-5</v>
      </c>
      <c r="AL1202" s="55">
        <f t="shared" si="201"/>
        <v>13.391642713733912</v>
      </c>
      <c r="AM1202" s="56">
        <v>25</v>
      </c>
      <c r="AN1202" s="57">
        <f t="shared" si="199"/>
        <v>11.608357286266088</v>
      </c>
      <c r="AO1202" s="76">
        <f t="shared" si="202"/>
        <v>11.561366660874242</v>
      </c>
      <c r="AP1202" s="63" t="str">
        <f t="shared" si="203"/>
        <v>Buy Stocks</v>
      </c>
      <c r="AQ1202" s="63" t="str">
        <f t="shared" si="204"/>
        <v/>
      </c>
      <c r="AR1202" s="63" t="str">
        <f t="shared" si="205"/>
        <v/>
      </c>
      <c r="AS1202" s="63" t="str">
        <f t="shared" si="206"/>
        <v/>
      </c>
      <c r="AT1202" s="78" t="str">
        <f t="shared" si="207"/>
        <v/>
      </c>
      <c r="AU1202" s="78" t="str">
        <f t="shared" si="208"/>
        <v/>
      </c>
      <c r="AV1202" s="64" t="str">
        <f ca="1">IFERROR(__xludf.DUMMYFUNCTION("IF(TRIM(AU1202)="""","""",AU1202/INDEX(FILTER(AT$3:AT1202,TRIM(AT$3:AT1202)&lt;&gt;""""),ROWS(FILTER(AT$3:AT1202,TRIM(AT$3:AT1202)&lt;&gt;"""")))-1)"),"")</f>
        <v/>
      </c>
      <c r="AW1202" s="65" t="e">
        <f t="shared" ca="1" si="200"/>
        <v>#VALUE!</v>
      </c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</row>
    <row r="1203" spans="1:68" ht="19" x14ac:dyDescent="0.25">
      <c r="A1203" s="5"/>
      <c r="B1203" s="5"/>
      <c r="C1203" s="5"/>
      <c r="D1203" s="5"/>
      <c r="E1203" s="5"/>
      <c r="F1203" s="5"/>
      <c r="G1203" s="5"/>
      <c r="H1203" s="6"/>
      <c r="I1203" s="5"/>
      <c r="J1203" s="88"/>
      <c r="K1203" s="88"/>
      <c r="L1203" s="88"/>
      <c r="M1203" s="88"/>
      <c r="N1203" s="88"/>
      <c r="O1203" s="88"/>
      <c r="P1203" s="88"/>
      <c r="Q1203" s="89"/>
      <c r="R1203" s="88"/>
      <c r="S1203" s="88"/>
      <c r="T1203" s="90"/>
      <c r="U1203" s="6"/>
      <c r="V1203" s="44">
        <v>45664</v>
      </c>
      <c r="W1203" s="45">
        <v>223.96</v>
      </c>
      <c r="X1203" s="91"/>
      <c r="Y1203" s="77"/>
      <c r="Z1203" s="5"/>
      <c r="AA1203" s="5"/>
      <c r="AB1203" s="5"/>
      <c r="AC1203" s="5"/>
      <c r="AD1203" s="5"/>
      <c r="AE1203" s="5"/>
      <c r="AF1203" s="5"/>
      <c r="AG1203" s="5"/>
      <c r="AH1203" s="6"/>
      <c r="AI1203" s="44">
        <v>45664</v>
      </c>
      <c r="AJ1203" s="53">
        <v>223.96</v>
      </c>
      <c r="AK1203" s="54">
        <f t="shared" si="198"/>
        <v>5.7933264472089796E-3</v>
      </c>
      <c r="AL1203" s="55">
        <f t="shared" si="201"/>
        <v>9.1482567072197885</v>
      </c>
      <c r="AM1203" s="56">
        <v>25</v>
      </c>
      <c r="AN1203" s="57">
        <f t="shared" si="199"/>
        <v>15.851743292780212</v>
      </c>
      <c r="AO1203" s="76">
        <f t="shared" si="202"/>
        <v>12.698152520615574</v>
      </c>
      <c r="AP1203" s="63" t="str">
        <f t="shared" si="203"/>
        <v>Buy Stocks</v>
      </c>
      <c r="AQ1203" s="63" t="str">
        <f t="shared" si="204"/>
        <v/>
      </c>
      <c r="AR1203" s="63" t="str">
        <f t="shared" si="205"/>
        <v/>
      </c>
      <c r="AS1203" s="63" t="str">
        <f t="shared" si="206"/>
        <v/>
      </c>
      <c r="AT1203" s="78" t="str">
        <f t="shared" si="207"/>
        <v/>
      </c>
      <c r="AU1203" s="78" t="str">
        <f t="shared" si="208"/>
        <v/>
      </c>
      <c r="AV1203" s="64" t="str">
        <f ca="1">IFERROR(__xludf.DUMMYFUNCTION("IF(TRIM(AU1203)="""","""",AU1203/INDEX(FILTER(AT$3:AT1203,TRIM(AT$3:AT1203)&lt;&gt;""""),ROWS(FILTER(AT$3:AT1203,TRIM(AT$3:AT1203)&lt;&gt;"""")))-1)"),"")</f>
        <v/>
      </c>
      <c r="AW1203" s="65" t="e">
        <f t="shared" ca="1" si="200"/>
        <v>#VALUE!</v>
      </c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</row>
    <row r="1204" spans="1:68" ht="19" x14ac:dyDescent="0.25">
      <c r="A1204" s="5"/>
      <c r="B1204" s="5"/>
      <c r="C1204" s="5"/>
      <c r="D1204" s="5"/>
      <c r="E1204" s="5"/>
      <c r="F1204" s="5"/>
      <c r="G1204" s="5"/>
      <c r="H1204" s="6"/>
      <c r="I1204" s="5"/>
      <c r="J1204" s="88"/>
      <c r="K1204" s="88"/>
      <c r="L1204" s="88"/>
      <c r="M1204" s="88"/>
      <c r="N1204" s="88"/>
      <c r="O1204" s="88"/>
      <c r="P1204" s="88"/>
      <c r="Q1204" s="89"/>
      <c r="R1204" s="88"/>
      <c r="S1204" s="88"/>
      <c r="T1204" s="90"/>
      <c r="U1204" s="6"/>
      <c r="V1204" s="44">
        <v>45665</v>
      </c>
      <c r="W1204" s="45">
        <v>223.18</v>
      </c>
      <c r="X1204" s="91"/>
      <c r="Y1204" s="77"/>
      <c r="Z1204" s="5"/>
      <c r="AA1204" s="5"/>
      <c r="AB1204" s="5"/>
      <c r="AC1204" s="5"/>
      <c r="AD1204" s="5"/>
      <c r="AE1204" s="5"/>
      <c r="AF1204" s="5"/>
      <c r="AG1204" s="5"/>
      <c r="AH1204" s="6"/>
      <c r="AI1204" s="44">
        <v>45665</v>
      </c>
      <c r="AJ1204" s="53">
        <v>223.18</v>
      </c>
      <c r="AK1204" s="54">
        <f t="shared" si="198"/>
        <v>-3.482764779424885E-3</v>
      </c>
      <c r="AL1204" s="55">
        <f t="shared" si="201"/>
        <v>9.7672529579394762</v>
      </c>
      <c r="AM1204" s="56">
        <v>25</v>
      </c>
      <c r="AN1204" s="57">
        <f t="shared" si="199"/>
        <v>15.232747042060524</v>
      </c>
      <c r="AO1204" s="76">
        <f t="shared" si="202"/>
        <v>13.640075485069698</v>
      </c>
      <c r="AP1204" s="63" t="str">
        <f t="shared" si="203"/>
        <v>Buy Stocks</v>
      </c>
      <c r="AQ1204" s="63" t="str">
        <f t="shared" si="204"/>
        <v/>
      </c>
      <c r="AR1204" s="63" t="str">
        <f t="shared" si="205"/>
        <v/>
      </c>
      <c r="AS1204" s="63" t="str">
        <f t="shared" si="206"/>
        <v/>
      </c>
      <c r="AT1204" s="78" t="str">
        <f t="shared" si="207"/>
        <v/>
      </c>
      <c r="AU1204" s="78" t="str">
        <f t="shared" si="208"/>
        <v/>
      </c>
      <c r="AV1204" s="64" t="str">
        <f ca="1">IFERROR(__xludf.DUMMYFUNCTION("IF(TRIM(AU1204)="""","""",AU1204/INDEX(FILTER(AT$3:AT1204,TRIM(AT$3:AT1204)&lt;&gt;""""),ROWS(FILTER(AT$3:AT1204,TRIM(AT$3:AT1204)&lt;&gt;"""")))-1)"),"")</f>
        <v/>
      </c>
      <c r="AW1204" s="65" t="e">
        <f t="shared" ca="1" si="200"/>
        <v>#VALUE!</v>
      </c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</row>
    <row r="1205" spans="1:68" ht="19" x14ac:dyDescent="0.25">
      <c r="A1205" s="5"/>
      <c r="B1205" s="5"/>
      <c r="C1205" s="5"/>
      <c r="D1205" s="5"/>
      <c r="E1205" s="5"/>
      <c r="F1205" s="5"/>
      <c r="G1205" s="5"/>
      <c r="H1205" s="6"/>
      <c r="I1205" s="5"/>
      <c r="J1205" s="88"/>
      <c r="K1205" s="88"/>
      <c r="L1205" s="88"/>
      <c r="M1205" s="88"/>
      <c r="N1205" s="88"/>
      <c r="O1205" s="88"/>
      <c r="P1205" s="88"/>
      <c r="Q1205" s="89"/>
      <c r="R1205" s="88"/>
      <c r="S1205" s="88"/>
      <c r="T1205" s="90"/>
      <c r="U1205" s="6"/>
      <c r="V1205" s="44">
        <v>45667</v>
      </c>
      <c r="W1205" s="45">
        <v>219.75</v>
      </c>
      <c r="X1205" s="91"/>
      <c r="Y1205" s="77"/>
      <c r="Z1205" s="5"/>
      <c r="AA1205" s="5"/>
      <c r="AB1205" s="5"/>
      <c r="AC1205" s="5"/>
      <c r="AD1205" s="5"/>
      <c r="AE1205" s="5"/>
      <c r="AF1205" s="5"/>
      <c r="AG1205" s="5"/>
      <c r="AH1205" s="6"/>
      <c r="AI1205" s="44">
        <v>45667</v>
      </c>
      <c r="AJ1205" s="53">
        <v>219.75</v>
      </c>
      <c r="AK1205" s="54">
        <f t="shared" si="198"/>
        <v>-1.5368760641634616E-2</v>
      </c>
      <c r="AL1205" s="55">
        <f t="shared" si="201"/>
        <v>16.528478583541027</v>
      </c>
      <c r="AM1205" s="56">
        <v>25</v>
      </c>
      <c r="AN1205" s="57">
        <f t="shared" si="199"/>
        <v>8.4715214164589732</v>
      </c>
      <c r="AO1205" s="76">
        <f t="shared" si="202"/>
        <v>12.24861716389834</v>
      </c>
      <c r="AP1205" s="63" t="str">
        <f t="shared" si="203"/>
        <v>Buy Stocks</v>
      </c>
      <c r="AQ1205" s="63" t="str">
        <f t="shared" si="204"/>
        <v/>
      </c>
      <c r="AR1205" s="63" t="str">
        <f t="shared" si="205"/>
        <v/>
      </c>
      <c r="AS1205" s="63" t="str">
        <f t="shared" si="206"/>
        <v/>
      </c>
      <c r="AT1205" s="78" t="str">
        <f t="shared" si="207"/>
        <v/>
      </c>
      <c r="AU1205" s="78" t="str">
        <f t="shared" si="208"/>
        <v/>
      </c>
      <c r="AV1205" s="64" t="str">
        <f ca="1">IFERROR(__xludf.DUMMYFUNCTION("IF(TRIM(AU1205)="""","""",AU1205/INDEX(FILTER(AT$3:AT1205,TRIM(AT$3:AT1205)&lt;&gt;""""),ROWS(FILTER(AT$3:AT1205,TRIM(AT$3:AT1205)&lt;&gt;"""")))-1)"),"")</f>
        <v/>
      </c>
      <c r="AW1205" s="65" t="e">
        <f t="shared" ca="1" si="200"/>
        <v>#VALUE!</v>
      </c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</row>
    <row r="1206" spans="1:68" ht="19" x14ac:dyDescent="0.25">
      <c r="A1206" s="5"/>
      <c r="B1206" s="5"/>
      <c r="C1206" s="5"/>
      <c r="D1206" s="5"/>
      <c r="E1206" s="5"/>
      <c r="F1206" s="5"/>
      <c r="G1206" s="5"/>
      <c r="H1206" s="6"/>
      <c r="I1206" s="5"/>
      <c r="J1206" s="88"/>
      <c r="K1206" s="88"/>
      <c r="L1206" s="88"/>
      <c r="M1206" s="88"/>
      <c r="N1206" s="88"/>
      <c r="O1206" s="88"/>
      <c r="P1206" s="88"/>
      <c r="Q1206" s="89"/>
      <c r="R1206" s="88"/>
      <c r="S1206" s="88"/>
      <c r="T1206" s="90"/>
      <c r="U1206" s="6"/>
      <c r="V1206" s="44">
        <v>45670</v>
      </c>
      <c r="W1206" s="45">
        <v>217.4</v>
      </c>
      <c r="X1206" s="91"/>
      <c r="Y1206" s="77"/>
      <c r="Z1206" s="5"/>
      <c r="AA1206" s="5"/>
      <c r="AB1206" s="5"/>
      <c r="AC1206" s="5"/>
      <c r="AD1206" s="5"/>
      <c r="AE1206" s="5"/>
      <c r="AF1206" s="5"/>
      <c r="AG1206" s="5"/>
      <c r="AH1206" s="6"/>
      <c r="AI1206" s="44">
        <v>45670</v>
      </c>
      <c r="AJ1206" s="53">
        <v>217.4</v>
      </c>
      <c r="AK1206" s="54">
        <f t="shared" si="198"/>
        <v>-1.0693970420932897E-2</v>
      </c>
      <c r="AL1206" s="55">
        <f t="shared" si="201"/>
        <v>13.382663691697083</v>
      </c>
      <c r="AM1206" s="56">
        <v>25</v>
      </c>
      <c r="AN1206" s="57">
        <f t="shared" si="199"/>
        <v>11.617336308302917</v>
      </c>
      <c r="AO1206" s="76">
        <f t="shared" si="202"/>
        <v>12.556341069173742</v>
      </c>
      <c r="AP1206" s="63" t="str">
        <f t="shared" si="203"/>
        <v>Buy Stocks</v>
      </c>
      <c r="AQ1206" s="63" t="str">
        <f t="shared" si="204"/>
        <v/>
      </c>
      <c r="AR1206" s="63" t="str">
        <f t="shared" si="205"/>
        <v/>
      </c>
      <c r="AS1206" s="63" t="str">
        <f t="shared" si="206"/>
        <v/>
      </c>
      <c r="AT1206" s="78" t="str">
        <f t="shared" si="207"/>
        <v/>
      </c>
      <c r="AU1206" s="78" t="str">
        <f t="shared" si="208"/>
        <v/>
      </c>
      <c r="AV1206" s="64" t="str">
        <f ca="1">IFERROR(__xludf.DUMMYFUNCTION("IF(TRIM(AU1206)="""","""",AU1206/INDEX(FILTER(AT$3:AT1206,TRIM(AT$3:AT1206)&lt;&gt;""""),ROWS(FILTER(AT$3:AT1206,TRIM(AT$3:AT1206)&lt;&gt;"""")))-1)"),"")</f>
        <v/>
      </c>
      <c r="AW1206" s="65" t="e">
        <f t="shared" ca="1" si="200"/>
        <v>#VALUE!</v>
      </c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</row>
    <row r="1207" spans="1:68" ht="19" x14ac:dyDescent="0.25">
      <c r="A1207" s="5"/>
      <c r="B1207" s="5"/>
      <c r="C1207" s="5"/>
      <c r="D1207" s="5"/>
      <c r="E1207" s="5"/>
      <c r="F1207" s="5"/>
      <c r="G1207" s="5"/>
      <c r="H1207" s="6"/>
      <c r="I1207" s="5"/>
      <c r="J1207" s="88"/>
      <c r="K1207" s="88"/>
      <c r="L1207" s="88"/>
      <c r="M1207" s="88"/>
      <c r="N1207" s="88"/>
      <c r="O1207" s="88"/>
      <c r="P1207" s="88"/>
      <c r="Q1207" s="89"/>
      <c r="R1207" s="88"/>
      <c r="S1207" s="88"/>
      <c r="T1207" s="90"/>
      <c r="U1207" s="6"/>
      <c r="V1207" s="44">
        <v>45671</v>
      </c>
      <c r="W1207" s="45">
        <v>217.75</v>
      </c>
      <c r="X1207" s="91"/>
      <c r="Y1207" s="77"/>
      <c r="Z1207" s="5"/>
      <c r="AA1207" s="5"/>
      <c r="AB1207" s="5"/>
      <c r="AC1207" s="5"/>
      <c r="AD1207" s="5"/>
      <c r="AE1207" s="5"/>
      <c r="AF1207" s="5"/>
      <c r="AG1207" s="5"/>
      <c r="AH1207" s="6"/>
      <c r="AI1207" s="44">
        <v>45671</v>
      </c>
      <c r="AJ1207" s="53">
        <v>217.75</v>
      </c>
      <c r="AK1207" s="54">
        <f t="shared" si="198"/>
        <v>1.6099356025758293E-3</v>
      </c>
      <c r="AL1207" s="55">
        <f t="shared" si="201"/>
        <v>13.765776954629555</v>
      </c>
      <c r="AM1207" s="56">
        <v>25</v>
      </c>
      <c r="AN1207" s="57">
        <f t="shared" si="199"/>
        <v>11.234223045370445</v>
      </c>
      <c r="AO1207" s="76">
        <f t="shared" si="202"/>
        <v>12.481514220994615</v>
      </c>
      <c r="AP1207" s="63" t="str">
        <f t="shared" si="203"/>
        <v>Buy Stocks</v>
      </c>
      <c r="AQ1207" s="63" t="str">
        <f t="shared" si="204"/>
        <v/>
      </c>
      <c r="AR1207" s="63" t="str">
        <f t="shared" si="205"/>
        <v/>
      </c>
      <c r="AS1207" s="63" t="str">
        <f t="shared" si="206"/>
        <v/>
      </c>
      <c r="AT1207" s="78" t="str">
        <f t="shared" si="207"/>
        <v/>
      </c>
      <c r="AU1207" s="78" t="str">
        <f t="shared" si="208"/>
        <v/>
      </c>
      <c r="AV1207" s="64" t="str">
        <f ca="1">IFERROR(__xludf.DUMMYFUNCTION("IF(TRIM(AU1207)="""","""",AU1207/INDEX(FILTER(AT$3:AT1207,TRIM(AT$3:AT1207)&lt;&gt;""""),ROWS(FILTER(AT$3:AT1207,TRIM(AT$3:AT1207)&lt;&gt;"""")))-1)"),"")</f>
        <v/>
      </c>
      <c r="AW1207" s="65" t="e">
        <f t="shared" ca="1" si="200"/>
        <v>#VALUE!</v>
      </c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</row>
    <row r="1208" spans="1:68" ht="19" x14ac:dyDescent="0.25">
      <c r="A1208" s="5"/>
      <c r="B1208" s="5"/>
      <c r="C1208" s="5"/>
      <c r="D1208" s="5"/>
      <c r="E1208" s="5"/>
      <c r="F1208" s="5"/>
      <c r="G1208" s="5"/>
      <c r="H1208" s="6"/>
      <c r="I1208" s="5"/>
      <c r="J1208" s="88"/>
      <c r="K1208" s="88"/>
      <c r="L1208" s="88"/>
      <c r="M1208" s="88"/>
      <c r="N1208" s="88"/>
      <c r="O1208" s="88"/>
      <c r="P1208" s="88"/>
      <c r="Q1208" s="89"/>
      <c r="R1208" s="88"/>
      <c r="S1208" s="88"/>
      <c r="T1208" s="90"/>
      <c r="U1208" s="6"/>
      <c r="V1208" s="44">
        <v>45672</v>
      </c>
      <c r="W1208" s="45">
        <v>220.03</v>
      </c>
      <c r="X1208" s="91"/>
      <c r="Y1208" s="77"/>
      <c r="Z1208" s="5"/>
      <c r="AA1208" s="5"/>
      <c r="AB1208" s="5"/>
      <c r="AC1208" s="5"/>
      <c r="AD1208" s="5"/>
      <c r="AE1208" s="5"/>
      <c r="AF1208" s="5"/>
      <c r="AG1208" s="5"/>
      <c r="AH1208" s="6"/>
      <c r="AI1208" s="44">
        <v>45672</v>
      </c>
      <c r="AJ1208" s="53">
        <v>220.03</v>
      </c>
      <c r="AK1208" s="54">
        <f t="shared" si="198"/>
        <v>1.0470723306544194E-2</v>
      </c>
      <c r="AL1208" s="55">
        <f t="shared" si="201"/>
        <v>16.148231274045497</v>
      </c>
      <c r="AM1208" s="56">
        <v>25</v>
      </c>
      <c r="AN1208" s="57">
        <f t="shared" si="199"/>
        <v>8.8517687259545035</v>
      </c>
      <c r="AO1208" s="76">
        <f t="shared" si="202"/>
        <v>11.081519307629472</v>
      </c>
      <c r="AP1208" s="63" t="str">
        <f t="shared" si="203"/>
        <v>Buy Stocks</v>
      </c>
      <c r="AQ1208" s="63" t="str">
        <f t="shared" si="204"/>
        <v/>
      </c>
      <c r="AR1208" s="63" t="str">
        <f t="shared" si="205"/>
        <v/>
      </c>
      <c r="AS1208" s="63" t="str">
        <f t="shared" si="206"/>
        <v/>
      </c>
      <c r="AT1208" s="78" t="str">
        <f t="shared" si="207"/>
        <v/>
      </c>
      <c r="AU1208" s="78" t="str">
        <f t="shared" si="208"/>
        <v/>
      </c>
      <c r="AV1208" s="64" t="str">
        <f ca="1">IFERROR(__xludf.DUMMYFUNCTION("IF(TRIM(AU1208)="""","""",AU1208/INDEX(FILTER(AT$3:AT1208,TRIM(AT$3:AT1208)&lt;&gt;""""),ROWS(FILTER(AT$3:AT1208,TRIM(AT$3:AT1208)&lt;&gt;"""")))-1)"),"")</f>
        <v/>
      </c>
      <c r="AW1208" s="65" t="e">
        <f t="shared" ca="1" si="200"/>
        <v>#VALUE!</v>
      </c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</row>
    <row r="1209" spans="1:68" ht="19" x14ac:dyDescent="0.25">
      <c r="A1209" s="5"/>
      <c r="B1209" s="5"/>
      <c r="C1209" s="5"/>
      <c r="D1209" s="5"/>
      <c r="E1209" s="5"/>
      <c r="F1209" s="5"/>
      <c r="G1209" s="5"/>
      <c r="H1209" s="6"/>
      <c r="I1209" s="5"/>
      <c r="J1209" s="88"/>
      <c r="K1209" s="88"/>
      <c r="L1209" s="88"/>
      <c r="M1209" s="88"/>
      <c r="N1209" s="88"/>
      <c r="O1209" s="88"/>
      <c r="P1209" s="88"/>
      <c r="Q1209" s="89"/>
      <c r="R1209" s="88"/>
      <c r="S1209" s="88"/>
      <c r="T1209" s="90"/>
      <c r="U1209" s="6"/>
      <c r="V1209" s="44">
        <v>45673</v>
      </c>
      <c r="W1209" s="45">
        <v>222.66</v>
      </c>
      <c r="X1209" s="91"/>
      <c r="Y1209" s="77"/>
      <c r="Z1209" s="5"/>
      <c r="AA1209" s="5"/>
      <c r="AB1209" s="5"/>
      <c r="AC1209" s="5"/>
      <c r="AD1209" s="5"/>
      <c r="AE1209" s="5"/>
      <c r="AF1209" s="5"/>
      <c r="AG1209" s="5"/>
      <c r="AH1209" s="6"/>
      <c r="AI1209" s="44">
        <v>45673</v>
      </c>
      <c r="AJ1209" s="53">
        <v>222.66</v>
      </c>
      <c r="AK1209" s="54">
        <f t="shared" si="198"/>
        <v>1.1952915511521223E-2</v>
      </c>
      <c r="AL1209" s="55">
        <f t="shared" si="201"/>
        <v>19.520424105941686</v>
      </c>
      <c r="AM1209" s="56">
        <v>25</v>
      </c>
      <c r="AN1209" s="57">
        <f t="shared" si="199"/>
        <v>5.4795758940583141</v>
      </c>
      <c r="AO1209" s="76">
        <f t="shared" si="202"/>
        <v>9.1308850780290296</v>
      </c>
      <c r="AP1209" s="63" t="str">
        <f t="shared" si="203"/>
        <v>Buy Stocks</v>
      </c>
      <c r="AQ1209" s="63" t="str">
        <f t="shared" si="204"/>
        <v/>
      </c>
      <c r="AR1209" s="63" t="str">
        <f t="shared" si="205"/>
        <v/>
      </c>
      <c r="AS1209" s="63" t="str">
        <f t="shared" si="206"/>
        <v/>
      </c>
      <c r="AT1209" s="78" t="str">
        <f t="shared" si="207"/>
        <v/>
      </c>
      <c r="AU1209" s="78" t="str">
        <f t="shared" si="208"/>
        <v/>
      </c>
      <c r="AV1209" s="64" t="str">
        <f ca="1">IFERROR(__xludf.DUMMYFUNCTION("IF(TRIM(AU1209)="""","""",AU1209/INDEX(FILTER(AT$3:AT1209,TRIM(AT$3:AT1209)&lt;&gt;""""),ROWS(FILTER(AT$3:AT1209,TRIM(AT$3:AT1209)&lt;&gt;"""")))-1)"),"")</f>
        <v/>
      </c>
      <c r="AW1209" s="65" t="e">
        <f t="shared" ca="1" si="200"/>
        <v>#VALUE!</v>
      </c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</row>
    <row r="1210" spans="1:68" ht="19" x14ac:dyDescent="0.25">
      <c r="A1210" s="5"/>
      <c r="B1210" s="5"/>
      <c r="C1210" s="5"/>
      <c r="D1210" s="5"/>
      <c r="E1210" s="5"/>
      <c r="F1210" s="5"/>
      <c r="G1210" s="5"/>
      <c r="H1210" s="6"/>
      <c r="I1210" s="5"/>
      <c r="J1210" s="88"/>
      <c r="K1210" s="88"/>
      <c r="L1210" s="88"/>
      <c r="M1210" s="88"/>
      <c r="N1210" s="88"/>
      <c r="O1210" s="88"/>
      <c r="P1210" s="88"/>
      <c r="Q1210" s="89"/>
      <c r="R1210" s="88"/>
      <c r="S1210" s="88"/>
      <c r="T1210" s="90"/>
      <c r="U1210" s="6"/>
      <c r="V1210" s="44">
        <v>45674</v>
      </c>
      <c r="W1210" s="45">
        <v>224.79</v>
      </c>
      <c r="X1210" s="91"/>
      <c r="Y1210" s="77"/>
      <c r="Z1210" s="5"/>
      <c r="AA1210" s="5"/>
      <c r="AB1210" s="5"/>
      <c r="AC1210" s="5"/>
      <c r="AD1210" s="5"/>
      <c r="AE1210" s="5"/>
      <c r="AF1210" s="5"/>
      <c r="AG1210" s="5"/>
      <c r="AH1210" s="6"/>
      <c r="AI1210" s="44">
        <v>45674</v>
      </c>
      <c r="AJ1210" s="53">
        <v>224.79</v>
      </c>
      <c r="AK1210" s="54">
        <f t="shared" si="198"/>
        <v>9.5661546752896509E-3</v>
      </c>
      <c r="AL1210" s="55">
        <f t="shared" si="201"/>
        <v>14.976773528114609</v>
      </c>
      <c r="AM1210" s="56">
        <v>25</v>
      </c>
      <c r="AN1210" s="57">
        <f t="shared" si="199"/>
        <v>10.023226471885391</v>
      </c>
      <c r="AO1210" s="76">
        <f t="shared" si="202"/>
        <v>9.4412260891143145</v>
      </c>
      <c r="AP1210" s="63" t="str">
        <f t="shared" si="203"/>
        <v>Buy Stocks</v>
      </c>
      <c r="AQ1210" s="63" t="str">
        <f t="shared" si="204"/>
        <v/>
      </c>
      <c r="AR1210" s="63" t="str">
        <f t="shared" si="205"/>
        <v/>
      </c>
      <c r="AS1210" s="63" t="str">
        <f t="shared" si="206"/>
        <v/>
      </c>
      <c r="AT1210" s="78" t="str">
        <f t="shared" si="207"/>
        <v/>
      </c>
      <c r="AU1210" s="78" t="str">
        <f t="shared" si="208"/>
        <v/>
      </c>
      <c r="AV1210" s="64" t="str">
        <f ca="1">IFERROR(__xludf.DUMMYFUNCTION("IF(TRIM(AU1210)="""","""",AU1210/INDEX(FILTER(AT$3:AT1210,TRIM(AT$3:AT1210)&lt;&gt;""""),ROWS(FILTER(AT$3:AT1210,TRIM(AT$3:AT1210)&lt;&gt;"""")))-1)"),"")</f>
        <v/>
      </c>
      <c r="AW1210" s="65" t="e">
        <f t="shared" ca="1" si="200"/>
        <v>#VALUE!</v>
      </c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</row>
    <row r="1211" spans="1:68" ht="19" x14ac:dyDescent="0.25">
      <c r="A1211" s="5"/>
      <c r="B1211" s="5"/>
      <c r="C1211" s="5"/>
      <c r="D1211" s="5"/>
      <c r="E1211" s="5"/>
      <c r="F1211" s="5"/>
      <c r="G1211" s="5"/>
      <c r="H1211" s="6"/>
      <c r="I1211" s="5"/>
      <c r="J1211" s="88"/>
      <c r="K1211" s="88"/>
      <c r="L1211" s="88"/>
      <c r="M1211" s="88"/>
      <c r="N1211" s="88"/>
      <c r="O1211" s="88"/>
      <c r="P1211" s="88"/>
      <c r="Q1211" s="89"/>
      <c r="R1211" s="88"/>
      <c r="S1211" s="88"/>
      <c r="T1211" s="90"/>
      <c r="U1211" s="6"/>
      <c r="V1211" s="44">
        <v>45678</v>
      </c>
      <c r="W1211" s="45">
        <v>224.26</v>
      </c>
      <c r="X1211" s="91"/>
      <c r="Y1211" s="77"/>
      <c r="Z1211" s="5"/>
      <c r="AA1211" s="5"/>
      <c r="AB1211" s="5"/>
      <c r="AC1211" s="5"/>
      <c r="AD1211" s="5"/>
      <c r="AE1211" s="5"/>
      <c r="AF1211" s="5"/>
      <c r="AG1211" s="5"/>
      <c r="AH1211" s="6"/>
      <c r="AI1211" s="44">
        <v>45678</v>
      </c>
      <c r="AJ1211" s="53">
        <v>224.26</v>
      </c>
      <c r="AK1211" s="54">
        <f t="shared" si="198"/>
        <v>-2.3577561279416459E-3</v>
      </c>
      <c r="AL1211" s="55">
        <f t="shared" si="201"/>
        <v>9.9440292681563669</v>
      </c>
      <c r="AM1211" s="56">
        <v>25</v>
      </c>
      <c r="AN1211" s="57">
        <f t="shared" si="199"/>
        <v>15.055970731843633</v>
      </c>
      <c r="AO1211" s="76">
        <f t="shared" si="202"/>
        <v>10.128952973822456</v>
      </c>
      <c r="AP1211" s="63" t="str">
        <f t="shared" si="203"/>
        <v>Buy Stocks</v>
      </c>
      <c r="AQ1211" s="63" t="str">
        <f t="shared" si="204"/>
        <v/>
      </c>
      <c r="AR1211" s="63" t="str">
        <f t="shared" si="205"/>
        <v/>
      </c>
      <c r="AS1211" s="63" t="str">
        <f t="shared" si="206"/>
        <v/>
      </c>
      <c r="AT1211" s="78" t="str">
        <f t="shared" si="207"/>
        <v/>
      </c>
      <c r="AU1211" s="78" t="str">
        <f t="shared" si="208"/>
        <v/>
      </c>
      <c r="AV1211" s="64" t="str">
        <f ca="1">IFERROR(__xludf.DUMMYFUNCTION("IF(TRIM(AU1211)="""","""",AU1211/INDEX(FILTER(AT$3:AT1211,TRIM(AT$3:AT1211)&lt;&gt;""""),ROWS(FILTER(AT$3:AT1211,TRIM(AT$3:AT1211)&lt;&gt;"""")))-1)"),"")</f>
        <v/>
      </c>
      <c r="AW1211" s="65" t="e">
        <f t="shared" ca="1" si="200"/>
        <v>#VALUE!</v>
      </c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</row>
    <row r="1212" spans="1:68" ht="19" x14ac:dyDescent="0.25">
      <c r="A1212" s="5"/>
      <c r="B1212" s="5"/>
      <c r="C1212" s="5"/>
      <c r="D1212" s="5"/>
      <c r="E1212" s="5"/>
      <c r="F1212" s="5"/>
      <c r="G1212" s="5"/>
      <c r="H1212" s="6"/>
      <c r="I1212" s="5"/>
      <c r="J1212" s="88"/>
      <c r="K1212" s="88"/>
      <c r="L1212" s="88"/>
      <c r="M1212" s="88"/>
      <c r="N1212" s="88"/>
      <c r="O1212" s="88"/>
      <c r="P1212" s="88"/>
      <c r="Q1212" s="89"/>
      <c r="R1212" s="88"/>
      <c r="S1212" s="88"/>
      <c r="T1212" s="90"/>
      <c r="U1212" s="6"/>
      <c r="V1212" s="44">
        <v>45679</v>
      </c>
      <c r="W1212" s="45">
        <v>223.26</v>
      </c>
      <c r="X1212" s="91"/>
      <c r="Y1212" s="77"/>
      <c r="Z1212" s="5"/>
      <c r="AA1212" s="5"/>
      <c r="AB1212" s="5"/>
      <c r="AC1212" s="5"/>
      <c r="AD1212" s="5"/>
      <c r="AE1212" s="5"/>
      <c r="AF1212" s="5"/>
      <c r="AG1212" s="5"/>
      <c r="AH1212" s="6"/>
      <c r="AI1212" s="44">
        <v>45679</v>
      </c>
      <c r="AJ1212" s="53">
        <v>223.26</v>
      </c>
      <c r="AK1212" s="54">
        <f t="shared" si="198"/>
        <v>-4.4591099616516638E-3</v>
      </c>
      <c r="AL1212" s="55">
        <f t="shared" si="201"/>
        <v>12.366001466422469</v>
      </c>
      <c r="AM1212" s="56">
        <v>25</v>
      </c>
      <c r="AN1212" s="57">
        <f t="shared" si="199"/>
        <v>12.633998533577531</v>
      </c>
      <c r="AO1212" s="76">
        <f t="shared" si="202"/>
        <v>10.408908071463873</v>
      </c>
      <c r="AP1212" s="63" t="str">
        <f t="shared" si="203"/>
        <v>Buy Stocks</v>
      </c>
      <c r="AQ1212" s="63" t="str">
        <f t="shared" si="204"/>
        <v/>
      </c>
      <c r="AR1212" s="63" t="str">
        <f t="shared" si="205"/>
        <v/>
      </c>
      <c r="AS1212" s="63" t="str">
        <f t="shared" si="206"/>
        <v/>
      </c>
      <c r="AT1212" s="78" t="str">
        <f t="shared" si="207"/>
        <v/>
      </c>
      <c r="AU1212" s="78" t="str">
        <f t="shared" si="208"/>
        <v/>
      </c>
      <c r="AV1212" s="64" t="str">
        <f ca="1">IFERROR(__xludf.DUMMYFUNCTION("IF(TRIM(AU1212)="""","""",AU1212/INDEX(FILTER(AT$3:AT1212,TRIM(AT$3:AT1212)&lt;&gt;""""),ROWS(FILTER(AT$3:AT1212,TRIM(AT$3:AT1212)&lt;&gt;"""")))-1)"),"")</f>
        <v/>
      </c>
      <c r="AW1212" s="65" t="e">
        <f t="shared" ca="1" si="200"/>
        <v>#VALUE!</v>
      </c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</row>
    <row r="1213" spans="1:68" ht="19" x14ac:dyDescent="0.25">
      <c r="A1213" s="5"/>
      <c r="B1213" s="5"/>
      <c r="C1213" s="5"/>
      <c r="D1213" s="5"/>
      <c r="E1213" s="5"/>
      <c r="F1213" s="5"/>
      <c r="G1213" s="5"/>
      <c r="H1213" s="6"/>
      <c r="I1213" s="5"/>
      <c r="J1213" s="88"/>
      <c r="K1213" s="88"/>
      <c r="L1213" s="88"/>
      <c r="M1213" s="88"/>
      <c r="N1213" s="88"/>
      <c r="O1213" s="88"/>
      <c r="P1213" s="88"/>
      <c r="Q1213" s="89"/>
      <c r="R1213" s="88"/>
      <c r="S1213" s="88"/>
      <c r="T1213" s="90"/>
      <c r="U1213" s="6"/>
      <c r="V1213" s="44">
        <v>45680</v>
      </c>
      <c r="W1213" s="45">
        <v>226.04</v>
      </c>
      <c r="X1213" s="91"/>
      <c r="Y1213" s="77"/>
      <c r="Z1213" s="5"/>
      <c r="AA1213" s="5"/>
      <c r="AB1213" s="5"/>
      <c r="AC1213" s="5"/>
      <c r="AD1213" s="5"/>
      <c r="AE1213" s="5"/>
      <c r="AF1213" s="5"/>
      <c r="AG1213" s="5"/>
      <c r="AH1213" s="6"/>
      <c r="AI1213" s="44">
        <v>45680</v>
      </c>
      <c r="AJ1213" s="53">
        <v>226.04</v>
      </c>
      <c r="AK1213" s="54">
        <f t="shared" si="198"/>
        <v>1.2451849861148334E-2</v>
      </c>
      <c r="AL1213" s="55">
        <f t="shared" si="201"/>
        <v>12.979442050851409</v>
      </c>
      <c r="AM1213" s="56">
        <v>25</v>
      </c>
      <c r="AN1213" s="57">
        <f t="shared" si="199"/>
        <v>12.020557949148591</v>
      </c>
      <c r="AO1213" s="76">
        <f t="shared" si="202"/>
        <v>11.042665916102692</v>
      </c>
      <c r="AP1213" s="63" t="str">
        <f t="shared" si="203"/>
        <v>Buy Stocks</v>
      </c>
      <c r="AQ1213" s="63" t="str">
        <f t="shared" si="204"/>
        <v/>
      </c>
      <c r="AR1213" s="63" t="str">
        <f t="shared" si="205"/>
        <v/>
      </c>
      <c r="AS1213" s="63" t="str">
        <f t="shared" si="206"/>
        <v/>
      </c>
      <c r="AT1213" s="78" t="str">
        <f t="shared" si="207"/>
        <v/>
      </c>
      <c r="AU1213" s="78" t="str">
        <f t="shared" si="208"/>
        <v/>
      </c>
      <c r="AV1213" s="64" t="str">
        <f ca="1">IFERROR(__xludf.DUMMYFUNCTION("IF(TRIM(AU1213)="""","""",AU1213/INDEX(FILTER(AT$3:AT1213,TRIM(AT$3:AT1213)&lt;&gt;""""),ROWS(FILTER(AT$3:AT1213,TRIM(AT$3:AT1213)&lt;&gt;"""")))-1)"),"")</f>
        <v/>
      </c>
      <c r="AW1213" s="65" t="e">
        <f t="shared" ca="1" si="200"/>
        <v>#VALUE!</v>
      </c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</row>
    <row r="1214" spans="1:68" ht="19" x14ac:dyDescent="0.25">
      <c r="A1214" s="5"/>
      <c r="B1214" s="5"/>
      <c r="C1214" s="5"/>
      <c r="D1214" s="5"/>
      <c r="E1214" s="5"/>
      <c r="F1214" s="5"/>
      <c r="G1214" s="5"/>
      <c r="H1214" s="6"/>
      <c r="I1214" s="5"/>
      <c r="J1214" s="88"/>
      <c r="K1214" s="88"/>
      <c r="L1214" s="88"/>
      <c r="M1214" s="88"/>
      <c r="N1214" s="88"/>
      <c r="O1214" s="88"/>
      <c r="P1214" s="88"/>
      <c r="Q1214" s="89"/>
      <c r="R1214" s="88"/>
      <c r="S1214" s="88"/>
      <c r="T1214" s="90"/>
      <c r="U1214" s="6"/>
      <c r="V1214" s="44">
        <v>45681</v>
      </c>
      <c r="W1214" s="45">
        <v>224.8</v>
      </c>
      <c r="X1214" s="91"/>
      <c r="Y1214" s="77"/>
      <c r="Z1214" s="5"/>
      <c r="AA1214" s="5"/>
      <c r="AB1214" s="5"/>
      <c r="AC1214" s="5"/>
      <c r="AD1214" s="5"/>
      <c r="AE1214" s="5"/>
      <c r="AF1214" s="5"/>
      <c r="AG1214" s="5"/>
      <c r="AH1214" s="6"/>
      <c r="AI1214" s="44">
        <v>45681</v>
      </c>
      <c r="AJ1214" s="53">
        <v>224.8</v>
      </c>
      <c r="AK1214" s="54">
        <f t="shared" si="198"/>
        <v>-5.4857547336754076E-3</v>
      </c>
      <c r="AL1214" s="55">
        <f t="shared" si="201"/>
        <v>13.357677364112256</v>
      </c>
      <c r="AM1214" s="56">
        <v>25</v>
      </c>
      <c r="AN1214" s="57">
        <f t="shared" si="199"/>
        <v>11.642322635887744</v>
      </c>
      <c r="AO1214" s="76">
        <f t="shared" si="202"/>
        <v>12.275215264468578</v>
      </c>
      <c r="AP1214" s="63" t="str">
        <f t="shared" si="203"/>
        <v>Buy Stocks</v>
      </c>
      <c r="AQ1214" s="63" t="str">
        <f t="shared" si="204"/>
        <v/>
      </c>
      <c r="AR1214" s="63" t="str">
        <f t="shared" si="205"/>
        <v/>
      </c>
      <c r="AS1214" s="63" t="str">
        <f t="shared" si="206"/>
        <v/>
      </c>
      <c r="AT1214" s="78" t="str">
        <f t="shared" si="207"/>
        <v/>
      </c>
      <c r="AU1214" s="78" t="str">
        <f t="shared" si="208"/>
        <v/>
      </c>
      <c r="AV1214" s="64" t="str">
        <f ca="1">IFERROR(__xludf.DUMMYFUNCTION("IF(TRIM(AU1214)="""","""",AU1214/INDEX(FILTER(AT$3:AT1214,TRIM(AT$3:AT1214)&lt;&gt;""""),ROWS(FILTER(AT$3:AT1214,TRIM(AT$3:AT1214)&lt;&gt;"""")))-1)"),"")</f>
        <v/>
      </c>
      <c r="AW1214" s="65" t="e">
        <f t="shared" ca="1" si="200"/>
        <v>#VALUE!</v>
      </c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</row>
    <row r="1215" spans="1:68" ht="19" x14ac:dyDescent="0.25">
      <c r="A1215" s="5"/>
      <c r="B1215" s="5"/>
      <c r="C1215" s="5"/>
      <c r="D1215" s="5"/>
      <c r="E1215" s="5"/>
      <c r="F1215" s="5"/>
      <c r="G1215" s="5"/>
      <c r="H1215" s="6"/>
      <c r="I1215" s="5"/>
      <c r="J1215" s="88"/>
      <c r="K1215" s="88"/>
      <c r="L1215" s="88"/>
      <c r="M1215" s="88"/>
      <c r="N1215" s="88"/>
      <c r="O1215" s="88"/>
      <c r="P1215" s="88"/>
      <c r="Q1215" s="89"/>
      <c r="R1215" s="88"/>
      <c r="S1215" s="88"/>
      <c r="T1215" s="90"/>
      <c r="U1215" s="6"/>
      <c r="V1215" s="44">
        <v>45684</v>
      </c>
      <c r="W1215" s="45">
        <v>224.13</v>
      </c>
      <c r="X1215" s="91"/>
      <c r="Y1215" s="77"/>
      <c r="Z1215" s="5"/>
      <c r="AA1215" s="5"/>
      <c r="AB1215" s="5"/>
      <c r="AC1215" s="5"/>
      <c r="AD1215" s="5"/>
      <c r="AE1215" s="5"/>
      <c r="AF1215" s="5"/>
      <c r="AG1215" s="5"/>
      <c r="AH1215" s="6"/>
      <c r="AI1215" s="44">
        <v>45684</v>
      </c>
      <c r="AJ1215" s="53">
        <v>224.13</v>
      </c>
      <c r="AK1215" s="54">
        <f t="shared" si="198"/>
        <v>-2.9804270462634452E-3</v>
      </c>
      <c r="AL1215" s="55">
        <f t="shared" si="201"/>
        <v>11.715573794987321</v>
      </c>
      <c r="AM1215" s="56">
        <v>25</v>
      </c>
      <c r="AN1215" s="57">
        <f t="shared" si="199"/>
        <v>13.284426205012679</v>
      </c>
      <c r="AO1215" s="76">
        <f t="shared" si="202"/>
        <v>12.927455211094037</v>
      </c>
      <c r="AP1215" s="63" t="str">
        <f t="shared" si="203"/>
        <v>Buy Stocks</v>
      </c>
      <c r="AQ1215" s="63" t="str">
        <f t="shared" si="204"/>
        <v/>
      </c>
      <c r="AR1215" s="63" t="str">
        <f t="shared" si="205"/>
        <v/>
      </c>
      <c r="AS1215" s="63" t="str">
        <f t="shared" si="206"/>
        <v/>
      </c>
      <c r="AT1215" s="78" t="str">
        <f t="shared" si="207"/>
        <v/>
      </c>
      <c r="AU1215" s="78" t="str">
        <f t="shared" si="208"/>
        <v/>
      </c>
      <c r="AV1215" s="64" t="str">
        <f ca="1">IFERROR(__xludf.DUMMYFUNCTION("IF(TRIM(AU1215)="""","""",AU1215/INDEX(FILTER(AT$3:AT1215,TRIM(AT$3:AT1215)&lt;&gt;""""),ROWS(FILTER(AT$3:AT1215,TRIM(AT$3:AT1215)&lt;&gt;"""")))-1)"),"")</f>
        <v/>
      </c>
      <c r="AW1215" s="65" t="e">
        <f t="shared" ca="1" si="200"/>
        <v>#VALUE!</v>
      </c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</row>
    <row r="1216" spans="1:68" ht="19" x14ac:dyDescent="0.25">
      <c r="A1216" s="5"/>
      <c r="B1216" s="5"/>
      <c r="C1216" s="5"/>
      <c r="D1216" s="5"/>
      <c r="E1216" s="5"/>
      <c r="F1216" s="5"/>
      <c r="G1216" s="5"/>
      <c r="H1216" s="6"/>
      <c r="I1216" s="5"/>
      <c r="J1216" s="88"/>
      <c r="K1216" s="88"/>
      <c r="L1216" s="88"/>
      <c r="M1216" s="88"/>
      <c r="N1216" s="88"/>
      <c r="O1216" s="88"/>
      <c r="P1216" s="88"/>
      <c r="Q1216" s="89"/>
      <c r="R1216" s="88"/>
      <c r="S1216" s="88"/>
      <c r="T1216" s="90"/>
      <c r="U1216" s="6"/>
      <c r="V1216" s="44">
        <v>45685</v>
      </c>
      <c r="W1216" s="45">
        <v>225.66</v>
      </c>
      <c r="X1216" s="91"/>
      <c r="Y1216" s="77"/>
      <c r="Z1216" s="5"/>
      <c r="AA1216" s="5"/>
      <c r="AB1216" s="5"/>
      <c r="AC1216" s="5"/>
      <c r="AD1216" s="5"/>
      <c r="AE1216" s="5"/>
      <c r="AF1216" s="5"/>
      <c r="AG1216" s="5"/>
      <c r="AH1216" s="6"/>
      <c r="AI1216" s="44">
        <v>45685</v>
      </c>
      <c r="AJ1216" s="53">
        <v>225.66</v>
      </c>
      <c r="AK1216" s="54">
        <f t="shared" si="198"/>
        <v>6.8263953955294276E-3</v>
      </c>
      <c r="AL1216" s="55">
        <f t="shared" si="201"/>
        <v>12.610903967233744</v>
      </c>
      <c r="AM1216" s="56">
        <v>25</v>
      </c>
      <c r="AN1216" s="57">
        <f t="shared" si="199"/>
        <v>12.389096032766256</v>
      </c>
      <c r="AO1216" s="76">
        <f t="shared" si="202"/>
        <v>12.394080271278559</v>
      </c>
      <c r="AP1216" s="63" t="str">
        <f t="shared" si="203"/>
        <v>Buy Stocks</v>
      </c>
      <c r="AQ1216" s="63" t="str">
        <f t="shared" si="204"/>
        <v/>
      </c>
      <c r="AR1216" s="63" t="str">
        <f t="shared" si="205"/>
        <v/>
      </c>
      <c r="AS1216" s="63" t="str">
        <f t="shared" si="206"/>
        <v/>
      </c>
      <c r="AT1216" s="78" t="str">
        <f t="shared" si="207"/>
        <v/>
      </c>
      <c r="AU1216" s="78" t="str">
        <f t="shared" si="208"/>
        <v/>
      </c>
      <c r="AV1216" s="64" t="str">
        <f ca="1">IFERROR(__xludf.DUMMYFUNCTION("IF(TRIM(AU1216)="""","""",AU1216/INDEX(FILTER(AT$3:AT1216,TRIM(AT$3:AT1216)&lt;&gt;""""),ROWS(FILTER(AT$3:AT1216,TRIM(AT$3:AT1216)&lt;&gt;"""")))-1)"),"")</f>
        <v/>
      </c>
      <c r="AW1216" s="65" t="e">
        <f t="shared" ca="1" si="200"/>
        <v>#VALUE!</v>
      </c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</row>
    <row r="1217" spans="1:68" ht="19" x14ac:dyDescent="0.25">
      <c r="A1217" s="5"/>
      <c r="B1217" s="5"/>
      <c r="C1217" s="5"/>
      <c r="D1217" s="5"/>
      <c r="E1217" s="5"/>
      <c r="F1217" s="5"/>
      <c r="G1217" s="5"/>
      <c r="H1217" s="6"/>
      <c r="I1217" s="5"/>
      <c r="J1217" s="88"/>
      <c r="K1217" s="88"/>
      <c r="L1217" s="88"/>
      <c r="M1217" s="88"/>
      <c r="N1217" s="88"/>
      <c r="O1217" s="88"/>
      <c r="P1217" s="88"/>
      <c r="Q1217" s="89"/>
      <c r="R1217" s="88"/>
      <c r="S1217" s="88"/>
      <c r="T1217" s="90"/>
      <c r="U1217" s="6"/>
      <c r="V1217" s="44">
        <v>45686</v>
      </c>
      <c r="W1217" s="45">
        <v>228.63</v>
      </c>
      <c r="X1217" s="91"/>
      <c r="Y1217" s="77"/>
      <c r="Z1217" s="5"/>
      <c r="AA1217" s="5"/>
      <c r="AB1217" s="5"/>
      <c r="AC1217" s="5"/>
      <c r="AD1217" s="5"/>
      <c r="AE1217" s="5"/>
      <c r="AF1217" s="5"/>
      <c r="AG1217" s="5"/>
      <c r="AH1217" s="6"/>
      <c r="AI1217" s="44">
        <v>45686</v>
      </c>
      <c r="AJ1217" s="53">
        <v>228.63</v>
      </c>
      <c r="AK1217" s="54">
        <f t="shared" si="198"/>
        <v>1.3161393246476916E-2</v>
      </c>
      <c r="AL1217" s="55">
        <f t="shared" si="201"/>
        <v>13.722537330579568</v>
      </c>
      <c r="AM1217" s="56">
        <v>25</v>
      </c>
      <c r="AN1217" s="57">
        <f t="shared" si="199"/>
        <v>11.277462669420432</v>
      </c>
      <c r="AO1217" s="76">
        <f t="shared" si="202"/>
        <v>12.122773098447139</v>
      </c>
      <c r="AP1217" s="63" t="str">
        <f t="shared" si="203"/>
        <v>Buy Stocks</v>
      </c>
      <c r="AQ1217" s="63" t="str">
        <f t="shared" si="204"/>
        <v/>
      </c>
      <c r="AR1217" s="63" t="str">
        <f t="shared" si="205"/>
        <v/>
      </c>
      <c r="AS1217" s="63" t="str">
        <f t="shared" si="206"/>
        <v/>
      </c>
      <c r="AT1217" s="78" t="str">
        <f t="shared" si="207"/>
        <v/>
      </c>
      <c r="AU1217" s="78" t="str">
        <f t="shared" si="208"/>
        <v/>
      </c>
      <c r="AV1217" s="64" t="str">
        <f ca="1">IFERROR(__xludf.DUMMYFUNCTION("IF(TRIM(AU1217)="""","""",AU1217/INDEX(FILTER(AT$3:AT1217,TRIM(AT$3:AT1217)&lt;&gt;""""),ROWS(FILTER(AT$3:AT1217,TRIM(AT$3:AT1217)&lt;&gt;"""")))-1)"),"")</f>
        <v/>
      </c>
      <c r="AW1217" s="65" t="e">
        <f t="shared" ca="1" si="200"/>
        <v>#VALUE!</v>
      </c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</row>
    <row r="1218" spans="1:68" ht="19" x14ac:dyDescent="0.25">
      <c r="A1218" s="5"/>
      <c r="B1218" s="5"/>
      <c r="C1218" s="5"/>
      <c r="D1218" s="5"/>
      <c r="E1218" s="5"/>
      <c r="F1218" s="5"/>
      <c r="G1218" s="5"/>
      <c r="H1218" s="6"/>
      <c r="I1218" s="5"/>
      <c r="J1218" s="88"/>
      <c r="K1218" s="88"/>
      <c r="L1218" s="88"/>
      <c r="M1218" s="88"/>
      <c r="N1218" s="88"/>
      <c r="O1218" s="88"/>
      <c r="P1218" s="88"/>
      <c r="Q1218" s="89"/>
      <c r="R1218" s="88"/>
      <c r="S1218" s="88"/>
      <c r="T1218" s="90"/>
      <c r="U1218" s="6"/>
      <c r="V1218" s="44">
        <v>45687</v>
      </c>
      <c r="W1218" s="45">
        <v>258.27</v>
      </c>
      <c r="X1218" s="91"/>
      <c r="Y1218" s="77"/>
      <c r="Z1218" s="5"/>
      <c r="AA1218" s="5"/>
      <c r="AB1218" s="5"/>
      <c r="AC1218" s="5"/>
      <c r="AD1218" s="5"/>
      <c r="AE1218" s="5"/>
      <c r="AF1218" s="5"/>
      <c r="AG1218" s="5"/>
      <c r="AH1218" s="6"/>
      <c r="AI1218" s="44">
        <v>45687</v>
      </c>
      <c r="AJ1218" s="53">
        <v>258.27</v>
      </c>
      <c r="AK1218" s="54">
        <f t="shared" si="198"/>
        <v>0.12964177929405585</v>
      </c>
      <c r="AL1218" s="55">
        <f t="shared" si="201"/>
        <v>90.777929480107517</v>
      </c>
      <c r="AM1218" s="56">
        <v>25</v>
      </c>
      <c r="AN1218" s="57">
        <f t="shared" si="199"/>
        <v>-65.777929480107517</v>
      </c>
      <c r="AO1218" s="76">
        <f t="shared" si="202"/>
        <v>-3.436924387404082</v>
      </c>
      <c r="AP1218" s="63" t="str">
        <f t="shared" si="203"/>
        <v/>
      </c>
      <c r="AQ1218" s="63" t="str">
        <f t="shared" si="204"/>
        <v>Sell Stocks</v>
      </c>
      <c r="AR1218" s="63" t="str">
        <f t="shared" si="205"/>
        <v/>
      </c>
      <c r="AS1218" s="63" t="str">
        <f t="shared" si="206"/>
        <v>Sell Stocks</v>
      </c>
      <c r="AT1218" s="78" t="str">
        <f t="shared" si="207"/>
        <v/>
      </c>
      <c r="AU1218" s="77">
        <f t="shared" si="208"/>
        <v>258.27</v>
      </c>
      <c r="AV1218" s="64">
        <f ca="1">IFERROR(__xludf.DUMMYFUNCTION("IF(TRIM(AU1218)="""","""",AU1218/INDEX(FILTER(AT$3:AT1218,TRIM(AT$3:AT1218)&lt;&gt;""""),ROWS(FILTER(AT$3:AT1218,TRIM(AT$3:AT1218)&lt;&gt;"""")))-1)"),0.172622020431328)</f>
        <v>0.17262202043132799</v>
      </c>
      <c r="AW1218" s="65" t="e">
        <f t="shared" ca="1" si="200"/>
        <v>#VALUE!</v>
      </c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</row>
    <row r="1219" spans="1:68" ht="19" x14ac:dyDescent="0.25">
      <c r="A1219" s="5"/>
      <c r="B1219" s="5"/>
      <c r="C1219" s="5"/>
      <c r="D1219" s="5"/>
      <c r="E1219" s="5"/>
      <c r="F1219" s="5"/>
      <c r="G1219" s="5"/>
      <c r="H1219" s="6"/>
      <c r="I1219" s="5"/>
      <c r="J1219" s="88"/>
      <c r="K1219" s="88"/>
      <c r="L1219" s="88"/>
      <c r="M1219" s="88"/>
      <c r="N1219" s="88"/>
      <c r="O1219" s="88"/>
      <c r="P1219" s="88"/>
      <c r="Q1219" s="89"/>
      <c r="R1219" s="88"/>
      <c r="S1219" s="88"/>
      <c r="T1219" s="90"/>
      <c r="U1219" s="6"/>
      <c r="V1219" s="44">
        <v>45688</v>
      </c>
      <c r="W1219" s="45">
        <v>255.7</v>
      </c>
      <c r="X1219" s="91"/>
      <c r="Y1219" s="77"/>
      <c r="Z1219" s="5"/>
      <c r="AA1219" s="5"/>
      <c r="AB1219" s="5"/>
      <c r="AC1219" s="5"/>
      <c r="AD1219" s="5"/>
      <c r="AE1219" s="5"/>
      <c r="AF1219" s="5"/>
      <c r="AG1219" s="5"/>
      <c r="AH1219" s="6"/>
      <c r="AI1219" s="44">
        <v>45688</v>
      </c>
      <c r="AJ1219" s="53">
        <v>255.7</v>
      </c>
      <c r="AK1219" s="54">
        <f t="shared" ref="AK1219:AK1282" si="209">AJ1219/AJ1218-1</f>
        <v>-9.95082665427649E-3</v>
      </c>
      <c r="AL1219" s="55">
        <f t="shared" si="201"/>
        <v>91.871542077765653</v>
      </c>
      <c r="AM1219" s="56">
        <v>25</v>
      </c>
      <c r="AN1219" s="57">
        <f t="shared" ref="AN1219:AN1282" si="210">AM1219-AL1219</f>
        <v>-66.871542077765653</v>
      </c>
      <c r="AO1219" s="76">
        <f t="shared" si="202"/>
        <v>-19.139697330134759</v>
      </c>
      <c r="AP1219" s="63" t="str">
        <f t="shared" si="203"/>
        <v/>
      </c>
      <c r="AQ1219" s="63" t="str">
        <f t="shared" si="204"/>
        <v>Sell Stocks</v>
      </c>
      <c r="AR1219" s="63" t="str">
        <f t="shared" si="205"/>
        <v/>
      </c>
      <c r="AS1219" s="63" t="str">
        <f t="shared" si="206"/>
        <v/>
      </c>
      <c r="AT1219" s="78" t="str">
        <f t="shared" si="207"/>
        <v/>
      </c>
      <c r="AU1219" s="78" t="str">
        <f t="shared" si="208"/>
        <v/>
      </c>
      <c r="AV1219" s="64" t="str">
        <f ca="1">IFERROR(__xludf.DUMMYFUNCTION("IF(TRIM(AU1219)="""","""",AU1219/INDEX(FILTER(AT$3:AT1219,TRIM(AT$3:AT1219)&lt;&gt;""""),ROWS(FILTER(AT$3:AT1219,TRIM(AT$3:AT1219)&lt;&gt;"""")))-1)"),"")</f>
        <v/>
      </c>
      <c r="AW1219" s="65" t="e">
        <f t="shared" ref="AW1219:AW1282" ca="1" si="211">AW1218*(1+AV1219)</f>
        <v>#VALUE!</v>
      </c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</row>
    <row r="1220" spans="1:68" ht="19" x14ac:dyDescent="0.25">
      <c r="A1220" s="5"/>
      <c r="B1220" s="5"/>
      <c r="C1220" s="5"/>
      <c r="D1220" s="5"/>
      <c r="E1220" s="5"/>
      <c r="F1220" s="5"/>
      <c r="G1220" s="5"/>
      <c r="H1220" s="6"/>
      <c r="I1220" s="5"/>
      <c r="J1220" s="88"/>
      <c r="K1220" s="88"/>
      <c r="L1220" s="88"/>
      <c r="M1220" s="88"/>
      <c r="N1220" s="88"/>
      <c r="O1220" s="88"/>
      <c r="P1220" s="88"/>
      <c r="Q1220" s="89"/>
      <c r="R1220" s="88"/>
      <c r="S1220" s="88"/>
      <c r="T1220" s="90"/>
      <c r="U1220" s="6"/>
      <c r="V1220" s="44">
        <v>45691</v>
      </c>
      <c r="W1220" s="45">
        <v>260.73</v>
      </c>
      <c r="X1220" s="91"/>
      <c r="Y1220" s="77"/>
      <c r="Z1220" s="5"/>
      <c r="AA1220" s="5"/>
      <c r="AB1220" s="5"/>
      <c r="AC1220" s="5"/>
      <c r="AD1220" s="5"/>
      <c r="AE1220" s="5"/>
      <c r="AF1220" s="5"/>
      <c r="AG1220" s="5"/>
      <c r="AH1220" s="6"/>
      <c r="AI1220" s="44">
        <v>45691</v>
      </c>
      <c r="AJ1220" s="53">
        <v>260.73</v>
      </c>
      <c r="AK1220" s="54">
        <f t="shared" si="209"/>
        <v>1.9671490027376004E-2</v>
      </c>
      <c r="AL1220" s="55">
        <f t="shared" si="201"/>
        <v>88.507678032241941</v>
      </c>
      <c r="AM1220" s="56">
        <v>25</v>
      </c>
      <c r="AN1220" s="57">
        <f t="shared" si="210"/>
        <v>-63.507678032241941</v>
      </c>
      <c r="AO1220" s="76">
        <f t="shared" si="202"/>
        <v>-34.498118177585681</v>
      </c>
      <c r="AP1220" s="63" t="str">
        <f t="shared" si="203"/>
        <v/>
      </c>
      <c r="AQ1220" s="63" t="str">
        <f t="shared" si="204"/>
        <v>Sell Stocks</v>
      </c>
      <c r="AR1220" s="63" t="str">
        <f t="shared" si="205"/>
        <v/>
      </c>
      <c r="AS1220" s="63" t="str">
        <f t="shared" si="206"/>
        <v/>
      </c>
      <c r="AT1220" s="78" t="str">
        <f t="shared" si="207"/>
        <v/>
      </c>
      <c r="AU1220" s="78" t="str">
        <f t="shared" si="208"/>
        <v/>
      </c>
      <c r="AV1220" s="64" t="str">
        <f ca="1">IFERROR(__xludf.DUMMYFUNCTION("IF(TRIM(AU1220)="""","""",AU1220/INDEX(FILTER(AT$3:AT1220,TRIM(AT$3:AT1220)&lt;&gt;""""),ROWS(FILTER(AT$3:AT1220,TRIM(AT$3:AT1220)&lt;&gt;"""")))-1)"),"")</f>
        <v/>
      </c>
      <c r="AW1220" s="65" t="e">
        <f t="shared" ca="1" si="211"/>
        <v>#VALUE!</v>
      </c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</row>
    <row r="1221" spans="1:68" ht="19" x14ac:dyDescent="0.25">
      <c r="A1221" s="5"/>
      <c r="B1221" s="5"/>
      <c r="C1221" s="5"/>
      <c r="D1221" s="5"/>
      <c r="E1221" s="5"/>
      <c r="F1221" s="5"/>
      <c r="G1221" s="5"/>
      <c r="H1221" s="6"/>
      <c r="I1221" s="5"/>
      <c r="J1221" s="88"/>
      <c r="K1221" s="88"/>
      <c r="L1221" s="88"/>
      <c r="M1221" s="88"/>
      <c r="N1221" s="88"/>
      <c r="O1221" s="88"/>
      <c r="P1221" s="88"/>
      <c r="Q1221" s="89"/>
      <c r="R1221" s="88"/>
      <c r="S1221" s="88"/>
      <c r="T1221" s="90"/>
      <c r="U1221" s="6"/>
      <c r="V1221" s="44">
        <v>45692</v>
      </c>
      <c r="W1221" s="45">
        <v>264.45999999999998</v>
      </c>
      <c r="X1221" s="91"/>
      <c r="Y1221" s="77"/>
      <c r="Z1221" s="5"/>
      <c r="AA1221" s="5"/>
      <c r="AB1221" s="5"/>
      <c r="AC1221" s="5"/>
      <c r="AD1221" s="5"/>
      <c r="AE1221" s="5"/>
      <c r="AF1221" s="5"/>
      <c r="AG1221" s="5"/>
      <c r="AH1221" s="6"/>
      <c r="AI1221" s="44">
        <v>45692</v>
      </c>
      <c r="AJ1221" s="53">
        <v>264.45999999999998</v>
      </c>
      <c r="AK1221" s="54">
        <f t="shared" si="209"/>
        <v>1.4305987036397738E-2</v>
      </c>
      <c r="AL1221" s="55">
        <f t="shared" si="201"/>
        <v>87.325749229355253</v>
      </c>
      <c r="AM1221" s="56">
        <v>25</v>
      </c>
      <c r="AN1221" s="57">
        <f t="shared" si="210"/>
        <v>-62.325749229355253</v>
      </c>
      <c r="AO1221" s="76">
        <f t="shared" si="202"/>
        <v>-49.441087230009984</v>
      </c>
      <c r="AP1221" s="63" t="str">
        <f t="shared" si="203"/>
        <v/>
      </c>
      <c r="AQ1221" s="63" t="str">
        <f t="shared" si="204"/>
        <v>Sell Stocks</v>
      </c>
      <c r="AR1221" s="63" t="str">
        <f t="shared" si="205"/>
        <v/>
      </c>
      <c r="AS1221" s="63" t="str">
        <f t="shared" si="206"/>
        <v/>
      </c>
      <c r="AT1221" s="78" t="str">
        <f t="shared" si="207"/>
        <v/>
      </c>
      <c r="AU1221" s="78" t="str">
        <f t="shared" si="208"/>
        <v/>
      </c>
      <c r="AV1221" s="64" t="str">
        <f ca="1">IFERROR(__xludf.DUMMYFUNCTION("IF(TRIM(AU1221)="""","""",AU1221/INDEX(FILTER(AT$3:AT1221,TRIM(AT$3:AT1221)&lt;&gt;""""),ROWS(FILTER(AT$3:AT1221,TRIM(AT$3:AT1221)&lt;&gt;"""")))-1)"),"")</f>
        <v/>
      </c>
      <c r="AW1221" s="65" t="e">
        <f t="shared" ca="1" si="211"/>
        <v>#VALUE!</v>
      </c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</row>
    <row r="1222" spans="1:68" ht="19" x14ac:dyDescent="0.25">
      <c r="A1222" s="5"/>
      <c r="B1222" s="5"/>
      <c r="C1222" s="5"/>
      <c r="D1222" s="5"/>
      <c r="E1222" s="5"/>
      <c r="F1222" s="5"/>
      <c r="G1222" s="5"/>
      <c r="H1222" s="6"/>
      <c r="I1222" s="5"/>
      <c r="J1222" s="88"/>
      <c r="K1222" s="88"/>
      <c r="L1222" s="88"/>
      <c r="M1222" s="88"/>
      <c r="N1222" s="88"/>
      <c r="O1222" s="88"/>
      <c r="P1222" s="88"/>
      <c r="Q1222" s="89"/>
      <c r="R1222" s="88"/>
      <c r="S1222" s="88"/>
      <c r="T1222" s="90"/>
      <c r="U1222" s="6"/>
      <c r="V1222" s="44">
        <v>45693</v>
      </c>
      <c r="W1222" s="45">
        <v>263.3</v>
      </c>
      <c r="X1222" s="91"/>
      <c r="Y1222" s="77"/>
      <c r="Z1222" s="5"/>
      <c r="AA1222" s="5"/>
      <c r="AB1222" s="5"/>
      <c r="AC1222" s="5"/>
      <c r="AD1222" s="5"/>
      <c r="AE1222" s="5"/>
      <c r="AF1222" s="5"/>
      <c r="AG1222" s="5"/>
      <c r="AH1222" s="6"/>
      <c r="AI1222" s="44">
        <v>45693</v>
      </c>
      <c r="AJ1222" s="53">
        <v>263.3</v>
      </c>
      <c r="AK1222" s="54">
        <f t="shared" si="209"/>
        <v>-4.386296604401263E-3</v>
      </c>
      <c r="AL1222" s="55">
        <f t="shared" si="201"/>
        <v>90.706690759798718</v>
      </c>
      <c r="AM1222" s="56">
        <v>25</v>
      </c>
      <c r="AN1222" s="57">
        <f t="shared" si="210"/>
        <v>-65.706690759798718</v>
      </c>
      <c r="AO1222" s="76">
        <f t="shared" si="202"/>
        <v>-64.837917915853822</v>
      </c>
      <c r="AP1222" s="63" t="str">
        <f t="shared" si="203"/>
        <v/>
      </c>
      <c r="AQ1222" s="63" t="str">
        <f t="shared" si="204"/>
        <v>Sell Stocks</v>
      </c>
      <c r="AR1222" s="63" t="str">
        <f t="shared" si="205"/>
        <v/>
      </c>
      <c r="AS1222" s="63" t="str">
        <f t="shared" si="206"/>
        <v/>
      </c>
      <c r="AT1222" s="78" t="str">
        <f t="shared" si="207"/>
        <v/>
      </c>
      <c r="AU1222" s="78" t="str">
        <f t="shared" si="208"/>
        <v/>
      </c>
      <c r="AV1222" s="64" t="str">
        <f ca="1">IFERROR(__xludf.DUMMYFUNCTION("IF(TRIM(AU1222)="""","""",AU1222/INDEX(FILTER(AT$3:AT1222,TRIM(AT$3:AT1222)&lt;&gt;""""),ROWS(FILTER(AT$3:AT1222,TRIM(AT$3:AT1222)&lt;&gt;"""")))-1)"),"")</f>
        <v/>
      </c>
      <c r="AW1222" s="65" t="e">
        <f t="shared" ca="1" si="211"/>
        <v>#VALUE!</v>
      </c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</row>
    <row r="1223" spans="1:68" ht="19" x14ac:dyDescent="0.25">
      <c r="A1223" s="5"/>
      <c r="B1223" s="5"/>
      <c r="C1223" s="5"/>
      <c r="D1223" s="5"/>
      <c r="E1223" s="5"/>
      <c r="F1223" s="5"/>
      <c r="G1223" s="5"/>
      <c r="H1223" s="6"/>
      <c r="I1223" s="5"/>
      <c r="J1223" s="88"/>
      <c r="K1223" s="88"/>
      <c r="L1223" s="88"/>
      <c r="M1223" s="88"/>
      <c r="N1223" s="88"/>
      <c r="O1223" s="88"/>
      <c r="P1223" s="88"/>
      <c r="Q1223" s="89"/>
      <c r="R1223" s="88"/>
      <c r="S1223" s="88"/>
      <c r="T1223" s="90"/>
      <c r="U1223" s="6"/>
      <c r="V1223" s="44">
        <v>45694</v>
      </c>
      <c r="W1223" s="45">
        <v>253.44</v>
      </c>
      <c r="X1223" s="91"/>
      <c r="Y1223" s="77"/>
      <c r="Z1223" s="5"/>
      <c r="AA1223" s="5"/>
      <c r="AB1223" s="5"/>
      <c r="AC1223" s="5"/>
      <c r="AD1223" s="5"/>
      <c r="AE1223" s="5"/>
      <c r="AF1223" s="5"/>
      <c r="AG1223" s="5"/>
      <c r="AH1223" s="6"/>
      <c r="AI1223" s="44">
        <v>45694</v>
      </c>
      <c r="AJ1223" s="53">
        <v>253.44</v>
      </c>
      <c r="AK1223" s="54">
        <f t="shared" si="209"/>
        <v>-3.7447778199772186E-2</v>
      </c>
      <c r="AL1223" s="55">
        <f t="shared" ref="AL1223:AL1286" si="212">_xlfn.STDEV.S(AK1219:AK1223)*SQRT(252)*100</f>
        <v>35.926948223094577</v>
      </c>
      <c r="AM1223" s="56">
        <v>25</v>
      </c>
      <c r="AN1223" s="57">
        <f t="shared" si="210"/>
        <v>-10.926948223094577</v>
      </c>
      <c r="AO1223" s="76">
        <f t="shared" ref="AO1223:AO1286" si="213">AVERAGE(AN1219:AN1223)</f>
        <v>-53.867721664451231</v>
      </c>
      <c r="AP1223" s="63" t="str">
        <f t="shared" ref="AP1223:AP1286" si="214">IF(AO1223&gt;0,"Buy Stocks","")</f>
        <v/>
      </c>
      <c r="AQ1223" s="63" t="str">
        <f t="shared" ref="AQ1223:AQ1286" si="215">IF(AO1223&lt;0,"Sell Stocks","")</f>
        <v>Sell Stocks</v>
      </c>
      <c r="AR1223" s="63" t="str">
        <f t="shared" ref="AR1223:AR1286" si="216">IF(AND(AP1223="Buy Stocks",AP1222=""),"Buy Stocks","")</f>
        <v/>
      </c>
      <c r="AS1223" s="63" t="str">
        <f t="shared" ref="AS1223:AS1286" si="217">IF(AND(AQ1223="Sell Stocks",AQ1222=""),"Sell Stocks","")</f>
        <v/>
      </c>
      <c r="AT1223" s="78" t="str">
        <f t="shared" ref="AT1223:AT1286" si="218">IF(AR1223="Buy Stocks",AJ1223,"")</f>
        <v/>
      </c>
      <c r="AU1223" s="78" t="str">
        <f t="shared" ref="AU1223:AU1286" si="219">IF(AS1223="Sell Stocks",AJ1223,"")</f>
        <v/>
      </c>
      <c r="AV1223" s="64" t="str">
        <f ca="1">IFERROR(__xludf.DUMMYFUNCTION("IF(TRIM(AU1223)="""","""",AU1223/INDEX(FILTER(AT$3:AT1223,TRIM(AT$3:AT1223)&lt;&gt;""""),ROWS(FILTER(AT$3:AT1223,TRIM(AT$3:AT1223)&lt;&gt;"""")))-1)"),"")</f>
        <v/>
      </c>
      <c r="AW1223" s="65" t="e">
        <f t="shared" ca="1" si="211"/>
        <v>#VALUE!</v>
      </c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</row>
    <row r="1224" spans="1:68" ht="19" x14ac:dyDescent="0.25">
      <c r="A1224" s="5"/>
      <c r="B1224" s="5"/>
      <c r="C1224" s="5"/>
      <c r="D1224" s="5"/>
      <c r="E1224" s="5"/>
      <c r="F1224" s="5"/>
      <c r="G1224" s="5"/>
      <c r="H1224" s="6"/>
      <c r="I1224" s="5"/>
      <c r="J1224" s="88"/>
      <c r="K1224" s="88"/>
      <c r="L1224" s="88"/>
      <c r="M1224" s="88"/>
      <c r="N1224" s="88"/>
      <c r="O1224" s="88"/>
      <c r="P1224" s="88"/>
      <c r="Q1224" s="89"/>
      <c r="R1224" s="88"/>
      <c r="S1224" s="88"/>
      <c r="T1224" s="90"/>
      <c r="U1224" s="6"/>
      <c r="V1224" s="44">
        <v>45695</v>
      </c>
      <c r="W1224" s="45">
        <v>252.34</v>
      </c>
      <c r="X1224" s="91"/>
      <c r="Y1224" s="77"/>
      <c r="Z1224" s="5"/>
      <c r="AA1224" s="5"/>
      <c r="AB1224" s="5"/>
      <c r="AC1224" s="5"/>
      <c r="AD1224" s="5"/>
      <c r="AE1224" s="5"/>
      <c r="AF1224" s="5"/>
      <c r="AG1224" s="5"/>
      <c r="AH1224" s="6"/>
      <c r="AI1224" s="44">
        <v>45695</v>
      </c>
      <c r="AJ1224" s="53">
        <v>252.34</v>
      </c>
      <c r="AK1224" s="54">
        <f t="shared" si="209"/>
        <v>-4.3402777777777901E-3</v>
      </c>
      <c r="AL1224" s="55">
        <f t="shared" si="212"/>
        <v>35.516792239239322</v>
      </c>
      <c r="AM1224" s="56">
        <v>25</v>
      </c>
      <c r="AN1224" s="57">
        <f t="shared" si="210"/>
        <v>-10.516792239239322</v>
      </c>
      <c r="AO1224" s="76">
        <f t="shared" si="213"/>
        <v>-42.596771696745961</v>
      </c>
      <c r="AP1224" s="63" t="str">
        <f t="shared" si="214"/>
        <v/>
      </c>
      <c r="AQ1224" s="63" t="str">
        <f t="shared" si="215"/>
        <v>Sell Stocks</v>
      </c>
      <c r="AR1224" s="63" t="str">
        <f t="shared" si="216"/>
        <v/>
      </c>
      <c r="AS1224" s="63" t="str">
        <f t="shared" si="217"/>
        <v/>
      </c>
      <c r="AT1224" s="78" t="str">
        <f t="shared" si="218"/>
        <v/>
      </c>
      <c r="AU1224" s="78" t="str">
        <f t="shared" si="219"/>
        <v/>
      </c>
      <c r="AV1224" s="64" t="str">
        <f ca="1">IFERROR(__xludf.DUMMYFUNCTION("IF(TRIM(AU1224)="""","""",AU1224/INDEX(FILTER(AT$3:AT1224,TRIM(AT$3:AT1224)&lt;&gt;""""),ROWS(FILTER(AT$3:AT1224,TRIM(AT$3:AT1224)&lt;&gt;"""")))-1)"),"")</f>
        <v/>
      </c>
      <c r="AW1224" s="65" t="e">
        <f t="shared" ca="1" si="211"/>
        <v>#VALUE!</v>
      </c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</row>
    <row r="1225" spans="1:68" ht="19" x14ac:dyDescent="0.25">
      <c r="A1225" s="5"/>
      <c r="B1225" s="5"/>
      <c r="C1225" s="5"/>
      <c r="D1225" s="5"/>
      <c r="E1225" s="5"/>
      <c r="F1225" s="5"/>
      <c r="G1225" s="5"/>
      <c r="H1225" s="6"/>
      <c r="I1225" s="5"/>
      <c r="J1225" s="88"/>
      <c r="K1225" s="88"/>
      <c r="L1225" s="88"/>
      <c r="M1225" s="88"/>
      <c r="N1225" s="88"/>
      <c r="O1225" s="88"/>
      <c r="P1225" s="88"/>
      <c r="Q1225" s="89"/>
      <c r="R1225" s="88"/>
      <c r="S1225" s="88"/>
      <c r="T1225" s="90"/>
      <c r="U1225" s="6"/>
      <c r="V1225" s="44">
        <v>45698</v>
      </c>
      <c r="W1225" s="45">
        <v>249.27</v>
      </c>
      <c r="X1225" s="91"/>
      <c r="Y1225" s="77"/>
      <c r="Z1225" s="5"/>
      <c r="AA1225" s="5"/>
      <c r="AB1225" s="5"/>
      <c r="AC1225" s="5"/>
      <c r="AD1225" s="5"/>
      <c r="AE1225" s="5"/>
      <c r="AF1225" s="5"/>
      <c r="AG1225" s="5"/>
      <c r="AH1225" s="6"/>
      <c r="AI1225" s="44">
        <v>45698</v>
      </c>
      <c r="AJ1225" s="53">
        <v>249.27</v>
      </c>
      <c r="AK1225" s="54">
        <f t="shared" si="209"/>
        <v>-1.2166125069350886E-2</v>
      </c>
      <c r="AL1225" s="55">
        <f t="shared" si="212"/>
        <v>29.754459235939706</v>
      </c>
      <c r="AM1225" s="56">
        <v>25</v>
      </c>
      <c r="AN1225" s="57">
        <f t="shared" si="210"/>
        <v>-4.7544592359397058</v>
      </c>
      <c r="AO1225" s="76">
        <f t="shared" si="213"/>
        <v>-30.846127937485516</v>
      </c>
      <c r="AP1225" s="63" t="str">
        <f t="shared" si="214"/>
        <v/>
      </c>
      <c r="AQ1225" s="63" t="str">
        <f t="shared" si="215"/>
        <v>Sell Stocks</v>
      </c>
      <c r="AR1225" s="63" t="str">
        <f t="shared" si="216"/>
        <v/>
      </c>
      <c r="AS1225" s="63" t="str">
        <f t="shared" si="217"/>
        <v/>
      </c>
      <c r="AT1225" s="78" t="str">
        <f t="shared" si="218"/>
        <v/>
      </c>
      <c r="AU1225" s="78" t="str">
        <f t="shared" si="219"/>
        <v/>
      </c>
      <c r="AV1225" s="64" t="str">
        <f ca="1">IFERROR(__xludf.DUMMYFUNCTION("IF(TRIM(AU1225)="""","""",AU1225/INDEX(FILTER(AT$3:AT1225,TRIM(AT$3:AT1225)&lt;&gt;""""),ROWS(FILTER(AT$3:AT1225,TRIM(AT$3:AT1225)&lt;&gt;"""")))-1)"),"")</f>
        <v/>
      </c>
      <c r="AW1225" s="65" t="e">
        <f t="shared" ca="1" si="211"/>
        <v>#VALUE!</v>
      </c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</row>
    <row r="1226" spans="1:68" ht="19" x14ac:dyDescent="0.25">
      <c r="A1226" s="5"/>
      <c r="B1226" s="5"/>
      <c r="C1226" s="5"/>
      <c r="D1226" s="5"/>
      <c r="E1226" s="5"/>
      <c r="F1226" s="5"/>
      <c r="G1226" s="5"/>
      <c r="H1226" s="6"/>
      <c r="I1226" s="5"/>
      <c r="J1226" s="88"/>
      <c r="K1226" s="88"/>
      <c r="L1226" s="88"/>
      <c r="M1226" s="88"/>
      <c r="N1226" s="88"/>
      <c r="O1226" s="88"/>
      <c r="P1226" s="88"/>
      <c r="Q1226" s="89"/>
      <c r="R1226" s="88"/>
      <c r="S1226" s="88"/>
      <c r="T1226" s="90"/>
      <c r="U1226" s="6"/>
      <c r="V1226" s="44">
        <v>45699</v>
      </c>
      <c r="W1226" s="45">
        <v>254.7</v>
      </c>
      <c r="X1226" s="91"/>
      <c r="Y1226" s="77"/>
      <c r="Z1226" s="5"/>
      <c r="AA1226" s="5"/>
      <c r="AB1226" s="5"/>
      <c r="AC1226" s="5"/>
      <c r="AD1226" s="5"/>
      <c r="AE1226" s="5"/>
      <c r="AF1226" s="5"/>
      <c r="AG1226" s="5"/>
      <c r="AH1226" s="6"/>
      <c r="AI1226" s="44">
        <v>45699</v>
      </c>
      <c r="AJ1226" s="53">
        <v>254.7</v>
      </c>
      <c r="AK1226" s="54">
        <f t="shared" si="209"/>
        <v>2.1783608135756305E-2</v>
      </c>
      <c r="AL1226" s="55">
        <f t="shared" si="212"/>
        <v>33.634416205593361</v>
      </c>
      <c r="AM1226" s="56">
        <v>25</v>
      </c>
      <c r="AN1226" s="57">
        <f t="shared" si="210"/>
        <v>-8.6344162055933609</v>
      </c>
      <c r="AO1226" s="76">
        <f t="shared" si="213"/>
        <v>-20.107861332733137</v>
      </c>
      <c r="AP1226" s="63" t="str">
        <f t="shared" si="214"/>
        <v/>
      </c>
      <c r="AQ1226" s="63" t="str">
        <f t="shared" si="215"/>
        <v>Sell Stocks</v>
      </c>
      <c r="AR1226" s="63" t="str">
        <f t="shared" si="216"/>
        <v/>
      </c>
      <c r="AS1226" s="63" t="str">
        <f t="shared" si="217"/>
        <v/>
      </c>
      <c r="AT1226" s="78" t="str">
        <f t="shared" si="218"/>
        <v/>
      </c>
      <c r="AU1226" s="78" t="str">
        <f t="shared" si="219"/>
        <v/>
      </c>
      <c r="AV1226" s="64" t="str">
        <f ca="1">IFERROR(__xludf.DUMMYFUNCTION("IF(TRIM(AU1226)="""","""",AU1226/INDEX(FILTER(AT$3:AT1226,TRIM(AT$3:AT1226)&lt;&gt;""""),ROWS(FILTER(AT$3:AT1226,TRIM(AT$3:AT1226)&lt;&gt;"""")))-1)"),"")</f>
        <v/>
      </c>
      <c r="AW1226" s="65" t="e">
        <f t="shared" ca="1" si="211"/>
        <v>#VALUE!</v>
      </c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</row>
    <row r="1227" spans="1:68" ht="19" x14ac:dyDescent="0.25">
      <c r="A1227" s="5"/>
      <c r="B1227" s="5"/>
      <c r="C1227" s="5"/>
      <c r="D1227" s="5"/>
      <c r="E1227" s="5"/>
      <c r="F1227" s="5"/>
      <c r="G1227" s="5"/>
      <c r="H1227" s="6"/>
      <c r="I1227" s="5"/>
      <c r="J1227" s="88"/>
      <c r="K1227" s="88"/>
      <c r="L1227" s="88"/>
      <c r="M1227" s="88"/>
      <c r="N1227" s="88"/>
      <c r="O1227" s="88"/>
      <c r="P1227" s="88"/>
      <c r="Q1227" s="89"/>
      <c r="R1227" s="88"/>
      <c r="S1227" s="88"/>
      <c r="T1227" s="90"/>
      <c r="U1227" s="6"/>
      <c r="V1227" s="44">
        <v>45700</v>
      </c>
      <c r="W1227" s="45">
        <v>255.81</v>
      </c>
      <c r="X1227" s="91"/>
      <c r="Y1227" s="77"/>
      <c r="Z1227" s="5"/>
      <c r="AA1227" s="5"/>
      <c r="AB1227" s="5"/>
      <c r="AC1227" s="5"/>
      <c r="AD1227" s="5"/>
      <c r="AE1227" s="5"/>
      <c r="AF1227" s="5"/>
      <c r="AG1227" s="5"/>
      <c r="AH1227" s="6"/>
      <c r="AI1227" s="44">
        <v>45700</v>
      </c>
      <c r="AJ1227" s="53">
        <v>255.81</v>
      </c>
      <c r="AK1227" s="54">
        <f t="shared" si="209"/>
        <v>4.358068315665653E-3</v>
      </c>
      <c r="AL1227" s="55">
        <f t="shared" si="212"/>
        <v>34.670448175246818</v>
      </c>
      <c r="AM1227" s="56">
        <v>25</v>
      </c>
      <c r="AN1227" s="57">
        <f t="shared" si="210"/>
        <v>-9.6704481752468183</v>
      </c>
      <c r="AO1227" s="76">
        <f t="shared" si="213"/>
        <v>-8.9006128158227575</v>
      </c>
      <c r="AP1227" s="63" t="str">
        <f t="shared" si="214"/>
        <v/>
      </c>
      <c r="AQ1227" s="63" t="str">
        <f t="shared" si="215"/>
        <v>Sell Stocks</v>
      </c>
      <c r="AR1227" s="63" t="str">
        <f t="shared" si="216"/>
        <v/>
      </c>
      <c r="AS1227" s="63" t="str">
        <f t="shared" si="217"/>
        <v/>
      </c>
      <c r="AT1227" s="78" t="str">
        <f t="shared" si="218"/>
        <v/>
      </c>
      <c r="AU1227" s="78" t="str">
        <f t="shared" si="219"/>
        <v/>
      </c>
      <c r="AV1227" s="64" t="str">
        <f ca="1">IFERROR(__xludf.DUMMYFUNCTION("IF(TRIM(AU1227)="""","""",AU1227/INDEX(FILTER(AT$3:AT1227,TRIM(AT$3:AT1227)&lt;&gt;""""),ROWS(FILTER(AT$3:AT1227,TRIM(AT$3:AT1227)&lt;&gt;"""")))-1)"),"")</f>
        <v/>
      </c>
      <c r="AW1227" s="65" t="e">
        <f t="shared" ca="1" si="211"/>
        <v>#VALUE!</v>
      </c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</row>
    <row r="1228" spans="1:68" ht="19" x14ac:dyDescent="0.25">
      <c r="A1228" s="5"/>
      <c r="B1228" s="5"/>
      <c r="C1228" s="5"/>
      <c r="D1228" s="5"/>
      <c r="E1228" s="5"/>
      <c r="F1228" s="5"/>
      <c r="G1228" s="5"/>
      <c r="H1228" s="6"/>
      <c r="I1228" s="5"/>
      <c r="J1228" s="88"/>
      <c r="K1228" s="88"/>
      <c r="L1228" s="88"/>
      <c r="M1228" s="88"/>
      <c r="N1228" s="88"/>
      <c r="O1228" s="88"/>
      <c r="P1228" s="88"/>
      <c r="Q1228" s="89"/>
      <c r="R1228" s="88"/>
      <c r="S1228" s="88"/>
      <c r="T1228" s="90"/>
      <c r="U1228" s="6"/>
      <c r="V1228" s="44">
        <v>45701</v>
      </c>
      <c r="W1228" s="45">
        <v>259.19</v>
      </c>
      <c r="X1228" s="91"/>
      <c r="Y1228" s="77"/>
      <c r="Z1228" s="5"/>
      <c r="AA1228" s="5"/>
      <c r="AB1228" s="5"/>
      <c r="AC1228" s="5"/>
      <c r="AD1228" s="5"/>
      <c r="AE1228" s="5"/>
      <c r="AF1228" s="5"/>
      <c r="AG1228" s="5"/>
      <c r="AH1228" s="6"/>
      <c r="AI1228" s="44">
        <v>45701</v>
      </c>
      <c r="AJ1228" s="53">
        <v>259.19</v>
      </c>
      <c r="AK1228" s="54">
        <f t="shared" si="209"/>
        <v>1.3212931472577294E-2</v>
      </c>
      <c r="AL1228" s="55">
        <f t="shared" si="212"/>
        <v>21.453274395037447</v>
      </c>
      <c r="AM1228" s="56">
        <v>25</v>
      </c>
      <c r="AN1228" s="57">
        <f t="shared" si="210"/>
        <v>3.5467256049625533</v>
      </c>
      <c r="AO1228" s="76">
        <f t="shared" si="213"/>
        <v>-6.0058780502113311</v>
      </c>
      <c r="AP1228" s="63" t="str">
        <f t="shared" si="214"/>
        <v/>
      </c>
      <c r="AQ1228" s="63" t="str">
        <f t="shared" si="215"/>
        <v>Sell Stocks</v>
      </c>
      <c r="AR1228" s="63" t="str">
        <f t="shared" si="216"/>
        <v/>
      </c>
      <c r="AS1228" s="63" t="str">
        <f t="shared" si="217"/>
        <v/>
      </c>
      <c r="AT1228" s="78" t="str">
        <f t="shared" si="218"/>
        <v/>
      </c>
      <c r="AU1228" s="78" t="str">
        <f t="shared" si="219"/>
        <v/>
      </c>
      <c r="AV1228" s="64" t="str">
        <f ca="1">IFERROR(__xludf.DUMMYFUNCTION("IF(TRIM(AU1228)="""","""",AU1228/INDEX(FILTER(AT$3:AT1228,TRIM(AT$3:AT1228)&lt;&gt;""""),ROWS(FILTER(AT$3:AT1228,TRIM(AT$3:AT1228)&lt;&gt;"""")))-1)"),"")</f>
        <v/>
      </c>
      <c r="AW1228" s="65" t="e">
        <f t="shared" ca="1" si="211"/>
        <v>#VALUE!</v>
      </c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</row>
    <row r="1229" spans="1:68" ht="19" x14ac:dyDescent="0.25">
      <c r="A1229" s="5"/>
      <c r="B1229" s="5"/>
      <c r="C1229" s="5"/>
      <c r="D1229" s="5"/>
      <c r="E1229" s="5"/>
      <c r="F1229" s="5"/>
      <c r="G1229" s="5"/>
      <c r="H1229" s="6"/>
      <c r="I1229" s="5"/>
      <c r="J1229" s="88"/>
      <c r="K1229" s="88"/>
      <c r="L1229" s="88"/>
      <c r="M1229" s="88"/>
      <c r="N1229" s="88"/>
      <c r="O1229" s="88"/>
      <c r="P1229" s="88"/>
      <c r="Q1229" s="89"/>
      <c r="R1229" s="88"/>
      <c r="S1229" s="88"/>
      <c r="T1229" s="90"/>
      <c r="U1229" s="6"/>
      <c r="V1229" s="44">
        <v>45702</v>
      </c>
      <c r="W1229" s="45">
        <v>261.27999999999997</v>
      </c>
      <c r="X1229" s="91"/>
      <c r="Y1229" s="77"/>
      <c r="Z1229" s="5"/>
      <c r="AA1229" s="5"/>
      <c r="AB1229" s="5"/>
      <c r="AC1229" s="5"/>
      <c r="AD1229" s="5"/>
      <c r="AE1229" s="5"/>
      <c r="AF1229" s="5"/>
      <c r="AG1229" s="5"/>
      <c r="AH1229" s="6"/>
      <c r="AI1229" s="44">
        <v>45702</v>
      </c>
      <c r="AJ1229" s="53">
        <v>261.27999999999997</v>
      </c>
      <c r="AK1229" s="54">
        <f t="shared" si="209"/>
        <v>8.0635826999497784E-3</v>
      </c>
      <c r="AL1229" s="55">
        <f t="shared" si="212"/>
        <v>19.963325669707032</v>
      </c>
      <c r="AM1229" s="56">
        <v>25</v>
      </c>
      <c r="AN1229" s="57">
        <f t="shared" si="210"/>
        <v>5.0366743302929677</v>
      </c>
      <c r="AO1229" s="76">
        <f t="shared" si="213"/>
        <v>-2.8951847363048726</v>
      </c>
      <c r="AP1229" s="63" t="str">
        <f t="shared" si="214"/>
        <v/>
      </c>
      <c r="AQ1229" s="63" t="str">
        <f t="shared" si="215"/>
        <v>Sell Stocks</v>
      </c>
      <c r="AR1229" s="63" t="str">
        <f t="shared" si="216"/>
        <v/>
      </c>
      <c r="AS1229" s="63" t="str">
        <f t="shared" si="217"/>
        <v/>
      </c>
      <c r="AT1229" s="78" t="str">
        <f t="shared" si="218"/>
        <v/>
      </c>
      <c r="AU1229" s="78" t="str">
        <f t="shared" si="219"/>
        <v/>
      </c>
      <c r="AV1229" s="64" t="str">
        <f ca="1">IFERROR(__xludf.DUMMYFUNCTION("IF(TRIM(AU1229)="""","""",AU1229/INDEX(FILTER(AT$3:AT1229,TRIM(AT$3:AT1229)&lt;&gt;""""),ROWS(FILTER(AT$3:AT1229,TRIM(AT$3:AT1229)&lt;&gt;"""")))-1)"),"")</f>
        <v/>
      </c>
      <c r="AW1229" s="65" t="e">
        <f t="shared" ca="1" si="211"/>
        <v>#VALUE!</v>
      </c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</row>
    <row r="1230" spans="1:68" ht="19" x14ac:dyDescent="0.25">
      <c r="A1230" s="5"/>
      <c r="B1230" s="5"/>
      <c r="C1230" s="5"/>
      <c r="D1230" s="5"/>
      <c r="E1230" s="5"/>
      <c r="F1230" s="5"/>
      <c r="G1230" s="5"/>
      <c r="H1230" s="6"/>
      <c r="I1230" s="5"/>
      <c r="J1230" s="88"/>
      <c r="K1230" s="88"/>
      <c r="L1230" s="88"/>
      <c r="M1230" s="88"/>
      <c r="N1230" s="88"/>
      <c r="O1230" s="88"/>
      <c r="P1230" s="88"/>
      <c r="Q1230" s="89"/>
      <c r="R1230" s="88"/>
      <c r="S1230" s="88"/>
      <c r="T1230" s="90"/>
      <c r="U1230" s="6"/>
      <c r="V1230" s="44">
        <v>45706</v>
      </c>
      <c r="W1230" s="45">
        <v>263.07</v>
      </c>
      <c r="X1230" s="91"/>
      <c r="Y1230" s="77"/>
      <c r="Z1230" s="5"/>
      <c r="AA1230" s="5"/>
      <c r="AB1230" s="5"/>
      <c r="AC1230" s="5"/>
      <c r="AD1230" s="5"/>
      <c r="AE1230" s="5"/>
      <c r="AF1230" s="5"/>
      <c r="AG1230" s="5"/>
      <c r="AH1230" s="6"/>
      <c r="AI1230" s="44">
        <v>45706</v>
      </c>
      <c r="AJ1230" s="53">
        <v>263.07</v>
      </c>
      <c r="AK1230" s="54">
        <f t="shared" si="209"/>
        <v>6.8508879363136099E-3</v>
      </c>
      <c r="AL1230" s="55">
        <f t="shared" si="212"/>
        <v>10.970346100769749</v>
      </c>
      <c r="AM1230" s="56">
        <v>25</v>
      </c>
      <c r="AN1230" s="57">
        <f t="shared" si="210"/>
        <v>14.029653899230251</v>
      </c>
      <c r="AO1230" s="76">
        <f t="shared" si="213"/>
        <v>0.86163789072911856</v>
      </c>
      <c r="AP1230" s="63" t="str">
        <f t="shared" si="214"/>
        <v>Buy Stocks</v>
      </c>
      <c r="AQ1230" s="63" t="str">
        <f t="shared" si="215"/>
        <v/>
      </c>
      <c r="AR1230" s="63" t="str">
        <f t="shared" si="216"/>
        <v>Buy Stocks</v>
      </c>
      <c r="AS1230" s="63" t="str">
        <f t="shared" si="217"/>
        <v/>
      </c>
      <c r="AT1230" s="77">
        <f t="shared" si="218"/>
        <v>263.07</v>
      </c>
      <c r="AU1230" s="78" t="str">
        <f t="shared" si="219"/>
        <v/>
      </c>
      <c r="AV1230" s="64" t="str">
        <f ca="1">IFERROR(__xludf.DUMMYFUNCTION("IF(TRIM(AU1230)="""","""",AU1230/INDEX(FILTER(AT$3:AT1230,TRIM(AT$3:AT1230)&lt;&gt;""""),ROWS(FILTER(AT$3:AT1230,TRIM(AT$3:AT1230)&lt;&gt;"""")))-1)"),"")</f>
        <v/>
      </c>
      <c r="AW1230" s="65" t="e">
        <f t="shared" ca="1" si="211"/>
        <v>#VALUE!</v>
      </c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</row>
    <row r="1231" spans="1:68" ht="19" x14ac:dyDescent="0.25">
      <c r="A1231" s="5"/>
      <c r="B1231" s="5"/>
      <c r="C1231" s="5"/>
      <c r="D1231" s="5"/>
      <c r="E1231" s="5"/>
      <c r="F1231" s="5"/>
      <c r="G1231" s="5"/>
      <c r="H1231" s="6"/>
      <c r="I1231" s="5"/>
      <c r="J1231" s="88"/>
      <c r="K1231" s="88"/>
      <c r="L1231" s="88"/>
      <c r="M1231" s="88"/>
      <c r="N1231" s="88"/>
      <c r="O1231" s="88"/>
      <c r="P1231" s="88"/>
      <c r="Q1231" s="89"/>
      <c r="R1231" s="88"/>
      <c r="S1231" s="88"/>
      <c r="T1231" s="90"/>
      <c r="U1231" s="6"/>
      <c r="V1231" s="44">
        <v>45707</v>
      </c>
      <c r="W1231" s="45">
        <v>264.32</v>
      </c>
      <c r="X1231" s="91"/>
      <c r="Y1231" s="77"/>
      <c r="Z1231" s="5"/>
      <c r="AA1231" s="5"/>
      <c r="AB1231" s="5"/>
      <c r="AC1231" s="5"/>
      <c r="AD1231" s="5"/>
      <c r="AE1231" s="5"/>
      <c r="AF1231" s="5"/>
      <c r="AG1231" s="5"/>
      <c r="AH1231" s="6"/>
      <c r="AI1231" s="44">
        <v>45707</v>
      </c>
      <c r="AJ1231" s="53">
        <v>264.32</v>
      </c>
      <c r="AK1231" s="54">
        <f t="shared" si="209"/>
        <v>4.7515870300680607E-3</v>
      </c>
      <c r="AL1231" s="55">
        <f t="shared" si="212"/>
        <v>5.6565528735000346</v>
      </c>
      <c r="AM1231" s="56">
        <v>25</v>
      </c>
      <c r="AN1231" s="57">
        <f t="shared" si="210"/>
        <v>19.343447126499967</v>
      </c>
      <c r="AO1231" s="76">
        <f t="shared" si="213"/>
        <v>6.4572105571477838</v>
      </c>
      <c r="AP1231" s="63" t="str">
        <f t="shared" si="214"/>
        <v>Buy Stocks</v>
      </c>
      <c r="AQ1231" s="63" t="str">
        <f t="shared" si="215"/>
        <v/>
      </c>
      <c r="AR1231" s="63" t="str">
        <f t="shared" si="216"/>
        <v/>
      </c>
      <c r="AS1231" s="63" t="str">
        <f t="shared" si="217"/>
        <v/>
      </c>
      <c r="AT1231" s="78" t="str">
        <f t="shared" si="218"/>
        <v/>
      </c>
      <c r="AU1231" s="78" t="str">
        <f t="shared" si="219"/>
        <v/>
      </c>
      <c r="AV1231" s="64" t="str">
        <f ca="1">IFERROR(__xludf.DUMMYFUNCTION("IF(TRIM(AU1231)="""","""",AU1231/INDEX(FILTER(AT$3:AT1231,TRIM(AT$3:AT1231)&lt;&gt;""""),ROWS(FILTER(AT$3:AT1231,TRIM(AT$3:AT1231)&lt;&gt;"""")))-1)"),"")</f>
        <v/>
      </c>
      <c r="AW1231" s="65" t="e">
        <f t="shared" ca="1" si="211"/>
        <v>#VALUE!</v>
      </c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</row>
    <row r="1232" spans="1:68" ht="19" x14ac:dyDescent="0.25">
      <c r="A1232" s="5"/>
      <c r="B1232" s="5"/>
      <c r="C1232" s="5"/>
      <c r="D1232" s="5"/>
      <c r="E1232" s="5"/>
      <c r="F1232" s="5"/>
      <c r="G1232" s="5"/>
      <c r="H1232" s="6"/>
      <c r="I1232" s="5"/>
      <c r="J1232" s="88"/>
      <c r="K1232" s="88"/>
      <c r="L1232" s="88"/>
      <c r="M1232" s="88"/>
      <c r="N1232" s="88"/>
      <c r="O1232" s="88"/>
      <c r="P1232" s="88"/>
      <c r="Q1232" s="89"/>
      <c r="R1232" s="88"/>
      <c r="S1232" s="88"/>
      <c r="T1232" s="90"/>
      <c r="U1232" s="6"/>
      <c r="V1232" s="44">
        <v>45708</v>
      </c>
      <c r="W1232" s="45">
        <v>264.74</v>
      </c>
      <c r="X1232" s="91"/>
      <c r="Y1232" s="77"/>
      <c r="Z1232" s="5"/>
      <c r="AA1232" s="5"/>
      <c r="AB1232" s="5"/>
      <c r="AC1232" s="5"/>
      <c r="AD1232" s="5"/>
      <c r="AE1232" s="5"/>
      <c r="AF1232" s="5"/>
      <c r="AG1232" s="5"/>
      <c r="AH1232" s="6"/>
      <c r="AI1232" s="44">
        <v>45708</v>
      </c>
      <c r="AJ1232" s="53">
        <v>264.74</v>
      </c>
      <c r="AK1232" s="54">
        <f t="shared" si="209"/>
        <v>1.5889830508475367E-3</v>
      </c>
      <c r="AL1232" s="55">
        <f t="shared" si="212"/>
        <v>6.8293515960715521</v>
      </c>
      <c r="AM1232" s="56">
        <v>25</v>
      </c>
      <c r="AN1232" s="57">
        <f t="shared" si="210"/>
        <v>18.170648403928446</v>
      </c>
      <c r="AO1232" s="76">
        <f t="shared" si="213"/>
        <v>12.025429872982837</v>
      </c>
      <c r="AP1232" s="63" t="str">
        <f t="shared" si="214"/>
        <v>Buy Stocks</v>
      </c>
      <c r="AQ1232" s="63" t="str">
        <f t="shared" si="215"/>
        <v/>
      </c>
      <c r="AR1232" s="63" t="str">
        <f t="shared" si="216"/>
        <v/>
      </c>
      <c r="AS1232" s="63" t="str">
        <f t="shared" si="217"/>
        <v/>
      </c>
      <c r="AT1232" s="78" t="str">
        <f t="shared" si="218"/>
        <v/>
      </c>
      <c r="AU1232" s="78" t="str">
        <f t="shared" si="219"/>
        <v/>
      </c>
      <c r="AV1232" s="64" t="str">
        <f ca="1">IFERROR(__xludf.DUMMYFUNCTION("IF(TRIM(AU1232)="""","""",AU1232/INDEX(FILTER(AT$3:AT1232,TRIM(AT$3:AT1232)&lt;&gt;""""),ROWS(FILTER(AT$3:AT1232,TRIM(AT$3:AT1232)&lt;&gt;"""")))-1)"),"")</f>
        <v/>
      </c>
      <c r="AW1232" s="65" t="e">
        <f t="shared" ca="1" si="211"/>
        <v>#VALUE!</v>
      </c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</row>
    <row r="1233" spans="1:68" ht="19" x14ac:dyDescent="0.25">
      <c r="A1233" s="5"/>
      <c r="B1233" s="5"/>
      <c r="C1233" s="5"/>
      <c r="D1233" s="5"/>
      <c r="E1233" s="5"/>
      <c r="F1233" s="5"/>
      <c r="G1233" s="5"/>
      <c r="H1233" s="6"/>
      <c r="I1233" s="5"/>
      <c r="J1233" s="88"/>
      <c r="K1233" s="88"/>
      <c r="L1233" s="88"/>
      <c r="M1233" s="88"/>
      <c r="N1233" s="88"/>
      <c r="O1233" s="88"/>
      <c r="P1233" s="88"/>
      <c r="Q1233" s="89"/>
      <c r="R1233" s="88"/>
      <c r="S1233" s="88"/>
      <c r="T1233" s="90"/>
      <c r="U1233" s="6"/>
      <c r="V1233" s="44">
        <v>45709</v>
      </c>
      <c r="W1233" s="45">
        <v>261.48</v>
      </c>
      <c r="X1233" s="91"/>
      <c r="Y1233" s="77"/>
      <c r="Z1233" s="5"/>
      <c r="AA1233" s="5"/>
      <c r="AB1233" s="5"/>
      <c r="AC1233" s="5"/>
      <c r="AD1233" s="5"/>
      <c r="AE1233" s="5"/>
      <c r="AF1233" s="5"/>
      <c r="AG1233" s="5"/>
      <c r="AH1233" s="6"/>
      <c r="AI1233" s="44">
        <v>45709</v>
      </c>
      <c r="AJ1233" s="53">
        <v>261.48</v>
      </c>
      <c r="AK1233" s="54">
        <f t="shared" si="209"/>
        <v>-1.2313968421847843E-2</v>
      </c>
      <c r="AL1233" s="55">
        <f t="shared" si="212"/>
        <v>13.107377964882428</v>
      </c>
      <c r="AM1233" s="56">
        <v>25</v>
      </c>
      <c r="AN1233" s="57">
        <f t="shared" si="210"/>
        <v>11.892622035117572</v>
      </c>
      <c r="AO1233" s="76">
        <f t="shared" si="213"/>
        <v>13.694609159013842</v>
      </c>
      <c r="AP1233" s="63" t="str">
        <f t="shared" si="214"/>
        <v>Buy Stocks</v>
      </c>
      <c r="AQ1233" s="63" t="str">
        <f t="shared" si="215"/>
        <v/>
      </c>
      <c r="AR1233" s="63" t="str">
        <f t="shared" si="216"/>
        <v/>
      </c>
      <c r="AS1233" s="63" t="str">
        <f t="shared" si="217"/>
        <v/>
      </c>
      <c r="AT1233" s="78" t="str">
        <f t="shared" si="218"/>
        <v/>
      </c>
      <c r="AU1233" s="78" t="str">
        <f t="shared" si="219"/>
        <v/>
      </c>
      <c r="AV1233" s="64" t="str">
        <f ca="1">IFERROR(__xludf.DUMMYFUNCTION("IF(TRIM(AU1233)="""","""",AU1233/INDEX(FILTER(AT$3:AT1233,TRIM(AT$3:AT1233)&lt;&gt;""""),ROWS(FILTER(AT$3:AT1233,TRIM(AT$3:AT1233)&lt;&gt;"""")))-1)"),"")</f>
        <v/>
      </c>
      <c r="AW1233" s="65" t="e">
        <f t="shared" ca="1" si="211"/>
        <v>#VALUE!</v>
      </c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</row>
    <row r="1234" spans="1:68" ht="19" x14ac:dyDescent="0.25">
      <c r="A1234" s="5"/>
      <c r="B1234" s="5"/>
      <c r="C1234" s="5"/>
      <c r="D1234" s="5"/>
      <c r="E1234" s="5"/>
      <c r="F1234" s="5"/>
      <c r="G1234" s="5"/>
      <c r="H1234" s="6"/>
      <c r="I1234" s="5"/>
      <c r="J1234" s="88"/>
      <c r="K1234" s="88"/>
      <c r="L1234" s="88"/>
      <c r="M1234" s="88"/>
      <c r="N1234" s="88"/>
      <c r="O1234" s="88"/>
      <c r="P1234" s="88"/>
      <c r="Q1234" s="89"/>
      <c r="R1234" s="88"/>
      <c r="S1234" s="88"/>
      <c r="T1234" s="90"/>
      <c r="U1234" s="6"/>
      <c r="V1234" s="44">
        <v>45712</v>
      </c>
      <c r="W1234" s="45">
        <v>261.87</v>
      </c>
      <c r="X1234" s="91"/>
      <c r="Y1234" s="77"/>
      <c r="Z1234" s="5"/>
      <c r="AA1234" s="5"/>
      <c r="AB1234" s="5"/>
      <c r="AC1234" s="5"/>
      <c r="AD1234" s="5"/>
      <c r="AE1234" s="5"/>
      <c r="AF1234" s="5"/>
      <c r="AG1234" s="5"/>
      <c r="AH1234" s="6"/>
      <c r="AI1234" s="44">
        <v>45712</v>
      </c>
      <c r="AJ1234" s="53">
        <v>261.87</v>
      </c>
      <c r="AK1234" s="54">
        <f t="shared" si="209"/>
        <v>1.491509866911267E-3</v>
      </c>
      <c r="AL1234" s="55">
        <f t="shared" si="212"/>
        <v>11.899876182259057</v>
      </c>
      <c r="AM1234" s="56">
        <v>25</v>
      </c>
      <c r="AN1234" s="57">
        <f t="shared" si="210"/>
        <v>13.100123817740943</v>
      </c>
      <c r="AO1234" s="76">
        <f t="shared" si="213"/>
        <v>15.307299056503439</v>
      </c>
      <c r="AP1234" s="63" t="str">
        <f t="shared" si="214"/>
        <v>Buy Stocks</v>
      </c>
      <c r="AQ1234" s="63" t="str">
        <f t="shared" si="215"/>
        <v/>
      </c>
      <c r="AR1234" s="63" t="str">
        <f t="shared" si="216"/>
        <v/>
      </c>
      <c r="AS1234" s="63" t="str">
        <f t="shared" si="217"/>
        <v/>
      </c>
      <c r="AT1234" s="78" t="str">
        <f t="shared" si="218"/>
        <v/>
      </c>
      <c r="AU1234" s="78" t="str">
        <f t="shared" si="219"/>
        <v/>
      </c>
      <c r="AV1234" s="64" t="str">
        <f ca="1">IFERROR(__xludf.DUMMYFUNCTION("IF(TRIM(AU1234)="""","""",AU1234/INDEX(FILTER(AT$3:AT1234,TRIM(AT$3:AT1234)&lt;&gt;""""),ROWS(FILTER(AT$3:AT1234,TRIM(AT$3:AT1234)&lt;&gt;"""")))-1)"),"")</f>
        <v/>
      </c>
      <c r="AW1234" s="65" t="e">
        <f t="shared" ca="1" si="211"/>
        <v>#VALUE!</v>
      </c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</row>
    <row r="1235" spans="1:68" ht="19" x14ac:dyDescent="0.25">
      <c r="A1235" s="5"/>
      <c r="B1235" s="5"/>
      <c r="C1235" s="5"/>
      <c r="D1235" s="5"/>
      <c r="E1235" s="5"/>
      <c r="F1235" s="5"/>
      <c r="G1235" s="5"/>
      <c r="H1235" s="6"/>
      <c r="I1235" s="5"/>
      <c r="J1235" s="88"/>
      <c r="K1235" s="88"/>
      <c r="L1235" s="88"/>
      <c r="M1235" s="88"/>
      <c r="N1235" s="88"/>
      <c r="O1235" s="88"/>
      <c r="P1235" s="88"/>
      <c r="Q1235" s="89"/>
      <c r="R1235" s="88"/>
      <c r="S1235" s="88"/>
      <c r="T1235" s="90"/>
      <c r="U1235" s="6"/>
      <c r="V1235" s="44">
        <v>45713</v>
      </c>
      <c r="W1235" s="45">
        <v>257.75</v>
      </c>
      <c r="X1235" s="91"/>
      <c r="Y1235" s="77"/>
      <c r="Z1235" s="5"/>
      <c r="AA1235" s="5"/>
      <c r="AB1235" s="5"/>
      <c r="AC1235" s="5"/>
      <c r="AD1235" s="5"/>
      <c r="AE1235" s="5"/>
      <c r="AF1235" s="5"/>
      <c r="AG1235" s="5"/>
      <c r="AH1235" s="6"/>
      <c r="AI1235" s="44">
        <v>45713</v>
      </c>
      <c r="AJ1235" s="53">
        <v>257.75</v>
      </c>
      <c r="AK1235" s="54">
        <f t="shared" si="209"/>
        <v>-1.5732997288731121E-2</v>
      </c>
      <c r="AL1235" s="55">
        <f t="shared" si="212"/>
        <v>14.737660661023025</v>
      </c>
      <c r="AM1235" s="56">
        <v>25</v>
      </c>
      <c r="AN1235" s="57">
        <f t="shared" si="210"/>
        <v>10.262339338976975</v>
      </c>
      <c r="AO1235" s="76">
        <f t="shared" si="213"/>
        <v>14.553836144452783</v>
      </c>
      <c r="AP1235" s="63" t="str">
        <f t="shared" si="214"/>
        <v>Buy Stocks</v>
      </c>
      <c r="AQ1235" s="63" t="str">
        <f t="shared" si="215"/>
        <v/>
      </c>
      <c r="AR1235" s="63" t="str">
        <f t="shared" si="216"/>
        <v/>
      </c>
      <c r="AS1235" s="63" t="str">
        <f t="shared" si="217"/>
        <v/>
      </c>
      <c r="AT1235" s="78" t="str">
        <f t="shared" si="218"/>
        <v/>
      </c>
      <c r="AU1235" s="78" t="str">
        <f t="shared" si="219"/>
        <v/>
      </c>
      <c r="AV1235" s="64" t="str">
        <f ca="1">IFERROR(__xludf.DUMMYFUNCTION("IF(TRIM(AU1235)="""","""",AU1235/INDEX(FILTER(AT$3:AT1235,TRIM(AT$3:AT1235)&lt;&gt;""""),ROWS(FILTER(AT$3:AT1235,TRIM(AT$3:AT1235)&lt;&gt;"""")))-1)"),"")</f>
        <v/>
      </c>
      <c r="AW1235" s="65" t="e">
        <f t="shared" ca="1" si="211"/>
        <v>#VALUE!</v>
      </c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</row>
    <row r="1236" spans="1:68" ht="19" x14ac:dyDescent="0.25">
      <c r="A1236" s="5"/>
      <c r="B1236" s="5"/>
      <c r="C1236" s="5"/>
      <c r="D1236" s="5"/>
      <c r="E1236" s="5"/>
      <c r="F1236" s="5"/>
      <c r="G1236" s="5"/>
      <c r="H1236" s="6"/>
      <c r="I1236" s="5"/>
      <c r="J1236" s="88"/>
      <c r="K1236" s="88"/>
      <c r="L1236" s="88"/>
      <c r="M1236" s="88"/>
      <c r="N1236" s="88"/>
      <c r="O1236" s="88"/>
      <c r="P1236" s="88"/>
      <c r="Q1236" s="89"/>
      <c r="R1236" s="88"/>
      <c r="S1236" s="88"/>
      <c r="T1236" s="90"/>
      <c r="U1236" s="6"/>
      <c r="V1236" s="44">
        <v>45714</v>
      </c>
      <c r="W1236" s="45">
        <v>255.84</v>
      </c>
      <c r="X1236" s="91"/>
      <c r="Y1236" s="77"/>
      <c r="Z1236" s="5"/>
      <c r="AA1236" s="5"/>
      <c r="AB1236" s="5"/>
      <c r="AC1236" s="5"/>
      <c r="AD1236" s="5"/>
      <c r="AE1236" s="5"/>
      <c r="AF1236" s="5"/>
      <c r="AG1236" s="5"/>
      <c r="AH1236" s="6"/>
      <c r="AI1236" s="44">
        <v>45714</v>
      </c>
      <c r="AJ1236" s="53">
        <v>255.84</v>
      </c>
      <c r="AK1236" s="54">
        <f t="shared" si="209"/>
        <v>-7.4102812803104046E-3</v>
      </c>
      <c r="AL1236" s="55">
        <f t="shared" si="212"/>
        <v>12.52909847964219</v>
      </c>
      <c r="AM1236" s="56">
        <v>25</v>
      </c>
      <c r="AN1236" s="57">
        <f t="shared" si="210"/>
        <v>12.47090152035781</v>
      </c>
      <c r="AO1236" s="76">
        <f t="shared" si="213"/>
        <v>13.179327023224349</v>
      </c>
      <c r="AP1236" s="63" t="str">
        <f t="shared" si="214"/>
        <v>Buy Stocks</v>
      </c>
      <c r="AQ1236" s="63" t="str">
        <f t="shared" si="215"/>
        <v/>
      </c>
      <c r="AR1236" s="63" t="str">
        <f t="shared" si="216"/>
        <v/>
      </c>
      <c r="AS1236" s="63" t="str">
        <f t="shared" si="217"/>
        <v/>
      </c>
      <c r="AT1236" s="78" t="str">
        <f t="shared" si="218"/>
        <v/>
      </c>
      <c r="AU1236" s="78" t="str">
        <f t="shared" si="219"/>
        <v/>
      </c>
      <c r="AV1236" s="64" t="str">
        <f ca="1">IFERROR(__xludf.DUMMYFUNCTION("IF(TRIM(AU1236)="""","""",AU1236/INDEX(FILTER(AT$3:AT1236,TRIM(AT$3:AT1236)&lt;&gt;""""),ROWS(FILTER(AT$3:AT1236,TRIM(AT$3:AT1236)&lt;&gt;"""")))-1)"),"")</f>
        <v/>
      </c>
      <c r="AW1236" s="65" t="e">
        <f t="shared" ca="1" si="211"/>
        <v>#VALUE!</v>
      </c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</row>
    <row r="1237" spans="1:68" ht="19" x14ac:dyDescent="0.25">
      <c r="A1237" s="5"/>
      <c r="B1237" s="5"/>
      <c r="C1237" s="5"/>
      <c r="D1237" s="5"/>
      <c r="E1237" s="5"/>
      <c r="F1237" s="5"/>
      <c r="G1237" s="5"/>
      <c r="H1237" s="6"/>
      <c r="I1237" s="5"/>
      <c r="J1237" s="88"/>
      <c r="K1237" s="88"/>
      <c r="L1237" s="88"/>
      <c r="M1237" s="88"/>
      <c r="N1237" s="88"/>
      <c r="O1237" s="88"/>
      <c r="P1237" s="88"/>
      <c r="Q1237" s="89"/>
      <c r="R1237" s="88"/>
      <c r="S1237" s="88"/>
      <c r="T1237" s="90"/>
      <c r="U1237" s="6"/>
      <c r="V1237" s="44">
        <v>45715</v>
      </c>
      <c r="W1237" s="45">
        <v>253.23</v>
      </c>
      <c r="X1237" s="91"/>
      <c r="Y1237" s="77"/>
      <c r="Z1237" s="5"/>
      <c r="AA1237" s="5"/>
      <c r="AB1237" s="5"/>
      <c r="AC1237" s="5"/>
      <c r="AD1237" s="5"/>
      <c r="AE1237" s="5"/>
      <c r="AF1237" s="5"/>
      <c r="AG1237" s="5"/>
      <c r="AH1237" s="6"/>
      <c r="AI1237" s="44">
        <v>45715</v>
      </c>
      <c r="AJ1237" s="53">
        <v>253.23</v>
      </c>
      <c r="AK1237" s="54">
        <f t="shared" si="209"/>
        <v>-1.0201688555347199E-2</v>
      </c>
      <c r="AL1237" s="55">
        <f t="shared" si="212"/>
        <v>10.355608499088188</v>
      </c>
      <c r="AM1237" s="56">
        <v>25</v>
      </c>
      <c r="AN1237" s="57">
        <f t="shared" si="210"/>
        <v>14.644391500911812</v>
      </c>
      <c r="AO1237" s="76">
        <f t="shared" si="213"/>
        <v>12.474075642621022</v>
      </c>
      <c r="AP1237" s="63" t="str">
        <f t="shared" si="214"/>
        <v>Buy Stocks</v>
      </c>
      <c r="AQ1237" s="63" t="str">
        <f t="shared" si="215"/>
        <v/>
      </c>
      <c r="AR1237" s="63" t="str">
        <f t="shared" si="216"/>
        <v/>
      </c>
      <c r="AS1237" s="63" t="str">
        <f t="shared" si="217"/>
        <v/>
      </c>
      <c r="AT1237" s="78" t="str">
        <f t="shared" si="218"/>
        <v/>
      </c>
      <c r="AU1237" s="78" t="str">
        <f t="shared" si="219"/>
        <v/>
      </c>
      <c r="AV1237" s="64" t="str">
        <f ca="1">IFERROR(__xludf.DUMMYFUNCTION("IF(TRIM(AU1237)="""","""",AU1237/INDEX(FILTER(AT$3:AT1237,TRIM(AT$3:AT1237)&lt;&gt;""""),ROWS(FILTER(AT$3:AT1237,TRIM(AT$3:AT1237)&lt;&gt;"""")))-1)"),"")</f>
        <v/>
      </c>
      <c r="AW1237" s="65" t="e">
        <f t="shared" ca="1" si="211"/>
        <v>#VALUE!</v>
      </c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</row>
    <row r="1238" spans="1:68" ht="19" x14ac:dyDescent="0.25">
      <c r="A1238" s="5"/>
      <c r="B1238" s="5"/>
      <c r="C1238" s="5"/>
      <c r="D1238" s="5"/>
      <c r="E1238" s="5"/>
      <c r="F1238" s="5"/>
      <c r="G1238" s="5"/>
      <c r="H1238" s="6"/>
      <c r="I1238" s="5"/>
      <c r="J1238" s="88"/>
      <c r="K1238" s="88"/>
      <c r="L1238" s="88"/>
      <c r="M1238" s="88"/>
      <c r="N1238" s="88"/>
      <c r="O1238" s="88"/>
      <c r="P1238" s="88"/>
      <c r="Q1238" s="89"/>
      <c r="R1238" s="88"/>
      <c r="S1238" s="88"/>
      <c r="T1238" s="90"/>
      <c r="U1238" s="6"/>
      <c r="V1238" s="44">
        <v>45716</v>
      </c>
      <c r="W1238" s="45">
        <v>252.44</v>
      </c>
      <c r="X1238" s="91"/>
      <c r="Y1238" s="77"/>
      <c r="Z1238" s="5"/>
      <c r="AA1238" s="5"/>
      <c r="AB1238" s="5"/>
      <c r="AC1238" s="5"/>
      <c r="AD1238" s="5"/>
      <c r="AE1238" s="5"/>
      <c r="AF1238" s="5"/>
      <c r="AG1238" s="5"/>
      <c r="AH1238" s="6"/>
      <c r="AI1238" s="44">
        <v>45716</v>
      </c>
      <c r="AJ1238" s="53">
        <v>252.44</v>
      </c>
      <c r="AK1238" s="54">
        <f t="shared" si="209"/>
        <v>-3.1196935592149311E-3</v>
      </c>
      <c r="AL1238" s="55">
        <f t="shared" si="212"/>
        <v>10.465345483532285</v>
      </c>
      <c r="AM1238" s="56">
        <v>25</v>
      </c>
      <c r="AN1238" s="57">
        <f t="shared" si="210"/>
        <v>14.534654516467715</v>
      </c>
      <c r="AO1238" s="76">
        <f t="shared" si="213"/>
        <v>13.00248213889105</v>
      </c>
      <c r="AP1238" s="63" t="str">
        <f t="shared" si="214"/>
        <v>Buy Stocks</v>
      </c>
      <c r="AQ1238" s="63" t="str">
        <f t="shared" si="215"/>
        <v/>
      </c>
      <c r="AR1238" s="63" t="str">
        <f t="shared" si="216"/>
        <v/>
      </c>
      <c r="AS1238" s="63" t="str">
        <f t="shared" si="217"/>
        <v/>
      </c>
      <c r="AT1238" s="78" t="str">
        <f t="shared" si="218"/>
        <v/>
      </c>
      <c r="AU1238" s="78" t="str">
        <f t="shared" si="219"/>
        <v/>
      </c>
      <c r="AV1238" s="64" t="str">
        <f ca="1">IFERROR(__xludf.DUMMYFUNCTION("IF(TRIM(AU1238)="""","""",AU1238/INDEX(FILTER(AT$3:AT1238,TRIM(AT$3:AT1238)&lt;&gt;""""),ROWS(FILTER(AT$3:AT1238,TRIM(AT$3:AT1238)&lt;&gt;"""")))-1)"),"")</f>
        <v/>
      </c>
      <c r="AW1238" s="65" t="e">
        <f t="shared" ca="1" si="211"/>
        <v>#VALUE!</v>
      </c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</row>
    <row r="1239" spans="1:68" ht="19" x14ac:dyDescent="0.25">
      <c r="A1239" s="5"/>
      <c r="B1239" s="5"/>
      <c r="C1239" s="5"/>
      <c r="D1239" s="5"/>
      <c r="E1239" s="5"/>
      <c r="F1239" s="5"/>
      <c r="G1239" s="5"/>
      <c r="H1239" s="6"/>
      <c r="I1239" s="5"/>
      <c r="J1239" s="88"/>
      <c r="K1239" s="88"/>
      <c r="L1239" s="88"/>
      <c r="M1239" s="88"/>
      <c r="N1239" s="88"/>
      <c r="O1239" s="88"/>
      <c r="P1239" s="88"/>
      <c r="Q1239" s="89"/>
      <c r="R1239" s="88"/>
      <c r="S1239" s="88"/>
      <c r="T1239" s="90"/>
      <c r="U1239" s="6"/>
      <c r="V1239" s="44">
        <v>45719</v>
      </c>
      <c r="W1239" s="45">
        <v>250.19</v>
      </c>
      <c r="X1239" s="91"/>
      <c r="Y1239" s="77"/>
      <c r="Z1239" s="5"/>
      <c r="AA1239" s="5"/>
      <c r="AB1239" s="5"/>
      <c r="AC1239" s="5"/>
      <c r="AD1239" s="5"/>
      <c r="AE1239" s="5"/>
      <c r="AF1239" s="5"/>
      <c r="AG1239" s="5"/>
      <c r="AH1239" s="6"/>
      <c r="AI1239" s="44">
        <v>45719</v>
      </c>
      <c r="AJ1239" s="53">
        <v>250.19</v>
      </c>
      <c r="AK1239" s="54">
        <f t="shared" si="209"/>
        <v>-8.9130090318491062E-3</v>
      </c>
      <c r="AL1239" s="55">
        <f t="shared" si="212"/>
        <v>7.2686161994585348</v>
      </c>
      <c r="AM1239" s="56">
        <v>25</v>
      </c>
      <c r="AN1239" s="57">
        <f t="shared" si="210"/>
        <v>17.731383800541465</v>
      </c>
      <c r="AO1239" s="76">
        <f t="shared" si="213"/>
        <v>13.928734135451155</v>
      </c>
      <c r="AP1239" s="63" t="str">
        <f t="shared" si="214"/>
        <v>Buy Stocks</v>
      </c>
      <c r="AQ1239" s="63" t="str">
        <f t="shared" si="215"/>
        <v/>
      </c>
      <c r="AR1239" s="63" t="str">
        <f t="shared" si="216"/>
        <v/>
      </c>
      <c r="AS1239" s="63" t="str">
        <f t="shared" si="217"/>
        <v/>
      </c>
      <c r="AT1239" s="78" t="str">
        <f t="shared" si="218"/>
        <v/>
      </c>
      <c r="AU1239" s="78" t="str">
        <f t="shared" si="219"/>
        <v/>
      </c>
      <c r="AV1239" s="64" t="str">
        <f ca="1">IFERROR(__xludf.DUMMYFUNCTION("IF(TRIM(AU1239)="""","""",AU1239/INDEX(FILTER(AT$3:AT1239,TRIM(AT$3:AT1239)&lt;&gt;""""),ROWS(FILTER(AT$3:AT1239,TRIM(AT$3:AT1239)&lt;&gt;"""")))-1)"),"")</f>
        <v/>
      </c>
      <c r="AW1239" s="65" t="e">
        <f t="shared" ca="1" si="211"/>
        <v>#VALUE!</v>
      </c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</row>
    <row r="1240" spans="1:68" ht="19" x14ac:dyDescent="0.25">
      <c r="A1240" s="5"/>
      <c r="B1240" s="5"/>
      <c r="C1240" s="5"/>
      <c r="D1240" s="5"/>
      <c r="E1240" s="5"/>
      <c r="F1240" s="5"/>
      <c r="G1240" s="5"/>
      <c r="H1240" s="6"/>
      <c r="I1240" s="5"/>
      <c r="J1240" s="88"/>
      <c r="K1240" s="88"/>
      <c r="L1240" s="88"/>
      <c r="M1240" s="88"/>
      <c r="N1240" s="88"/>
      <c r="O1240" s="88"/>
      <c r="P1240" s="88"/>
      <c r="Q1240" s="89"/>
      <c r="R1240" s="88"/>
      <c r="S1240" s="88"/>
      <c r="T1240" s="90"/>
      <c r="U1240" s="6"/>
      <c r="V1240" s="44">
        <v>45720</v>
      </c>
      <c r="W1240" s="45">
        <v>253.21</v>
      </c>
      <c r="X1240" s="91"/>
      <c r="Y1240" s="77"/>
      <c r="Z1240" s="5"/>
      <c r="AA1240" s="5"/>
      <c r="AB1240" s="5"/>
      <c r="AC1240" s="5"/>
      <c r="AD1240" s="5"/>
      <c r="AE1240" s="5"/>
      <c r="AF1240" s="5"/>
      <c r="AG1240" s="5"/>
      <c r="AH1240" s="6"/>
      <c r="AI1240" s="44">
        <v>45720</v>
      </c>
      <c r="AJ1240" s="53">
        <v>253.21</v>
      </c>
      <c r="AK1240" s="54">
        <f t="shared" si="209"/>
        <v>1.2070826172109195E-2</v>
      </c>
      <c r="AL1240" s="55">
        <f t="shared" si="212"/>
        <v>14.464494203648654</v>
      </c>
      <c r="AM1240" s="56">
        <v>25</v>
      </c>
      <c r="AN1240" s="57">
        <f t="shared" si="210"/>
        <v>10.535505796351346</v>
      </c>
      <c r="AO1240" s="76">
        <f t="shared" si="213"/>
        <v>13.983367426926028</v>
      </c>
      <c r="AP1240" s="63" t="str">
        <f t="shared" si="214"/>
        <v>Buy Stocks</v>
      </c>
      <c r="AQ1240" s="63" t="str">
        <f t="shared" si="215"/>
        <v/>
      </c>
      <c r="AR1240" s="63" t="str">
        <f t="shared" si="216"/>
        <v/>
      </c>
      <c r="AS1240" s="63" t="str">
        <f t="shared" si="217"/>
        <v/>
      </c>
      <c r="AT1240" s="78" t="str">
        <f t="shared" si="218"/>
        <v/>
      </c>
      <c r="AU1240" s="78" t="str">
        <f t="shared" si="219"/>
        <v/>
      </c>
      <c r="AV1240" s="64" t="str">
        <f ca="1">IFERROR(__xludf.DUMMYFUNCTION("IF(TRIM(AU1240)="""","""",AU1240/INDEX(FILTER(AT$3:AT1240,TRIM(AT$3:AT1240)&lt;&gt;""""),ROWS(FILTER(AT$3:AT1240,TRIM(AT$3:AT1240)&lt;&gt;"""")))-1)"),"")</f>
        <v/>
      </c>
      <c r="AW1240" s="65" t="e">
        <f t="shared" ca="1" si="211"/>
        <v>#VALUE!</v>
      </c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</row>
    <row r="1241" spans="1:68" ht="19" x14ac:dyDescent="0.25">
      <c r="A1241" s="5"/>
      <c r="B1241" s="5"/>
      <c r="C1241" s="5"/>
      <c r="D1241" s="5"/>
      <c r="E1241" s="5"/>
      <c r="F1241" s="5"/>
      <c r="G1241" s="5"/>
      <c r="H1241" s="6"/>
      <c r="I1241" s="5"/>
      <c r="J1241" s="88"/>
      <c r="K1241" s="88"/>
      <c r="L1241" s="88"/>
      <c r="M1241" s="88"/>
      <c r="N1241" s="88"/>
      <c r="O1241" s="88"/>
      <c r="P1241" s="88"/>
      <c r="Q1241" s="89"/>
      <c r="R1241" s="88"/>
      <c r="S1241" s="88"/>
      <c r="T1241" s="90"/>
      <c r="U1241" s="6"/>
      <c r="V1241" s="44">
        <v>45721</v>
      </c>
      <c r="W1241" s="45">
        <v>251.35</v>
      </c>
      <c r="X1241" s="91"/>
      <c r="Y1241" s="77"/>
      <c r="Z1241" s="5"/>
      <c r="AA1241" s="5"/>
      <c r="AB1241" s="5"/>
      <c r="AC1241" s="5"/>
      <c r="AD1241" s="5"/>
      <c r="AE1241" s="5"/>
      <c r="AF1241" s="5"/>
      <c r="AG1241" s="5"/>
      <c r="AH1241" s="6"/>
      <c r="AI1241" s="44">
        <v>45721</v>
      </c>
      <c r="AJ1241" s="53">
        <v>251.35</v>
      </c>
      <c r="AK1241" s="54">
        <f t="shared" si="209"/>
        <v>-7.3456814501797751E-3</v>
      </c>
      <c r="AL1241" s="55">
        <f t="shared" si="212"/>
        <v>14.453602234930832</v>
      </c>
      <c r="AM1241" s="56">
        <v>25</v>
      </c>
      <c r="AN1241" s="57">
        <f t="shared" si="210"/>
        <v>10.546397765069168</v>
      </c>
      <c r="AO1241" s="76">
        <f t="shared" si="213"/>
        <v>13.5984666758683</v>
      </c>
      <c r="AP1241" s="63" t="str">
        <f t="shared" si="214"/>
        <v>Buy Stocks</v>
      </c>
      <c r="AQ1241" s="63" t="str">
        <f t="shared" si="215"/>
        <v/>
      </c>
      <c r="AR1241" s="63" t="str">
        <f t="shared" si="216"/>
        <v/>
      </c>
      <c r="AS1241" s="63" t="str">
        <f t="shared" si="217"/>
        <v/>
      </c>
      <c r="AT1241" s="78" t="str">
        <f t="shared" si="218"/>
        <v/>
      </c>
      <c r="AU1241" s="78" t="str">
        <f t="shared" si="219"/>
        <v/>
      </c>
      <c r="AV1241" s="64" t="str">
        <f ca="1">IFERROR(__xludf.DUMMYFUNCTION("IF(TRIM(AU1241)="""","""",AU1241/INDEX(FILTER(AT$3:AT1241,TRIM(AT$3:AT1241)&lt;&gt;""""),ROWS(FILTER(AT$3:AT1241,TRIM(AT$3:AT1241)&lt;&gt;"""")))-1)"),"")</f>
        <v/>
      </c>
      <c r="AW1241" s="65" t="e">
        <f t="shared" ca="1" si="211"/>
        <v>#VALUE!</v>
      </c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</row>
    <row r="1242" spans="1:68" ht="19" x14ac:dyDescent="0.25">
      <c r="A1242" s="5"/>
      <c r="B1242" s="5"/>
      <c r="C1242" s="5"/>
      <c r="D1242" s="5"/>
      <c r="E1242" s="5"/>
      <c r="F1242" s="5"/>
      <c r="G1242" s="5"/>
      <c r="H1242" s="6"/>
      <c r="I1242" s="5"/>
      <c r="J1242" s="88"/>
      <c r="K1242" s="88"/>
      <c r="L1242" s="88"/>
      <c r="M1242" s="88"/>
      <c r="N1242" s="88"/>
      <c r="O1242" s="88"/>
      <c r="P1242" s="88"/>
      <c r="Q1242" s="89"/>
      <c r="R1242" s="88"/>
      <c r="S1242" s="88"/>
      <c r="T1242" s="90"/>
      <c r="U1242" s="6"/>
      <c r="V1242" s="44">
        <v>45722</v>
      </c>
      <c r="W1242" s="45">
        <v>248.69</v>
      </c>
      <c r="X1242" s="91"/>
      <c r="Y1242" s="77"/>
      <c r="Z1242" s="5"/>
      <c r="AA1242" s="5"/>
      <c r="AB1242" s="5"/>
      <c r="AC1242" s="5"/>
      <c r="AD1242" s="5"/>
      <c r="AE1242" s="5"/>
      <c r="AF1242" s="5"/>
      <c r="AG1242" s="5"/>
      <c r="AH1242" s="6"/>
      <c r="AI1242" s="44">
        <v>45722</v>
      </c>
      <c r="AJ1242" s="53">
        <v>248.69</v>
      </c>
      <c r="AK1242" s="54">
        <f t="shared" si="209"/>
        <v>-1.0582852595981684E-2</v>
      </c>
      <c r="AL1242" s="55">
        <f t="shared" si="212"/>
        <v>14.567002140475749</v>
      </c>
      <c r="AM1242" s="56">
        <v>25</v>
      </c>
      <c r="AN1242" s="57">
        <f t="shared" si="210"/>
        <v>10.432997859524251</v>
      </c>
      <c r="AO1242" s="76">
        <f t="shared" si="213"/>
        <v>12.756187947590787</v>
      </c>
      <c r="AP1242" s="63" t="str">
        <f t="shared" si="214"/>
        <v>Buy Stocks</v>
      </c>
      <c r="AQ1242" s="63" t="str">
        <f t="shared" si="215"/>
        <v/>
      </c>
      <c r="AR1242" s="63" t="str">
        <f t="shared" si="216"/>
        <v/>
      </c>
      <c r="AS1242" s="63" t="str">
        <f t="shared" si="217"/>
        <v/>
      </c>
      <c r="AT1242" s="78" t="str">
        <f t="shared" si="218"/>
        <v/>
      </c>
      <c r="AU1242" s="78" t="str">
        <f t="shared" si="219"/>
        <v/>
      </c>
      <c r="AV1242" s="64" t="str">
        <f ca="1">IFERROR(__xludf.DUMMYFUNCTION("IF(TRIM(AU1242)="""","""",AU1242/INDEX(FILTER(AT$3:AT1242,TRIM(AT$3:AT1242)&lt;&gt;""""),ROWS(FILTER(AT$3:AT1242,TRIM(AT$3:AT1242)&lt;&gt;"""")))-1)"),"")</f>
        <v/>
      </c>
      <c r="AW1242" s="65" t="e">
        <f t="shared" ca="1" si="211"/>
        <v>#VALUE!</v>
      </c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</row>
    <row r="1243" spans="1:68" ht="19" x14ac:dyDescent="0.25">
      <c r="A1243" s="5"/>
      <c r="B1243" s="5"/>
      <c r="C1243" s="5"/>
      <c r="D1243" s="5"/>
      <c r="E1243" s="5"/>
      <c r="F1243" s="5"/>
      <c r="G1243" s="5"/>
      <c r="H1243" s="6"/>
      <c r="I1243" s="5"/>
      <c r="J1243" s="88"/>
      <c r="K1243" s="88"/>
      <c r="L1243" s="88"/>
      <c r="M1243" s="88"/>
      <c r="N1243" s="88"/>
      <c r="O1243" s="88"/>
      <c r="P1243" s="88"/>
      <c r="Q1243" s="89"/>
      <c r="R1243" s="88"/>
      <c r="S1243" s="88"/>
      <c r="T1243" s="90"/>
      <c r="U1243" s="6"/>
      <c r="V1243" s="44">
        <v>45723</v>
      </c>
      <c r="W1243" s="45">
        <v>261.54000000000002</v>
      </c>
      <c r="X1243" s="91"/>
      <c r="Y1243" s="77"/>
      <c r="Z1243" s="5"/>
      <c r="AA1243" s="5"/>
      <c r="AB1243" s="5"/>
      <c r="AC1243" s="5"/>
      <c r="AD1243" s="5"/>
      <c r="AE1243" s="5"/>
      <c r="AF1243" s="5"/>
      <c r="AG1243" s="5"/>
      <c r="AH1243" s="6"/>
      <c r="AI1243" s="44">
        <v>45723</v>
      </c>
      <c r="AJ1243" s="53">
        <v>261.54000000000002</v>
      </c>
      <c r="AK1243" s="54">
        <f t="shared" si="209"/>
        <v>5.1670754754915782E-2</v>
      </c>
      <c r="AL1243" s="55">
        <f t="shared" si="212"/>
        <v>41.914763893139813</v>
      </c>
      <c r="AM1243" s="56">
        <v>25</v>
      </c>
      <c r="AN1243" s="57">
        <f t="shared" si="210"/>
        <v>-16.914763893139813</v>
      </c>
      <c r="AO1243" s="76">
        <f t="shared" si="213"/>
        <v>6.4663042656692822</v>
      </c>
      <c r="AP1243" s="63" t="str">
        <f t="shared" si="214"/>
        <v>Buy Stocks</v>
      </c>
      <c r="AQ1243" s="63" t="str">
        <f t="shared" si="215"/>
        <v/>
      </c>
      <c r="AR1243" s="63" t="str">
        <f t="shared" si="216"/>
        <v/>
      </c>
      <c r="AS1243" s="63" t="str">
        <f t="shared" si="217"/>
        <v/>
      </c>
      <c r="AT1243" s="78" t="str">
        <f t="shared" si="218"/>
        <v/>
      </c>
      <c r="AU1243" s="78" t="str">
        <f t="shared" si="219"/>
        <v/>
      </c>
      <c r="AV1243" s="64" t="str">
        <f ca="1">IFERROR(__xludf.DUMMYFUNCTION("IF(TRIM(AU1243)="""","""",AU1243/INDEX(FILTER(AT$3:AT1243,TRIM(AT$3:AT1243)&lt;&gt;""""),ROWS(FILTER(AT$3:AT1243,TRIM(AT$3:AT1243)&lt;&gt;"""")))-1)"),"")</f>
        <v/>
      </c>
      <c r="AW1243" s="65" t="e">
        <f t="shared" ca="1" si="211"/>
        <v>#VALUE!</v>
      </c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</row>
    <row r="1244" spans="1:68" ht="19" x14ac:dyDescent="0.25">
      <c r="A1244" s="5"/>
      <c r="B1244" s="5"/>
      <c r="C1244" s="5"/>
      <c r="D1244" s="5"/>
      <c r="E1244" s="5"/>
      <c r="F1244" s="5"/>
      <c r="G1244" s="5"/>
      <c r="H1244" s="6"/>
      <c r="I1244" s="5"/>
      <c r="J1244" s="88"/>
      <c r="K1244" s="88"/>
      <c r="L1244" s="88"/>
      <c r="M1244" s="88"/>
      <c r="N1244" s="88"/>
      <c r="O1244" s="88"/>
      <c r="P1244" s="88"/>
      <c r="Q1244" s="89"/>
      <c r="R1244" s="88"/>
      <c r="S1244" s="88"/>
      <c r="T1244" s="90"/>
      <c r="U1244" s="6"/>
      <c r="V1244" s="44">
        <v>45726</v>
      </c>
      <c r="W1244" s="45">
        <v>256.89999999999998</v>
      </c>
      <c r="X1244" s="91"/>
      <c r="Y1244" s="77"/>
      <c r="Z1244" s="5"/>
      <c r="AA1244" s="5"/>
      <c r="AB1244" s="5"/>
      <c r="AC1244" s="5"/>
      <c r="AD1244" s="5"/>
      <c r="AE1244" s="5"/>
      <c r="AF1244" s="5"/>
      <c r="AG1244" s="5"/>
      <c r="AH1244" s="6"/>
      <c r="AI1244" s="44">
        <v>45726</v>
      </c>
      <c r="AJ1244" s="53">
        <v>256.89999999999998</v>
      </c>
      <c r="AK1244" s="54">
        <f t="shared" si="209"/>
        <v>-1.7741072111340683E-2</v>
      </c>
      <c r="AL1244" s="55">
        <f t="shared" si="212"/>
        <v>44.467511742312723</v>
      </c>
      <c r="AM1244" s="56">
        <v>25</v>
      </c>
      <c r="AN1244" s="57">
        <f t="shared" si="210"/>
        <v>-19.467511742312723</v>
      </c>
      <c r="AO1244" s="76">
        <f t="shared" si="213"/>
        <v>-0.97347484290155395</v>
      </c>
      <c r="AP1244" s="63" t="str">
        <f t="shared" si="214"/>
        <v/>
      </c>
      <c r="AQ1244" s="63" t="str">
        <f t="shared" si="215"/>
        <v>Sell Stocks</v>
      </c>
      <c r="AR1244" s="63" t="str">
        <f t="shared" si="216"/>
        <v/>
      </c>
      <c r="AS1244" s="63" t="str">
        <f t="shared" si="217"/>
        <v>Sell Stocks</v>
      </c>
      <c r="AT1244" s="78" t="str">
        <f t="shared" si="218"/>
        <v/>
      </c>
      <c r="AU1244" s="77">
        <f t="shared" si="219"/>
        <v>256.89999999999998</v>
      </c>
      <c r="AV1244" s="64">
        <f ca="1">IFERROR(__xludf.DUMMYFUNCTION("IF(TRIM(AU1244)="""","""",AU1244/INDEX(FILTER(AT$3:AT1244,TRIM(AT$3:AT1244)&lt;&gt;""""),ROWS(FILTER(AT$3:AT1244,TRIM(AT$3:AT1244)&lt;&gt;"""")))-1)"),-0.0234538335804159)</f>
        <v>-2.34538335804159E-2</v>
      </c>
      <c r="AW1244" s="65" t="e">
        <f t="shared" ca="1" si="211"/>
        <v>#VALUE!</v>
      </c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</row>
    <row r="1245" spans="1:68" ht="19" x14ac:dyDescent="0.25">
      <c r="A1245" s="5"/>
      <c r="B1245" s="5"/>
      <c r="C1245" s="5"/>
      <c r="D1245" s="5"/>
      <c r="E1245" s="5"/>
      <c r="F1245" s="5"/>
      <c r="G1245" s="5"/>
      <c r="H1245" s="6"/>
      <c r="I1245" s="5"/>
      <c r="J1245" s="88"/>
      <c r="K1245" s="88"/>
      <c r="L1245" s="88"/>
      <c r="M1245" s="88"/>
      <c r="N1245" s="88"/>
      <c r="O1245" s="88"/>
      <c r="P1245" s="88"/>
      <c r="Q1245" s="89"/>
      <c r="R1245" s="88"/>
      <c r="S1245" s="88"/>
      <c r="T1245" s="90"/>
      <c r="U1245" s="6"/>
      <c r="V1245" s="44">
        <v>45727</v>
      </c>
      <c r="W1245" s="45">
        <v>248.95</v>
      </c>
      <c r="X1245" s="91"/>
      <c r="Y1245" s="77"/>
      <c r="Z1245" s="5"/>
      <c r="AA1245" s="5"/>
      <c r="AB1245" s="5"/>
      <c r="AC1245" s="5"/>
      <c r="AD1245" s="5"/>
      <c r="AE1245" s="5"/>
      <c r="AF1245" s="5"/>
      <c r="AG1245" s="5"/>
      <c r="AH1245" s="6"/>
      <c r="AI1245" s="44">
        <v>45727</v>
      </c>
      <c r="AJ1245" s="53">
        <v>248.95</v>
      </c>
      <c r="AK1245" s="54">
        <f t="shared" si="209"/>
        <v>-3.0945893343713449E-2</v>
      </c>
      <c r="AL1245" s="55">
        <f t="shared" si="212"/>
        <v>50.596788176173348</v>
      </c>
      <c r="AM1245" s="56">
        <v>25</v>
      </c>
      <c r="AN1245" s="57">
        <f t="shared" si="210"/>
        <v>-25.596788176173348</v>
      </c>
      <c r="AO1245" s="76">
        <f t="shared" si="213"/>
        <v>-8.1999336374064935</v>
      </c>
      <c r="AP1245" s="63" t="str">
        <f t="shared" si="214"/>
        <v/>
      </c>
      <c r="AQ1245" s="63" t="str">
        <f t="shared" si="215"/>
        <v>Sell Stocks</v>
      </c>
      <c r="AR1245" s="63" t="str">
        <f t="shared" si="216"/>
        <v/>
      </c>
      <c r="AS1245" s="63" t="str">
        <f t="shared" si="217"/>
        <v/>
      </c>
      <c r="AT1245" s="78" t="str">
        <f t="shared" si="218"/>
        <v/>
      </c>
      <c r="AU1245" s="78" t="str">
        <f t="shared" si="219"/>
        <v/>
      </c>
      <c r="AV1245" s="64" t="str">
        <f ca="1">IFERROR(__xludf.DUMMYFUNCTION("IF(TRIM(AU1245)="""","""",AU1245/INDEX(FILTER(AT$3:AT1245,TRIM(AT$3:AT1245)&lt;&gt;""""),ROWS(FILTER(AT$3:AT1245,TRIM(AT$3:AT1245)&lt;&gt;"""")))-1)"),"")</f>
        <v/>
      </c>
      <c r="AW1245" s="65" t="e">
        <f t="shared" ca="1" si="211"/>
        <v>#VALUE!</v>
      </c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</row>
    <row r="1246" spans="1:68" ht="19" x14ac:dyDescent="0.25">
      <c r="A1246" s="5"/>
      <c r="B1246" s="5"/>
      <c r="C1246" s="5"/>
      <c r="D1246" s="5"/>
      <c r="E1246" s="5"/>
      <c r="F1246" s="5"/>
      <c r="G1246" s="5"/>
      <c r="H1246" s="6"/>
      <c r="I1246" s="5"/>
      <c r="J1246" s="88"/>
      <c r="K1246" s="88"/>
      <c r="L1246" s="88"/>
      <c r="M1246" s="88"/>
      <c r="N1246" s="88"/>
      <c r="O1246" s="88"/>
      <c r="P1246" s="88"/>
      <c r="Q1246" s="89"/>
      <c r="R1246" s="88"/>
      <c r="S1246" s="88"/>
      <c r="T1246" s="90"/>
      <c r="U1246" s="6"/>
      <c r="V1246" s="44">
        <v>45728</v>
      </c>
      <c r="W1246" s="45">
        <v>249.63</v>
      </c>
      <c r="X1246" s="91"/>
      <c r="Y1246" s="77"/>
      <c r="Z1246" s="5"/>
      <c r="AA1246" s="5"/>
      <c r="AB1246" s="5"/>
      <c r="AC1246" s="5"/>
      <c r="AD1246" s="5"/>
      <c r="AE1246" s="5"/>
      <c r="AF1246" s="5"/>
      <c r="AG1246" s="5"/>
      <c r="AH1246" s="6"/>
      <c r="AI1246" s="44">
        <v>45728</v>
      </c>
      <c r="AJ1246" s="53">
        <v>249.63</v>
      </c>
      <c r="AK1246" s="54">
        <f t="shared" si="209"/>
        <v>2.7314721831692701E-3</v>
      </c>
      <c r="AL1246" s="55">
        <f t="shared" si="212"/>
        <v>50.555883133959171</v>
      </c>
      <c r="AM1246" s="56">
        <v>25</v>
      </c>
      <c r="AN1246" s="57">
        <f t="shared" si="210"/>
        <v>-25.555883133959171</v>
      </c>
      <c r="AO1246" s="76">
        <f t="shared" si="213"/>
        <v>-15.420389817212163</v>
      </c>
      <c r="AP1246" s="63" t="str">
        <f t="shared" si="214"/>
        <v/>
      </c>
      <c r="AQ1246" s="63" t="str">
        <f t="shared" si="215"/>
        <v>Sell Stocks</v>
      </c>
      <c r="AR1246" s="63" t="str">
        <f t="shared" si="216"/>
        <v/>
      </c>
      <c r="AS1246" s="63" t="str">
        <f t="shared" si="217"/>
        <v/>
      </c>
      <c r="AT1246" s="78" t="str">
        <f t="shared" si="218"/>
        <v/>
      </c>
      <c r="AU1246" s="78" t="str">
        <f t="shared" si="219"/>
        <v/>
      </c>
      <c r="AV1246" s="64" t="str">
        <f ca="1">IFERROR(__xludf.DUMMYFUNCTION("IF(TRIM(AU1246)="""","""",AU1246/INDEX(FILTER(AT$3:AT1246,TRIM(AT$3:AT1246)&lt;&gt;""""),ROWS(FILTER(AT$3:AT1246,TRIM(AT$3:AT1246)&lt;&gt;"""")))-1)"),"")</f>
        <v/>
      </c>
      <c r="AW1246" s="65" t="e">
        <f t="shared" ca="1" si="211"/>
        <v>#VALUE!</v>
      </c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</row>
    <row r="1247" spans="1:68" ht="19" x14ac:dyDescent="0.25">
      <c r="A1247" s="5"/>
      <c r="B1247" s="5"/>
      <c r="C1247" s="5"/>
      <c r="D1247" s="5"/>
      <c r="E1247" s="5"/>
      <c r="F1247" s="5"/>
      <c r="G1247" s="5"/>
      <c r="H1247" s="6"/>
      <c r="I1247" s="5"/>
      <c r="J1247" s="88"/>
      <c r="K1247" s="88"/>
      <c r="L1247" s="88"/>
      <c r="M1247" s="88"/>
      <c r="N1247" s="88"/>
      <c r="O1247" s="88"/>
      <c r="P1247" s="88"/>
      <c r="Q1247" s="89"/>
      <c r="R1247" s="88"/>
      <c r="S1247" s="88"/>
      <c r="T1247" s="90"/>
      <c r="U1247" s="6"/>
      <c r="V1247" s="44">
        <v>45729</v>
      </c>
      <c r="W1247" s="45">
        <v>245.8</v>
      </c>
      <c r="X1247" s="91"/>
      <c r="Y1247" s="77"/>
      <c r="Z1247" s="5"/>
      <c r="AA1247" s="5"/>
      <c r="AB1247" s="5"/>
      <c r="AC1247" s="5"/>
      <c r="AD1247" s="5"/>
      <c r="AE1247" s="5"/>
      <c r="AF1247" s="5"/>
      <c r="AG1247" s="5"/>
      <c r="AH1247" s="6"/>
      <c r="AI1247" s="44">
        <v>45729</v>
      </c>
      <c r="AJ1247" s="53">
        <v>245.8</v>
      </c>
      <c r="AK1247" s="54">
        <f t="shared" si="209"/>
        <v>-1.5342707206665751E-2</v>
      </c>
      <c r="AL1247" s="55">
        <f t="shared" si="212"/>
        <v>51.234238901093676</v>
      </c>
      <c r="AM1247" s="56">
        <v>25</v>
      </c>
      <c r="AN1247" s="57">
        <f t="shared" si="210"/>
        <v>-26.234238901093676</v>
      </c>
      <c r="AO1247" s="76">
        <f t="shared" si="213"/>
        <v>-22.753837169335746</v>
      </c>
      <c r="AP1247" s="63" t="str">
        <f t="shared" si="214"/>
        <v/>
      </c>
      <c r="AQ1247" s="63" t="str">
        <f t="shared" si="215"/>
        <v>Sell Stocks</v>
      </c>
      <c r="AR1247" s="63" t="str">
        <f t="shared" si="216"/>
        <v/>
      </c>
      <c r="AS1247" s="63" t="str">
        <f t="shared" si="217"/>
        <v/>
      </c>
      <c r="AT1247" s="78" t="str">
        <f t="shared" si="218"/>
        <v/>
      </c>
      <c r="AU1247" s="78" t="str">
        <f t="shared" si="219"/>
        <v/>
      </c>
      <c r="AV1247" s="64" t="str">
        <f ca="1">IFERROR(__xludf.DUMMYFUNCTION("IF(TRIM(AU1247)="""","""",AU1247/INDEX(FILTER(AT$3:AT1247,TRIM(AT$3:AT1247)&lt;&gt;""""),ROWS(FILTER(AT$3:AT1247,TRIM(AT$3:AT1247)&lt;&gt;"""")))-1)"),"")</f>
        <v/>
      </c>
      <c r="AW1247" s="65" t="e">
        <f t="shared" ca="1" si="211"/>
        <v>#VALUE!</v>
      </c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</row>
    <row r="1248" spans="1:68" ht="19" x14ac:dyDescent="0.25">
      <c r="A1248" s="5"/>
      <c r="B1248" s="5"/>
      <c r="C1248" s="5"/>
      <c r="D1248" s="5"/>
      <c r="E1248" s="5"/>
      <c r="F1248" s="5"/>
      <c r="G1248" s="5"/>
      <c r="H1248" s="6"/>
      <c r="I1248" s="5"/>
      <c r="J1248" s="88"/>
      <c r="K1248" s="88"/>
      <c r="L1248" s="88"/>
      <c r="M1248" s="88"/>
      <c r="N1248" s="88"/>
      <c r="O1248" s="88"/>
      <c r="P1248" s="88"/>
      <c r="Q1248" s="89"/>
      <c r="R1248" s="88"/>
      <c r="S1248" s="88"/>
      <c r="T1248" s="90"/>
      <c r="U1248" s="6"/>
      <c r="V1248" s="44">
        <v>45730</v>
      </c>
      <c r="W1248" s="45">
        <v>248.35</v>
      </c>
      <c r="X1248" s="91"/>
      <c r="Y1248" s="77"/>
      <c r="Z1248" s="5"/>
      <c r="AA1248" s="5"/>
      <c r="AB1248" s="5"/>
      <c r="AC1248" s="5"/>
      <c r="AD1248" s="5"/>
      <c r="AE1248" s="5"/>
      <c r="AF1248" s="5"/>
      <c r="AG1248" s="5"/>
      <c r="AH1248" s="6"/>
      <c r="AI1248" s="44">
        <v>45730</v>
      </c>
      <c r="AJ1248" s="53">
        <v>248.35</v>
      </c>
      <c r="AK1248" s="54">
        <f t="shared" si="209"/>
        <v>1.0374288039056045E-2</v>
      </c>
      <c r="AL1248" s="55">
        <f t="shared" si="212"/>
        <v>26.375465439313363</v>
      </c>
      <c r="AM1248" s="56">
        <v>25</v>
      </c>
      <c r="AN1248" s="57">
        <f t="shared" si="210"/>
        <v>-1.3754654393133627</v>
      </c>
      <c r="AO1248" s="76">
        <f t="shared" si="213"/>
        <v>-19.645977478570455</v>
      </c>
      <c r="AP1248" s="63" t="str">
        <f t="shared" si="214"/>
        <v/>
      </c>
      <c r="AQ1248" s="63" t="str">
        <f t="shared" si="215"/>
        <v>Sell Stocks</v>
      </c>
      <c r="AR1248" s="63" t="str">
        <f t="shared" si="216"/>
        <v/>
      </c>
      <c r="AS1248" s="63" t="str">
        <f t="shared" si="217"/>
        <v/>
      </c>
      <c r="AT1248" s="78" t="str">
        <f t="shared" si="218"/>
        <v/>
      </c>
      <c r="AU1248" s="78" t="str">
        <f t="shared" si="219"/>
        <v/>
      </c>
      <c r="AV1248" s="64" t="str">
        <f ca="1">IFERROR(__xludf.DUMMYFUNCTION("IF(TRIM(AU1248)="""","""",AU1248/INDEX(FILTER(AT$3:AT1248,TRIM(AT$3:AT1248)&lt;&gt;""""),ROWS(FILTER(AT$3:AT1248,TRIM(AT$3:AT1248)&lt;&gt;"""")))-1)"),"")</f>
        <v/>
      </c>
      <c r="AW1248" s="65" t="e">
        <f t="shared" ca="1" si="211"/>
        <v>#VALUE!</v>
      </c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</row>
    <row r="1249" spans="1:68" ht="19" x14ac:dyDescent="0.25">
      <c r="A1249" s="5"/>
      <c r="B1249" s="5"/>
      <c r="C1249" s="5"/>
      <c r="D1249" s="5"/>
      <c r="E1249" s="5"/>
      <c r="F1249" s="5"/>
      <c r="G1249" s="5"/>
      <c r="H1249" s="6"/>
      <c r="I1249" s="5"/>
      <c r="J1249" s="88"/>
      <c r="K1249" s="88"/>
      <c r="L1249" s="88"/>
      <c r="M1249" s="88"/>
      <c r="N1249" s="88"/>
      <c r="O1249" s="88"/>
      <c r="P1249" s="88"/>
      <c r="Q1249" s="89"/>
      <c r="R1249" s="88"/>
      <c r="S1249" s="88"/>
      <c r="T1249" s="90"/>
      <c r="U1249" s="6"/>
      <c r="V1249" s="44">
        <v>45733</v>
      </c>
      <c r="W1249" s="45">
        <v>252.97</v>
      </c>
      <c r="X1249" s="91"/>
      <c r="Y1249" s="77"/>
      <c r="Z1249" s="5"/>
      <c r="AA1249" s="5"/>
      <c r="AB1249" s="5"/>
      <c r="AC1249" s="5"/>
      <c r="AD1249" s="5"/>
      <c r="AE1249" s="5"/>
      <c r="AF1249" s="5"/>
      <c r="AG1249" s="5"/>
      <c r="AH1249" s="6"/>
      <c r="AI1249" s="44">
        <v>45733</v>
      </c>
      <c r="AJ1249" s="53">
        <v>252.97</v>
      </c>
      <c r="AK1249" s="54">
        <f t="shared" si="209"/>
        <v>1.8602778337024395E-2</v>
      </c>
      <c r="AL1249" s="55">
        <f t="shared" si="212"/>
        <v>31.86470367169315</v>
      </c>
      <c r="AM1249" s="56">
        <v>25</v>
      </c>
      <c r="AN1249" s="57">
        <f t="shared" si="210"/>
        <v>-6.8647036716931495</v>
      </c>
      <c r="AO1249" s="76">
        <f t="shared" si="213"/>
        <v>-17.125415864446541</v>
      </c>
      <c r="AP1249" s="63" t="str">
        <f t="shared" si="214"/>
        <v/>
      </c>
      <c r="AQ1249" s="63" t="str">
        <f t="shared" si="215"/>
        <v>Sell Stocks</v>
      </c>
      <c r="AR1249" s="63" t="str">
        <f t="shared" si="216"/>
        <v/>
      </c>
      <c r="AS1249" s="63" t="str">
        <f t="shared" si="217"/>
        <v/>
      </c>
      <c r="AT1249" s="78" t="str">
        <f t="shared" si="218"/>
        <v/>
      </c>
      <c r="AU1249" s="78" t="str">
        <f t="shared" si="219"/>
        <v/>
      </c>
      <c r="AV1249" s="64" t="str">
        <f ca="1">IFERROR(__xludf.DUMMYFUNCTION("IF(TRIM(AU1249)="""","""",AU1249/INDEX(FILTER(AT$3:AT1249,TRIM(AT$3:AT1249)&lt;&gt;""""),ROWS(FILTER(AT$3:AT1249,TRIM(AT$3:AT1249)&lt;&gt;"""")))-1)"),"")</f>
        <v/>
      </c>
      <c r="AW1249" s="65" t="e">
        <f t="shared" ca="1" si="211"/>
        <v>#VALUE!</v>
      </c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</row>
    <row r="1250" spans="1:68" ht="19" x14ac:dyDescent="0.25">
      <c r="A1250" s="5"/>
      <c r="B1250" s="5"/>
      <c r="C1250" s="5"/>
      <c r="D1250" s="5"/>
      <c r="E1250" s="5"/>
      <c r="F1250" s="5"/>
      <c r="G1250" s="5"/>
      <c r="H1250" s="6"/>
      <c r="I1250" s="5"/>
      <c r="J1250" s="88"/>
      <c r="K1250" s="88"/>
      <c r="L1250" s="88"/>
      <c r="M1250" s="88"/>
      <c r="N1250" s="88"/>
      <c r="O1250" s="88"/>
      <c r="P1250" s="88"/>
      <c r="Q1250" s="89"/>
      <c r="R1250" s="88"/>
      <c r="S1250" s="88"/>
      <c r="T1250" s="90"/>
      <c r="U1250" s="6"/>
      <c r="V1250" s="44">
        <v>45734</v>
      </c>
      <c r="W1250" s="45">
        <v>246.95</v>
      </c>
      <c r="X1250" s="91"/>
      <c r="Y1250" s="77"/>
      <c r="Z1250" s="5"/>
      <c r="AA1250" s="5"/>
      <c r="AB1250" s="5"/>
      <c r="AC1250" s="5"/>
      <c r="AD1250" s="5"/>
      <c r="AE1250" s="5"/>
      <c r="AF1250" s="5"/>
      <c r="AG1250" s="5"/>
      <c r="AH1250" s="6"/>
      <c r="AI1250" s="44">
        <v>45734</v>
      </c>
      <c r="AJ1250" s="53">
        <v>246.95</v>
      </c>
      <c r="AK1250" s="54">
        <f t="shared" si="209"/>
        <v>-2.3797288215994028E-2</v>
      </c>
      <c r="AL1250" s="55">
        <f t="shared" si="212"/>
        <v>28.082789998770096</v>
      </c>
      <c r="AM1250" s="56">
        <v>25</v>
      </c>
      <c r="AN1250" s="57">
        <f t="shared" si="210"/>
        <v>-3.082789998770096</v>
      </c>
      <c r="AO1250" s="76">
        <f t="shared" si="213"/>
        <v>-12.622616228965891</v>
      </c>
      <c r="AP1250" s="63" t="str">
        <f t="shared" si="214"/>
        <v/>
      </c>
      <c r="AQ1250" s="63" t="str">
        <f t="shared" si="215"/>
        <v>Sell Stocks</v>
      </c>
      <c r="AR1250" s="63" t="str">
        <f t="shared" si="216"/>
        <v/>
      </c>
      <c r="AS1250" s="63" t="str">
        <f t="shared" si="217"/>
        <v/>
      </c>
      <c r="AT1250" s="78" t="str">
        <f t="shared" si="218"/>
        <v/>
      </c>
      <c r="AU1250" s="78" t="str">
        <f t="shared" si="219"/>
        <v/>
      </c>
      <c r="AV1250" s="64" t="str">
        <f ca="1">IFERROR(__xludf.DUMMYFUNCTION("IF(TRIM(AU1250)="""","""",AU1250/INDEX(FILTER(AT$3:AT1250,TRIM(AT$3:AT1250)&lt;&gt;""""),ROWS(FILTER(AT$3:AT1250,TRIM(AT$3:AT1250)&lt;&gt;"""")))-1)"),"")</f>
        <v/>
      </c>
      <c r="AW1250" s="65" t="e">
        <f t="shared" ca="1" si="211"/>
        <v>#VALUE!</v>
      </c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</row>
    <row r="1251" spans="1:68" ht="19" x14ac:dyDescent="0.25">
      <c r="A1251" s="5"/>
      <c r="B1251" s="5"/>
      <c r="C1251" s="5"/>
      <c r="D1251" s="5"/>
      <c r="E1251" s="5"/>
      <c r="F1251" s="5"/>
      <c r="G1251" s="5"/>
      <c r="H1251" s="6"/>
      <c r="I1251" s="5"/>
      <c r="J1251" s="88"/>
      <c r="K1251" s="88"/>
      <c r="L1251" s="88"/>
      <c r="M1251" s="88"/>
      <c r="N1251" s="88"/>
      <c r="O1251" s="88"/>
      <c r="P1251" s="88"/>
      <c r="Q1251" s="89"/>
      <c r="R1251" s="88"/>
      <c r="S1251" s="88"/>
      <c r="T1251" s="90"/>
      <c r="U1251" s="6"/>
      <c r="V1251" s="44">
        <v>45735</v>
      </c>
      <c r="W1251" s="45">
        <v>252.29</v>
      </c>
      <c r="X1251" s="91"/>
      <c r="Y1251" s="77"/>
      <c r="Z1251" s="5"/>
      <c r="AA1251" s="5"/>
      <c r="AB1251" s="5"/>
      <c r="AC1251" s="5"/>
      <c r="AD1251" s="5"/>
      <c r="AE1251" s="5"/>
      <c r="AF1251" s="5"/>
      <c r="AG1251" s="5"/>
      <c r="AH1251" s="6"/>
      <c r="AI1251" s="44">
        <v>45735</v>
      </c>
      <c r="AJ1251" s="53">
        <v>252.29</v>
      </c>
      <c r="AK1251" s="54">
        <f t="shared" si="209"/>
        <v>2.1623810487953143E-2</v>
      </c>
      <c r="AL1251" s="55">
        <f t="shared" si="212"/>
        <v>32.694527116262051</v>
      </c>
      <c r="AM1251" s="56">
        <v>25</v>
      </c>
      <c r="AN1251" s="57">
        <f t="shared" si="210"/>
        <v>-7.6945271162620514</v>
      </c>
      <c r="AO1251" s="76">
        <f t="shared" si="213"/>
        <v>-9.0503450254264663</v>
      </c>
      <c r="AP1251" s="63" t="str">
        <f t="shared" si="214"/>
        <v/>
      </c>
      <c r="AQ1251" s="63" t="str">
        <f t="shared" si="215"/>
        <v>Sell Stocks</v>
      </c>
      <c r="AR1251" s="63" t="str">
        <f t="shared" si="216"/>
        <v/>
      </c>
      <c r="AS1251" s="63" t="str">
        <f t="shared" si="217"/>
        <v/>
      </c>
      <c r="AT1251" s="78" t="str">
        <f t="shared" si="218"/>
        <v/>
      </c>
      <c r="AU1251" s="78" t="str">
        <f t="shared" si="219"/>
        <v/>
      </c>
      <c r="AV1251" s="64" t="str">
        <f ca="1">IFERROR(__xludf.DUMMYFUNCTION("IF(TRIM(AU1251)="""","""",AU1251/INDEX(FILTER(AT$3:AT1251,TRIM(AT$3:AT1251)&lt;&gt;""""),ROWS(FILTER(AT$3:AT1251,TRIM(AT$3:AT1251)&lt;&gt;"""")))-1)"),"")</f>
        <v/>
      </c>
      <c r="AW1251" s="65" t="e">
        <f t="shared" ca="1" si="211"/>
        <v>#VALUE!</v>
      </c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</row>
    <row r="1252" spans="1:68" ht="19" x14ac:dyDescent="0.25">
      <c r="A1252" s="5"/>
      <c r="B1252" s="5"/>
      <c r="C1252" s="5"/>
      <c r="D1252" s="5"/>
      <c r="E1252" s="5"/>
      <c r="F1252" s="5"/>
      <c r="G1252" s="5"/>
      <c r="H1252" s="6"/>
      <c r="I1252" s="5"/>
      <c r="J1252" s="88"/>
      <c r="K1252" s="88"/>
      <c r="L1252" s="88"/>
      <c r="M1252" s="88"/>
      <c r="N1252" s="88"/>
      <c r="O1252" s="88"/>
      <c r="P1252" s="88"/>
      <c r="Q1252" s="89"/>
      <c r="R1252" s="88"/>
      <c r="S1252" s="88"/>
      <c r="T1252" s="90"/>
      <c r="U1252" s="6"/>
      <c r="V1252" s="44">
        <v>45736</v>
      </c>
      <c r="W1252" s="45">
        <v>243.32</v>
      </c>
      <c r="X1252" s="91"/>
      <c r="Y1252" s="77"/>
      <c r="Z1252" s="5"/>
      <c r="AA1252" s="5"/>
      <c r="AB1252" s="5"/>
      <c r="AC1252" s="5"/>
      <c r="AD1252" s="5"/>
      <c r="AE1252" s="5"/>
      <c r="AF1252" s="5"/>
      <c r="AG1252" s="5"/>
      <c r="AH1252" s="6"/>
      <c r="AI1252" s="44">
        <v>45736</v>
      </c>
      <c r="AJ1252" s="53">
        <v>243.32</v>
      </c>
      <c r="AK1252" s="54">
        <f t="shared" si="209"/>
        <v>-3.5554322406754157E-2</v>
      </c>
      <c r="AL1252" s="55">
        <f t="shared" si="212"/>
        <v>41.520139442514441</v>
      </c>
      <c r="AM1252" s="56">
        <v>25</v>
      </c>
      <c r="AN1252" s="57">
        <f t="shared" si="210"/>
        <v>-16.520139442514441</v>
      </c>
      <c r="AO1252" s="76">
        <f t="shared" si="213"/>
        <v>-7.1075251337106211</v>
      </c>
      <c r="AP1252" s="63" t="str">
        <f t="shared" si="214"/>
        <v/>
      </c>
      <c r="AQ1252" s="63" t="str">
        <f t="shared" si="215"/>
        <v>Sell Stocks</v>
      </c>
      <c r="AR1252" s="63" t="str">
        <f t="shared" si="216"/>
        <v/>
      </c>
      <c r="AS1252" s="63" t="str">
        <f t="shared" si="217"/>
        <v/>
      </c>
      <c r="AT1252" s="78" t="str">
        <f t="shared" si="218"/>
        <v/>
      </c>
      <c r="AU1252" s="78" t="str">
        <f t="shared" si="219"/>
        <v/>
      </c>
      <c r="AV1252" s="64" t="str">
        <f ca="1">IFERROR(__xludf.DUMMYFUNCTION("IF(TRIM(AU1252)="""","""",AU1252/INDEX(FILTER(AT$3:AT1252,TRIM(AT$3:AT1252)&lt;&gt;""""),ROWS(FILTER(AT$3:AT1252,TRIM(AT$3:AT1252)&lt;&gt;"""")))-1)"),"")</f>
        <v/>
      </c>
      <c r="AW1252" s="65" t="e">
        <f t="shared" ca="1" si="211"/>
        <v>#VALUE!</v>
      </c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</row>
    <row r="1253" spans="1:68" ht="19" x14ac:dyDescent="0.25">
      <c r="A1253" s="5"/>
      <c r="B1253" s="5"/>
      <c r="C1253" s="5"/>
      <c r="D1253" s="5"/>
      <c r="E1253" s="5"/>
      <c r="F1253" s="5"/>
      <c r="G1253" s="5"/>
      <c r="H1253" s="6"/>
      <c r="I1253" s="5"/>
      <c r="J1253" s="88"/>
      <c r="K1253" s="88"/>
      <c r="L1253" s="88"/>
      <c r="M1253" s="88"/>
      <c r="N1253" s="88"/>
      <c r="O1253" s="88"/>
      <c r="P1253" s="88"/>
      <c r="Q1253" s="89"/>
      <c r="R1253" s="88"/>
      <c r="S1253" s="88"/>
      <c r="T1253" s="90"/>
      <c r="U1253" s="6"/>
      <c r="V1253" s="44">
        <v>45737</v>
      </c>
      <c r="W1253" s="45">
        <v>243.87</v>
      </c>
      <c r="X1253" s="91"/>
      <c r="Y1253" s="77"/>
      <c r="Z1253" s="5"/>
      <c r="AA1253" s="5"/>
      <c r="AB1253" s="5"/>
      <c r="AC1253" s="5"/>
      <c r="AD1253" s="5"/>
      <c r="AE1253" s="5"/>
      <c r="AF1253" s="5"/>
      <c r="AG1253" s="5"/>
      <c r="AH1253" s="6"/>
      <c r="AI1253" s="44">
        <v>45737</v>
      </c>
      <c r="AJ1253" s="53">
        <v>243.87</v>
      </c>
      <c r="AK1253" s="54">
        <f t="shared" si="209"/>
        <v>2.2603978300181904E-3</v>
      </c>
      <c r="AL1253" s="55">
        <f t="shared" si="212"/>
        <v>40.412235128657905</v>
      </c>
      <c r="AM1253" s="56">
        <v>25</v>
      </c>
      <c r="AN1253" s="57">
        <f t="shared" si="210"/>
        <v>-15.412235128657905</v>
      </c>
      <c r="AO1253" s="76">
        <f t="shared" si="213"/>
        <v>-9.914879071579529</v>
      </c>
      <c r="AP1253" s="63" t="str">
        <f t="shared" si="214"/>
        <v/>
      </c>
      <c r="AQ1253" s="63" t="str">
        <f t="shared" si="215"/>
        <v>Sell Stocks</v>
      </c>
      <c r="AR1253" s="63" t="str">
        <f t="shared" si="216"/>
        <v/>
      </c>
      <c r="AS1253" s="63" t="str">
        <f t="shared" si="217"/>
        <v/>
      </c>
      <c r="AT1253" s="78" t="str">
        <f t="shared" si="218"/>
        <v/>
      </c>
      <c r="AU1253" s="78" t="str">
        <f t="shared" si="219"/>
        <v/>
      </c>
      <c r="AV1253" s="64" t="str">
        <f ca="1">IFERROR(__xludf.DUMMYFUNCTION("IF(TRIM(AU1253)="""","""",AU1253/INDEX(FILTER(AT$3:AT1253,TRIM(AT$3:AT1253)&lt;&gt;""""),ROWS(FILTER(AT$3:AT1253,TRIM(AT$3:AT1253)&lt;&gt;"""")))-1)"),"")</f>
        <v/>
      </c>
      <c r="AW1253" s="65" t="e">
        <f t="shared" ca="1" si="211"/>
        <v>#VALUE!</v>
      </c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</row>
    <row r="1254" spans="1:68" ht="19" x14ac:dyDescent="0.25">
      <c r="A1254" s="5"/>
      <c r="B1254" s="5"/>
      <c r="C1254" s="5"/>
      <c r="D1254" s="5"/>
      <c r="E1254" s="5"/>
      <c r="F1254" s="5"/>
      <c r="G1254" s="5"/>
      <c r="H1254" s="6"/>
      <c r="I1254" s="5"/>
      <c r="J1254" s="88"/>
      <c r="K1254" s="88"/>
      <c r="L1254" s="88"/>
      <c r="M1254" s="88"/>
      <c r="N1254" s="88"/>
      <c r="O1254" s="88"/>
      <c r="P1254" s="88"/>
      <c r="Q1254" s="89"/>
      <c r="R1254" s="88"/>
      <c r="S1254" s="88"/>
      <c r="T1254" s="90"/>
      <c r="U1254" s="6"/>
      <c r="V1254" s="44">
        <v>45740</v>
      </c>
      <c r="W1254" s="45">
        <v>248.45</v>
      </c>
      <c r="X1254" s="91"/>
      <c r="Y1254" s="77"/>
      <c r="Z1254" s="5"/>
      <c r="AA1254" s="5"/>
      <c r="AB1254" s="5"/>
      <c r="AC1254" s="5"/>
      <c r="AD1254" s="5"/>
      <c r="AE1254" s="5"/>
      <c r="AF1254" s="5"/>
      <c r="AG1254" s="5"/>
      <c r="AH1254" s="6"/>
      <c r="AI1254" s="44">
        <v>45740</v>
      </c>
      <c r="AJ1254" s="53">
        <v>248.45</v>
      </c>
      <c r="AK1254" s="54">
        <f t="shared" si="209"/>
        <v>1.8780497806208052E-2</v>
      </c>
      <c r="AL1254" s="55">
        <f t="shared" si="212"/>
        <v>40.473270309028855</v>
      </c>
      <c r="AM1254" s="56">
        <v>25</v>
      </c>
      <c r="AN1254" s="57">
        <f t="shared" si="210"/>
        <v>-15.473270309028855</v>
      </c>
      <c r="AO1254" s="76">
        <f t="shared" si="213"/>
        <v>-11.63659239904667</v>
      </c>
      <c r="AP1254" s="63" t="str">
        <f t="shared" si="214"/>
        <v/>
      </c>
      <c r="AQ1254" s="63" t="str">
        <f t="shared" si="215"/>
        <v>Sell Stocks</v>
      </c>
      <c r="AR1254" s="63" t="str">
        <f t="shared" si="216"/>
        <v/>
      </c>
      <c r="AS1254" s="63" t="str">
        <f t="shared" si="217"/>
        <v/>
      </c>
      <c r="AT1254" s="78" t="str">
        <f t="shared" si="218"/>
        <v/>
      </c>
      <c r="AU1254" s="78" t="str">
        <f t="shared" si="219"/>
        <v/>
      </c>
      <c r="AV1254" s="64" t="str">
        <f ca="1">IFERROR(__xludf.DUMMYFUNCTION("IF(TRIM(AU1254)="""","""",AU1254/INDEX(FILTER(AT$3:AT1254,TRIM(AT$3:AT1254)&lt;&gt;""""),ROWS(FILTER(AT$3:AT1254,TRIM(AT$3:AT1254)&lt;&gt;"""")))-1)"),"")</f>
        <v/>
      </c>
      <c r="AW1254" s="65" t="e">
        <f t="shared" ca="1" si="211"/>
        <v>#VALUE!</v>
      </c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</row>
    <row r="1255" spans="1:68" ht="19" x14ac:dyDescent="0.25">
      <c r="A1255" s="5"/>
      <c r="B1255" s="5"/>
      <c r="C1255" s="5"/>
      <c r="D1255" s="5"/>
      <c r="E1255" s="5"/>
      <c r="F1255" s="5"/>
      <c r="G1255" s="5"/>
      <c r="H1255" s="6"/>
      <c r="I1255" s="5"/>
      <c r="J1255" s="88"/>
      <c r="K1255" s="88"/>
      <c r="L1255" s="88"/>
      <c r="M1255" s="88"/>
      <c r="N1255" s="88"/>
      <c r="O1255" s="88"/>
      <c r="P1255" s="88"/>
      <c r="Q1255" s="89"/>
      <c r="R1255" s="88"/>
      <c r="S1255" s="88"/>
      <c r="T1255" s="90"/>
      <c r="U1255" s="6"/>
      <c r="V1255" s="44">
        <v>45741</v>
      </c>
      <c r="W1255" s="45">
        <v>249.9</v>
      </c>
      <c r="X1255" s="91"/>
      <c r="Y1255" s="77"/>
      <c r="Z1255" s="5"/>
      <c r="AA1255" s="5"/>
      <c r="AB1255" s="5"/>
      <c r="AC1255" s="5"/>
      <c r="AD1255" s="5"/>
      <c r="AE1255" s="5"/>
      <c r="AF1255" s="5"/>
      <c r="AG1255" s="5"/>
      <c r="AH1255" s="6"/>
      <c r="AI1255" s="44">
        <v>45741</v>
      </c>
      <c r="AJ1255" s="53">
        <v>249.9</v>
      </c>
      <c r="AK1255" s="54">
        <f t="shared" si="209"/>
        <v>5.8361843429262095E-3</v>
      </c>
      <c r="AL1255" s="55">
        <f t="shared" si="212"/>
        <v>36.286828460234759</v>
      </c>
      <c r="AM1255" s="56">
        <v>25</v>
      </c>
      <c r="AN1255" s="57">
        <f t="shared" si="210"/>
        <v>-11.286828460234759</v>
      </c>
      <c r="AO1255" s="76">
        <f t="shared" si="213"/>
        <v>-13.277400091339604</v>
      </c>
      <c r="AP1255" s="63" t="str">
        <f t="shared" si="214"/>
        <v/>
      </c>
      <c r="AQ1255" s="63" t="str">
        <f t="shared" si="215"/>
        <v>Sell Stocks</v>
      </c>
      <c r="AR1255" s="63" t="str">
        <f t="shared" si="216"/>
        <v/>
      </c>
      <c r="AS1255" s="63" t="str">
        <f t="shared" si="217"/>
        <v/>
      </c>
      <c r="AT1255" s="78" t="str">
        <f t="shared" si="218"/>
        <v/>
      </c>
      <c r="AU1255" s="78" t="str">
        <f t="shared" si="219"/>
        <v/>
      </c>
      <c r="AV1255" s="64" t="str">
        <f ca="1">IFERROR(__xludf.DUMMYFUNCTION("IF(TRIM(AU1255)="""","""",AU1255/INDEX(FILTER(AT$3:AT1255,TRIM(AT$3:AT1255)&lt;&gt;""""),ROWS(FILTER(AT$3:AT1255,TRIM(AT$3:AT1255)&lt;&gt;"""")))-1)"),"")</f>
        <v/>
      </c>
      <c r="AW1255" s="65" t="e">
        <f t="shared" ca="1" si="211"/>
        <v>#VALUE!</v>
      </c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</row>
    <row r="1256" spans="1:68" ht="19" x14ac:dyDescent="0.25">
      <c r="A1256" s="5"/>
      <c r="B1256" s="5"/>
      <c r="C1256" s="5"/>
      <c r="D1256" s="5"/>
      <c r="E1256" s="5"/>
      <c r="F1256" s="5"/>
      <c r="G1256" s="5"/>
      <c r="H1256" s="6"/>
      <c r="I1256" s="5"/>
      <c r="J1256" s="88"/>
      <c r="K1256" s="88"/>
      <c r="L1256" s="88"/>
      <c r="M1256" s="88"/>
      <c r="N1256" s="88"/>
      <c r="O1256" s="88"/>
      <c r="P1256" s="88"/>
      <c r="Q1256" s="89"/>
      <c r="R1256" s="88"/>
      <c r="S1256" s="88"/>
      <c r="T1256" s="90"/>
      <c r="U1256" s="6"/>
      <c r="V1256" s="44">
        <v>45742</v>
      </c>
      <c r="W1256" s="45">
        <v>250.34</v>
      </c>
      <c r="X1256" s="91"/>
      <c r="Y1256" s="77"/>
      <c r="Z1256" s="5"/>
      <c r="AA1256" s="5"/>
      <c r="AB1256" s="5"/>
      <c r="AC1256" s="5"/>
      <c r="AD1256" s="5"/>
      <c r="AE1256" s="5"/>
      <c r="AF1256" s="5"/>
      <c r="AG1256" s="5"/>
      <c r="AH1256" s="6"/>
      <c r="AI1256" s="44">
        <v>45742</v>
      </c>
      <c r="AJ1256" s="53">
        <v>250.34</v>
      </c>
      <c r="AK1256" s="54">
        <f t="shared" si="209"/>
        <v>1.7607042817127105E-3</v>
      </c>
      <c r="AL1256" s="55">
        <f t="shared" si="212"/>
        <v>32.236585615105739</v>
      </c>
      <c r="AM1256" s="56">
        <v>25</v>
      </c>
      <c r="AN1256" s="57">
        <f t="shared" si="210"/>
        <v>-7.2365856151057386</v>
      </c>
      <c r="AO1256" s="76">
        <f t="shared" si="213"/>
        <v>-13.185811791108341</v>
      </c>
      <c r="AP1256" s="63" t="str">
        <f t="shared" si="214"/>
        <v/>
      </c>
      <c r="AQ1256" s="63" t="str">
        <f t="shared" si="215"/>
        <v>Sell Stocks</v>
      </c>
      <c r="AR1256" s="63" t="str">
        <f t="shared" si="216"/>
        <v/>
      </c>
      <c r="AS1256" s="63" t="str">
        <f t="shared" si="217"/>
        <v/>
      </c>
      <c r="AT1256" s="78" t="str">
        <f t="shared" si="218"/>
        <v/>
      </c>
      <c r="AU1256" s="78" t="str">
        <f t="shared" si="219"/>
        <v/>
      </c>
      <c r="AV1256" s="64" t="str">
        <f ca="1">IFERROR(__xludf.DUMMYFUNCTION("IF(TRIM(AU1256)="""","""",AU1256/INDEX(FILTER(AT$3:AT1256,TRIM(AT$3:AT1256)&lt;&gt;""""),ROWS(FILTER(AT$3:AT1256,TRIM(AT$3:AT1256)&lt;&gt;"""")))-1)"),"")</f>
        <v/>
      </c>
      <c r="AW1256" s="65" t="e">
        <f t="shared" ca="1" si="211"/>
        <v>#VALUE!</v>
      </c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</row>
    <row r="1257" spans="1:68" ht="19" x14ac:dyDescent="0.25">
      <c r="A1257" s="5"/>
      <c r="B1257" s="5"/>
      <c r="C1257" s="5"/>
      <c r="D1257" s="5"/>
      <c r="E1257" s="5"/>
      <c r="F1257" s="5"/>
      <c r="G1257" s="5"/>
      <c r="H1257" s="6"/>
      <c r="I1257" s="5"/>
      <c r="J1257" s="88"/>
      <c r="K1257" s="88"/>
      <c r="L1257" s="88"/>
      <c r="M1257" s="88"/>
      <c r="N1257" s="88"/>
      <c r="O1257" s="88"/>
      <c r="P1257" s="88"/>
      <c r="Q1257" s="89"/>
      <c r="R1257" s="88"/>
      <c r="S1257" s="88"/>
      <c r="T1257" s="90"/>
      <c r="U1257" s="6"/>
      <c r="V1257" s="44">
        <v>45743</v>
      </c>
      <c r="W1257" s="45">
        <v>246.21</v>
      </c>
      <c r="X1257" s="91"/>
      <c r="Y1257" s="77"/>
      <c r="Z1257" s="5"/>
      <c r="AA1257" s="5"/>
      <c r="AB1257" s="5"/>
      <c r="AC1257" s="5"/>
      <c r="AD1257" s="5"/>
      <c r="AE1257" s="5"/>
      <c r="AF1257" s="5"/>
      <c r="AG1257" s="5"/>
      <c r="AH1257" s="6"/>
      <c r="AI1257" s="44">
        <v>45743</v>
      </c>
      <c r="AJ1257" s="53">
        <v>246.21</v>
      </c>
      <c r="AK1257" s="54">
        <f t="shared" si="209"/>
        <v>-1.6497563313893071E-2</v>
      </c>
      <c r="AL1257" s="55">
        <f t="shared" si="212"/>
        <v>20.043259272530321</v>
      </c>
      <c r="AM1257" s="56">
        <v>25</v>
      </c>
      <c r="AN1257" s="57">
        <f t="shared" si="210"/>
        <v>4.9567407274696791</v>
      </c>
      <c r="AO1257" s="76">
        <f t="shared" si="213"/>
        <v>-8.8904357571115149</v>
      </c>
      <c r="AP1257" s="63" t="str">
        <f t="shared" si="214"/>
        <v/>
      </c>
      <c r="AQ1257" s="63" t="str">
        <f t="shared" si="215"/>
        <v>Sell Stocks</v>
      </c>
      <c r="AR1257" s="63" t="str">
        <f t="shared" si="216"/>
        <v/>
      </c>
      <c r="AS1257" s="63" t="str">
        <f t="shared" si="217"/>
        <v/>
      </c>
      <c r="AT1257" s="78" t="str">
        <f t="shared" si="218"/>
        <v/>
      </c>
      <c r="AU1257" s="78" t="str">
        <f t="shared" si="219"/>
        <v/>
      </c>
      <c r="AV1257" s="64" t="str">
        <f ca="1">IFERROR(__xludf.DUMMYFUNCTION("IF(TRIM(AU1257)="""","""",AU1257/INDEX(FILTER(AT$3:AT1257,TRIM(AT$3:AT1257)&lt;&gt;""""),ROWS(FILTER(AT$3:AT1257,TRIM(AT$3:AT1257)&lt;&gt;"""")))-1)"),"")</f>
        <v/>
      </c>
      <c r="AW1257" s="65" t="e">
        <f t="shared" ca="1" si="211"/>
        <v>#VALUE!</v>
      </c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</row>
    <row r="1258" spans="1:68" ht="19" x14ac:dyDescent="0.25">
      <c r="A1258" s="5"/>
      <c r="B1258" s="5"/>
      <c r="C1258" s="5"/>
      <c r="D1258" s="5"/>
      <c r="E1258" s="5"/>
      <c r="F1258" s="5"/>
      <c r="G1258" s="5"/>
      <c r="H1258" s="6"/>
      <c r="I1258" s="5"/>
      <c r="J1258" s="88"/>
      <c r="K1258" s="88"/>
      <c r="L1258" s="88"/>
      <c r="M1258" s="88"/>
      <c r="N1258" s="88"/>
      <c r="O1258" s="88"/>
      <c r="P1258" s="88"/>
      <c r="Q1258" s="89"/>
      <c r="R1258" s="88"/>
      <c r="S1258" s="88"/>
      <c r="T1258" s="90"/>
      <c r="U1258" s="6"/>
      <c r="V1258" s="44">
        <v>45744</v>
      </c>
      <c r="W1258" s="45">
        <v>244</v>
      </c>
      <c r="X1258" s="91"/>
      <c r="Y1258" s="77"/>
      <c r="Z1258" s="5"/>
      <c r="AA1258" s="5"/>
      <c r="AB1258" s="5"/>
      <c r="AC1258" s="5"/>
      <c r="AD1258" s="5"/>
      <c r="AE1258" s="5"/>
      <c r="AF1258" s="5"/>
      <c r="AG1258" s="5"/>
      <c r="AH1258" s="6"/>
      <c r="AI1258" s="44">
        <v>45744</v>
      </c>
      <c r="AJ1258" s="53">
        <v>244</v>
      </c>
      <c r="AK1258" s="54">
        <f t="shared" si="209"/>
        <v>-8.9760773323586118E-3</v>
      </c>
      <c r="AL1258" s="55">
        <f t="shared" si="212"/>
        <v>21.627297404727923</v>
      </c>
      <c r="AM1258" s="56">
        <v>25</v>
      </c>
      <c r="AN1258" s="57">
        <f t="shared" si="210"/>
        <v>3.3727025952720773</v>
      </c>
      <c r="AO1258" s="76">
        <f t="shared" si="213"/>
        <v>-5.1334482123255194</v>
      </c>
      <c r="AP1258" s="63" t="str">
        <f t="shared" si="214"/>
        <v/>
      </c>
      <c r="AQ1258" s="63" t="str">
        <f t="shared" si="215"/>
        <v>Sell Stocks</v>
      </c>
      <c r="AR1258" s="63" t="str">
        <f t="shared" si="216"/>
        <v/>
      </c>
      <c r="AS1258" s="63" t="str">
        <f t="shared" si="217"/>
        <v/>
      </c>
      <c r="AT1258" s="78" t="str">
        <f t="shared" si="218"/>
        <v/>
      </c>
      <c r="AU1258" s="78" t="str">
        <f t="shared" si="219"/>
        <v/>
      </c>
      <c r="AV1258" s="64" t="str">
        <f ca="1">IFERROR(__xludf.DUMMYFUNCTION("IF(TRIM(AU1258)="""","""",AU1258/INDEX(FILTER(AT$3:AT1258,TRIM(AT$3:AT1258)&lt;&gt;""""),ROWS(FILTER(AT$3:AT1258,TRIM(AT$3:AT1258)&lt;&gt;"""")))-1)"),"")</f>
        <v/>
      </c>
      <c r="AW1258" s="65" t="e">
        <f t="shared" ca="1" si="211"/>
        <v>#VALUE!</v>
      </c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</row>
    <row r="1259" spans="1:68" ht="19" x14ac:dyDescent="0.25">
      <c r="A1259" s="5"/>
      <c r="B1259" s="5"/>
      <c r="C1259" s="5"/>
      <c r="D1259" s="5"/>
      <c r="E1259" s="5"/>
      <c r="F1259" s="5"/>
      <c r="G1259" s="5"/>
      <c r="H1259" s="6"/>
      <c r="I1259" s="5"/>
      <c r="J1259" s="88"/>
      <c r="K1259" s="88"/>
      <c r="L1259" s="88"/>
      <c r="M1259" s="88"/>
      <c r="N1259" s="88"/>
      <c r="O1259" s="88"/>
      <c r="P1259" s="88"/>
      <c r="Q1259" s="89"/>
      <c r="R1259" s="88"/>
      <c r="S1259" s="88"/>
      <c r="T1259" s="90"/>
      <c r="U1259" s="6"/>
      <c r="V1259" s="44">
        <v>45747</v>
      </c>
      <c r="W1259" s="45">
        <v>248.66</v>
      </c>
      <c r="X1259" s="91"/>
      <c r="Y1259" s="77"/>
      <c r="Z1259" s="5"/>
      <c r="AA1259" s="5"/>
      <c r="AB1259" s="5"/>
      <c r="AC1259" s="5"/>
      <c r="AD1259" s="5"/>
      <c r="AE1259" s="5"/>
      <c r="AF1259" s="5"/>
      <c r="AG1259" s="5"/>
      <c r="AH1259" s="6"/>
      <c r="AI1259" s="44">
        <v>45747</v>
      </c>
      <c r="AJ1259" s="53">
        <v>248.66</v>
      </c>
      <c r="AK1259" s="54">
        <f t="shared" si="209"/>
        <v>1.9098360655737778E-2</v>
      </c>
      <c r="AL1259" s="55">
        <f t="shared" si="212"/>
        <v>21.800005702959869</v>
      </c>
      <c r="AM1259" s="56">
        <v>25</v>
      </c>
      <c r="AN1259" s="57">
        <f t="shared" si="210"/>
        <v>3.1999942970401314</v>
      </c>
      <c r="AO1259" s="76">
        <f t="shared" si="213"/>
        <v>-1.3987952911117219</v>
      </c>
      <c r="AP1259" s="63" t="str">
        <f t="shared" si="214"/>
        <v/>
      </c>
      <c r="AQ1259" s="63" t="str">
        <f t="shared" si="215"/>
        <v>Sell Stocks</v>
      </c>
      <c r="AR1259" s="63" t="str">
        <f t="shared" si="216"/>
        <v/>
      </c>
      <c r="AS1259" s="63" t="str">
        <f t="shared" si="217"/>
        <v/>
      </c>
      <c r="AT1259" s="78" t="str">
        <f t="shared" si="218"/>
        <v/>
      </c>
      <c r="AU1259" s="78" t="str">
        <f t="shared" si="219"/>
        <v/>
      </c>
      <c r="AV1259" s="64" t="str">
        <f ca="1">IFERROR(__xludf.DUMMYFUNCTION("IF(TRIM(AU1259)="""","""",AU1259/INDEX(FILTER(AT$3:AT1259,TRIM(AT$3:AT1259)&lt;&gt;""""),ROWS(FILTER(AT$3:AT1259,TRIM(AT$3:AT1259)&lt;&gt;"""")))-1)"),"")</f>
        <v/>
      </c>
      <c r="AW1259" s="65" t="e">
        <f t="shared" ca="1" si="211"/>
        <v>#VALUE!</v>
      </c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</row>
    <row r="1260" spans="1:68" ht="19" x14ac:dyDescent="0.25">
      <c r="A1260" s="5"/>
      <c r="B1260" s="5"/>
      <c r="C1260" s="5"/>
      <c r="D1260" s="5"/>
      <c r="E1260" s="5"/>
      <c r="F1260" s="5"/>
      <c r="G1260" s="5"/>
      <c r="H1260" s="6"/>
      <c r="I1260" s="5"/>
      <c r="J1260" s="88"/>
      <c r="K1260" s="88"/>
      <c r="L1260" s="88"/>
      <c r="M1260" s="88"/>
      <c r="N1260" s="88"/>
      <c r="O1260" s="88"/>
      <c r="P1260" s="88"/>
      <c r="Q1260" s="89"/>
      <c r="R1260" s="88"/>
      <c r="S1260" s="88"/>
      <c r="T1260" s="90"/>
      <c r="U1260" s="6"/>
      <c r="V1260" s="44">
        <v>45748</v>
      </c>
      <c r="W1260" s="45">
        <v>250.34</v>
      </c>
      <c r="X1260" s="91"/>
      <c r="Y1260" s="77"/>
      <c r="Z1260" s="5"/>
      <c r="AA1260" s="5"/>
      <c r="AB1260" s="5"/>
      <c r="AC1260" s="5"/>
      <c r="AD1260" s="5"/>
      <c r="AE1260" s="5"/>
      <c r="AF1260" s="5"/>
      <c r="AG1260" s="5"/>
      <c r="AH1260" s="6"/>
      <c r="AI1260" s="44">
        <v>45748</v>
      </c>
      <c r="AJ1260" s="53">
        <v>250.34</v>
      </c>
      <c r="AK1260" s="54">
        <f t="shared" si="209"/>
        <v>6.7562133033056693E-3</v>
      </c>
      <c r="AL1260" s="55">
        <f t="shared" si="212"/>
        <v>21.957894987869196</v>
      </c>
      <c r="AM1260" s="56">
        <v>25</v>
      </c>
      <c r="AN1260" s="57">
        <f t="shared" si="210"/>
        <v>3.0421050121308042</v>
      </c>
      <c r="AO1260" s="76">
        <f t="shared" si="213"/>
        <v>1.4669914033613907</v>
      </c>
      <c r="AP1260" s="63" t="str">
        <f t="shared" si="214"/>
        <v>Buy Stocks</v>
      </c>
      <c r="AQ1260" s="63" t="str">
        <f t="shared" si="215"/>
        <v/>
      </c>
      <c r="AR1260" s="63" t="str">
        <f t="shared" si="216"/>
        <v>Buy Stocks</v>
      </c>
      <c r="AS1260" s="63" t="str">
        <f t="shared" si="217"/>
        <v/>
      </c>
      <c r="AT1260" s="77">
        <f t="shared" si="218"/>
        <v>250.34</v>
      </c>
      <c r="AU1260" s="78" t="str">
        <f t="shared" si="219"/>
        <v/>
      </c>
      <c r="AV1260" s="64" t="str">
        <f ca="1">IFERROR(__xludf.DUMMYFUNCTION("IF(TRIM(AU1260)="""","""",AU1260/INDEX(FILTER(AT$3:AT1260,TRIM(AT$3:AT1260)&lt;&gt;""""),ROWS(FILTER(AT$3:AT1260,TRIM(AT$3:AT1260)&lt;&gt;"""")))-1)"),"")</f>
        <v/>
      </c>
      <c r="AW1260" s="65" t="e">
        <f t="shared" ca="1" si="211"/>
        <v>#VALUE!</v>
      </c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</row>
    <row r="1261" spans="1:68" ht="19" x14ac:dyDescent="0.25">
      <c r="A1261" s="5"/>
      <c r="B1261" s="5"/>
      <c r="C1261" s="5"/>
      <c r="D1261" s="5"/>
      <c r="E1261" s="5"/>
      <c r="F1261" s="5"/>
      <c r="G1261" s="5"/>
      <c r="H1261" s="6"/>
      <c r="I1261" s="5"/>
      <c r="J1261" s="88"/>
      <c r="K1261" s="88"/>
      <c r="L1261" s="88"/>
      <c r="M1261" s="88"/>
      <c r="N1261" s="88"/>
      <c r="O1261" s="88"/>
      <c r="P1261" s="88"/>
      <c r="Q1261" s="89"/>
      <c r="R1261" s="88"/>
      <c r="S1261" s="88"/>
      <c r="T1261" s="90"/>
      <c r="U1261" s="6"/>
      <c r="V1261" s="44">
        <v>45749</v>
      </c>
      <c r="W1261" s="45">
        <v>249.98</v>
      </c>
      <c r="X1261" s="91"/>
      <c r="Y1261" s="77"/>
      <c r="Z1261" s="5"/>
      <c r="AA1261" s="5"/>
      <c r="AB1261" s="5"/>
      <c r="AC1261" s="5"/>
      <c r="AD1261" s="5"/>
      <c r="AE1261" s="5"/>
      <c r="AF1261" s="5"/>
      <c r="AG1261" s="5"/>
      <c r="AH1261" s="6"/>
      <c r="AI1261" s="44">
        <v>45749</v>
      </c>
      <c r="AJ1261" s="53">
        <v>249.98</v>
      </c>
      <c r="AK1261" s="54">
        <f t="shared" si="209"/>
        <v>-1.4380442598067589E-3</v>
      </c>
      <c r="AL1261" s="55">
        <f t="shared" si="212"/>
        <v>21.953041570984848</v>
      </c>
      <c r="AM1261" s="56">
        <v>25</v>
      </c>
      <c r="AN1261" s="57">
        <f t="shared" si="210"/>
        <v>3.0469584290151523</v>
      </c>
      <c r="AO1261" s="76">
        <f t="shared" si="213"/>
        <v>3.5237002121855689</v>
      </c>
      <c r="AP1261" s="63" t="str">
        <f t="shared" si="214"/>
        <v>Buy Stocks</v>
      </c>
      <c r="AQ1261" s="63" t="str">
        <f t="shared" si="215"/>
        <v/>
      </c>
      <c r="AR1261" s="63" t="str">
        <f t="shared" si="216"/>
        <v/>
      </c>
      <c r="AS1261" s="63" t="str">
        <f t="shared" si="217"/>
        <v/>
      </c>
      <c r="AT1261" s="78" t="str">
        <f t="shared" si="218"/>
        <v/>
      </c>
      <c r="AU1261" s="78" t="str">
        <f t="shared" si="219"/>
        <v/>
      </c>
      <c r="AV1261" s="64" t="str">
        <f ca="1">IFERROR(__xludf.DUMMYFUNCTION("IF(TRIM(AU1261)="""","""",AU1261/INDEX(FILTER(AT$3:AT1261,TRIM(AT$3:AT1261)&lt;&gt;""""),ROWS(FILTER(AT$3:AT1261,TRIM(AT$3:AT1261)&lt;&gt;"""")))-1)"),"")</f>
        <v/>
      </c>
      <c r="AW1261" s="65" t="e">
        <f t="shared" ca="1" si="211"/>
        <v>#VALUE!</v>
      </c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</row>
    <row r="1262" spans="1:68" ht="19" x14ac:dyDescent="0.25">
      <c r="A1262" s="5"/>
      <c r="B1262" s="5"/>
      <c r="C1262" s="5"/>
      <c r="D1262" s="5"/>
      <c r="E1262" s="5"/>
      <c r="F1262" s="5"/>
      <c r="G1262" s="5"/>
      <c r="H1262" s="6"/>
      <c r="I1262" s="5"/>
      <c r="J1262" s="88"/>
      <c r="K1262" s="88"/>
      <c r="L1262" s="88"/>
      <c r="M1262" s="88"/>
      <c r="N1262" s="88"/>
      <c r="O1262" s="88"/>
      <c r="P1262" s="88"/>
      <c r="Q1262" s="89"/>
      <c r="R1262" s="88"/>
      <c r="S1262" s="88"/>
      <c r="T1262" s="90"/>
      <c r="U1262" s="6"/>
      <c r="V1262" s="44">
        <v>45750</v>
      </c>
      <c r="W1262" s="45">
        <v>243.49</v>
      </c>
      <c r="X1262" s="91"/>
      <c r="Y1262" s="77"/>
      <c r="Z1262" s="5"/>
      <c r="AA1262" s="5"/>
      <c r="AB1262" s="5"/>
      <c r="AC1262" s="5"/>
      <c r="AD1262" s="5"/>
      <c r="AE1262" s="5"/>
      <c r="AF1262" s="5"/>
      <c r="AG1262" s="5"/>
      <c r="AH1262" s="6"/>
      <c r="AI1262" s="44">
        <v>45750</v>
      </c>
      <c r="AJ1262" s="53">
        <v>243.49</v>
      </c>
      <c r="AK1262" s="54">
        <f t="shared" si="209"/>
        <v>-2.5962076966157266E-2</v>
      </c>
      <c r="AL1262" s="55">
        <f t="shared" si="212"/>
        <v>26.857024443308742</v>
      </c>
      <c r="AM1262" s="56">
        <v>25</v>
      </c>
      <c r="AN1262" s="57">
        <f t="shared" si="210"/>
        <v>-1.8570244433087417</v>
      </c>
      <c r="AO1262" s="76">
        <f t="shared" si="213"/>
        <v>2.1609471780298848</v>
      </c>
      <c r="AP1262" s="63" t="str">
        <f t="shared" si="214"/>
        <v>Buy Stocks</v>
      </c>
      <c r="AQ1262" s="63" t="str">
        <f t="shared" si="215"/>
        <v/>
      </c>
      <c r="AR1262" s="63" t="str">
        <f t="shared" si="216"/>
        <v/>
      </c>
      <c r="AS1262" s="63" t="str">
        <f t="shared" si="217"/>
        <v/>
      </c>
      <c r="AT1262" s="78" t="str">
        <f t="shared" si="218"/>
        <v/>
      </c>
      <c r="AU1262" s="78" t="str">
        <f t="shared" si="219"/>
        <v/>
      </c>
      <c r="AV1262" s="64" t="str">
        <f ca="1">IFERROR(__xludf.DUMMYFUNCTION("IF(TRIM(AU1262)="""","""",AU1262/INDEX(FILTER(AT$3:AT1262,TRIM(AT$3:AT1262)&lt;&gt;""""),ROWS(FILTER(AT$3:AT1262,TRIM(AT$3:AT1262)&lt;&gt;"""")))-1)"),"")</f>
        <v/>
      </c>
      <c r="AW1262" s="65" t="e">
        <f t="shared" ca="1" si="211"/>
        <v>#VALUE!</v>
      </c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</row>
    <row r="1263" spans="1:68" ht="19" x14ac:dyDescent="0.25">
      <c r="A1263" s="5"/>
      <c r="B1263" s="5"/>
      <c r="C1263" s="5"/>
      <c r="D1263" s="5"/>
      <c r="E1263" s="5"/>
      <c r="F1263" s="5"/>
      <c r="G1263" s="5"/>
      <c r="H1263" s="6"/>
      <c r="I1263" s="5"/>
      <c r="J1263" s="88"/>
      <c r="K1263" s="88"/>
      <c r="L1263" s="88"/>
      <c r="M1263" s="88"/>
      <c r="N1263" s="88"/>
      <c r="O1263" s="88"/>
      <c r="P1263" s="88"/>
      <c r="Q1263" s="89"/>
      <c r="R1263" s="88"/>
      <c r="S1263" s="88"/>
      <c r="T1263" s="90"/>
      <c r="U1263" s="6"/>
      <c r="V1263" s="44">
        <v>45751</v>
      </c>
      <c r="W1263" s="45">
        <v>227.48</v>
      </c>
      <c r="X1263" s="91"/>
      <c r="Y1263" s="77"/>
      <c r="Z1263" s="5"/>
      <c r="AA1263" s="5"/>
      <c r="AB1263" s="5"/>
      <c r="AC1263" s="5"/>
      <c r="AD1263" s="5"/>
      <c r="AE1263" s="5"/>
      <c r="AF1263" s="5"/>
      <c r="AG1263" s="5"/>
      <c r="AH1263" s="6"/>
      <c r="AI1263" s="44">
        <v>45751</v>
      </c>
      <c r="AJ1263" s="53">
        <v>227.48</v>
      </c>
      <c r="AK1263" s="54">
        <f t="shared" si="209"/>
        <v>-6.5752186948129343E-2</v>
      </c>
      <c r="AL1263" s="55">
        <f t="shared" si="212"/>
        <v>53.268639028559882</v>
      </c>
      <c r="AM1263" s="56">
        <v>25</v>
      </c>
      <c r="AN1263" s="57">
        <f t="shared" si="210"/>
        <v>-28.268639028559882</v>
      </c>
      <c r="AO1263" s="76">
        <f t="shared" si="213"/>
        <v>-4.1673211467365068</v>
      </c>
      <c r="AP1263" s="63" t="str">
        <f t="shared" si="214"/>
        <v/>
      </c>
      <c r="AQ1263" s="63" t="str">
        <f t="shared" si="215"/>
        <v>Sell Stocks</v>
      </c>
      <c r="AR1263" s="63" t="str">
        <f t="shared" si="216"/>
        <v/>
      </c>
      <c r="AS1263" s="63" t="str">
        <f t="shared" si="217"/>
        <v>Sell Stocks</v>
      </c>
      <c r="AT1263" s="78" t="str">
        <f t="shared" si="218"/>
        <v/>
      </c>
      <c r="AU1263" s="77">
        <f t="shared" si="219"/>
        <v>227.48</v>
      </c>
      <c r="AV1263" s="64">
        <f ca="1">IFERROR(__xludf.DUMMYFUNCTION("IF(TRIM(AU1263)="""","""",AU1263/INDEX(FILTER(AT$3:AT1263,TRIM(AT$3:AT1263)&lt;&gt;""""),ROWS(FILTER(AT$3:AT1263,TRIM(AT$3:AT1263)&lt;&gt;"""")))-1)"),-0.0913158104977232)</f>
        <v>-9.1315810497723193E-2</v>
      </c>
      <c r="AW1263" s="65" t="e">
        <f t="shared" ca="1" si="211"/>
        <v>#VALUE!</v>
      </c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</row>
    <row r="1264" spans="1:68" ht="19" x14ac:dyDescent="0.25">
      <c r="A1264" s="5"/>
      <c r="B1264" s="5"/>
      <c r="C1264" s="5"/>
      <c r="D1264" s="5"/>
      <c r="E1264" s="5"/>
      <c r="F1264" s="5"/>
      <c r="G1264" s="5"/>
      <c r="H1264" s="6"/>
      <c r="I1264" s="5"/>
      <c r="J1264" s="88"/>
      <c r="K1264" s="88"/>
      <c r="L1264" s="88"/>
      <c r="M1264" s="88"/>
      <c r="N1264" s="88"/>
      <c r="O1264" s="88"/>
      <c r="P1264" s="88"/>
      <c r="Q1264" s="89"/>
      <c r="R1264" s="88"/>
      <c r="S1264" s="88"/>
      <c r="T1264" s="90"/>
      <c r="U1264" s="6"/>
      <c r="V1264" s="44">
        <v>45754</v>
      </c>
      <c r="W1264" s="45">
        <v>225.78</v>
      </c>
      <c r="X1264" s="91"/>
      <c r="Y1264" s="77"/>
      <c r="Z1264" s="5"/>
      <c r="AA1264" s="5"/>
      <c r="AB1264" s="5"/>
      <c r="AC1264" s="5"/>
      <c r="AD1264" s="5"/>
      <c r="AE1264" s="5"/>
      <c r="AF1264" s="5"/>
      <c r="AG1264" s="5"/>
      <c r="AH1264" s="6"/>
      <c r="AI1264" s="44">
        <v>45754</v>
      </c>
      <c r="AJ1264" s="53">
        <v>225.78</v>
      </c>
      <c r="AK1264" s="54">
        <f t="shared" si="209"/>
        <v>-7.4731844557762717E-3</v>
      </c>
      <c r="AL1264" s="55">
        <f t="shared" si="212"/>
        <v>45.862316480116192</v>
      </c>
      <c r="AM1264" s="56">
        <v>25</v>
      </c>
      <c r="AN1264" s="57">
        <f t="shared" si="210"/>
        <v>-20.862316480116192</v>
      </c>
      <c r="AO1264" s="76">
        <f t="shared" si="213"/>
        <v>-8.9797833021677711</v>
      </c>
      <c r="AP1264" s="63" t="str">
        <f t="shared" si="214"/>
        <v/>
      </c>
      <c r="AQ1264" s="63" t="str">
        <f t="shared" si="215"/>
        <v>Sell Stocks</v>
      </c>
      <c r="AR1264" s="63" t="str">
        <f t="shared" si="216"/>
        <v/>
      </c>
      <c r="AS1264" s="63" t="str">
        <f t="shared" si="217"/>
        <v/>
      </c>
      <c r="AT1264" s="78" t="str">
        <f t="shared" si="218"/>
        <v/>
      </c>
      <c r="AU1264" s="78" t="str">
        <f t="shared" si="219"/>
        <v/>
      </c>
      <c r="AV1264" s="64" t="str">
        <f ca="1">IFERROR(__xludf.DUMMYFUNCTION("IF(TRIM(AU1264)="""","""",AU1264/INDEX(FILTER(AT$3:AT1264,TRIM(AT$3:AT1264)&lt;&gt;""""),ROWS(FILTER(AT$3:AT1264,TRIM(AT$3:AT1264)&lt;&gt;"""")))-1)"),"")</f>
        <v/>
      </c>
      <c r="AW1264" s="65" t="e">
        <f t="shared" ca="1" si="211"/>
        <v>#VALUE!</v>
      </c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</row>
    <row r="1265" spans="1:68" ht="19" x14ac:dyDescent="0.25">
      <c r="A1265" s="5"/>
      <c r="B1265" s="5"/>
      <c r="C1265" s="5"/>
      <c r="D1265" s="5"/>
      <c r="E1265" s="5"/>
      <c r="F1265" s="5"/>
      <c r="G1265" s="5"/>
      <c r="H1265" s="6"/>
      <c r="I1265" s="5"/>
      <c r="J1265" s="88"/>
      <c r="K1265" s="88"/>
      <c r="L1265" s="88"/>
      <c r="M1265" s="88"/>
      <c r="N1265" s="88"/>
      <c r="O1265" s="88"/>
      <c r="P1265" s="88"/>
      <c r="Q1265" s="89"/>
      <c r="R1265" s="88"/>
      <c r="S1265" s="88"/>
      <c r="T1265" s="90"/>
      <c r="U1265" s="6"/>
      <c r="V1265" s="44">
        <v>45755</v>
      </c>
      <c r="W1265" s="45">
        <v>221.03</v>
      </c>
      <c r="X1265" s="91"/>
      <c r="Y1265" s="77"/>
      <c r="Z1265" s="5"/>
      <c r="AA1265" s="5"/>
      <c r="AB1265" s="5"/>
      <c r="AC1265" s="5"/>
      <c r="AD1265" s="5"/>
      <c r="AE1265" s="5"/>
      <c r="AF1265" s="5"/>
      <c r="AG1265" s="5"/>
      <c r="AH1265" s="6"/>
      <c r="AI1265" s="44">
        <v>45755</v>
      </c>
      <c r="AJ1265" s="53">
        <v>221.03</v>
      </c>
      <c r="AK1265" s="54">
        <f t="shared" si="209"/>
        <v>-2.1038178758083115E-2</v>
      </c>
      <c r="AL1265" s="55">
        <f t="shared" si="212"/>
        <v>39.982739195454315</v>
      </c>
      <c r="AM1265" s="56">
        <v>25</v>
      </c>
      <c r="AN1265" s="57">
        <f t="shared" si="210"/>
        <v>-14.982739195454315</v>
      </c>
      <c r="AO1265" s="76">
        <f t="shared" si="213"/>
        <v>-12.584752143684796</v>
      </c>
      <c r="AP1265" s="63" t="str">
        <f t="shared" si="214"/>
        <v/>
      </c>
      <c r="AQ1265" s="63" t="str">
        <f t="shared" si="215"/>
        <v>Sell Stocks</v>
      </c>
      <c r="AR1265" s="63" t="str">
        <f t="shared" si="216"/>
        <v/>
      </c>
      <c r="AS1265" s="63" t="str">
        <f t="shared" si="217"/>
        <v/>
      </c>
      <c r="AT1265" s="78" t="str">
        <f t="shared" si="218"/>
        <v/>
      </c>
      <c r="AU1265" s="78" t="str">
        <f t="shared" si="219"/>
        <v/>
      </c>
      <c r="AV1265" s="64" t="str">
        <f ca="1">IFERROR(__xludf.DUMMYFUNCTION("IF(TRIM(AU1265)="""","""",AU1265/INDEX(FILTER(AT$3:AT1265,TRIM(AT$3:AT1265)&lt;&gt;""""),ROWS(FILTER(AT$3:AT1265,TRIM(AT$3:AT1265)&lt;&gt;"""")))-1)"),"")</f>
        <v/>
      </c>
      <c r="AW1265" s="65" t="e">
        <f t="shared" ca="1" si="211"/>
        <v>#VALUE!</v>
      </c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</row>
    <row r="1266" spans="1:68" ht="19" x14ac:dyDescent="0.25">
      <c r="A1266" s="5"/>
      <c r="B1266" s="5"/>
      <c r="C1266" s="5"/>
      <c r="D1266" s="5"/>
      <c r="E1266" s="5"/>
      <c r="F1266" s="5"/>
      <c r="G1266" s="5"/>
      <c r="H1266" s="6"/>
      <c r="I1266" s="5"/>
      <c r="J1266" s="88"/>
      <c r="K1266" s="88"/>
      <c r="L1266" s="88"/>
      <c r="M1266" s="88"/>
      <c r="N1266" s="88"/>
      <c r="O1266" s="88"/>
      <c r="P1266" s="88"/>
      <c r="Q1266" s="89"/>
      <c r="R1266" s="88"/>
      <c r="S1266" s="88"/>
      <c r="T1266" s="90"/>
      <c r="U1266" s="6"/>
      <c r="V1266" s="44">
        <v>45756</v>
      </c>
      <c r="W1266" s="45">
        <v>235.31</v>
      </c>
      <c r="X1266" s="91"/>
      <c r="Y1266" s="77"/>
      <c r="Z1266" s="5"/>
      <c r="AA1266" s="5"/>
      <c r="AB1266" s="5"/>
      <c r="AC1266" s="5"/>
      <c r="AD1266" s="5"/>
      <c r="AE1266" s="5"/>
      <c r="AF1266" s="5"/>
      <c r="AG1266" s="5"/>
      <c r="AH1266" s="6"/>
      <c r="AI1266" s="44">
        <v>45756</v>
      </c>
      <c r="AJ1266" s="53">
        <v>235.31</v>
      </c>
      <c r="AK1266" s="54">
        <f t="shared" si="209"/>
        <v>6.4606614486721226E-2</v>
      </c>
      <c r="AL1266" s="55">
        <f t="shared" si="212"/>
        <v>75.513086298989123</v>
      </c>
      <c r="AM1266" s="56">
        <v>25</v>
      </c>
      <c r="AN1266" s="57">
        <f t="shared" si="210"/>
        <v>-50.513086298989123</v>
      </c>
      <c r="AO1266" s="76">
        <f t="shared" si="213"/>
        <v>-23.296761089285649</v>
      </c>
      <c r="AP1266" s="63" t="str">
        <f t="shared" si="214"/>
        <v/>
      </c>
      <c r="AQ1266" s="63" t="str">
        <f t="shared" si="215"/>
        <v>Sell Stocks</v>
      </c>
      <c r="AR1266" s="63" t="str">
        <f t="shared" si="216"/>
        <v/>
      </c>
      <c r="AS1266" s="63" t="str">
        <f t="shared" si="217"/>
        <v/>
      </c>
      <c r="AT1266" s="78" t="str">
        <f t="shared" si="218"/>
        <v/>
      </c>
      <c r="AU1266" s="78" t="str">
        <f t="shared" si="219"/>
        <v/>
      </c>
      <c r="AV1266" s="64" t="str">
        <f ca="1">IFERROR(__xludf.DUMMYFUNCTION("IF(TRIM(AU1266)="""","""",AU1266/INDEX(FILTER(AT$3:AT1266,TRIM(AT$3:AT1266)&lt;&gt;""""),ROWS(FILTER(AT$3:AT1266,TRIM(AT$3:AT1266)&lt;&gt;"""")))-1)"),"")</f>
        <v/>
      </c>
      <c r="AW1266" s="65" t="e">
        <f t="shared" ca="1" si="211"/>
        <v>#VALUE!</v>
      </c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</row>
    <row r="1267" spans="1:68" ht="19" x14ac:dyDescent="0.25">
      <c r="A1267" s="5"/>
      <c r="B1267" s="5"/>
      <c r="C1267" s="5"/>
      <c r="D1267" s="5"/>
      <c r="E1267" s="5"/>
      <c r="F1267" s="5"/>
      <c r="G1267" s="5"/>
      <c r="H1267" s="6"/>
      <c r="I1267" s="5"/>
      <c r="J1267" s="88"/>
      <c r="K1267" s="88"/>
      <c r="L1267" s="88"/>
      <c r="M1267" s="88"/>
      <c r="N1267" s="88"/>
      <c r="O1267" s="88"/>
      <c r="P1267" s="88"/>
      <c r="Q1267" s="89"/>
      <c r="R1267" s="88"/>
      <c r="S1267" s="88"/>
      <c r="T1267" s="90"/>
      <c r="U1267" s="6"/>
      <c r="V1267" s="44">
        <v>45757</v>
      </c>
      <c r="W1267" s="45">
        <v>229.55</v>
      </c>
      <c r="X1267" s="91"/>
      <c r="Y1267" s="77"/>
      <c r="Z1267" s="5"/>
      <c r="AA1267" s="5"/>
      <c r="AB1267" s="5"/>
      <c r="AC1267" s="5"/>
      <c r="AD1267" s="5"/>
      <c r="AE1267" s="5"/>
      <c r="AF1267" s="5"/>
      <c r="AG1267" s="5"/>
      <c r="AH1267" s="6"/>
      <c r="AI1267" s="44">
        <v>45757</v>
      </c>
      <c r="AJ1267" s="53">
        <v>229.55</v>
      </c>
      <c r="AK1267" s="54">
        <f t="shared" si="209"/>
        <v>-2.4478347711529458E-2</v>
      </c>
      <c r="AL1267" s="55">
        <f t="shared" si="212"/>
        <v>75.336548881009946</v>
      </c>
      <c r="AM1267" s="56">
        <v>25</v>
      </c>
      <c r="AN1267" s="57">
        <f t="shared" si="210"/>
        <v>-50.336548881009946</v>
      </c>
      <c r="AO1267" s="76">
        <f t="shared" si="213"/>
        <v>-32.99266597682589</v>
      </c>
      <c r="AP1267" s="63" t="str">
        <f t="shared" si="214"/>
        <v/>
      </c>
      <c r="AQ1267" s="63" t="str">
        <f t="shared" si="215"/>
        <v>Sell Stocks</v>
      </c>
      <c r="AR1267" s="63" t="str">
        <f t="shared" si="216"/>
        <v/>
      </c>
      <c r="AS1267" s="63" t="str">
        <f t="shared" si="217"/>
        <v/>
      </c>
      <c r="AT1267" s="78" t="str">
        <f t="shared" si="218"/>
        <v/>
      </c>
      <c r="AU1267" s="78" t="str">
        <f t="shared" si="219"/>
        <v/>
      </c>
      <c r="AV1267" s="64" t="str">
        <f ca="1">IFERROR(__xludf.DUMMYFUNCTION("IF(TRIM(AU1267)="""","""",AU1267/INDEX(FILTER(AT$3:AT1267,TRIM(AT$3:AT1267)&lt;&gt;""""),ROWS(FILTER(AT$3:AT1267,TRIM(AT$3:AT1267)&lt;&gt;"""")))-1)"),"")</f>
        <v/>
      </c>
      <c r="AW1267" s="65" t="e">
        <f t="shared" ca="1" si="211"/>
        <v>#VALUE!</v>
      </c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</row>
    <row r="1268" spans="1:68" ht="19" x14ac:dyDescent="0.25">
      <c r="A1268" s="5"/>
      <c r="B1268" s="5"/>
      <c r="C1268" s="5"/>
      <c r="D1268" s="5"/>
      <c r="E1268" s="5"/>
      <c r="F1268" s="5"/>
      <c r="G1268" s="5"/>
      <c r="H1268" s="6"/>
      <c r="I1268" s="5"/>
      <c r="J1268" s="88"/>
      <c r="K1268" s="88"/>
      <c r="L1268" s="88"/>
      <c r="M1268" s="88"/>
      <c r="N1268" s="88"/>
      <c r="O1268" s="88"/>
      <c r="P1268" s="88"/>
      <c r="Q1268" s="89"/>
      <c r="R1268" s="88"/>
      <c r="S1268" s="88"/>
      <c r="T1268" s="90"/>
      <c r="U1268" s="6"/>
      <c r="V1268" s="44">
        <v>45758</v>
      </c>
      <c r="W1268" s="45">
        <v>235.48</v>
      </c>
      <c r="X1268" s="91"/>
      <c r="Y1268" s="77"/>
      <c r="Z1268" s="5"/>
      <c r="AA1268" s="5"/>
      <c r="AB1268" s="5"/>
      <c r="AC1268" s="5"/>
      <c r="AD1268" s="5"/>
      <c r="AE1268" s="5"/>
      <c r="AF1268" s="5"/>
      <c r="AG1268" s="5"/>
      <c r="AH1268" s="6"/>
      <c r="AI1268" s="44">
        <v>45758</v>
      </c>
      <c r="AJ1268" s="53">
        <v>235.48</v>
      </c>
      <c r="AK1268" s="54">
        <f t="shared" si="209"/>
        <v>2.5833151818775768E-2</v>
      </c>
      <c r="AL1268" s="55">
        <f t="shared" si="212"/>
        <v>59.70644888096809</v>
      </c>
      <c r="AM1268" s="56">
        <v>25</v>
      </c>
      <c r="AN1268" s="57">
        <f t="shared" si="210"/>
        <v>-34.70644888096809</v>
      </c>
      <c r="AO1268" s="76">
        <f t="shared" si="213"/>
        <v>-34.28022794730753</v>
      </c>
      <c r="AP1268" s="63" t="str">
        <f t="shared" si="214"/>
        <v/>
      </c>
      <c r="AQ1268" s="63" t="str">
        <f t="shared" si="215"/>
        <v>Sell Stocks</v>
      </c>
      <c r="AR1268" s="63" t="str">
        <f t="shared" si="216"/>
        <v/>
      </c>
      <c r="AS1268" s="63" t="str">
        <f t="shared" si="217"/>
        <v/>
      </c>
      <c r="AT1268" s="78" t="str">
        <f t="shared" si="218"/>
        <v/>
      </c>
      <c r="AU1268" s="78" t="str">
        <f t="shared" si="219"/>
        <v/>
      </c>
      <c r="AV1268" s="64" t="str">
        <f ca="1">IFERROR(__xludf.DUMMYFUNCTION("IF(TRIM(AU1268)="""","""",AU1268/INDEX(FILTER(AT$3:AT1268,TRIM(AT$3:AT1268)&lt;&gt;""""),ROWS(FILTER(AT$3:AT1268,TRIM(AT$3:AT1268)&lt;&gt;"""")))-1)"),"")</f>
        <v/>
      </c>
      <c r="AW1268" s="65" t="e">
        <f t="shared" ca="1" si="211"/>
        <v>#VALUE!</v>
      </c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</row>
    <row r="1269" spans="1:68" ht="19" x14ac:dyDescent="0.25">
      <c r="A1269" s="5"/>
      <c r="B1269" s="5"/>
      <c r="C1269" s="5"/>
      <c r="D1269" s="5"/>
      <c r="E1269" s="5"/>
      <c r="F1269" s="5"/>
      <c r="G1269" s="5"/>
      <c r="H1269" s="6"/>
      <c r="I1269" s="5"/>
      <c r="J1269" s="88"/>
      <c r="K1269" s="88"/>
      <c r="L1269" s="88"/>
      <c r="M1269" s="88"/>
      <c r="N1269" s="88"/>
      <c r="O1269" s="88"/>
      <c r="P1269" s="88"/>
      <c r="Q1269" s="89"/>
      <c r="R1269" s="88"/>
      <c r="S1269" s="88"/>
      <c r="T1269" s="90"/>
      <c r="U1269" s="6"/>
      <c r="V1269" s="44">
        <v>45761</v>
      </c>
      <c r="W1269" s="45">
        <v>239.06</v>
      </c>
      <c r="X1269" s="91"/>
      <c r="Y1269" s="77"/>
      <c r="Z1269" s="5"/>
      <c r="AA1269" s="5"/>
      <c r="AB1269" s="5"/>
      <c r="AC1269" s="5"/>
      <c r="AD1269" s="5"/>
      <c r="AE1269" s="5"/>
      <c r="AF1269" s="5"/>
      <c r="AG1269" s="5"/>
      <c r="AH1269" s="6"/>
      <c r="AI1269" s="44">
        <v>45761</v>
      </c>
      <c r="AJ1269" s="53">
        <v>239.06</v>
      </c>
      <c r="AK1269" s="54">
        <f t="shared" si="209"/>
        <v>1.5202989638185782E-2</v>
      </c>
      <c r="AL1269" s="55">
        <f t="shared" si="212"/>
        <v>58.279440588955012</v>
      </c>
      <c r="AM1269" s="56">
        <v>25</v>
      </c>
      <c r="AN1269" s="57">
        <f t="shared" si="210"/>
        <v>-33.279440588955012</v>
      </c>
      <c r="AO1269" s="76">
        <f t="shared" si="213"/>
        <v>-36.763652769075293</v>
      </c>
      <c r="AP1269" s="63" t="str">
        <f t="shared" si="214"/>
        <v/>
      </c>
      <c r="AQ1269" s="63" t="str">
        <f t="shared" si="215"/>
        <v>Sell Stocks</v>
      </c>
      <c r="AR1269" s="63" t="str">
        <f t="shared" si="216"/>
        <v/>
      </c>
      <c r="AS1269" s="63" t="str">
        <f t="shared" si="217"/>
        <v/>
      </c>
      <c r="AT1269" s="78" t="str">
        <f t="shared" si="218"/>
        <v/>
      </c>
      <c r="AU1269" s="78" t="str">
        <f t="shared" si="219"/>
        <v/>
      </c>
      <c r="AV1269" s="64" t="str">
        <f ca="1">IFERROR(__xludf.DUMMYFUNCTION("IF(TRIM(AU1269)="""","""",AU1269/INDEX(FILTER(AT$3:AT1269,TRIM(AT$3:AT1269)&lt;&gt;""""),ROWS(FILTER(AT$3:AT1269,TRIM(AT$3:AT1269)&lt;&gt;"""")))-1)"),"")</f>
        <v/>
      </c>
      <c r="AW1269" s="65" t="e">
        <f t="shared" ca="1" si="211"/>
        <v>#VALUE!</v>
      </c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</row>
    <row r="1270" spans="1:68" ht="19" x14ac:dyDescent="0.25">
      <c r="A1270" s="5"/>
      <c r="B1270" s="5"/>
      <c r="C1270" s="5"/>
      <c r="D1270" s="5"/>
      <c r="E1270" s="5"/>
      <c r="F1270" s="5"/>
      <c r="G1270" s="5"/>
      <c r="H1270" s="6"/>
      <c r="I1270" s="5"/>
      <c r="J1270" s="88"/>
      <c r="K1270" s="88"/>
      <c r="L1270" s="88"/>
      <c r="M1270" s="88"/>
      <c r="N1270" s="88"/>
      <c r="O1270" s="88"/>
      <c r="P1270" s="88"/>
      <c r="Q1270" s="89"/>
      <c r="R1270" s="88"/>
      <c r="S1270" s="88"/>
      <c r="T1270" s="90"/>
      <c r="U1270" s="6"/>
      <c r="V1270" s="44">
        <v>45762</v>
      </c>
      <c r="W1270" s="45">
        <v>240.7</v>
      </c>
      <c r="X1270" s="91"/>
      <c r="Y1270" s="77"/>
      <c r="Z1270" s="5"/>
      <c r="AA1270" s="5"/>
      <c r="AB1270" s="5"/>
      <c r="AC1270" s="5"/>
      <c r="AD1270" s="5"/>
      <c r="AE1270" s="5"/>
      <c r="AF1270" s="5"/>
      <c r="AG1270" s="5"/>
      <c r="AH1270" s="6"/>
      <c r="AI1270" s="44">
        <v>45762</v>
      </c>
      <c r="AJ1270" s="53">
        <v>240.7</v>
      </c>
      <c r="AK1270" s="54">
        <f t="shared" si="209"/>
        <v>6.8602024596335909E-3</v>
      </c>
      <c r="AL1270" s="55">
        <f t="shared" si="212"/>
        <v>51.249606041693816</v>
      </c>
      <c r="AM1270" s="56">
        <v>25</v>
      </c>
      <c r="AN1270" s="57">
        <f t="shared" si="210"/>
        <v>-26.249606041693816</v>
      </c>
      <c r="AO1270" s="76">
        <f t="shared" si="213"/>
        <v>-39.017026138323196</v>
      </c>
      <c r="AP1270" s="63" t="str">
        <f t="shared" si="214"/>
        <v/>
      </c>
      <c r="AQ1270" s="63" t="str">
        <f t="shared" si="215"/>
        <v>Sell Stocks</v>
      </c>
      <c r="AR1270" s="63" t="str">
        <f t="shared" si="216"/>
        <v/>
      </c>
      <c r="AS1270" s="63" t="str">
        <f t="shared" si="217"/>
        <v/>
      </c>
      <c r="AT1270" s="78" t="str">
        <f t="shared" si="218"/>
        <v/>
      </c>
      <c r="AU1270" s="78" t="str">
        <f t="shared" si="219"/>
        <v/>
      </c>
      <c r="AV1270" s="64" t="str">
        <f ca="1">IFERROR(__xludf.DUMMYFUNCTION("IF(TRIM(AU1270)="""","""",AU1270/INDEX(FILTER(AT$3:AT1270,TRIM(AT$3:AT1270)&lt;&gt;""""),ROWS(FILTER(AT$3:AT1270,TRIM(AT$3:AT1270)&lt;&gt;"""")))-1)"),"")</f>
        <v/>
      </c>
      <c r="AW1270" s="65" t="e">
        <f t="shared" ca="1" si="211"/>
        <v>#VALUE!</v>
      </c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</row>
    <row r="1271" spans="1:68" ht="19" x14ac:dyDescent="0.25">
      <c r="A1271" s="5"/>
      <c r="B1271" s="5"/>
      <c r="C1271" s="5"/>
      <c r="D1271" s="5"/>
      <c r="E1271" s="5"/>
      <c r="F1271" s="5"/>
      <c r="G1271" s="5"/>
      <c r="H1271" s="6"/>
      <c r="I1271" s="5"/>
      <c r="J1271" s="88"/>
      <c r="K1271" s="88"/>
      <c r="L1271" s="88"/>
      <c r="M1271" s="88"/>
      <c r="N1271" s="88"/>
      <c r="O1271" s="88"/>
      <c r="P1271" s="88"/>
      <c r="Q1271" s="89"/>
      <c r="R1271" s="88"/>
      <c r="S1271" s="88"/>
      <c r="T1271" s="90"/>
      <c r="U1271" s="6"/>
      <c r="V1271" s="44">
        <v>45763</v>
      </c>
      <c r="W1271" s="45">
        <v>238.57</v>
      </c>
      <c r="X1271" s="91"/>
      <c r="Y1271" s="77"/>
      <c r="Z1271" s="5"/>
      <c r="AA1271" s="5"/>
      <c r="AB1271" s="5"/>
      <c r="AC1271" s="5"/>
      <c r="AD1271" s="5"/>
      <c r="AE1271" s="5"/>
      <c r="AF1271" s="5"/>
      <c r="AG1271" s="5"/>
      <c r="AH1271" s="6"/>
      <c r="AI1271" s="44">
        <v>45763</v>
      </c>
      <c r="AJ1271" s="53">
        <v>238.57</v>
      </c>
      <c r="AK1271" s="54">
        <f t="shared" si="209"/>
        <v>-8.8491898628998422E-3</v>
      </c>
      <c r="AL1271" s="55">
        <f t="shared" si="212"/>
        <v>31.555876929643023</v>
      </c>
      <c r="AM1271" s="56">
        <v>25</v>
      </c>
      <c r="AN1271" s="57">
        <f t="shared" si="210"/>
        <v>-6.5558769296430235</v>
      </c>
      <c r="AO1271" s="76">
        <f t="shared" si="213"/>
        <v>-30.225584264453978</v>
      </c>
      <c r="AP1271" s="63" t="str">
        <f t="shared" si="214"/>
        <v/>
      </c>
      <c r="AQ1271" s="63" t="str">
        <f t="shared" si="215"/>
        <v>Sell Stocks</v>
      </c>
      <c r="AR1271" s="63" t="str">
        <f t="shared" si="216"/>
        <v/>
      </c>
      <c r="AS1271" s="63" t="str">
        <f t="shared" si="217"/>
        <v/>
      </c>
      <c r="AT1271" s="78" t="str">
        <f t="shared" si="218"/>
        <v/>
      </c>
      <c r="AU1271" s="78" t="str">
        <f t="shared" si="219"/>
        <v/>
      </c>
      <c r="AV1271" s="64" t="str">
        <f ca="1">IFERROR(__xludf.DUMMYFUNCTION("IF(TRIM(AU1271)="""","""",AU1271/INDEX(FILTER(AT$3:AT1271,TRIM(AT$3:AT1271)&lt;&gt;""""),ROWS(FILTER(AT$3:AT1271,TRIM(AT$3:AT1271)&lt;&gt;"""")))-1)"),"")</f>
        <v/>
      </c>
      <c r="AW1271" s="65" t="e">
        <f t="shared" ca="1" si="211"/>
        <v>#VALUE!</v>
      </c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</row>
    <row r="1272" spans="1:68" ht="19" x14ac:dyDescent="0.25">
      <c r="A1272" s="5"/>
      <c r="B1272" s="5"/>
      <c r="C1272" s="5"/>
      <c r="D1272" s="5"/>
      <c r="E1272" s="5"/>
      <c r="F1272" s="5"/>
      <c r="G1272" s="5"/>
      <c r="H1272" s="6"/>
      <c r="I1272" s="5"/>
      <c r="J1272" s="88"/>
      <c r="K1272" s="88"/>
      <c r="L1272" s="88"/>
      <c r="M1272" s="88"/>
      <c r="N1272" s="88"/>
      <c r="O1272" s="88"/>
      <c r="P1272" s="88"/>
      <c r="Q1272" s="89"/>
      <c r="R1272" s="88"/>
      <c r="S1272" s="88"/>
      <c r="T1272" s="90"/>
      <c r="U1272" s="6"/>
      <c r="V1272" s="44">
        <v>45764</v>
      </c>
      <c r="W1272" s="45">
        <v>238.81</v>
      </c>
      <c r="X1272" s="91"/>
      <c r="Y1272" s="77"/>
      <c r="Z1272" s="5"/>
      <c r="AA1272" s="5"/>
      <c r="AB1272" s="5"/>
      <c r="AC1272" s="5"/>
      <c r="AD1272" s="5"/>
      <c r="AE1272" s="5"/>
      <c r="AF1272" s="5"/>
      <c r="AG1272" s="5"/>
      <c r="AH1272" s="6"/>
      <c r="AI1272" s="44">
        <v>45764</v>
      </c>
      <c r="AJ1272" s="53">
        <v>238.81</v>
      </c>
      <c r="AK1272" s="54">
        <f t="shared" si="209"/>
        <v>1.005994047868608E-3</v>
      </c>
      <c r="AL1272" s="55">
        <f t="shared" si="212"/>
        <v>21.060127749866577</v>
      </c>
      <c r="AM1272" s="56">
        <v>25</v>
      </c>
      <c r="AN1272" s="57">
        <f t="shared" si="210"/>
        <v>3.9398722501334227</v>
      </c>
      <c r="AO1272" s="76">
        <f t="shared" si="213"/>
        <v>-19.370300038225306</v>
      </c>
      <c r="AP1272" s="63" t="str">
        <f t="shared" si="214"/>
        <v/>
      </c>
      <c r="AQ1272" s="63" t="str">
        <f t="shared" si="215"/>
        <v>Sell Stocks</v>
      </c>
      <c r="AR1272" s="63" t="str">
        <f t="shared" si="216"/>
        <v/>
      </c>
      <c r="AS1272" s="63" t="str">
        <f t="shared" si="217"/>
        <v/>
      </c>
      <c r="AT1272" s="78" t="str">
        <f t="shared" si="218"/>
        <v/>
      </c>
      <c r="AU1272" s="78" t="str">
        <f t="shared" si="219"/>
        <v/>
      </c>
      <c r="AV1272" s="64" t="str">
        <f ca="1">IFERROR(__xludf.DUMMYFUNCTION("IF(TRIM(AU1272)="""","""",AU1272/INDEX(FILTER(AT$3:AT1272,TRIM(AT$3:AT1272)&lt;&gt;""""),ROWS(FILTER(AT$3:AT1272,TRIM(AT$3:AT1272)&lt;&gt;"""")))-1)"),"")</f>
        <v/>
      </c>
      <c r="AW1272" s="65" t="e">
        <f t="shared" ca="1" si="211"/>
        <v>#VALUE!</v>
      </c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</row>
    <row r="1273" spans="1:68" ht="19" x14ac:dyDescent="0.25">
      <c r="A1273" s="5"/>
      <c r="B1273" s="5"/>
      <c r="C1273" s="5"/>
      <c r="D1273" s="5"/>
      <c r="E1273" s="5"/>
      <c r="F1273" s="5"/>
      <c r="G1273" s="5"/>
      <c r="H1273" s="6"/>
      <c r="I1273" s="5"/>
      <c r="J1273" s="88"/>
      <c r="K1273" s="88"/>
      <c r="L1273" s="88"/>
      <c r="M1273" s="88"/>
      <c r="N1273" s="88"/>
      <c r="O1273" s="88"/>
      <c r="P1273" s="88"/>
      <c r="Q1273" s="89"/>
      <c r="R1273" s="88"/>
      <c r="S1273" s="88"/>
      <c r="T1273" s="90"/>
      <c r="U1273" s="6"/>
      <c r="V1273" s="44">
        <v>45768</v>
      </c>
      <c r="W1273" s="45">
        <v>236.22</v>
      </c>
      <c r="X1273" s="91"/>
      <c r="Y1273" s="77"/>
      <c r="Z1273" s="5"/>
      <c r="AA1273" s="5"/>
      <c r="AB1273" s="5"/>
      <c r="AC1273" s="5"/>
      <c r="AD1273" s="5"/>
      <c r="AE1273" s="5"/>
      <c r="AF1273" s="5"/>
      <c r="AG1273" s="5"/>
      <c r="AH1273" s="6"/>
      <c r="AI1273" s="44">
        <v>45768</v>
      </c>
      <c r="AJ1273" s="53">
        <v>236.22</v>
      </c>
      <c r="AK1273" s="54">
        <f t="shared" si="209"/>
        <v>-1.0845441983166504E-2</v>
      </c>
      <c r="AL1273" s="55">
        <f t="shared" si="212"/>
        <v>17.259823684816471</v>
      </c>
      <c r="AM1273" s="56">
        <v>25</v>
      </c>
      <c r="AN1273" s="57">
        <f t="shared" si="210"/>
        <v>7.740176315183529</v>
      </c>
      <c r="AO1273" s="76">
        <f t="shared" si="213"/>
        <v>-10.880974998994981</v>
      </c>
      <c r="AP1273" s="63" t="str">
        <f t="shared" si="214"/>
        <v/>
      </c>
      <c r="AQ1273" s="63" t="str">
        <f t="shared" si="215"/>
        <v>Sell Stocks</v>
      </c>
      <c r="AR1273" s="63" t="str">
        <f t="shared" si="216"/>
        <v/>
      </c>
      <c r="AS1273" s="63" t="str">
        <f t="shared" si="217"/>
        <v/>
      </c>
      <c r="AT1273" s="78" t="str">
        <f t="shared" si="218"/>
        <v/>
      </c>
      <c r="AU1273" s="78" t="str">
        <f t="shared" si="219"/>
        <v/>
      </c>
      <c r="AV1273" s="64" t="str">
        <f ca="1">IFERROR(__xludf.DUMMYFUNCTION("IF(TRIM(AU1273)="""","""",AU1273/INDEX(FILTER(AT$3:AT1273,TRIM(AT$3:AT1273)&lt;&gt;""""),ROWS(FILTER(AT$3:AT1273,TRIM(AT$3:AT1273)&lt;&gt;"""")))-1)"),"")</f>
        <v/>
      </c>
      <c r="AW1273" s="65" t="e">
        <f t="shared" ca="1" si="211"/>
        <v>#VALUE!</v>
      </c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</row>
    <row r="1274" spans="1:68" ht="19" x14ac:dyDescent="0.25">
      <c r="A1274" s="5"/>
      <c r="B1274" s="5"/>
      <c r="C1274" s="5"/>
      <c r="D1274" s="5"/>
      <c r="E1274" s="5"/>
      <c r="F1274" s="5"/>
      <c r="G1274" s="5"/>
      <c r="H1274" s="6"/>
      <c r="I1274" s="5"/>
      <c r="J1274" s="88"/>
      <c r="K1274" s="88"/>
      <c r="L1274" s="88"/>
      <c r="M1274" s="88"/>
      <c r="N1274" s="88"/>
      <c r="O1274" s="88"/>
      <c r="P1274" s="88"/>
      <c r="Q1274" s="89"/>
      <c r="R1274" s="88"/>
      <c r="S1274" s="88"/>
      <c r="T1274" s="90"/>
      <c r="U1274" s="6"/>
      <c r="V1274" s="44">
        <v>45769</v>
      </c>
      <c r="W1274" s="45">
        <v>240.9</v>
      </c>
      <c r="X1274" s="91"/>
      <c r="Y1274" s="77"/>
      <c r="Z1274" s="5"/>
      <c r="AA1274" s="5"/>
      <c r="AB1274" s="5"/>
      <c r="AC1274" s="5"/>
      <c r="AD1274" s="5"/>
      <c r="AE1274" s="5"/>
      <c r="AF1274" s="5"/>
      <c r="AG1274" s="5"/>
      <c r="AH1274" s="6"/>
      <c r="AI1274" s="44">
        <v>45769</v>
      </c>
      <c r="AJ1274" s="53">
        <v>240.9</v>
      </c>
      <c r="AK1274" s="54">
        <f t="shared" si="209"/>
        <v>1.9812039624079292E-2</v>
      </c>
      <c r="AL1274" s="55">
        <f t="shared" si="212"/>
        <v>19.82368699074825</v>
      </c>
      <c r="AM1274" s="56">
        <v>25</v>
      </c>
      <c r="AN1274" s="57">
        <f t="shared" si="210"/>
        <v>5.17631300925175</v>
      </c>
      <c r="AO1274" s="76">
        <f t="shared" si="213"/>
        <v>-3.1898242793536284</v>
      </c>
      <c r="AP1274" s="63" t="str">
        <f t="shared" si="214"/>
        <v/>
      </c>
      <c r="AQ1274" s="63" t="str">
        <f t="shared" si="215"/>
        <v>Sell Stocks</v>
      </c>
      <c r="AR1274" s="63" t="str">
        <f t="shared" si="216"/>
        <v/>
      </c>
      <c r="AS1274" s="63" t="str">
        <f t="shared" si="217"/>
        <v/>
      </c>
      <c r="AT1274" s="78" t="str">
        <f t="shared" si="218"/>
        <v/>
      </c>
      <c r="AU1274" s="78" t="str">
        <f t="shared" si="219"/>
        <v/>
      </c>
      <c r="AV1274" s="64" t="str">
        <f ca="1">IFERROR(__xludf.DUMMYFUNCTION("IF(TRIM(AU1274)="""","""",AU1274/INDEX(FILTER(AT$3:AT1274,TRIM(AT$3:AT1274)&lt;&gt;""""),ROWS(FILTER(AT$3:AT1274,TRIM(AT$3:AT1274)&lt;&gt;"""")))-1)"),"")</f>
        <v/>
      </c>
      <c r="AW1274" s="65" t="e">
        <f t="shared" ca="1" si="211"/>
        <v>#VALUE!</v>
      </c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</row>
    <row r="1275" spans="1:68" ht="19" x14ac:dyDescent="0.25">
      <c r="A1275" s="5"/>
      <c r="B1275" s="5"/>
      <c r="C1275" s="5"/>
      <c r="D1275" s="5"/>
      <c r="E1275" s="5"/>
      <c r="F1275" s="5"/>
      <c r="G1275" s="5"/>
      <c r="H1275" s="6"/>
      <c r="I1275" s="5"/>
      <c r="J1275" s="88"/>
      <c r="K1275" s="88"/>
      <c r="L1275" s="88"/>
      <c r="M1275" s="88"/>
      <c r="N1275" s="88"/>
      <c r="O1275" s="88"/>
      <c r="P1275" s="88"/>
      <c r="Q1275" s="89"/>
      <c r="R1275" s="88"/>
      <c r="S1275" s="88"/>
      <c r="T1275" s="90"/>
      <c r="U1275" s="6"/>
      <c r="V1275" s="44">
        <v>45770</v>
      </c>
      <c r="W1275" s="45">
        <v>245.48</v>
      </c>
      <c r="X1275" s="91"/>
      <c r="Y1275" s="77"/>
      <c r="Z1275" s="5"/>
      <c r="AA1275" s="5"/>
      <c r="AB1275" s="5"/>
      <c r="AC1275" s="5"/>
      <c r="AD1275" s="5"/>
      <c r="AE1275" s="5"/>
      <c r="AF1275" s="5"/>
      <c r="AG1275" s="5"/>
      <c r="AH1275" s="6"/>
      <c r="AI1275" s="44">
        <v>45770</v>
      </c>
      <c r="AJ1275" s="53">
        <v>245.48</v>
      </c>
      <c r="AK1275" s="54">
        <f t="shared" si="209"/>
        <v>1.9012038190120206E-2</v>
      </c>
      <c r="AL1275" s="55">
        <f t="shared" si="212"/>
        <v>23.409263221159719</v>
      </c>
      <c r="AM1275" s="56">
        <v>25</v>
      </c>
      <c r="AN1275" s="57">
        <f t="shared" si="210"/>
        <v>1.5907367788402809</v>
      </c>
      <c r="AO1275" s="76">
        <f t="shared" si="213"/>
        <v>2.3782442847531917</v>
      </c>
      <c r="AP1275" s="63" t="str">
        <f t="shared" si="214"/>
        <v>Buy Stocks</v>
      </c>
      <c r="AQ1275" s="63" t="str">
        <f t="shared" si="215"/>
        <v/>
      </c>
      <c r="AR1275" s="63" t="str">
        <f t="shared" si="216"/>
        <v>Buy Stocks</v>
      </c>
      <c r="AS1275" s="63" t="str">
        <f t="shared" si="217"/>
        <v/>
      </c>
      <c r="AT1275" s="77">
        <f t="shared" si="218"/>
        <v>245.48</v>
      </c>
      <c r="AU1275" s="78" t="str">
        <f t="shared" si="219"/>
        <v/>
      </c>
      <c r="AV1275" s="64" t="str">
        <f ca="1">IFERROR(__xludf.DUMMYFUNCTION("IF(TRIM(AU1275)="""","""",AU1275/INDEX(FILTER(AT$3:AT1275,TRIM(AT$3:AT1275)&lt;&gt;""""),ROWS(FILTER(AT$3:AT1275,TRIM(AT$3:AT1275)&lt;&gt;"""")))-1)"),"")</f>
        <v/>
      </c>
      <c r="AW1275" s="65" t="e">
        <f t="shared" ca="1" si="211"/>
        <v>#VALUE!</v>
      </c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</row>
    <row r="1276" spans="1:68" ht="19" x14ac:dyDescent="0.25">
      <c r="A1276" s="5"/>
      <c r="B1276" s="5"/>
      <c r="C1276" s="5"/>
      <c r="D1276" s="5"/>
      <c r="E1276" s="5"/>
      <c r="F1276" s="5"/>
      <c r="G1276" s="5"/>
      <c r="H1276" s="6"/>
      <c r="I1276" s="5"/>
      <c r="J1276" s="88"/>
      <c r="K1276" s="88"/>
      <c r="L1276" s="88"/>
      <c r="M1276" s="88"/>
      <c r="N1276" s="88"/>
      <c r="O1276" s="88"/>
      <c r="P1276" s="88"/>
      <c r="Q1276" s="89"/>
      <c r="R1276" s="88"/>
      <c r="S1276" s="88"/>
      <c r="T1276" s="90"/>
      <c r="U1276" s="6"/>
      <c r="V1276" s="44">
        <v>45771</v>
      </c>
      <c r="W1276" s="45">
        <v>229.33</v>
      </c>
      <c r="X1276" s="91"/>
      <c r="Y1276" s="77"/>
      <c r="Z1276" s="5"/>
      <c r="AA1276" s="5"/>
      <c r="AB1276" s="5"/>
      <c r="AC1276" s="5"/>
      <c r="AD1276" s="5"/>
      <c r="AE1276" s="5"/>
      <c r="AF1276" s="5"/>
      <c r="AG1276" s="5"/>
      <c r="AH1276" s="6"/>
      <c r="AI1276" s="44">
        <v>45771</v>
      </c>
      <c r="AJ1276" s="53">
        <v>229.33</v>
      </c>
      <c r="AK1276" s="54">
        <f t="shared" si="209"/>
        <v>-6.5789473684210398E-2</v>
      </c>
      <c r="AL1276" s="55">
        <f t="shared" si="212"/>
        <v>55.730295024830802</v>
      </c>
      <c r="AM1276" s="56">
        <v>25</v>
      </c>
      <c r="AN1276" s="57">
        <f t="shared" si="210"/>
        <v>-30.730295024830802</v>
      </c>
      <c r="AO1276" s="76">
        <f t="shared" si="213"/>
        <v>-2.4566393342843638</v>
      </c>
      <c r="AP1276" s="63" t="str">
        <f t="shared" si="214"/>
        <v/>
      </c>
      <c r="AQ1276" s="63" t="str">
        <f t="shared" si="215"/>
        <v>Sell Stocks</v>
      </c>
      <c r="AR1276" s="63" t="str">
        <f t="shared" si="216"/>
        <v/>
      </c>
      <c r="AS1276" s="63" t="str">
        <f t="shared" si="217"/>
        <v>Sell Stocks</v>
      </c>
      <c r="AT1276" s="78" t="str">
        <f t="shared" si="218"/>
        <v/>
      </c>
      <c r="AU1276" s="77">
        <f t="shared" si="219"/>
        <v>229.33</v>
      </c>
      <c r="AV1276" s="64">
        <f ca="1">IFERROR(__xludf.DUMMYFUNCTION("IF(TRIM(AU1276)="""","""",AU1276/INDEX(FILTER(AT$3:AT1276,TRIM(AT$3:AT1276)&lt;&gt;""""),ROWS(FILTER(AT$3:AT1276,TRIM(AT$3:AT1276)&lt;&gt;"""")))-1)"),-0.0657894736842104)</f>
        <v>-6.5789473684210398E-2</v>
      </c>
      <c r="AW1276" s="65" t="e">
        <f t="shared" ca="1" si="211"/>
        <v>#VALUE!</v>
      </c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</row>
    <row r="1277" spans="1:68" ht="19" x14ac:dyDescent="0.25">
      <c r="A1277" s="5"/>
      <c r="B1277" s="5"/>
      <c r="C1277" s="5"/>
      <c r="D1277" s="5"/>
      <c r="E1277" s="5"/>
      <c r="F1277" s="5"/>
      <c r="G1277" s="5"/>
      <c r="H1277" s="6"/>
      <c r="I1277" s="5"/>
      <c r="J1277" s="88"/>
      <c r="K1277" s="88"/>
      <c r="L1277" s="88"/>
      <c r="M1277" s="88"/>
      <c r="N1277" s="88"/>
      <c r="O1277" s="88"/>
      <c r="P1277" s="88"/>
      <c r="Q1277" s="89"/>
      <c r="R1277" s="88"/>
      <c r="S1277" s="88"/>
      <c r="T1277" s="90"/>
      <c r="U1277" s="6"/>
      <c r="V1277" s="44">
        <v>45772</v>
      </c>
      <c r="W1277" s="45">
        <v>232.41</v>
      </c>
      <c r="X1277" s="91"/>
      <c r="Y1277" s="77"/>
      <c r="Z1277" s="5"/>
      <c r="AA1277" s="5"/>
      <c r="AB1277" s="5"/>
      <c r="AC1277" s="5"/>
      <c r="AD1277" s="5"/>
      <c r="AE1277" s="5"/>
      <c r="AF1277" s="5"/>
      <c r="AG1277" s="5"/>
      <c r="AH1277" s="6"/>
      <c r="AI1277" s="44">
        <v>45772</v>
      </c>
      <c r="AJ1277" s="53">
        <v>232.41</v>
      </c>
      <c r="AK1277" s="54">
        <f t="shared" si="209"/>
        <v>1.3430427767845421E-2</v>
      </c>
      <c r="AL1277" s="55">
        <f t="shared" si="212"/>
        <v>57.572993171440032</v>
      </c>
      <c r="AM1277" s="56">
        <v>25</v>
      </c>
      <c r="AN1277" s="57">
        <f t="shared" si="210"/>
        <v>-32.572993171440032</v>
      </c>
      <c r="AO1277" s="76">
        <f t="shared" si="213"/>
        <v>-9.7592124185990539</v>
      </c>
      <c r="AP1277" s="63" t="str">
        <f t="shared" si="214"/>
        <v/>
      </c>
      <c r="AQ1277" s="63" t="str">
        <f t="shared" si="215"/>
        <v>Sell Stocks</v>
      </c>
      <c r="AR1277" s="63" t="str">
        <f t="shared" si="216"/>
        <v/>
      </c>
      <c r="AS1277" s="63" t="str">
        <f t="shared" si="217"/>
        <v/>
      </c>
      <c r="AT1277" s="78" t="str">
        <f t="shared" si="218"/>
        <v/>
      </c>
      <c r="AU1277" s="78" t="str">
        <f t="shared" si="219"/>
        <v/>
      </c>
      <c r="AV1277" s="64" t="str">
        <f ca="1">IFERROR(__xludf.DUMMYFUNCTION("IF(TRIM(AU1277)="""","""",AU1277/INDEX(FILTER(AT$3:AT1277,TRIM(AT$3:AT1277)&lt;&gt;""""),ROWS(FILTER(AT$3:AT1277,TRIM(AT$3:AT1277)&lt;&gt;"""")))-1)"),"")</f>
        <v/>
      </c>
      <c r="AW1277" s="65" t="e">
        <f t="shared" ca="1" si="211"/>
        <v>#VALUE!</v>
      </c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</row>
    <row r="1278" spans="1:68" ht="19" x14ac:dyDescent="0.25">
      <c r="A1278" s="5"/>
      <c r="B1278" s="5"/>
      <c r="C1278" s="5"/>
      <c r="D1278" s="5"/>
      <c r="E1278" s="5"/>
      <c r="F1278" s="5"/>
      <c r="G1278" s="5"/>
      <c r="H1278" s="6"/>
      <c r="I1278" s="5"/>
      <c r="J1278" s="88"/>
      <c r="K1278" s="88"/>
      <c r="L1278" s="88"/>
      <c r="M1278" s="88"/>
      <c r="N1278" s="88"/>
      <c r="O1278" s="88"/>
      <c r="P1278" s="88"/>
      <c r="Q1278" s="89"/>
      <c r="R1278" s="88"/>
      <c r="S1278" s="88"/>
      <c r="T1278" s="90"/>
      <c r="U1278" s="6"/>
      <c r="V1278" s="44">
        <v>45775</v>
      </c>
      <c r="W1278" s="45">
        <v>236.16</v>
      </c>
      <c r="X1278" s="91"/>
      <c r="Y1278" s="77"/>
      <c r="Z1278" s="5"/>
      <c r="AA1278" s="5"/>
      <c r="AB1278" s="5"/>
      <c r="AC1278" s="5"/>
      <c r="AD1278" s="5"/>
      <c r="AE1278" s="5"/>
      <c r="AF1278" s="5"/>
      <c r="AG1278" s="5"/>
      <c r="AH1278" s="6"/>
      <c r="AI1278" s="44">
        <v>45775</v>
      </c>
      <c r="AJ1278" s="53">
        <v>236.16</v>
      </c>
      <c r="AK1278" s="54">
        <f t="shared" si="209"/>
        <v>1.6135278172195733E-2</v>
      </c>
      <c r="AL1278" s="55">
        <f t="shared" si="212"/>
        <v>58.979728679119845</v>
      </c>
      <c r="AM1278" s="56">
        <v>25</v>
      </c>
      <c r="AN1278" s="57">
        <f t="shared" si="210"/>
        <v>-33.979728679119845</v>
      </c>
      <c r="AO1278" s="76">
        <f t="shared" si="213"/>
        <v>-18.103193417459728</v>
      </c>
      <c r="AP1278" s="63" t="str">
        <f t="shared" si="214"/>
        <v/>
      </c>
      <c r="AQ1278" s="63" t="str">
        <f t="shared" si="215"/>
        <v>Sell Stocks</v>
      </c>
      <c r="AR1278" s="63" t="str">
        <f t="shared" si="216"/>
        <v/>
      </c>
      <c r="AS1278" s="63" t="str">
        <f t="shared" si="217"/>
        <v/>
      </c>
      <c r="AT1278" s="78" t="str">
        <f t="shared" si="218"/>
        <v/>
      </c>
      <c r="AU1278" s="78" t="str">
        <f t="shared" si="219"/>
        <v/>
      </c>
      <c r="AV1278" s="64" t="str">
        <f ca="1">IFERROR(__xludf.DUMMYFUNCTION("IF(TRIM(AU1278)="""","""",AU1278/INDEX(FILTER(AT$3:AT1278,TRIM(AT$3:AT1278)&lt;&gt;""""),ROWS(FILTER(AT$3:AT1278,TRIM(AT$3:AT1278)&lt;&gt;"""")))-1)"),"")</f>
        <v/>
      </c>
      <c r="AW1278" s="65" t="e">
        <f t="shared" ca="1" si="211"/>
        <v>#VALUE!</v>
      </c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</row>
    <row r="1279" spans="1:68" ht="19" x14ac:dyDescent="0.25">
      <c r="A1279" s="5"/>
      <c r="B1279" s="5"/>
      <c r="C1279" s="5"/>
      <c r="D1279" s="5"/>
      <c r="E1279" s="5"/>
      <c r="F1279" s="5"/>
      <c r="G1279" s="5"/>
      <c r="H1279" s="6"/>
      <c r="I1279" s="5"/>
      <c r="J1279" s="88"/>
      <c r="K1279" s="88"/>
      <c r="L1279" s="88"/>
      <c r="M1279" s="88"/>
      <c r="N1279" s="88"/>
      <c r="O1279" s="88"/>
      <c r="P1279" s="88"/>
      <c r="Q1279" s="89"/>
      <c r="R1279" s="88"/>
      <c r="S1279" s="88"/>
      <c r="T1279" s="90"/>
      <c r="U1279" s="6"/>
      <c r="V1279" s="44">
        <v>45776</v>
      </c>
      <c r="W1279" s="45">
        <v>239.39</v>
      </c>
      <c r="X1279" s="91"/>
      <c r="Y1279" s="77"/>
      <c r="Z1279" s="5"/>
      <c r="AA1279" s="5"/>
      <c r="AB1279" s="5"/>
      <c r="AC1279" s="5"/>
      <c r="AD1279" s="5"/>
      <c r="AE1279" s="5"/>
      <c r="AF1279" s="5"/>
      <c r="AG1279" s="5"/>
      <c r="AH1279" s="6"/>
      <c r="AI1279" s="44">
        <v>45776</v>
      </c>
      <c r="AJ1279" s="53">
        <v>239.39</v>
      </c>
      <c r="AK1279" s="54">
        <f t="shared" si="209"/>
        <v>1.3677168021680064E-2</v>
      </c>
      <c r="AL1279" s="55">
        <f t="shared" si="212"/>
        <v>57.865805718068287</v>
      </c>
      <c r="AM1279" s="56">
        <v>25</v>
      </c>
      <c r="AN1279" s="57">
        <f t="shared" si="210"/>
        <v>-32.865805718068287</v>
      </c>
      <c r="AO1279" s="76">
        <f t="shared" si="213"/>
        <v>-25.711617162923737</v>
      </c>
      <c r="AP1279" s="63" t="str">
        <f t="shared" si="214"/>
        <v/>
      </c>
      <c r="AQ1279" s="63" t="str">
        <f t="shared" si="215"/>
        <v>Sell Stocks</v>
      </c>
      <c r="AR1279" s="63" t="str">
        <f t="shared" si="216"/>
        <v/>
      </c>
      <c r="AS1279" s="63" t="str">
        <f t="shared" si="217"/>
        <v/>
      </c>
      <c r="AT1279" s="78" t="str">
        <f t="shared" si="218"/>
        <v/>
      </c>
      <c r="AU1279" s="78" t="str">
        <f t="shared" si="219"/>
        <v/>
      </c>
      <c r="AV1279" s="64" t="str">
        <f ca="1">IFERROR(__xludf.DUMMYFUNCTION("IF(TRIM(AU1279)="""","""",AU1279/INDEX(FILTER(AT$3:AT1279,TRIM(AT$3:AT1279)&lt;&gt;""""),ROWS(FILTER(AT$3:AT1279,TRIM(AT$3:AT1279)&lt;&gt;"""")))-1)"),"")</f>
        <v/>
      </c>
      <c r="AW1279" s="65" t="e">
        <f t="shared" ca="1" si="211"/>
        <v>#VALUE!</v>
      </c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</row>
    <row r="1280" spans="1:68" ht="19" x14ac:dyDescent="0.25">
      <c r="A1280" s="5"/>
      <c r="B1280" s="5"/>
      <c r="C1280" s="5"/>
      <c r="D1280" s="5"/>
      <c r="E1280" s="5"/>
      <c r="F1280" s="5"/>
      <c r="G1280" s="5"/>
      <c r="H1280" s="6"/>
      <c r="I1280" s="5"/>
      <c r="J1280" s="88"/>
      <c r="K1280" s="88"/>
      <c r="L1280" s="88"/>
      <c r="M1280" s="88"/>
      <c r="N1280" s="88"/>
      <c r="O1280" s="88"/>
      <c r="P1280" s="88"/>
      <c r="Q1280" s="89"/>
      <c r="R1280" s="88"/>
      <c r="S1280" s="88"/>
      <c r="T1280" s="90"/>
      <c r="U1280" s="6"/>
      <c r="V1280" s="44">
        <v>45777</v>
      </c>
      <c r="W1280" s="45">
        <v>241.82</v>
      </c>
      <c r="X1280" s="91"/>
      <c r="Y1280" s="77"/>
      <c r="Z1280" s="5"/>
      <c r="AA1280" s="5"/>
      <c r="AB1280" s="5"/>
      <c r="AC1280" s="5"/>
      <c r="AD1280" s="5"/>
      <c r="AE1280" s="5"/>
      <c r="AF1280" s="5"/>
      <c r="AG1280" s="5"/>
      <c r="AH1280" s="6"/>
      <c r="AI1280" s="44">
        <v>45777</v>
      </c>
      <c r="AJ1280" s="53">
        <v>241.82</v>
      </c>
      <c r="AK1280" s="54">
        <f t="shared" si="209"/>
        <v>1.0150799949872669E-2</v>
      </c>
      <c r="AL1280" s="55">
        <f t="shared" si="212"/>
        <v>56.28375510055811</v>
      </c>
      <c r="AM1280" s="56">
        <v>25</v>
      </c>
      <c r="AN1280" s="57">
        <f t="shared" si="210"/>
        <v>-31.28375510055811</v>
      </c>
      <c r="AO1280" s="76">
        <f t="shared" si="213"/>
        <v>-32.286515538803414</v>
      </c>
      <c r="AP1280" s="63" t="str">
        <f t="shared" si="214"/>
        <v/>
      </c>
      <c r="AQ1280" s="63" t="str">
        <f t="shared" si="215"/>
        <v>Sell Stocks</v>
      </c>
      <c r="AR1280" s="63" t="str">
        <f t="shared" si="216"/>
        <v/>
      </c>
      <c r="AS1280" s="63" t="str">
        <f t="shared" si="217"/>
        <v/>
      </c>
      <c r="AT1280" s="78" t="str">
        <f t="shared" si="218"/>
        <v/>
      </c>
      <c r="AU1280" s="78" t="str">
        <f t="shared" si="219"/>
        <v/>
      </c>
      <c r="AV1280" s="64" t="str">
        <f ca="1">IFERROR(__xludf.DUMMYFUNCTION("IF(TRIM(AU1280)="""","""",AU1280/INDEX(FILTER(AT$3:AT1280,TRIM(AT$3:AT1280)&lt;&gt;""""),ROWS(FILTER(AT$3:AT1280,TRIM(AT$3:AT1280)&lt;&gt;"""")))-1)"),"")</f>
        <v/>
      </c>
      <c r="AW1280" s="65" t="e">
        <f t="shared" ca="1" si="211"/>
        <v>#VALUE!</v>
      </c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</row>
    <row r="1281" spans="1:68" ht="19" x14ac:dyDescent="0.25">
      <c r="A1281" s="5"/>
      <c r="B1281" s="5"/>
      <c r="C1281" s="5"/>
      <c r="D1281" s="5"/>
      <c r="E1281" s="5"/>
      <c r="F1281" s="5"/>
      <c r="G1281" s="5"/>
      <c r="H1281" s="6"/>
      <c r="I1281" s="5"/>
      <c r="J1281" s="88"/>
      <c r="K1281" s="88"/>
      <c r="L1281" s="88"/>
      <c r="M1281" s="88"/>
      <c r="N1281" s="88"/>
      <c r="O1281" s="88"/>
      <c r="P1281" s="88"/>
      <c r="Q1281" s="89"/>
      <c r="R1281" s="88"/>
      <c r="S1281" s="88"/>
      <c r="T1281" s="90"/>
      <c r="U1281" s="6"/>
      <c r="V1281" s="44">
        <v>45778</v>
      </c>
      <c r="W1281" s="45">
        <v>239.66</v>
      </c>
      <c r="X1281" s="91"/>
      <c r="Y1281" s="77"/>
      <c r="Z1281" s="5"/>
      <c r="AA1281" s="5"/>
      <c r="AB1281" s="5"/>
      <c r="AC1281" s="5"/>
      <c r="AD1281" s="5"/>
      <c r="AE1281" s="5"/>
      <c r="AF1281" s="5"/>
      <c r="AG1281" s="5"/>
      <c r="AH1281" s="6"/>
      <c r="AI1281" s="44">
        <v>45778</v>
      </c>
      <c r="AJ1281" s="53">
        <v>239.66</v>
      </c>
      <c r="AK1281" s="54">
        <f t="shared" si="209"/>
        <v>-8.9322636671904654E-3</v>
      </c>
      <c r="AL1281" s="55">
        <f t="shared" si="212"/>
        <v>16.174269380655556</v>
      </c>
      <c r="AM1281" s="56">
        <v>25</v>
      </c>
      <c r="AN1281" s="57">
        <f t="shared" si="210"/>
        <v>8.8257306193444442</v>
      </c>
      <c r="AO1281" s="76">
        <f t="shared" si="213"/>
        <v>-24.375310409968368</v>
      </c>
      <c r="AP1281" s="63" t="str">
        <f t="shared" si="214"/>
        <v/>
      </c>
      <c r="AQ1281" s="63" t="str">
        <f t="shared" si="215"/>
        <v>Sell Stocks</v>
      </c>
      <c r="AR1281" s="63" t="str">
        <f t="shared" si="216"/>
        <v/>
      </c>
      <c r="AS1281" s="63" t="str">
        <f t="shared" si="217"/>
        <v/>
      </c>
      <c r="AT1281" s="78" t="str">
        <f t="shared" si="218"/>
        <v/>
      </c>
      <c r="AU1281" s="78" t="str">
        <f t="shared" si="219"/>
        <v/>
      </c>
      <c r="AV1281" s="64" t="str">
        <f ca="1">IFERROR(__xludf.DUMMYFUNCTION("IF(TRIM(AU1281)="""","""",AU1281/INDEX(FILTER(AT$3:AT1281,TRIM(AT$3:AT1281)&lt;&gt;""""),ROWS(FILTER(AT$3:AT1281,TRIM(AT$3:AT1281)&lt;&gt;"""")))-1)"),"")</f>
        <v/>
      </c>
      <c r="AW1281" s="65" t="e">
        <f t="shared" ca="1" si="211"/>
        <v>#VALUE!</v>
      </c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</row>
    <row r="1282" spans="1:68" ht="19" x14ac:dyDescent="0.25">
      <c r="A1282" s="5"/>
      <c r="B1282" s="5"/>
      <c r="C1282" s="5"/>
      <c r="D1282" s="5"/>
      <c r="E1282" s="5"/>
      <c r="F1282" s="5"/>
      <c r="G1282" s="5"/>
      <c r="H1282" s="6"/>
      <c r="I1282" s="5"/>
      <c r="J1282" s="88"/>
      <c r="K1282" s="88"/>
      <c r="L1282" s="88"/>
      <c r="M1282" s="88"/>
      <c r="N1282" s="88"/>
      <c r="O1282" s="88"/>
      <c r="P1282" s="88"/>
      <c r="Q1282" s="89"/>
      <c r="R1282" s="88"/>
      <c r="S1282" s="88"/>
      <c r="T1282" s="90"/>
      <c r="U1282" s="6"/>
      <c r="V1282" s="44">
        <v>45779</v>
      </c>
      <c r="W1282" s="45">
        <v>245.55</v>
      </c>
      <c r="X1282" s="91"/>
      <c r="Y1282" s="77"/>
      <c r="Z1282" s="5"/>
      <c r="AA1282" s="5"/>
      <c r="AB1282" s="5"/>
      <c r="AC1282" s="5"/>
      <c r="AD1282" s="5"/>
      <c r="AE1282" s="5"/>
      <c r="AF1282" s="5"/>
      <c r="AG1282" s="5"/>
      <c r="AH1282" s="6"/>
      <c r="AI1282" s="44">
        <v>45779</v>
      </c>
      <c r="AJ1282" s="53">
        <v>245.55</v>
      </c>
      <c r="AK1282" s="54">
        <f t="shared" si="209"/>
        <v>2.4576483351414602E-2</v>
      </c>
      <c r="AL1282" s="55">
        <f t="shared" si="212"/>
        <v>19.696574842748745</v>
      </c>
      <c r="AM1282" s="56">
        <v>25</v>
      </c>
      <c r="AN1282" s="57">
        <f t="shared" si="210"/>
        <v>5.3034251572512545</v>
      </c>
      <c r="AO1282" s="76">
        <f t="shared" si="213"/>
        <v>-16.800026744230109</v>
      </c>
      <c r="AP1282" s="63" t="str">
        <f t="shared" si="214"/>
        <v/>
      </c>
      <c r="AQ1282" s="63" t="str">
        <f t="shared" si="215"/>
        <v>Sell Stocks</v>
      </c>
      <c r="AR1282" s="63" t="str">
        <f t="shared" si="216"/>
        <v/>
      </c>
      <c r="AS1282" s="63" t="str">
        <f t="shared" si="217"/>
        <v/>
      </c>
      <c r="AT1282" s="78" t="str">
        <f t="shared" si="218"/>
        <v/>
      </c>
      <c r="AU1282" s="78" t="str">
        <f t="shared" si="219"/>
        <v/>
      </c>
      <c r="AV1282" s="64" t="str">
        <f ca="1">IFERROR(__xludf.DUMMYFUNCTION("IF(TRIM(AU1282)="""","""",AU1282/INDEX(FILTER(AT$3:AT1282,TRIM(AT$3:AT1282)&lt;&gt;""""),ROWS(FILTER(AT$3:AT1282,TRIM(AT$3:AT1282)&lt;&gt;"""")))-1)"),"")</f>
        <v/>
      </c>
      <c r="AW1282" s="65" t="e">
        <f t="shared" ca="1" si="211"/>
        <v>#VALUE!</v>
      </c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</row>
    <row r="1283" spans="1:68" ht="19" x14ac:dyDescent="0.25">
      <c r="A1283" s="5"/>
      <c r="B1283" s="5"/>
      <c r="C1283" s="5"/>
      <c r="D1283" s="5"/>
      <c r="E1283" s="5"/>
      <c r="F1283" s="5"/>
      <c r="G1283" s="5"/>
      <c r="H1283" s="6"/>
      <c r="I1283" s="5"/>
      <c r="J1283" s="88"/>
      <c r="K1283" s="88"/>
      <c r="L1283" s="88"/>
      <c r="M1283" s="88"/>
      <c r="N1283" s="88"/>
      <c r="O1283" s="88"/>
      <c r="P1283" s="88"/>
      <c r="Q1283" s="89"/>
      <c r="R1283" s="88"/>
      <c r="S1283" s="88"/>
      <c r="T1283" s="90"/>
      <c r="U1283" s="6"/>
      <c r="V1283" s="44">
        <v>45782</v>
      </c>
      <c r="W1283" s="45">
        <v>249.18</v>
      </c>
      <c r="X1283" s="91"/>
      <c r="Y1283" s="77"/>
      <c r="Z1283" s="5"/>
      <c r="AA1283" s="5"/>
      <c r="AB1283" s="5"/>
      <c r="AC1283" s="5"/>
      <c r="AD1283" s="5"/>
      <c r="AE1283" s="5"/>
      <c r="AF1283" s="5"/>
      <c r="AG1283" s="5"/>
      <c r="AH1283" s="6"/>
      <c r="AI1283" s="44">
        <v>45782</v>
      </c>
      <c r="AJ1283" s="53">
        <v>249.18</v>
      </c>
      <c r="AK1283" s="54">
        <f t="shared" ref="AK1283:AK1346" si="220">AJ1283/AJ1282-1</f>
        <v>1.4783139890042651E-2</v>
      </c>
      <c r="AL1283" s="55">
        <f t="shared" si="212"/>
        <v>19.502167982071214</v>
      </c>
      <c r="AM1283" s="56">
        <v>25</v>
      </c>
      <c r="AN1283" s="57">
        <f t="shared" ref="AN1283:AN1346" si="221">AM1283-AL1283</f>
        <v>5.4978320179287863</v>
      </c>
      <c r="AO1283" s="76">
        <f t="shared" si="213"/>
        <v>-8.9045146048203829</v>
      </c>
      <c r="AP1283" s="63" t="str">
        <f t="shared" si="214"/>
        <v/>
      </c>
      <c r="AQ1283" s="63" t="str">
        <f t="shared" si="215"/>
        <v>Sell Stocks</v>
      </c>
      <c r="AR1283" s="63" t="str">
        <f t="shared" si="216"/>
        <v/>
      </c>
      <c r="AS1283" s="63" t="str">
        <f t="shared" si="217"/>
        <v/>
      </c>
      <c r="AT1283" s="78" t="str">
        <f t="shared" si="218"/>
        <v/>
      </c>
      <c r="AU1283" s="78" t="str">
        <f t="shared" si="219"/>
        <v/>
      </c>
      <c r="AV1283" s="64" t="str">
        <f ca="1">IFERROR(__xludf.DUMMYFUNCTION("IF(TRIM(AU1283)="""","""",AU1283/INDEX(FILTER(AT$3:AT1283,TRIM(AT$3:AT1283)&lt;&gt;""""),ROWS(FILTER(AT$3:AT1283,TRIM(AT$3:AT1283)&lt;&gt;"""")))-1)"),"")</f>
        <v/>
      </c>
      <c r="AW1283" s="65" t="e">
        <f t="shared" ref="AW1283:AW1346" ca="1" si="222">AW1282*(1+AV1283)</f>
        <v>#VALUE!</v>
      </c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</row>
    <row r="1284" spans="1:68" ht="19" x14ac:dyDescent="0.25">
      <c r="A1284" s="5"/>
      <c r="B1284" s="5"/>
      <c r="C1284" s="5"/>
      <c r="D1284" s="5"/>
      <c r="E1284" s="5"/>
      <c r="F1284" s="5"/>
      <c r="G1284" s="5"/>
      <c r="H1284" s="6"/>
      <c r="I1284" s="5"/>
      <c r="J1284" s="88"/>
      <c r="K1284" s="88"/>
      <c r="L1284" s="88"/>
      <c r="M1284" s="88"/>
      <c r="N1284" s="88"/>
      <c r="O1284" s="88"/>
      <c r="P1284" s="88"/>
      <c r="Q1284" s="89"/>
      <c r="R1284" s="88"/>
      <c r="S1284" s="88"/>
      <c r="T1284" s="90"/>
      <c r="U1284" s="6"/>
      <c r="V1284" s="44">
        <v>45783</v>
      </c>
      <c r="W1284" s="45">
        <v>249.12</v>
      </c>
      <c r="X1284" s="91"/>
      <c r="Y1284" s="77"/>
      <c r="Z1284" s="5"/>
      <c r="AA1284" s="5"/>
      <c r="AB1284" s="5"/>
      <c r="AC1284" s="5"/>
      <c r="AD1284" s="5"/>
      <c r="AE1284" s="5"/>
      <c r="AF1284" s="5"/>
      <c r="AG1284" s="5"/>
      <c r="AH1284" s="6"/>
      <c r="AI1284" s="44">
        <v>45783</v>
      </c>
      <c r="AJ1284" s="53">
        <v>249.12</v>
      </c>
      <c r="AK1284" s="54">
        <f t="shared" si="220"/>
        <v>-2.407897905128964E-4</v>
      </c>
      <c r="AL1284" s="55">
        <f t="shared" si="212"/>
        <v>20.697919312034148</v>
      </c>
      <c r="AM1284" s="56">
        <v>25</v>
      </c>
      <c r="AN1284" s="57">
        <f t="shared" si="221"/>
        <v>4.3020806879658515</v>
      </c>
      <c r="AO1284" s="76">
        <f t="shared" si="213"/>
        <v>-1.4709373236135548</v>
      </c>
      <c r="AP1284" s="63" t="str">
        <f t="shared" si="214"/>
        <v/>
      </c>
      <c r="AQ1284" s="63" t="str">
        <f t="shared" si="215"/>
        <v>Sell Stocks</v>
      </c>
      <c r="AR1284" s="63" t="str">
        <f t="shared" si="216"/>
        <v/>
      </c>
      <c r="AS1284" s="63" t="str">
        <f t="shared" si="217"/>
        <v/>
      </c>
      <c r="AT1284" s="78" t="str">
        <f t="shared" si="218"/>
        <v/>
      </c>
      <c r="AU1284" s="78" t="str">
        <f t="shared" si="219"/>
        <v/>
      </c>
      <c r="AV1284" s="64" t="str">
        <f ca="1">IFERROR(__xludf.DUMMYFUNCTION("IF(TRIM(AU1284)="""","""",AU1284/INDEX(FILTER(AT$3:AT1284,TRIM(AT$3:AT1284)&lt;&gt;""""),ROWS(FILTER(AT$3:AT1284,TRIM(AT$3:AT1284)&lt;&gt;"""")))-1)"),"")</f>
        <v/>
      </c>
      <c r="AW1284" s="65" t="e">
        <f t="shared" ca="1" si="222"/>
        <v>#VALUE!</v>
      </c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</row>
    <row r="1285" spans="1:68" ht="19" x14ac:dyDescent="0.25">
      <c r="A1285" s="5"/>
      <c r="B1285" s="5"/>
      <c r="C1285" s="5"/>
      <c r="D1285" s="5"/>
      <c r="E1285" s="5"/>
      <c r="F1285" s="5"/>
      <c r="G1285" s="5"/>
      <c r="H1285" s="6"/>
      <c r="I1285" s="5"/>
      <c r="J1285" s="88"/>
      <c r="K1285" s="88"/>
      <c r="L1285" s="88"/>
      <c r="M1285" s="88"/>
      <c r="N1285" s="88"/>
      <c r="O1285" s="88"/>
      <c r="P1285" s="88"/>
      <c r="Q1285" s="89"/>
      <c r="R1285" s="88"/>
      <c r="S1285" s="88"/>
      <c r="T1285" s="90"/>
      <c r="U1285" s="6"/>
      <c r="V1285" s="44">
        <v>45784</v>
      </c>
      <c r="W1285" s="45">
        <v>253.37</v>
      </c>
      <c r="X1285" s="91"/>
      <c r="Y1285" s="77"/>
      <c r="Z1285" s="5"/>
      <c r="AA1285" s="5"/>
      <c r="AB1285" s="5"/>
      <c r="AC1285" s="5"/>
      <c r="AD1285" s="5"/>
      <c r="AE1285" s="5"/>
      <c r="AF1285" s="5"/>
      <c r="AG1285" s="5"/>
      <c r="AH1285" s="6"/>
      <c r="AI1285" s="44">
        <v>45784</v>
      </c>
      <c r="AJ1285" s="53">
        <v>253.37</v>
      </c>
      <c r="AK1285" s="54">
        <f t="shared" si="220"/>
        <v>1.706005138086053E-2</v>
      </c>
      <c r="AL1285" s="55">
        <f t="shared" si="212"/>
        <v>21.693326479113026</v>
      </c>
      <c r="AM1285" s="56">
        <v>25</v>
      </c>
      <c r="AN1285" s="57">
        <f t="shared" si="221"/>
        <v>3.3066735208869744</v>
      </c>
      <c r="AO1285" s="76">
        <f t="shared" si="213"/>
        <v>5.447148400675462</v>
      </c>
      <c r="AP1285" s="63" t="str">
        <f t="shared" si="214"/>
        <v>Buy Stocks</v>
      </c>
      <c r="AQ1285" s="63" t="str">
        <f t="shared" si="215"/>
        <v/>
      </c>
      <c r="AR1285" s="63" t="str">
        <f t="shared" si="216"/>
        <v>Buy Stocks</v>
      </c>
      <c r="AS1285" s="63" t="str">
        <f t="shared" si="217"/>
        <v/>
      </c>
      <c r="AT1285" s="77">
        <f t="shared" si="218"/>
        <v>253.37</v>
      </c>
      <c r="AU1285" s="78" t="str">
        <f t="shared" si="219"/>
        <v/>
      </c>
      <c r="AV1285" s="64" t="str">
        <f ca="1">IFERROR(__xludf.DUMMYFUNCTION("IF(TRIM(AU1285)="""","""",AU1285/INDEX(FILTER(AT$3:AT1285,TRIM(AT$3:AT1285)&lt;&gt;""""),ROWS(FILTER(AT$3:AT1285,TRIM(AT$3:AT1285)&lt;&gt;"""")))-1)"),"")</f>
        <v/>
      </c>
      <c r="AW1285" s="65" t="e">
        <f t="shared" ca="1" si="222"/>
        <v>#VALUE!</v>
      </c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</row>
    <row r="1286" spans="1:68" ht="19" x14ac:dyDescent="0.25">
      <c r="A1286" s="5"/>
      <c r="B1286" s="5"/>
      <c r="C1286" s="5"/>
      <c r="D1286" s="5"/>
      <c r="E1286" s="5"/>
      <c r="F1286" s="5"/>
      <c r="G1286" s="5"/>
      <c r="H1286" s="6"/>
      <c r="I1286" s="5"/>
      <c r="J1286" s="88"/>
      <c r="K1286" s="88"/>
      <c r="L1286" s="88"/>
      <c r="M1286" s="88"/>
      <c r="N1286" s="88"/>
      <c r="O1286" s="88"/>
      <c r="P1286" s="88"/>
      <c r="Q1286" s="89"/>
      <c r="R1286" s="88"/>
      <c r="S1286" s="88"/>
      <c r="T1286" s="90"/>
      <c r="U1286" s="6"/>
      <c r="V1286" s="44">
        <v>45785</v>
      </c>
      <c r="W1286" s="45">
        <v>254.14</v>
      </c>
      <c r="X1286" s="91"/>
      <c r="Y1286" s="77"/>
      <c r="Z1286" s="5"/>
      <c r="AA1286" s="5"/>
      <c r="AB1286" s="5"/>
      <c r="AC1286" s="5"/>
      <c r="AD1286" s="5"/>
      <c r="AE1286" s="5"/>
      <c r="AF1286" s="5"/>
      <c r="AG1286" s="5"/>
      <c r="AH1286" s="6"/>
      <c r="AI1286" s="44">
        <v>45785</v>
      </c>
      <c r="AJ1286" s="53">
        <v>254.14</v>
      </c>
      <c r="AK1286" s="54">
        <f t="shared" si="220"/>
        <v>3.0390338240517956E-3</v>
      </c>
      <c r="AL1286" s="55">
        <f t="shared" si="212"/>
        <v>16.296159284707588</v>
      </c>
      <c r="AM1286" s="56">
        <v>25</v>
      </c>
      <c r="AN1286" s="57">
        <f t="shared" si="221"/>
        <v>8.7038407152924115</v>
      </c>
      <c r="AO1286" s="76">
        <f t="shared" si="213"/>
        <v>5.4227704198650555</v>
      </c>
      <c r="AP1286" s="63" t="str">
        <f t="shared" si="214"/>
        <v>Buy Stocks</v>
      </c>
      <c r="AQ1286" s="63" t="str">
        <f t="shared" si="215"/>
        <v/>
      </c>
      <c r="AR1286" s="63" t="str">
        <f t="shared" si="216"/>
        <v/>
      </c>
      <c r="AS1286" s="63" t="str">
        <f t="shared" si="217"/>
        <v/>
      </c>
      <c r="AT1286" s="78" t="str">
        <f t="shared" si="218"/>
        <v/>
      </c>
      <c r="AU1286" s="78" t="str">
        <f t="shared" si="219"/>
        <v/>
      </c>
      <c r="AV1286" s="64" t="str">
        <f ca="1">IFERROR(__xludf.DUMMYFUNCTION("IF(TRIM(AU1286)="""","""",AU1286/INDEX(FILTER(AT$3:AT1286,TRIM(AT$3:AT1286)&lt;&gt;""""),ROWS(FILTER(AT$3:AT1286,TRIM(AT$3:AT1286)&lt;&gt;"""")))-1)"),"")</f>
        <v/>
      </c>
      <c r="AW1286" s="65" t="e">
        <f t="shared" ca="1" si="222"/>
        <v>#VALUE!</v>
      </c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</row>
    <row r="1287" spans="1:68" ht="19" x14ac:dyDescent="0.25">
      <c r="A1287" s="5"/>
      <c r="B1287" s="5"/>
      <c r="C1287" s="5"/>
      <c r="D1287" s="5"/>
      <c r="E1287" s="5"/>
      <c r="F1287" s="5"/>
      <c r="G1287" s="5"/>
      <c r="H1287" s="6"/>
      <c r="I1287" s="5"/>
      <c r="J1287" s="88"/>
      <c r="K1287" s="88"/>
      <c r="L1287" s="88"/>
      <c r="M1287" s="88"/>
      <c r="N1287" s="88"/>
      <c r="O1287" s="88"/>
      <c r="P1287" s="88"/>
      <c r="Q1287" s="89"/>
      <c r="R1287" s="88"/>
      <c r="S1287" s="88"/>
      <c r="T1287" s="90"/>
      <c r="U1287" s="6"/>
      <c r="V1287" s="44">
        <v>45786</v>
      </c>
      <c r="W1287" s="45">
        <v>249.2</v>
      </c>
      <c r="X1287" s="91"/>
      <c r="Y1287" s="77"/>
      <c r="Z1287" s="5"/>
      <c r="AA1287" s="5"/>
      <c r="AB1287" s="5"/>
      <c r="AC1287" s="5"/>
      <c r="AD1287" s="5"/>
      <c r="AE1287" s="5"/>
      <c r="AF1287" s="5"/>
      <c r="AG1287" s="5"/>
      <c r="AH1287" s="6"/>
      <c r="AI1287" s="44">
        <v>45786</v>
      </c>
      <c r="AJ1287" s="53">
        <v>249.2</v>
      </c>
      <c r="AK1287" s="54">
        <f t="shared" si="220"/>
        <v>-1.9438104981506221E-2</v>
      </c>
      <c r="AL1287" s="55">
        <f t="shared" ref="AL1287:AL1350" si="223">_xlfn.STDEV.S(AK1283:AK1287)*SQRT(252)*100</f>
        <v>23.147568646573106</v>
      </c>
      <c r="AM1287" s="56">
        <v>25</v>
      </c>
      <c r="AN1287" s="57">
        <f t="shared" si="221"/>
        <v>1.8524313534268941</v>
      </c>
      <c r="AO1287" s="76">
        <f t="shared" ref="AO1287:AO1350" si="224">AVERAGE(AN1283:AN1287)</f>
        <v>4.7325716591001834</v>
      </c>
      <c r="AP1287" s="63" t="str">
        <f t="shared" ref="AP1287:AP1350" si="225">IF(AO1287&gt;0,"Buy Stocks","")</f>
        <v>Buy Stocks</v>
      </c>
      <c r="AQ1287" s="63" t="str">
        <f t="shared" ref="AQ1287:AQ1350" si="226">IF(AO1287&lt;0,"Sell Stocks","")</f>
        <v/>
      </c>
      <c r="AR1287" s="63" t="str">
        <f t="shared" ref="AR1287:AR1350" si="227">IF(AND(AP1287="Buy Stocks",AP1286=""),"Buy Stocks","")</f>
        <v/>
      </c>
      <c r="AS1287" s="63" t="str">
        <f t="shared" ref="AS1287:AS1350" si="228">IF(AND(AQ1287="Sell Stocks",AQ1286=""),"Sell Stocks","")</f>
        <v/>
      </c>
      <c r="AT1287" s="78" t="str">
        <f t="shared" ref="AT1287:AT1350" si="229">IF(AR1287="Buy Stocks",AJ1287,"")</f>
        <v/>
      </c>
      <c r="AU1287" s="78" t="str">
        <f t="shared" ref="AU1287:AU1350" si="230">IF(AS1287="Sell Stocks",AJ1287,"")</f>
        <v/>
      </c>
      <c r="AV1287" s="64" t="str">
        <f ca="1">IFERROR(__xludf.DUMMYFUNCTION("IF(TRIM(AU1287)="""","""",AU1287/INDEX(FILTER(AT$3:AT1287,TRIM(AT$3:AT1287)&lt;&gt;""""),ROWS(FILTER(AT$3:AT1287,TRIM(AT$3:AT1287)&lt;&gt;"""")))-1)"),"")</f>
        <v/>
      </c>
      <c r="AW1287" s="65" t="e">
        <f t="shared" ca="1" si="222"/>
        <v>#VALUE!</v>
      </c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</row>
    <row r="1288" spans="1:68" ht="19" x14ac:dyDescent="0.25">
      <c r="A1288" s="5"/>
      <c r="B1288" s="5"/>
      <c r="C1288" s="5"/>
      <c r="D1288" s="5"/>
      <c r="E1288" s="5"/>
      <c r="F1288" s="5"/>
      <c r="G1288" s="5"/>
      <c r="H1288" s="6"/>
      <c r="I1288" s="5"/>
      <c r="J1288" s="88"/>
      <c r="K1288" s="88"/>
      <c r="L1288" s="88"/>
      <c r="M1288" s="88"/>
      <c r="N1288" s="88"/>
      <c r="O1288" s="88"/>
      <c r="P1288" s="88"/>
      <c r="Q1288" s="89"/>
      <c r="R1288" s="88"/>
      <c r="S1288" s="88"/>
      <c r="T1288" s="90"/>
      <c r="U1288" s="6"/>
      <c r="V1288" s="44">
        <v>45789</v>
      </c>
      <c r="W1288" s="45">
        <v>253.69</v>
      </c>
      <c r="X1288" s="91"/>
      <c r="Y1288" s="77"/>
      <c r="Z1288" s="5"/>
      <c r="AA1288" s="5"/>
      <c r="AB1288" s="5"/>
      <c r="AC1288" s="5"/>
      <c r="AD1288" s="5"/>
      <c r="AE1288" s="5"/>
      <c r="AF1288" s="5"/>
      <c r="AG1288" s="5"/>
      <c r="AH1288" s="6"/>
      <c r="AI1288" s="44">
        <v>45789</v>
      </c>
      <c r="AJ1288" s="53">
        <v>253.69</v>
      </c>
      <c r="AK1288" s="54">
        <f t="shared" si="220"/>
        <v>1.8017656500802559E-2</v>
      </c>
      <c r="AL1288" s="55">
        <f t="shared" si="223"/>
        <v>24.268069083828781</v>
      </c>
      <c r="AM1288" s="56">
        <v>25</v>
      </c>
      <c r="AN1288" s="57">
        <f t="shared" si="221"/>
        <v>0.73193091617121908</v>
      </c>
      <c r="AO1288" s="76">
        <f t="shared" si="224"/>
        <v>3.7793914387486702</v>
      </c>
      <c r="AP1288" s="63" t="str">
        <f t="shared" si="225"/>
        <v>Buy Stocks</v>
      </c>
      <c r="AQ1288" s="63" t="str">
        <f t="shared" si="226"/>
        <v/>
      </c>
      <c r="AR1288" s="63" t="str">
        <f t="shared" si="227"/>
        <v/>
      </c>
      <c r="AS1288" s="63" t="str">
        <f t="shared" si="228"/>
        <v/>
      </c>
      <c r="AT1288" s="78" t="str">
        <f t="shared" si="229"/>
        <v/>
      </c>
      <c r="AU1288" s="78" t="str">
        <f t="shared" si="230"/>
        <v/>
      </c>
      <c r="AV1288" s="64" t="str">
        <f ca="1">IFERROR(__xludf.DUMMYFUNCTION("IF(TRIM(AU1288)="""","""",AU1288/INDEX(FILTER(AT$3:AT1288,TRIM(AT$3:AT1288)&lt;&gt;""""),ROWS(FILTER(AT$3:AT1288,TRIM(AT$3:AT1288)&lt;&gt;"""")))-1)"),"")</f>
        <v/>
      </c>
      <c r="AW1288" s="65" t="e">
        <f t="shared" ca="1" si="222"/>
        <v>#VALUE!</v>
      </c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</row>
    <row r="1289" spans="1:68" ht="19" x14ac:dyDescent="0.25">
      <c r="A1289" s="5"/>
      <c r="B1289" s="5"/>
      <c r="C1289" s="5"/>
      <c r="D1289" s="5"/>
      <c r="E1289" s="5"/>
      <c r="F1289" s="5"/>
      <c r="G1289" s="5"/>
      <c r="H1289" s="6"/>
      <c r="I1289" s="5"/>
      <c r="J1289" s="88"/>
      <c r="K1289" s="88"/>
      <c r="L1289" s="88"/>
      <c r="M1289" s="88"/>
      <c r="N1289" s="88"/>
      <c r="O1289" s="88"/>
      <c r="P1289" s="88"/>
      <c r="Q1289" s="89"/>
      <c r="R1289" s="88"/>
      <c r="S1289" s="88"/>
      <c r="T1289" s="90"/>
      <c r="U1289" s="6"/>
      <c r="V1289" s="44">
        <v>45790</v>
      </c>
      <c r="W1289" s="45">
        <v>258.58999999999997</v>
      </c>
      <c r="X1289" s="91"/>
      <c r="Y1289" s="77"/>
      <c r="Z1289" s="5"/>
      <c r="AA1289" s="5"/>
      <c r="AB1289" s="5"/>
      <c r="AC1289" s="5"/>
      <c r="AD1289" s="5"/>
      <c r="AE1289" s="5"/>
      <c r="AF1289" s="5"/>
      <c r="AG1289" s="5"/>
      <c r="AH1289" s="6"/>
      <c r="AI1289" s="44">
        <v>45790</v>
      </c>
      <c r="AJ1289" s="53">
        <v>258.58999999999997</v>
      </c>
      <c r="AK1289" s="54">
        <f t="shared" si="220"/>
        <v>1.931491190035084E-2</v>
      </c>
      <c r="AL1289" s="55">
        <f t="shared" si="223"/>
        <v>26.170328996495545</v>
      </c>
      <c r="AM1289" s="56">
        <v>25</v>
      </c>
      <c r="AN1289" s="57">
        <f t="shared" si="221"/>
        <v>-1.1703289964955452</v>
      </c>
      <c r="AO1289" s="76">
        <f t="shared" si="224"/>
        <v>2.6849095018563909</v>
      </c>
      <c r="AP1289" s="63" t="str">
        <f t="shared" si="225"/>
        <v>Buy Stocks</v>
      </c>
      <c r="AQ1289" s="63" t="str">
        <f t="shared" si="226"/>
        <v/>
      </c>
      <c r="AR1289" s="63" t="str">
        <f t="shared" si="227"/>
        <v/>
      </c>
      <c r="AS1289" s="63" t="str">
        <f t="shared" si="228"/>
        <v/>
      </c>
      <c r="AT1289" s="78" t="str">
        <f t="shared" si="229"/>
        <v/>
      </c>
      <c r="AU1289" s="78" t="str">
        <f t="shared" si="230"/>
        <v/>
      </c>
      <c r="AV1289" s="64" t="str">
        <f ca="1">IFERROR(__xludf.DUMMYFUNCTION("IF(TRIM(AU1289)="""","""",AU1289/INDEX(FILTER(AT$3:AT1289,TRIM(AT$3:AT1289)&lt;&gt;""""),ROWS(FILTER(AT$3:AT1289,TRIM(AT$3:AT1289)&lt;&gt;"""")))-1)"),"")</f>
        <v/>
      </c>
      <c r="AW1289" s="65" t="e">
        <f t="shared" ca="1" si="222"/>
        <v>#VALUE!</v>
      </c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</row>
    <row r="1290" spans="1:68" ht="19" x14ac:dyDescent="0.25">
      <c r="A1290" s="5"/>
      <c r="B1290" s="5"/>
      <c r="C1290" s="5"/>
      <c r="D1290" s="5"/>
      <c r="E1290" s="5"/>
      <c r="F1290" s="5"/>
      <c r="G1290" s="5"/>
      <c r="H1290" s="6"/>
      <c r="I1290" s="5"/>
      <c r="J1290" s="88"/>
      <c r="K1290" s="88"/>
      <c r="L1290" s="88"/>
      <c r="M1290" s="88"/>
      <c r="N1290" s="88"/>
      <c r="O1290" s="88"/>
      <c r="P1290" s="88"/>
      <c r="Q1290" s="89"/>
      <c r="R1290" s="88"/>
      <c r="S1290" s="88"/>
      <c r="T1290" s="90"/>
      <c r="U1290" s="6"/>
      <c r="V1290" s="44">
        <v>45791</v>
      </c>
      <c r="W1290" s="45">
        <v>257.82</v>
      </c>
      <c r="X1290" s="91"/>
      <c r="Y1290" s="77"/>
      <c r="Z1290" s="5"/>
      <c r="AA1290" s="5"/>
      <c r="AB1290" s="5"/>
      <c r="AC1290" s="5"/>
      <c r="AD1290" s="5"/>
      <c r="AE1290" s="5"/>
      <c r="AF1290" s="5"/>
      <c r="AG1290" s="5"/>
      <c r="AH1290" s="6"/>
      <c r="AI1290" s="44">
        <v>45791</v>
      </c>
      <c r="AJ1290" s="53">
        <v>257.82</v>
      </c>
      <c r="AK1290" s="54">
        <f t="shared" si="220"/>
        <v>-2.9776866854865913E-3</v>
      </c>
      <c r="AL1290" s="55">
        <f t="shared" si="223"/>
        <v>25.463148681940694</v>
      </c>
      <c r="AM1290" s="56">
        <v>25</v>
      </c>
      <c r="AN1290" s="57">
        <f t="shared" si="221"/>
        <v>-0.46314868194069447</v>
      </c>
      <c r="AO1290" s="76">
        <f t="shared" si="224"/>
        <v>1.930945061290857</v>
      </c>
      <c r="AP1290" s="63" t="str">
        <f t="shared" si="225"/>
        <v>Buy Stocks</v>
      </c>
      <c r="AQ1290" s="63" t="str">
        <f t="shared" si="226"/>
        <v/>
      </c>
      <c r="AR1290" s="63" t="str">
        <f t="shared" si="227"/>
        <v/>
      </c>
      <c r="AS1290" s="63" t="str">
        <f t="shared" si="228"/>
        <v/>
      </c>
      <c r="AT1290" s="78" t="str">
        <f t="shared" si="229"/>
        <v/>
      </c>
      <c r="AU1290" s="78" t="str">
        <f t="shared" si="230"/>
        <v/>
      </c>
      <c r="AV1290" s="64" t="str">
        <f ca="1">IFERROR(__xludf.DUMMYFUNCTION("IF(TRIM(AU1290)="""","""",AU1290/INDEX(FILTER(AT$3:AT1290,TRIM(AT$3:AT1290)&lt;&gt;""""),ROWS(FILTER(AT$3:AT1290,TRIM(AT$3:AT1290)&lt;&gt;"""")))-1)"),"")</f>
        <v/>
      </c>
      <c r="AW1290" s="65" t="e">
        <f t="shared" ca="1" si="222"/>
        <v>#VALUE!</v>
      </c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</row>
    <row r="1291" spans="1:68" ht="19" x14ac:dyDescent="0.25">
      <c r="A1291" s="5"/>
      <c r="B1291" s="5"/>
      <c r="C1291" s="5"/>
      <c r="D1291" s="5"/>
      <c r="E1291" s="5"/>
      <c r="F1291" s="5"/>
      <c r="G1291" s="5"/>
      <c r="H1291" s="6"/>
      <c r="I1291" s="5"/>
      <c r="J1291" s="88"/>
      <c r="K1291" s="88"/>
      <c r="L1291" s="88"/>
      <c r="M1291" s="88"/>
      <c r="N1291" s="88"/>
      <c r="O1291" s="88"/>
      <c r="P1291" s="88"/>
      <c r="Q1291" s="89"/>
      <c r="R1291" s="88"/>
      <c r="S1291" s="88"/>
      <c r="T1291" s="90"/>
      <c r="U1291" s="6"/>
      <c r="V1291" s="44">
        <v>45792</v>
      </c>
      <c r="W1291" s="45">
        <v>266.68</v>
      </c>
      <c r="X1291" s="91"/>
      <c r="Y1291" s="77"/>
      <c r="Z1291" s="5"/>
      <c r="AA1291" s="5"/>
      <c r="AB1291" s="5"/>
      <c r="AC1291" s="5"/>
      <c r="AD1291" s="5"/>
      <c r="AE1291" s="5"/>
      <c r="AF1291" s="5"/>
      <c r="AG1291" s="5"/>
      <c r="AH1291" s="6"/>
      <c r="AI1291" s="44">
        <v>45792</v>
      </c>
      <c r="AJ1291" s="53">
        <v>266.68</v>
      </c>
      <c r="AK1291" s="54">
        <f t="shared" si="220"/>
        <v>3.4365060895198196E-2</v>
      </c>
      <c r="AL1291" s="55">
        <f t="shared" si="223"/>
        <v>33.483791075031561</v>
      </c>
      <c r="AM1291" s="56">
        <v>25</v>
      </c>
      <c r="AN1291" s="57">
        <f t="shared" si="221"/>
        <v>-8.4837910750315615</v>
      </c>
      <c r="AO1291" s="76">
        <f t="shared" si="224"/>
        <v>-1.5065812967739376</v>
      </c>
      <c r="AP1291" s="63" t="str">
        <f t="shared" si="225"/>
        <v/>
      </c>
      <c r="AQ1291" s="63" t="str">
        <f t="shared" si="226"/>
        <v>Sell Stocks</v>
      </c>
      <c r="AR1291" s="63" t="str">
        <f t="shared" si="227"/>
        <v/>
      </c>
      <c r="AS1291" s="63" t="str">
        <f t="shared" si="228"/>
        <v>Sell Stocks</v>
      </c>
      <c r="AT1291" s="78" t="str">
        <f t="shared" si="229"/>
        <v/>
      </c>
      <c r="AU1291" s="77">
        <f t="shared" si="230"/>
        <v>266.68</v>
      </c>
      <c r="AV1291" s="64">
        <f ca="1">IFERROR(__xludf.DUMMYFUNCTION("IF(TRIM(AU1291)="""","""",AU1291/INDEX(FILTER(AT$3:AT1291,TRIM(AT$3:AT1291)&lt;&gt;""""),ROWS(FILTER(AT$3:AT1291,TRIM(AT$3:AT1291)&lt;&gt;"""")))-1)"),0.0525318703871808)</f>
        <v>5.2531870387180803E-2</v>
      </c>
      <c r="AW1291" s="65" t="e">
        <f t="shared" ca="1" si="222"/>
        <v>#VALUE!</v>
      </c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</row>
    <row r="1292" spans="1:68" ht="19" x14ac:dyDescent="0.25">
      <c r="A1292" s="5"/>
      <c r="B1292" s="5"/>
      <c r="C1292" s="5"/>
      <c r="D1292" s="5"/>
      <c r="E1292" s="5"/>
      <c r="F1292" s="5"/>
      <c r="G1292" s="5"/>
      <c r="H1292" s="6"/>
      <c r="I1292" s="5"/>
      <c r="J1292" s="88"/>
      <c r="K1292" s="88"/>
      <c r="L1292" s="88"/>
      <c r="M1292" s="88"/>
      <c r="N1292" s="88"/>
      <c r="O1292" s="88"/>
      <c r="P1292" s="88"/>
      <c r="Q1292" s="89"/>
      <c r="R1292" s="88"/>
      <c r="S1292" s="88"/>
      <c r="T1292" s="90"/>
      <c r="U1292" s="6"/>
      <c r="V1292" s="44">
        <v>45793</v>
      </c>
      <c r="W1292" s="45">
        <v>266.76</v>
      </c>
      <c r="X1292" s="91"/>
      <c r="Y1292" s="77"/>
      <c r="Z1292" s="5"/>
      <c r="AA1292" s="5"/>
      <c r="AB1292" s="5"/>
      <c r="AC1292" s="5"/>
      <c r="AD1292" s="5"/>
      <c r="AE1292" s="5"/>
      <c r="AF1292" s="5"/>
      <c r="AG1292" s="5"/>
      <c r="AH1292" s="6"/>
      <c r="AI1292" s="44">
        <v>45793</v>
      </c>
      <c r="AJ1292" s="53">
        <v>266.76</v>
      </c>
      <c r="AK1292" s="54">
        <f t="shared" si="220"/>
        <v>2.9998500074990275E-4</v>
      </c>
      <c r="AL1292" s="55">
        <f t="shared" si="223"/>
        <v>24.268609238164977</v>
      </c>
      <c r="AM1292" s="56">
        <v>25</v>
      </c>
      <c r="AN1292" s="57">
        <f t="shared" si="221"/>
        <v>0.73139076183502283</v>
      </c>
      <c r="AO1292" s="76">
        <f t="shared" si="224"/>
        <v>-1.7307894150923118</v>
      </c>
      <c r="AP1292" s="63" t="str">
        <f t="shared" si="225"/>
        <v/>
      </c>
      <c r="AQ1292" s="63" t="str">
        <f t="shared" si="226"/>
        <v>Sell Stocks</v>
      </c>
      <c r="AR1292" s="63" t="str">
        <f t="shared" si="227"/>
        <v/>
      </c>
      <c r="AS1292" s="63" t="str">
        <f t="shared" si="228"/>
        <v/>
      </c>
      <c r="AT1292" s="78" t="str">
        <f t="shared" si="229"/>
        <v/>
      </c>
      <c r="AU1292" s="78" t="str">
        <f t="shared" si="230"/>
        <v/>
      </c>
      <c r="AV1292" s="64" t="str">
        <f ca="1">IFERROR(__xludf.DUMMYFUNCTION("IF(TRIM(AU1292)="""","""",AU1292/INDEX(FILTER(AT$3:AT1292,TRIM(AT$3:AT1292)&lt;&gt;""""),ROWS(FILTER(AT$3:AT1292,TRIM(AT$3:AT1292)&lt;&gt;"""")))-1)"),"")</f>
        <v/>
      </c>
      <c r="AW1292" s="65" t="e">
        <f t="shared" ca="1" si="222"/>
        <v>#VALUE!</v>
      </c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</row>
    <row r="1293" spans="1:68" ht="19" x14ac:dyDescent="0.25">
      <c r="A1293" s="5"/>
      <c r="B1293" s="5"/>
      <c r="C1293" s="5"/>
      <c r="D1293" s="5"/>
      <c r="E1293" s="5"/>
      <c r="F1293" s="5"/>
      <c r="G1293" s="5"/>
      <c r="H1293" s="6"/>
      <c r="I1293" s="5"/>
      <c r="J1293" s="88"/>
      <c r="K1293" s="88"/>
      <c r="L1293" s="88"/>
      <c r="M1293" s="88"/>
      <c r="N1293" s="88"/>
      <c r="O1293" s="88"/>
      <c r="P1293" s="88"/>
      <c r="Q1293" s="89"/>
      <c r="R1293" s="88"/>
      <c r="S1293" s="88"/>
      <c r="T1293" s="90"/>
      <c r="U1293" s="6"/>
      <c r="V1293" s="44">
        <v>45796</v>
      </c>
      <c r="W1293" s="45">
        <v>268.41000000000003</v>
      </c>
      <c r="X1293" s="91"/>
      <c r="Y1293" s="77"/>
      <c r="Z1293" s="5"/>
      <c r="AA1293" s="5"/>
      <c r="AB1293" s="5"/>
      <c r="AC1293" s="5"/>
      <c r="AD1293" s="5"/>
      <c r="AE1293" s="5"/>
      <c r="AF1293" s="5"/>
      <c r="AG1293" s="5"/>
      <c r="AH1293" s="6"/>
      <c r="AI1293" s="44">
        <v>45796</v>
      </c>
      <c r="AJ1293" s="53">
        <v>268.41000000000003</v>
      </c>
      <c r="AK1293" s="54">
        <f t="shared" si="220"/>
        <v>6.1853351327036954E-3</v>
      </c>
      <c r="AL1293" s="55">
        <f t="shared" si="223"/>
        <v>24.427584051886758</v>
      </c>
      <c r="AM1293" s="56">
        <v>25</v>
      </c>
      <c r="AN1293" s="57">
        <f t="shared" si="221"/>
        <v>0.57241594811324248</v>
      </c>
      <c r="AO1293" s="76">
        <f t="shared" si="224"/>
        <v>-1.7626924087039071</v>
      </c>
      <c r="AP1293" s="63" t="str">
        <f t="shared" si="225"/>
        <v/>
      </c>
      <c r="AQ1293" s="63" t="str">
        <f t="shared" si="226"/>
        <v>Sell Stocks</v>
      </c>
      <c r="AR1293" s="63" t="str">
        <f t="shared" si="227"/>
        <v/>
      </c>
      <c r="AS1293" s="63" t="str">
        <f t="shared" si="228"/>
        <v/>
      </c>
      <c r="AT1293" s="78" t="str">
        <f t="shared" si="229"/>
        <v/>
      </c>
      <c r="AU1293" s="78" t="str">
        <f t="shared" si="230"/>
        <v/>
      </c>
      <c r="AV1293" s="64" t="str">
        <f ca="1">IFERROR(__xludf.DUMMYFUNCTION("IF(TRIM(AU1293)="""","""",AU1293/INDEX(FILTER(AT$3:AT1293,TRIM(AT$3:AT1293)&lt;&gt;""""),ROWS(FILTER(AT$3:AT1293,TRIM(AT$3:AT1293)&lt;&gt;"""")))-1)"),"")</f>
        <v/>
      </c>
      <c r="AW1293" s="65" t="e">
        <f t="shared" ca="1" si="222"/>
        <v>#VALUE!</v>
      </c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</row>
    <row r="1294" spans="1:68" ht="19" x14ac:dyDescent="0.25">
      <c r="A1294" s="5"/>
      <c r="B1294" s="5"/>
      <c r="C1294" s="5"/>
      <c r="D1294" s="5"/>
      <c r="E1294" s="5"/>
      <c r="F1294" s="5"/>
      <c r="G1294" s="5"/>
      <c r="H1294" s="6"/>
      <c r="I1294" s="5"/>
      <c r="J1294" s="88"/>
      <c r="K1294" s="88"/>
      <c r="L1294" s="88"/>
      <c r="M1294" s="88"/>
      <c r="N1294" s="88"/>
      <c r="O1294" s="88"/>
      <c r="P1294" s="88"/>
      <c r="Q1294" s="89"/>
      <c r="R1294" s="88"/>
      <c r="S1294" s="88"/>
      <c r="T1294" s="90"/>
      <c r="U1294" s="6"/>
      <c r="V1294" s="44">
        <v>45797</v>
      </c>
      <c r="W1294" s="45">
        <v>266.95</v>
      </c>
      <c r="X1294" s="91"/>
      <c r="Y1294" s="77"/>
      <c r="Z1294" s="5"/>
      <c r="AA1294" s="5"/>
      <c r="AB1294" s="5"/>
      <c r="AC1294" s="5"/>
      <c r="AD1294" s="5"/>
      <c r="AE1294" s="5"/>
      <c r="AF1294" s="5"/>
      <c r="AG1294" s="5"/>
      <c r="AH1294" s="6"/>
      <c r="AI1294" s="44">
        <v>45797</v>
      </c>
      <c r="AJ1294" s="53">
        <v>266.95</v>
      </c>
      <c r="AK1294" s="54">
        <f t="shared" si="220"/>
        <v>-5.4394396632019282E-3</v>
      </c>
      <c r="AL1294" s="55">
        <f t="shared" si="223"/>
        <v>25.687493377020047</v>
      </c>
      <c r="AM1294" s="56">
        <v>25</v>
      </c>
      <c r="AN1294" s="57">
        <f t="shared" si="221"/>
        <v>-0.68749337702004709</v>
      </c>
      <c r="AO1294" s="76">
        <f t="shared" si="224"/>
        <v>-1.6661252848088075</v>
      </c>
      <c r="AP1294" s="63" t="str">
        <f t="shared" si="225"/>
        <v/>
      </c>
      <c r="AQ1294" s="63" t="str">
        <f t="shared" si="226"/>
        <v>Sell Stocks</v>
      </c>
      <c r="AR1294" s="63" t="str">
        <f t="shared" si="227"/>
        <v/>
      </c>
      <c r="AS1294" s="63" t="str">
        <f t="shared" si="228"/>
        <v/>
      </c>
      <c r="AT1294" s="78" t="str">
        <f t="shared" si="229"/>
        <v/>
      </c>
      <c r="AU1294" s="78" t="str">
        <f t="shared" si="230"/>
        <v/>
      </c>
      <c r="AV1294" s="64" t="str">
        <f ca="1">IFERROR(__xludf.DUMMYFUNCTION("IF(TRIM(AU1294)="""","""",AU1294/INDEX(FILTER(AT$3:AT1294,TRIM(AT$3:AT1294)&lt;&gt;""""),ROWS(FILTER(AT$3:AT1294,TRIM(AT$3:AT1294)&lt;&gt;"""")))-1)"),"")</f>
        <v/>
      </c>
      <c r="AW1294" s="65" t="e">
        <f t="shared" ca="1" si="222"/>
        <v>#VALUE!</v>
      </c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</row>
    <row r="1295" spans="1:68" ht="19" x14ac:dyDescent="0.25">
      <c r="A1295" s="5"/>
      <c r="B1295" s="5"/>
      <c r="C1295" s="5"/>
      <c r="D1295" s="5"/>
      <c r="E1295" s="5"/>
      <c r="F1295" s="5"/>
      <c r="G1295" s="5"/>
      <c r="H1295" s="6"/>
      <c r="I1295" s="5"/>
      <c r="J1295" s="88"/>
      <c r="K1295" s="88"/>
      <c r="L1295" s="88"/>
      <c r="M1295" s="88"/>
      <c r="N1295" s="88"/>
      <c r="O1295" s="88"/>
      <c r="P1295" s="88"/>
      <c r="Q1295" s="89"/>
      <c r="R1295" s="88"/>
      <c r="S1295" s="88"/>
      <c r="T1295" s="90"/>
      <c r="U1295" s="6"/>
      <c r="V1295" s="44">
        <v>45798</v>
      </c>
      <c r="W1295" s="45">
        <v>260.87</v>
      </c>
      <c r="X1295" s="91"/>
      <c r="Y1295" s="77"/>
      <c r="Z1295" s="5"/>
      <c r="AA1295" s="5"/>
      <c r="AB1295" s="5"/>
      <c r="AC1295" s="5"/>
      <c r="AD1295" s="5"/>
      <c r="AE1295" s="5"/>
      <c r="AF1295" s="5"/>
      <c r="AG1295" s="5"/>
      <c r="AH1295" s="6"/>
      <c r="AI1295" s="44">
        <v>45798</v>
      </c>
      <c r="AJ1295" s="53">
        <v>260.87</v>
      </c>
      <c r="AK1295" s="54">
        <f t="shared" si="220"/>
        <v>-2.2775800711743677E-2</v>
      </c>
      <c r="AL1295" s="55">
        <f t="shared" si="223"/>
        <v>33.067985142569626</v>
      </c>
      <c r="AM1295" s="56">
        <v>25</v>
      </c>
      <c r="AN1295" s="57">
        <f t="shared" si="221"/>
        <v>-8.0679851425696256</v>
      </c>
      <c r="AO1295" s="76">
        <f t="shared" si="224"/>
        <v>-3.1870925769345937</v>
      </c>
      <c r="AP1295" s="63" t="str">
        <f t="shared" si="225"/>
        <v/>
      </c>
      <c r="AQ1295" s="63" t="str">
        <f t="shared" si="226"/>
        <v>Sell Stocks</v>
      </c>
      <c r="AR1295" s="63" t="str">
        <f t="shared" si="227"/>
        <v/>
      </c>
      <c r="AS1295" s="63" t="str">
        <f t="shared" si="228"/>
        <v/>
      </c>
      <c r="AT1295" s="78" t="str">
        <f t="shared" si="229"/>
        <v/>
      </c>
      <c r="AU1295" s="78" t="str">
        <f t="shared" si="230"/>
        <v/>
      </c>
      <c r="AV1295" s="64" t="str">
        <f ca="1">IFERROR(__xludf.DUMMYFUNCTION("IF(TRIM(AU1295)="""","""",AU1295/INDEX(FILTER(AT$3:AT1295,TRIM(AT$3:AT1295)&lt;&gt;""""),ROWS(FILTER(AT$3:AT1295,TRIM(AT$3:AT1295)&lt;&gt;"""")))-1)"),"")</f>
        <v/>
      </c>
      <c r="AW1295" s="65" t="e">
        <f t="shared" ca="1" si="222"/>
        <v>#VALUE!</v>
      </c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</row>
    <row r="1296" spans="1:68" ht="19" x14ac:dyDescent="0.25">
      <c r="A1296" s="5"/>
      <c r="B1296" s="5"/>
      <c r="C1296" s="5"/>
      <c r="D1296" s="5"/>
      <c r="E1296" s="5"/>
      <c r="F1296" s="5"/>
      <c r="G1296" s="5"/>
      <c r="H1296" s="6"/>
      <c r="I1296" s="5"/>
      <c r="J1296" s="88"/>
      <c r="K1296" s="88"/>
      <c r="L1296" s="88"/>
      <c r="M1296" s="88"/>
      <c r="N1296" s="88"/>
      <c r="O1296" s="88"/>
      <c r="P1296" s="88"/>
      <c r="Q1296" s="89"/>
      <c r="R1296" s="88"/>
      <c r="S1296" s="88"/>
      <c r="T1296" s="90"/>
      <c r="U1296" s="6"/>
      <c r="V1296" s="44">
        <v>45799</v>
      </c>
      <c r="W1296" s="45">
        <v>258.37</v>
      </c>
      <c r="X1296" s="91"/>
      <c r="Y1296" s="77"/>
      <c r="Z1296" s="5"/>
      <c r="AA1296" s="5"/>
      <c r="AB1296" s="5"/>
      <c r="AC1296" s="5"/>
      <c r="AD1296" s="5"/>
      <c r="AE1296" s="5"/>
      <c r="AF1296" s="5"/>
      <c r="AG1296" s="5"/>
      <c r="AH1296" s="6"/>
      <c r="AI1296" s="44">
        <v>45799</v>
      </c>
      <c r="AJ1296" s="53">
        <v>258.37</v>
      </c>
      <c r="AK1296" s="54">
        <f t="shared" si="220"/>
        <v>-9.5833173611377109E-3</v>
      </c>
      <c r="AL1296" s="55">
        <f t="shared" si="223"/>
        <v>17.433237628721759</v>
      </c>
      <c r="AM1296" s="56">
        <v>25</v>
      </c>
      <c r="AN1296" s="57">
        <f t="shared" si="221"/>
        <v>7.5667623712782408</v>
      </c>
      <c r="AO1296" s="76">
        <f t="shared" si="224"/>
        <v>2.3018112327366679E-2</v>
      </c>
      <c r="AP1296" s="63" t="str">
        <f t="shared" si="225"/>
        <v>Buy Stocks</v>
      </c>
      <c r="AQ1296" s="63" t="str">
        <f t="shared" si="226"/>
        <v/>
      </c>
      <c r="AR1296" s="63" t="str">
        <f t="shared" si="227"/>
        <v>Buy Stocks</v>
      </c>
      <c r="AS1296" s="63" t="str">
        <f t="shared" si="228"/>
        <v/>
      </c>
      <c r="AT1296" s="77">
        <f t="shared" si="229"/>
        <v>258.37</v>
      </c>
      <c r="AU1296" s="78" t="str">
        <f t="shared" si="230"/>
        <v/>
      </c>
      <c r="AV1296" s="64" t="str">
        <f ca="1">IFERROR(__xludf.DUMMYFUNCTION("IF(TRIM(AU1296)="""","""",AU1296/INDEX(FILTER(AT$3:AT1296,TRIM(AT$3:AT1296)&lt;&gt;""""),ROWS(FILTER(AT$3:AT1296,TRIM(AT$3:AT1296)&lt;&gt;"""")))-1)"),"")</f>
        <v/>
      </c>
      <c r="AW1296" s="65" t="e">
        <f t="shared" ca="1" si="222"/>
        <v>#VALUE!</v>
      </c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</row>
    <row r="1297" spans="1:68" ht="19" x14ac:dyDescent="0.25">
      <c r="A1297" s="5"/>
      <c r="B1297" s="5"/>
      <c r="C1297" s="5"/>
      <c r="D1297" s="5"/>
      <c r="E1297" s="5"/>
      <c r="F1297" s="5"/>
      <c r="G1297" s="5"/>
      <c r="H1297" s="6"/>
      <c r="I1297" s="5"/>
      <c r="J1297" s="88"/>
      <c r="K1297" s="88"/>
      <c r="L1297" s="88"/>
      <c r="M1297" s="88"/>
      <c r="N1297" s="88"/>
      <c r="O1297" s="88"/>
      <c r="P1297" s="88"/>
      <c r="Q1297" s="89"/>
      <c r="R1297" s="88"/>
      <c r="S1297" s="88"/>
      <c r="T1297" s="90"/>
      <c r="U1297" s="6"/>
      <c r="V1297" s="44">
        <v>45800</v>
      </c>
      <c r="W1297" s="45">
        <v>258.63</v>
      </c>
      <c r="X1297" s="91"/>
      <c r="Y1297" s="77"/>
      <c r="Z1297" s="5"/>
      <c r="AA1297" s="5"/>
      <c r="AB1297" s="5"/>
      <c r="AC1297" s="5"/>
      <c r="AD1297" s="5"/>
      <c r="AE1297" s="5"/>
      <c r="AF1297" s="5"/>
      <c r="AG1297" s="5"/>
      <c r="AH1297" s="6"/>
      <c r="AI1297" s="44">
        <v>45800</v>
      </c>
      <c r="AJ1297" s="53">
        <v>258.63</v>
      </c>
      <c r="AK1297" s="54">
        <f t="shared" si="220"/>
        <v>1.0063087819793815E-3</v>
      </c>
      <c r="AL1297" s="55">
        <f t="shared" si="223"/>
        <v>17.607093716463044</v>
      </c>
      <c r="AM1297" s="56">
        <v>25</v>
      </c>
      <c r="AN1297" s="57">
        <f t="shared" si="221"/>
        <v>7.3929062835369557</v>
      </c>
      <c r="AO1297" s="76">
        <f t="shared" si="224"/>
        <v>1.3553212166677533</v>
      </c>
      <c r="AP1297" s="63" t="str">
        <f t="shared" si="225"/>
        <v>Buy Stocks</v>
      </c>
      <c r="AQ1297" s="63" t="str">
        <f t="shared" si="226"/>
        <v/>
      </c>
      <c r="AR1297" s="63" t="str">
        <f t="shared" si="227"/>
        <v/>
      </c>
      <c r="AS1297" s="63" t="str">
        <f t="shared" si="228"/>
        <v/>
      </c>
      <c r="AT1297" s="78" t="str">
        <f t="shared" si="229"/>
        <v/>
      </c>
      <c r="AU1297" s="78" t="str">
        <f t="shared" si="230"/>
        <v/>
      </c>
      <c r="AV1297" s="64" t="str">
        <f ca="1">IFERROR(__xludf.DUMMYFUNCTION("IF(TRIM(AU1297)="""","""",AU1297/INDEX(FILTER(AT$3:AT1297,TRIM(AT$3:AT1297)&lt;&gt;""""),ROWS(FILTER(AT$3:AT1297,TRIM(AT$3:AT1297)&lt;&gt;"""")))-1)"),"")</f>
        <v/>
      </c>
      <c r="AW1297" s="65" t="e">
        <f t="shared" ca="1" si="222"/>
        <v>#VALUE!</v>
      </c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</row>
    <row r="1298" spans="1:68" ht="19" x14ac:dyDescent="0.25">
      <c r="A1298" s="5"/>
      <c r="B1298" s="5"/>
      <c r="C1298" s="5"/>
      <c r="D1298" s="5"/>
      <c r="E1298" s="5"/>
      <c r="F1298" s="5"/>
      <c r="G1298" s="5"/>
      <c r="H1298" s="6"/>
      <c r="I1298" s="5"/>
      <c r="J1298" s="88"/>
      <c r="K1298" s="88"/>
      <c r="L1298" s="88"/>
      <c r="M1298" s="88"/>
      <c r="N1298" s="88"/>
      <c r="O1298" s="88"/>
      <c r="P1298" s="88"/>
      <c r="Q1298" s="89"/>
      <c r="R1298" s="88"/>
      <c r="S1298" s="88"/>
      <c r="T1298" s="90"/>
      <c r="U1298" s="6"/>
      <c r="V1298" s="44">
        <v>45804</v>
      </c>
      <c r="W1298" s="45">
        <v>263.23</v>
      </c>
      <c r="X1298" s="91"/>
      <c r="Y1298" s="77"/>
      <c r="Z1298" s="5"/>
      <c r="AA1298" s="5"/>
      <c r="AB1298" s="5"/>
      <c r="AC1298" s="5"/>
      <c r="AD1298" s="5"/>
      <c r="AE1298" s="5"/>
      <c r="AF1298" s="5"/>
      <c r="AG1298" s="5"/>
      <c r="AH1298" s="6"/>
      <c r="AI1298" s="44">
        <v>45804</v>
      </c>
      <c r="AJ1298" s="53">
        <v>263.23</v>
      </c>
      <c r="AK1298" s="54">
        <f t="shared" si="220"/>
        <v>1.7786026369717378E-2</v>
      </c>
      <c r="AL1298" s="55">
        <f t="shared" si="223"/>
        <v>23.616133877115544</v>
      </c>
      <c r="AM1298" s="56">
        <v>25</v>
      </c>
      <c r="AN1298" s="57">
        <f t="shared" si="221"/>
        <v>1.3838661228844558</v>
      </c>
      <c r="AO1298" s="76">
        <f t="shared" si="224"/>
        <v>1.5176112516219959</v>
      </c>
      <c r="AP1298" s="63" t="str">
        <f t="shared" si="225"/>
        <v>Buy Stocks</v>
      </c>
      <c r="AQ1298" s="63" t="str">
        <f t="shared" si="226"/>
        <v/>
      </c>
      <c r="AR1298" s="63" t="str">
        <f t="shared" si="227"/>
        <v/>
      </c>
      <c r="AS1298" s="63" t="str">
        <f t="shared" si="228"/>
        <v/>
      </c>
      <c r="AT1298" s="78" t="str">
        <f t="shared" si="229"/>
        <v/>
      </c>
      <c r="AU1298" s="78" t="str">
        <f t="shared" si="230"/>
        <v/>
      </c>
      <c r="AV1298" s="64" t="str">
        <f ca="1">IFERROR(__xludf.DUMMYFUNCTION("IF(TRIM(AU1298)="""","""",AU1298/INDEX(FILTER(AT$3:AT1298,TRIM(AT$3:AT1298)&lt;&gt;""""),ROWS(FILTER(AT$3:AT1298,TRIM(AT$3:AT1298)&lt;&gt;"""")))-1)"),"")</f>
        <v/>
      </c>
      <c r="AW1298" s="65" t="e">
        <f t="shared" ca="1" si="222"/>
        <v>#VALUE!</v>
      </c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</row>
    <row r="1299" spans="1:68" ht="19" x14ac:dyDescent="0.25">
      <c r="A1299" s="5"/>
      <c r="B1299" s="5"/>
      <c r="C1299" s="5"/>
      <c r="D1299" s="5"/>
      <c r="E1299" s="5"/>
      <c r="F1299" s="5"/>
      <c r="G1299" s="5"/>
      <c r="H1299" s="6"/>
      <c r="I1299" s="5"/>
      <c r="J1299" s="88"/>
      <c r="K1299" s="88"/>
      <c r="L1299" s="88"/>
      <c r="M1299" s="88"/>
      <c r="N1299" s="88"/>
      <c r="O1299" s="88"/>
      <c r="P1299" s="88"/>
      <c r="Q1299" s="89"/>
      <c r="R1299" s="88"/>
      <c r="S1299" s="88"/>
      <c r="T1299" s="90"/>
      <c r="U1299" s="6"/>
      <c r="V1299" s="44">
        <v>45805</v>
      </c>
      <c r="W1299" s="45">
        <v>260.24</v>
      </c>
      <c r="X1299" s="91"/>
      <c r="Y1299" s="77"/>
      <c r="Z1299" s="5"/>
      <c r="AA1299" s="5"/>
      <c r="AB1299" s="5"/>
      <c r="AC1299" s="5"/>
      <c r="AD1299" s="5"/>
      <c r="AE1299" s="5"/>
      <c r="AF1299" s="5"/>
      <c r="AG1299" s="5"/>
      <c r="AH1299" s="6"/>
      <c r="AI1299" s="44">
        <v>45805</v>
      </c>
      <c r="AJ1299" s="53">
        <v>260.24</v>
      </c>
      <c r="AK1299" s="54">
        <f t="shared" si="220"/>
        <v>-1.1358887664779882E-2</v>
      </c>
      <c r="AL1299" s="55">
        <f t="shared" si="223"/>
        <v>24.240469403939851</v>
      </c>
      <c r="AM1299" s="56">
        <v>25</v>
      </c>
      <c r="AN1299" s="57">
        <f t="shared" si="221"/>
        <v>0.75953059606014861</v>
      </c>
      <c r="AO1299" s="76">
        <f t="shared" si="224"/>
        <v>1.8070160462380351</v>
      </c>
      <c r="AP1299" s="63" t="str">
        <f t="shared" si="225"/>
        <v>Buy Stocks</v>
      </c>
      <c r="AQ1299" s="63" t="str">
        <f t="shared" si="226"/>
        <v/>
      </c>
      <c r="AR1299" s="63" t="str">
        <f t="shared" si="227"/>
        <v/>
      </c>
      <c r="AS1299" s="63" t="str">
        <f t="shared" si="228"/>
        <v/>
      </c>
      <c r="AT1299" s="78" t="str">
        <f t="shared" si="229"/>
        <v/>
      </c>
      <c r="AU1299" s="78" t="str">
        <f t="shared" si="230"/>
        <v/>
      </c>
      <c r="AV1299" s="64" t="str">
        <f ca="1">IFERROR(__xludf.DUMMYFUNCTION("IF(TRIM(AU1299)="""","""",AU1299/INDEX(FILTER(AT$3:AT1299,TRIM(AT$3:AT1299)&lt;&gt;""""),ROWS(FILTER(AT$3:AT1299,TRIM(AT$3:AT1299)&lt;&gt;"""")))-1)"),"")</f>
        <v/>
      </c>
      <c r="AW1299" s="65" t="e">
        <f t="shared" ca="1" si="222"/>
        <v>#VALUE!</v>
      </c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</row>
    <row r="1300" spans="1:68" ht="19" x14ac:dyDescent="0.25">
      <c r="A1300" s="5"/>
      <c r="B1300" s="5"/>
      <c r="C1300" s="5"/>
      <c r="D1300" s="5"/>
      <c r="E1300" s="5"/>
      <c r="F1300" s="5"/>
      <c r="G1300" s="5"/>
      <c r="H1300" s="6"/>
      <c r="I1300" s="5"/>
      <c r="J1300" s="88"/>
      <c r="K1300" s="88"/>
      <c r="L1300" s="88"/>
      <c r="M1300" s="88"/>
      <c r="N1300" s="88"/>
      <c r="O1300" s="88"/>
      <c r="P1300" s="88"/>
      <c r="Q1300" s="89"/>
      <c r="R1300" s="88"/>
      <c r="S1300" s="88"/>
      <c r="T1300" s="90"/>
      <c r="U1300" s="6"/>
      <c r="V1300" s="44">
        <v>45806</v>
      </c>
      <c r="W1300" s="45">
        <v>258.69</v>
      </c>
      <c r="X1300" s="91"/>
      <c r="Y1300" s="77"/>
      <c r="Z1300" s="5"/>
      <c r="AA1300" s="5"/>
      <c r="AB1300" s="5"/>
      <c r="AC1300" s="5"/>
      <c r="AD1300" s="5"/>
      <c r="AE1300" s="5"/>
      <c r="AF1300" s="5"/>
      <c r="AG1300" s="5"/>
      <c r="AH1300" s="6"/>
      <c r="AI1300" s="44">
        <v>45806</v>
      </c>
      <c r="AJ1300" s="53">
        <v>258.69</v>
      </c>
      <c r="AK1300" s="54">
        <f t="shared" si="220"/>
        <v>-5.9560405779280901E-3</v>
      </c>
      <c r="AL1300" s="55">
        <f t="shared" si="223"/>
        <v>18.792242052321193</v>
      </c>
      <c r="AM1300" s="56">
        <v>25</v>
      </c>
      <c r="AN1300" s="57">
        <f t="shared" si="221"/>
        <v>6.2077579476788074</v>
      </c>
      <c r="AO1300" s="76">
        <f t="shared" si="224"/>
        <v>4.6621646642877215</v>
      </c>
      <c r="AP1300" s="63" t="str">
        <f t="shared" si="225"/>
        <v>Buy Stocks</v>
      </c>
      <c r="AQ1300" s="63" t="str">
        <f t="shared" si="226"/>
        <v/>
      </c>
      <c r="AR1300" s="63" t="str">
        <f t="shared" si="227"/>
        <v/>
      </c>
      <c r="AS1300" s="63" t="str">
        <f t="shared" si="228"/>
        <v/>
      </c>
      <c r="AT1300" s="78" t="str">
        <f t="shared" si="229"/>
        <v/>
      </c>
      <c r="AU1300" s="78" t="str">
        <f t="shared" si="230"/>
        <v/>
      </c>
      <c r="AV1300" s="64" t="str">
        <f ca="1">IFERROR(__xludf.DUMMYFUNCTION("IF(TRIM(AU1300)="""","""",AU1300/INDEX(FILTER(AT$3:AT1300,TRIM(AT$3:AT1300)&lt;&gt;""""),ROWS(FILTER(AT$3:AT1300,TRIM(AT$3:AT1300)&lt;&gt;"""")))-1)"),"")</f>
        <v/>
      </c>
      <c r="AW1300" s="65" t="e">
        <f t="shared" ca="1" si="222"/>
        <v>#VALUE!</v>
      </c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</row>
    <row r="1301" spans="1:68" ht="19" x14ac:dyDescent="0.25">
      <c r="A1301" s="5"/>
      <c r="B1301" s="5"/>
      <c r="C1301" s="5"/>
      <c r="D1301" s="5"/>
      <c r="E1301" s="5"/>
      <c r="F1301" s="5"/>
      <c r="G1301" s="5"/>
      <c r="H1301" s="6"/>
      <c r="I1301" s="5"/>
      <c r="J1301" s="88"/>
      <c r="K1301" s="88"/>
      <c r="L1301" s="88"/>
      <c r="M1301" s="88"/>
      <c r="N1301" s="88"/>
      <c r="O1301" s="88"/>
      <c r="P1301" s="88"/>
      <c r="Q1301" s="89"/>
      <c r="R1301" s="88"/>
      <c r="S1301" s="88"/>
      <c r="T1301" s="90"/>
      <c r="U1301" s="6"/>
      <c r="V1301" s="44">
        <v>45807</v>
      </c>
      <c r="W1301" s="45">
        <v>259.06</v>
      </c>
      <c r="X1301" s="91"/>
      <c r="Y1301" s="77"/>
      <c r="Z1301" s="5"/>
      <c r="AA1301" s="5"/>
      <c r="AB1301" s="5"/>
      <c r="AC1301" s="5"/>
      <c r="AD1301" s="5"/>
      <c r="AE1301" s="5"/>
      <c r="AF1301" s="5"/>
      <c r="AG1301" s="5"/>
      <c r="AH1301" s="6"/>
      <c r="AI1301" s="44">
        <v>45807</v>
      </c>
      <c r="AJ1301" s="53">
        <v>259.06</v>
      </c>
      <c r="AK1301" s="54">
        <f t="shared" si="220"/>
        <v>1.4302833507287005E-3</v>
      </c>
      <c r="AL1301" s="55">
        <f t="shared" si="223"/>
        <v>17.429618989872999</v>
      </c>
      <c r="AM1301" s="56">
        <v>25</v>
      </c>
      <c r="AN1301" s="57">
        <f t="shared" si="221"/>
        <v>7.5703810101270008</v>
      </c>
      <c r="AO1301" s="76">
        <f t="shared" si="224"/>
        <v>4.6628883920574733</v>
      </c>
      <c r="AP1301" s="63" t="str">
        <f t="shared" si="225"/>
        <v>Buy Stocks</v>
      </c>
      <c r="AQ1301" s="63" t="str">
        <f t="shared" si="226"/>
        <v/>
      </c>
      <c r="AR1301" s="63" t="str">
        <f t="shared" si="227"/>
        <v/>
      </c>
      <c r="AS1301" s="63" t="str">
        <f t="shared" si="228"/>
        <v/>
      </c>
      <c r="AT1301" s="78" t="str">
        <f t="shared" si="229"/>
        <v/>
      </c>
      <c r="AU1301" s="78" t="str">
        <f t="shared" si="230"/>
        <v/>
      </c>
      <c r="AV1301" s="64" t="str">
        <f ca="1">IFERROR(__xludf.DUMMYFUNCTION("IF(TRIM(AU1301)="""","""",AU1301/INDEX(FILTER(AT$3:AT1301,TRIM(AT$3:AT1301)&lt;&gt;""""),ROWS(FILTER(AT$3:AT1301,TRIM(AT$3:AT1301)&lt;&gt;"""")))-1)"),"")</f>
        <v/>
      </c>
      <c r="AW1301" s="65" t="e">
        <f t="shared" ca="1" si="222"/>
        <v>#VALUE!</v>
      </c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</row>
    <row r="1302" spans="1:68" ht="19" x14ac:dyDescent="0.25">
      <c r="A1302" s="5"/>
      <c r="B1302" s="5"/>
      <c r="C1302" s="5"/>
      <c r="D1302" s="5"/>
      <c r="E1302" s="5"/>
      <c r="F1302" s="5"/>
      <c r="G1302" s="5"/>
      <c r="H1302" s="6"/>
      <c r="I1302" s="5"/>
      <c r="J1302" s="88"/>
      <c r="K1302" s="88"/>
      <c r="L1302" s="88"/>
      <c r="M1302" s="88"/>
      <c r="N1302" s="88"/>
      <c r="O1302" s="88"/>
      <c r="P1302" s="88"/>
      <c r="Q1302" s="89"/>
      <c r="R1302" s="88"/>
      <c r="S1302" s="88"/>
      <c r="T1302" s="90"/>
      <c r="U1302" s="6"/>
      <c r="V1302" s="44">
        <v>45810</v>
      </c>
      <c r="W1302" s="45">
        <v>263.89999999999998</v>
      </c>
      <c r="X1302" s="91"/>
      <c r="Y1302" s="77"/>
      <c r="Z1302" s="5"/>
      <c r="AA1302" s="5"/>
      <c r="AB1302" s="5"/>
      <c r="AC1302" s="5"/>
      <c r="AD1302" s="5"/>
      <c r="AE1302" s="5"/>
      <c r="AF1302" s="5"/>
      <c r="AG1302" s="5"/>
      <c r="AH1302" s="6"/>
      <c r="AI1302" s="44">
        <v>45810</v>
      </c>
      <c r="AJ1302" s="53">
        <v>263.89999999999998</v>
      </c>
      <c r="AK1302" s="54">
        <f t="shared" si="220"/>
        <v>1.8682930595228742E-2</v>
      </c>
      <c r="AL1302" s="55">
        <f t="shared" si="223"/>
        <v>21.696397716836017</v>
      </c>
      <c r="AM1302" s="56">
        <v>25</v>
      </c>
      <c r="AN1302" s="57">
        <f t="shared" si="221"/>
        <v>3.3036022831639826</v>
      </c>
      <c r="AO1302" s="76">
        <f t="shared" si="224"/>
        <v>3.8450275919828791</v>
      </c>
      <c r="AP1302" s="63" t="str">
        <f t="shared" si="225"/>
        <v>Buy Stocks</v>
      </c>
      <c r="AQ1302" s="63" t="str">
        <f t="shared" si="226"/>
        <v/>
      </c>
      <c r="AR1302" s="63" t="str">
        <f t="shared" si="227"/>
        <v/>
      </c>
      <c r="AS1302" s="63" t="str">
        <f t="shared" si="228"/>
        <v/>
      </c>
      <c r="AT1302" s="78" t="str">
        <f t="shared" si="229"/>
        <v/>
      </c>
      <c r="AU1302" s="78" t="str">
        <f t="shared" si="230"/>
        <v/>
      </c>
      <c r="AV1302" s="64" t="str">
        <f ca="1">IFERROR(__xludf.DUMMYFUNCTION("IF(TRIM(AU1302)="""","""",AU1302/INDEX(FILTER(AT$3:AT1302,TRIM(AT$3:AT1302)&lt;&gt;""""),ROWS(FILTER(AT$3:AT1302,TRIM(AT$3:AT1302)&lt;&gt;"""")))-1)"),"")</f>
        <v/>
      </c>
      <c r="AW1302" s="65" t="e">
        <f t="shared" ca="1" si="222"/>
        <v>#VALUE!</v>
      </c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</row>
    <row r="1303" spans="1:68" ht="19" x14ac:dyDescent="0.25">
      <c r="A1303" s="5"/>
      <c r="B1303" s="5"/>
      <c r="C1303" s="5"/>
      <c r="D1303" s="5"/>
      <c r="E1303" s="5"/>
      <c r="F1303" s="5"/>
      <c r="G1303" s="5"/>
      <c r="H1303" s="6"/>
      <c r="I1303" s="5"/>
      <c r="J1303" s="88"/>
      <c r="K1303" s="88"/>
      <c r="L1303" s="88"/>
      <c r="M1303" s="88"/>
      <c r="N1303" s="88"/>
      <c r="O1303" s="88"/>
      <c r="P1303" s="88"/>
      <c r="Q1303" s="89"/>
      <c r="R1303" s="88"/>
      <c r="S1303" s="88"/>
      <c r="T1303" s="90"/>
      <c r="U1303" s="6"/>
      <c r="V1303" s="44">
        <v>45811</v>
      </c>
      <c r="W1303" s="45">
        <v>265.2</v>
      </c>
      <c r="X1303" s="91"/>
      <c r="Y1303" s="77"/>
      <c r="Z1303" s="5"/>
      <c r="AA1303" s="5"/>
      <c r="AB1303" s="5"/>
      <c r="AC1303" s="5"/>
      <c r="AD1303" s="5"/>
      <c r="AE1303" s="5"/>
      <c r="AF1303" s="5"/>
      <c r="AG1303" s="5"/>
      <c r="AH1303" s="6"/>
      <c r="AI1303" s="44">
        <v>45811</v>
      </c>
      <c r="AJ1303" s="53">
        <v>265.2</v>
      </c>
      <c r="AK1303" s="54">
        <f t="shared" si="220"/>
        <v>4.9261083743843415E-3</v>
      </c>
      <c r="AL1303" s="55">
        <f t="shared" si="223"/>
        <v>18.237205832830082</v>
      </c>
      <c r="AM1303" s="56">
        <v>25</v>
      </c>
      <c r="AN1303" s="57">
        <f t="shared" si="221"/>
        <v>6.7627941671699183</v>
      </c>
      <c r="AO1303" s="76">
        <f t="shared" si="224"/>
        <v>4.9208132008399712</v>
      </c>
      <c r="AP1303" s="63" t="str">
        <f t="shared" si="225"/>
        <v>Buy Stocks</v>
      </c>
      <c r="AQ1303" s="63" t="str">
        <f t="shared" si="226"/>
        <v/>
      </c>
      <c r="AR1303" s="63" t="str">
        <f t="shared" si="227"/>
        <v/>
      </c>
      <c r="AS1303" s="63" t="str">
        <f t="shared" si="228"/>
        <v/>
      </c>
      <c r="AT1303" s="78" t="str">
        <f t="shared" si="229"/>
        <v/>
      </c>
      <c r="AU1303" s="78" t="str">
        <f t="shared" si="230"/>
        <v/>
      </c>
      <c r="AV1303" s="64" t="str">
        <f ca="1">IFERROR(__xludf.DUMMYFUNCTION("IF(TRIM(AU1303)="""","""",AU1303/INDEX(FILTER(AT$3:AT1303,TRIM(AT$3:AT1303)&lt;&gt;""""),ROWS(FILTER(AT$3:AT1303,TRIM(AT$3:AT1303)&lt;&gt;"""")))-1)"),"")</f>
        <v/>
      </c>
      <c r="AW1303" s="65" t="e">
        <f t="shared" ca="1" si="222"/>
        <v>#VALUE!</v>
      </c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</row>
    <row r="1304" spans="1:68" ht="19" x14ac:dyDescent="0.25">
      <c r="A1304" s="5"/>
      <c r="B1304" s="5"/>
      <c r="C1304" s="5"/>
      <c r="D1304" s="5"/>
      <c r="E1304" s="5"/>
      <c r="F1304" s="5"/>
      <c r="G1304" s="5"/>
      <c r="H1304" s="6"/>
      <c r="I1304" s="5"/>
      <c r="J1304" s="88"/>
      <c r="K1304" s="88"/>
      <c r="L1304" s="88"/>
      <c r="M1304" s="88"/>
      <c r="N1304" s="88"/>
      <c r="O1304" s="88"/>
      <c r="P1304" s="88"/>
      <c r="Q1304" s="89"/>
      <c r="R1304" s="88"/>
      <c r="S1304" s="88"/>
      <c r="T1304" s="90"/>
      <c r="U1304" s="6"/>
      <c r="V1304" s="87">
        <v>45812</v>
      </c>
      <c r="W1304" s="45">
        <v>265.52</v>
      </c>
      <c r="X1304" s="91"/>
      <c r="Y1304" s="77"/>
      <c r="Z1304" s="5"/>
      <c r="AA1304" s="5"/>
      <c r="AB1304" s="5"/>
      <c r="AC1304" s="5"/>
      <c r="AD1304" s="5"/>
      <c r="AE1304" s="5"/>
      <c r="AF1304" s="5"/>
      <c r="AG1304" s="5"/>
      <c r="AH1304" s="6"/>
      <c r="AI1304" s="87">
        <v>45812</v>
      </c>
      <c r="AJ1304" s="53">
        <v>265.52</v>
      </c>
      <c r="AK1304" s="54">
        <f t="shared" si="220"/>
        <v>1.2066365007541435E-3</v>
      </c>
      <c r="AL1304" s="55">
        <f t="shared" si="223"/>
        <v>14.417828620940684</v>
      </c>
      <c r="AM1304" s="56">
        <v>25</v>
      </c>
      <c r="AN1304" s="57">
        <f t="shared" si="221"/>
        <v>10.582171379059316</v>
      </c>
      <c r="AO1304" s="76">
        <f t="shared" si="224"/>
        <v>6.8853413574398044</v>
      </c>
      <c r="AP1304" s="63" t="str">
        <f t="shared" si="225"/>
        <v>Buy Stocks</v>
      </c>
      <c r="AQ1304" s="63" t="str">
        <f t="shared" si="226"/>
        <v/>
      </c>
      <c r="AR1304" s="63" t="str">
        <f t="shared" si="227"/>
        <v/>
      </c>
      <c r="AS1304" s="63" t="str">
        <f t="shared" si="228"/>
        <v/>
      </c>
      <c r="AT1304" s="78" t="str">
        <f t="shared" si="229"/>
        <v/>
      </c>
      <c r="AU1304" s="78" t="str">
        <f t="shared" si="230"/>
        <v/>
      </c>
      <c r="AV1304" s="64" t="str">
        <f ca="1">IFERROR(__xludf.DUMMYFUNCTION("IF(TRIM(AU1304)="""","""",AU1304/INDEX(FILTER(AT$3:AT1304,TRIM(AT$3:AT1304)&lt;&gt;""""),ROWS(FILTER(AT$3:AT1304,TRIM(AT$3:AT1304)&lt;&gt;"""")))-1)"),"")</f>
        <v/>
      </c>
      <c r="AW1304" s="65" t="e">
        <f t="shared" ca="1" si="222"/>
        <v>#VALUE!</v>
      </c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</row>
    <row r="1305" spans="1:68" ht="19" x14ac:dyDescent="0.25">
      <c r="A1305" s="5"/>
      <c r="B1305" s="5"/>
      <c r="C1305" s="5"/>
      <c r="D1305" s="5"/>
      <c r="E1305" s="5"/>
      <c r="F1305" s="5"/>
      <c r="G1305" s="5"/>
      <c r="H1305" s="6"/>
      <c r="I1305" s="5"/>
      <c r="J1305" s="88"/>
      <c r="K1305" s="88"/>
      <c r="L1305" s="88"/>
      <c r="M1305" s="88"/>
      <c r="N1305" s="88"/>
      <c r="O1305" s="88"/>
      <c r="P1305" s="88"/>
      <c r="Q1305" s="89"/>
      <c r="R1305" s="88"/>
      <c r="S1305" s="88"/>
      <c r="T1305" s="90"/>
      <c r="U1305" s="6"/>
      <c r="V1305" s="87">
        <v>45813</v>
      </c>
      <c r="W1305" s="45">
        <v>266.86</v>
      </c>
      <c r="X1305" s="91"/>
      <c r="Y1305" s="77"/>
      <c r="Z1305" s="5"/>
      <c r="AA1305" s="5"/>
      <c r="AB1305" s="5"/>
      <c r="AC1305" s="5"/>
      <c r="AD1305" s="5"/>
      <c r="AE1305" s="5"/>
      <c r="AF1305" s="5"/>
      <c r="AG1305" s="5"/>
      <c r="AH1305" s="6"/>
      <c r="AI1305" s="87">
        <v>45813</v>
      </c>
      <c r="AJ1305" s="53">
        <v>266.86</v>
      </c>
      <c r="AK1305" s="54">
        <f t="shared" si="220"/>
        <v>5.0467008134982283E-3</v>
      </c>
      <c r="AL1305" s="55">
        <f t="shared" si="223"/>
        <v>11.40435078049963</v>
      </c>
      <c r="AM1305" s="56">
        <v>25</v>
      </c>
      <c r="AN1305" s="57">
        <f t="shared" si="221"/>
        <v>13.59564921950037</v>
      </c>
      <c r="AO1305" s="76">
        <f t="shared" si="224"/>
        <v>8.3629196118041165</v>
      </c>
      <c r="AP1305" s="63" t="str">
        <f t="shared" si="225"/>
        <v>Buy Stocks</v>
      </c>
      <c r="AQ1305" s="63" t="str">
        <f t="shared" si="226"/>
        <v/>
      </c>
      <c r="AR1305" s="63" t="str">
        <f t="shared" si="227"/>
        <v/>
      </c>
      <c r="AS1305" s="63" t="str">
        <f t="shared" si="228"/>
        <v/>
      </c>
      <c r="AT1305" s="78" t="str">
        <f t="shared" si="229"/>
        <v/>
      </c>
      <c r="AU1305" s="78" t="str">
        <f t="shared" si="230"/>
        <v/>
      </c>
      <c r="AV1305" s="64" t="str">
        <f ca="1">IFERROR(__xludf.DUMMYFUNCTION("IF(TRIM(AU1305)="""","""",AU1305/INDEX(FILTER(AT$3:AT1305,TRIM(AT$3:AT1305)&lt;&gt;""""),ROWS(FILTER(AT$3:AT1305,TRIM(AT$3:AT1305)&lt;&gt;"""")))-1)"),"")</f>
        <v/>
      </c>
      <c r="AW1305" s="65" t="e">
        <f t="shared" ca="1" si="222"/>
        <v>#VALUE!</v>
      </c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</row>
    <row r="1306" spans="1:68" ht="19" x14ac:dyDescent="0.25">
      <c r="A1306" s="5"/>
      <c r="B1306" s="5"/>
      <c r="C1306" s="5"/>
      <c r="D1306" s="5"/>
      <c r="E1306" s="5"/>
      <c r="F1306" s="5"/>
      <c r="G1306" s="5"/>
      <c r="H1306" s="6"/>
      <c r="I1306" s="5"/>
      <c r="J1306" s="88"/>
      <c r="K1306" s="88"/>
      <c r="L1306" s="88"/>
      <c r="M1306" s="88"/>
      <c r="N1306" s="88"/>
      <c r="O1306" s="88"/>
      <c r="P1306" s="88"/>
      <c r="Q1306" s="89"/>
      <c r="R1306" s="88"/>
      <c r="S1306" s="88"/>
      <c r="T1306" s="90"/>
      <c r="U1306" s="6"/>
      <c r="V1306" s="87">
        <v>45814</v>
      </c>
      <c r="W1306" s="45">
        <v>268.87</v>
      </c>
      <c r="X1306" s="91"/>
      <c r="Y1306" s="77"/>
      <c r="Z1306" s="5"/>
      <c r="AA1306" s="5"/>
      <c r="AB1306" s="5"/>
      <c r="AC1306" s="5"/>
      <c r="AD1306" s="5"/>
      <c r="AE1306" s="5"/>
      <c r="AF1306" s="5"/>
      <c r="AG1306" s="5"/>
      <c r="AH1306" s="6"/>
      <c r="AI1306" s="87">
        <v>45814</v>
      </c>
      <c r="AJ1306" s="53">
        <v>268.87</v>
      </c>
      <c r="AK1306" s="54">
        <f t="shared" si="220"/>
        <v>7.5320392715281237E-3</v>
      </c>
      <c r="AL1306" s="55">
        <f t="shared" si="223"/>
        <v>10.568976025141366</v>
      </c>
      <c r="AM1306" s="56">
        <v>25</v>
      </c>
      <c r="AN1306" s="57">
        <f t="shared" si="221"/>
        <v>14.431023974858634</v>
      </c>
      <c r="AO1306" s="76">
        <f t="shared" si="224"/>
        <v>9.735048204750445</v>
      </c>
      <c r="AP1306" s="63" t="str">
        <f t="shared" si="225"/>
        <v>Buy Stocks</v>
      </c>
      <c r="AQ1306" s="63" t="str">
        <f t="shared" si="226"/>
        <v/>
      </c>
      <c r="AR1306" s="63" t="str">
        <f t="shared" si="227"/>
        <v/>
      </c>
      <c r="AS1306" s="63" t="str">
        <f t="shared" si="228"/>
        <v/>
      </c>
      <c r="AT1306" s="78" t="str">
        <f t="shared" si="229"/>
        <v/>
      </c>
      <c r="AU1306" s="78" t="str">
        <f t="shared" si="230"/>
        <v/>
      </c>
      <c r="AV1306" s="64" t="str">
        <f ca="1">IFERROR(__xludf.DUMMYFUNCTION("IF(TRIM(AU1306)="""","""",AU1306/INDEX(FILTER(AT$3:AT1306,TRIM(AT$3:AT1306)&lt;&gt;""""),ROWS(FILTER(AT$3:AT1306,TRIM(AT$3:AT1306)&lt;&gt;"""")))-1)"),"")</f>
        <v/>
      </c>
      <c r="AW1306" s="65" t="e">
        <f t="shared" ca="1" si="222"/>
        <v>#VALUE!</v>
      </c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</row>
    <row r="1307" spans="1:68" ht="19" x14ac:dyDescent="0.25">
      <c r="A1307" s="5"/>
      <c r="B1307" s="5"/>
      <c r="C1307" s="5"/>
      <c r="D1307" s="5"/>
      <c r="E1307" s="5"/>
      <c r="F1307" s="5"/>
      <c r="G1307" s="5"/>
      <c r="H1307" s="6"/>
      <c r="I1307" s="5"/>
      <c r="J1307" s="88"/>
      <c r="K1307" s="88"/>
      <c r="L1307" s="88"/>
      <c r="M1307" s="88"/>
      <c r="N1307" s="88"/>
      <c r="O1307" s="88"/>
      <c r="P1307" s="88"/>
      <c r="Q1307" s="89"/>
      <c r="R1307" s="88"/>
      <c r="S1307" s="88"/>
      <c r="T1307" s="90"/>
      <c r="U1307" s="6"/>
      <c r="V1307" s="87">
        <v>45817</v>
      </c>
      <c r="W1307" s="45">
        <v>272.08</v>
      </c>
      <c r="X1307" s="91"/>
      <c r="Y1307" s="77"/>
      <c r="Z1307" s="5"/>
      <c r="AA1307" s="5"/>
      <c r="AB1307" s="5"/>
      <c r="AC1307" s="5"/>
      <c r="AD1307" s="5"/>
      <c r="AE1307" s="5"/>
      <c r="AF1307" s="5"/>
      <c r="AG1307" s="5"/>
      <c r="AH1307" s="6"/>
      <c r="AI1307" s="87">
        <v>45817</v>
      </c>
      <c r="AJ1307" s="53">
        <v>272.08</v>
      </c>
      <c r="AK1307" s="54">
        <f t="shared" si="220"/>
        <v>1.1938855208836863E-2</v>
      </c>
      <c r="AL1307" s="55">
        <f t="shared" si="223"/>
        <v>6.278509006843497</v>
      </c>
      <c r="AM1307" s="56">
        <v>25</v>
      </c>
      <c r="AN1307" s="57">
        <f t="shared" si="221"/>
        <v>18.721490993156504</v>
      </c>
      <c r="AO1307" s="76">
        <f t="shared" si="224"/>
        <v>12.818625946748949</v>
      </c>
      <c r="AP1307" s="63" t="str">
        <f t="shared" si="225"/>
        <v>Buy Stocks</v>
      </c>
      <c r="AQ1307" s="63" t="str">
        <f t="shared" si="226"/>
        <v/>
      </c>
      <c r="AR1307" s="63" t="str">
        <f t="shared" si="227"/>
        <v/>
      </c>
      <c r="AS1307" s="63" t="str">
        <f t="shared" si="228"/>
        <v/>
      </c>
      <c r="AT1307" s="78" t="str">
        <f t="shared" si="229"/>
        <v/>
      </c>
      <c r="AU1307" s="78" t="str">
        <f t="shared" si="230"/>
        <v/>
      </c>
      <c r="AV1307" s="64" t="str">
        <f ca="1">IFERROR(__xludf.DUMMYFUNCTION("IF(TRIM(AU1307)="""","""",AU1307/INDEX(FILTER(AT$3:AT1307,TRIM(AT$3:AT1307)&lt;&gt;""""),ROWS(FILTER(AT$3:AT1307,TRIM(AT$3:AT1307)&lt;&gt;"""")))-1)"),"")</f>
        <v/>
      </c>
      <c r="AW1307" s="65" t="e">
        <f t="shared" ca="1" si="222"/>
        <v>#VALUE!</v>
      </c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</row>
    <row r="1308" spans="1:68" ht="19" x14ac:dyDescent="0.25">
      <c r="A1308" s="5"/>
      <c r="B1308" s="5"/>
      <c r="C1308" s="5"/>
      <c r="D1308" s="5"/>
      <c r="E1308" s="5"/>
      <c r="F1308" s="5"/>
      <c r="G1308" s="5"/>
      <c r="H1308" s="6"/>
      <c r="I1308" s="5"/>
      <c r="J1308" s="88"/>
      <c r="K1308" s="88"/>
      <c r="L1308" s="88"/>
      <c r="M1308" s="88"/>
      <c r="N1308" s="88"/>
      <c r="O1308" s="88"/>
      <c r="P1308" s="88"/>
      <c r="Q1308" s="89"/>
      <c r="R1308" s="88"/>
      <c r="S1308" s="88"/>
      <c r="T1308" s="90"/>
      <c r="U1308" s="6"/>
      <c r="V1308" s="87">
        <v>45818</v>
      </c>
      <c r="W1308" s="45">
        <v>276.24</v>
      </c>
      <c r="X1308" s="91"/>
      <c r="Y1308" s="77"/>
      <c r="Z1308" s="5"/>
      <c r="AA1308" s="5"/>
      <c r="AB1308" s="5"/>
      <c r="AC1308" s="5"/>
      <c r="AD1308" s="5"/>
      <c r="AE1308" s="5"/>
      <c r="AF1308" s="5"/>
      <c r="AG1308" s="5"/>
      <c r="AH1308" s="6"/>
      <c r="AI1308" s="87">
        <v>45818</v>
      </c>
      <c r="AJ1308" s="53">
        <v>276.24</v>
      </c>
      <c r="AK1308" s="54">
        <f t="shared" si="220"/>
        <v>1.5289620699794337E-2</v>
      </c>
      <c r="AL1308" s="55">
        <f t="shared" si="223"/>
        <v>8.8220826786869821</v>
      </c>
      <c r="AM1308" s="56">
        <v>25</v>
      </c>
      <c r="AN1308" s="57">
        <f t="shared" si="221"/>
        <v>16.177917321313018</v>
      </c>
      <c r="AO1308" s="76">
        <f t="shared" si="224"/>
        <v>14.701650577577567</v>
      </c>
      <c r="AP1308" s="63" t="str">
        <f t="shared" si="225"/>
        <v>Buy Stocks</v>
      </c>
      <c r="AQ1308" s="63" t="str">
        <f t="shared" si="226"/>
        <v/>
      </c>
      <c r="AR1308" s="63" t="str">
        <f t="shared" si="227"/>
        <v/>
      </c>
      <c r="AS1308" s="63" t="str">
        <f t="shared" si="228"/>
        <v/>
      </c>
      <c r="AT1308" s="78" t="str">
        <f t="shared" si="229"/>
        <v/>
      </c>
      <c r="AU1308" s="78" t="str">
        <f t="shared" si="230"/>
        <v/>
      </c>
      <c r="AV1308" s="64" t="str">
        <f ca="1">IFERROR(__xludf.DUMMYFUNCTION("IF(TRIM(AU1308)="""","""",AU1308/INDEX(FILTER(AT$3:AT1308,TRIM(AT$3:AT1308)&lt;&gt;""""),ROWS(FILTER(AT$3:AT1308,TRIM(AT$3:AT1308)&lt;&gt;"""")))-1)"),"")</f>
        <v/>
      </c>
      <c r="AW1308" s="65" t="e">
        <f t="shared" ca="1" si="222"/>
        <v>#VALUE!</v>
      </c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</row>
    <row r="1309" spans="1:68" ht="19" x14ac:dyDescent="0.25">
      <c r="A1309" s="5"/>
      <c r="B1309" s="5"/>
      <c r="C1309" s="5"/>
      <c r="D1309" s="5"/>
      <c r="E1309" s="5"/>
      <c r="F1309" s="5"/>
      <c r="G1309" s="5"/>
      <c r="H1309" s="6"/>
      <c r="I1309" s="5"/>
      <c r="J1309" s="88"/>
      <c r="K1309" s="88"/>
      <c r="L1309" s="88"/>
      <c r="M1309" s="88"/>
      <c r="N1309" s="88"/>
      <c r="O1309" s="88"/>
      <c r="P1309" s="88"/>
      <c r="Q1309" s="89"/>
      <c r="R1309" s="88"/>
      <c r="S1309" s="88"/>
      <c r="T1309" s="90"/>
      <c r="U1309" s="6"/>
      <c r="V1309" s="87">
        <v>45819</v>
      </c>
      <c r="W1309" s="45">
        <v>281.52</v>
      </c>
      <c r="X1309" s="91"/>
      <c r="Y1309" s="77"/>
      <c r="Z1309" s="5"/>
      <c r="AA1309" s="5"/>
      <c r="AB1309" s="5"/>
      <c r="AC1309" s="5"/>
      <c r="AD1309" s="5"/>
      <c r="AE1309" s="5"/>
      <c r="AF1309" s="5"/>
      <c r="AG1309" s="5"/>
      <c r="AH1309" s="6"/>
      <c r="AI1309" s="87">
        <v>45819</v>
      </c>
      <c r="AJ1309" s="53">
        <v>281.52</v>
      </c>
      <c r="AK1309" s="54">
        <f t="shared" si="220"/>
        <v>1.9113814074717572E-2</v>
      </c>
      <c r="AL1309" s="55">
        <f t="shared" si="223"/>
        <v>9.0327868193579857</v>
      </c>
      <c r="AM1309" s="56">
        <v>25</v>
      </c>
      <c r="AN1309" s="57">
        <f t="shared" si="221"/>
        <v>15.967213180642014</v>
      </c>
      <c r="AO1309" s="76">
        <f t="shared" si="224"/>
        <v>15.778658937894111</v>
      </c>
      <c r="AP1309" s="63" t="str">
        <f t="shared" si="225"/>
        <v>Buy Stocks</v>
      </c>
      <c r="AQ1309" s="63" t="str">
        <f t="shared" si="226"/>
        <v/>
      </c>
      <c r="AR1309" s="63" t="str">
        <f t="shared" si="227"/>
        <v/>
      </c>
      <c r="AS1309" s="63" t="str">
        <f t="shared" si="228"/>
        <v/>
      </c>
      <c r="AT1309" s="78" t="str">
        <f t="shared" si="229"/>
        <v/>
      </c>
      <c r="AU1309" s="78" t="str">
        <f t="shared" si="230"/>
        <v/>
      </c>
      <c r="AV1309" s="64" t="str">
        <f ca="1">IFERROR(__xludf.DUMMYFUNCTION("IF(TRIM(AU1309)="""","""",AU1309/INDEX(FILTER(AT$3:AT1309,TRIM(AT$3:AT1309)&lt;&gt;""""),ROWS(FILTER(AT$3:AT1309,TRIM(AT$3:AT1309)&lt;&gt;"""")))-1)"),"")</f>
        <v/>
      </c>
      <c r="AW1309" s="65" t="e">
        <f t="shared" ca="1" si="222"/>
        <v>#VALUE!</v>
      </c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</row>
    <row r="1310" spans="1:68" ht="19" x14ac:dyDescent="0.25">
      <c r="A1310" s="5"/>
      <c r="B1310" s="5"/>
      <c r="C1310" s="5"/>
      <c r="D1310" s="5"/>
      <c r="E1310" s="5"/>
      <c r="F1310" s="5"/>
      <c r="G1310" s="5"/>
      <c r="H1310" s="6"/>
      <c r="I1310" s="5"/>
      <c r="J1310" s="88"/>
      <c r="K1310" s="88"/>
      <c r="L1310" s="88"/>
      <c r="M1310" s="88"/>
      <c r="N1310" s="88"/>
      <c r="O1310" s="88"/>
      <c r="P1310" s="88"/>
      <c r="Q1310" s="89"/>
      <c r="R1310" s="88"/>
      <c r="S1310" s="88"/>
      <c r="T1310" s="90"/>
      <c r="U1310" s="6"/>
      <c r="V1310" s="87">
        <v>45820</v>
      </c>
      <c r="W1310" s="45">
        <v>281.02999999999997</v>
      </c>
      <c r="X1310" s="91"/>
      <c r="Y1310" s="77"/>
      <c r="Z1310" s="5"/>
      <c r="AA1310" s="5"/>
      <c r="AB1310" s="5"/>
      <c r="AC1310" s="5"/>
      <c r="AD1310" s="5"/>
      <c r="AE1310" s="5"/>
      <c r="AF1310" s="5"/>
      <c r="AG1310" s="5"/>
      <c r="AH1310" s="6"/>
      <c r="AI1310" s="87">
        <v>45820</v>
      </c>
      <c r="AJ1310" s="53">
        <v>281.02999999999997</v>
      </c>
      <c r="AK1310" s="54">
        <f t="shared" si="220"/>
        <v>-1.7405512929810074E-3</v>
      </c>
      <c r="AL1310" s="55">
        <f t="shared" si="223"/>
        <v>12.744709682200103</v>
      </c>
      <c r="AM1310" s="56">
        <v>25</v>
      </c>
      <c r="AN1310" s="57">
        <f t="shared" si="221"/>
        <v>12.255290317799897</v>
      </c>
      <c r="AO1310" s="76">
        <f t="shared" si="224"/>
        <v>15.510587157554017</v>
      </c>
      <c r="AP1310" s="63" t="str">
        <f t="shared" si="225"/>
        <v>Buy Stocks</v>
      </c>
      <c r="AQ1310" s="63" t="str">
        <f t="shared" si="226"/>
        <v/>
      </c>
      <c r="AR1310" s="63" t="str">
        <f t="shared" si="227"/>
        <v/>
      </c>
      <c r="AS1310" s="63" t="str">
        <f t="shared" si="228"/>
        <v/>
      </c>
      <c r="AT1310" s="78" t="str">
        <f t="shared" si="229"/>
        <v/>
      </c>
      <c r="AU1310" s="78" t="str">
        <f t="shared" si="230"/>
        <v/>
      </c>
      <c r="AV1310" s="64" t="str">
        <f ca="1">IFERROR(__xludf.DUMMYFUNCTION("IF(TRIM(AU1310)="""","""",AU1310/INDEX(FILTER(AT$3:AT1310,TRIM(AT$3:AT1310)&lt;&gt;""""),ROWS(FILTER(AT$3:AT1310,TRIM(AT$3:AT1310)&lt;&gt;"""")))-1)"),"")</f>
        <v/>
      </c>
      <c r="AW1310" s="65" t="e">
        <f t="shared" ca="1" si="222"/>
        <v>#VALUE!</v>
      </c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</row>
    <row r="1311" spans="1:68" ht="19" x14ac:dyDescent="0.25">
      <c r="A1311" s="5"/>
      <c r="B1311" s="5"/>
      <c r="C1311" s="5"/>
      <c r="D1311" s="5"/>
      <c r="E1311" s="5"/>
      <c r="F1311" s="5"/>
      <c r="G1311" s="5"/>
      <c r="H1311" s="6"/>
      <c r="I1311" s="5"/>
      <c r="J1311" s="88"/>
      <c r="K1311" s="88"/>
      <c r="L1311" s="88"/>
      <c r="M1311" s="88"/>
      <c r="N1311" s="88"/>
      <c r="O1311" s="88"/>
      <c r="P1311" s="88"/>
      <c r="Q1311" s="89"/>
      <c r="R1311" s="88"/>
      <c r="S1311" s="88"/>
      <c r="T1311" s="90"/>
      <c r="U1311" s="6"/>
      <c r="V1311" s="87">
        <v>45821</v>
      </c>
      <c r="W1311" s="45">
        <v>277.22000000000003</v>
      </c>
      <c r="X1311" s="91"/>
      <c r="Y1311" s="77"/>
      <c r="Z1311" s="5"/>
      <c r="AA1311" s="5"/>
      <c r="AB1311" s="5"/>
      <c r="AC1311" s="5"/>
      <c r="AD1311" s="5"/>
      <c r="AE1311" s="5"/>
      <c r="AF1311" s="5"/>
      <c r="AG1311" s="5"/>
      <c r="AH1311" s="6"/>
      <c r="AI1311" s="87">
        <v>45821</v>
      </c>
      <c r="AJ1311" s="53">
        <v>277.22000000000003</v>
      </c>
      <c r="AK1311" s="54">
        <f t="shared" si="220"/>
        <v>-1.3557271465679643E-2</v>
      </c>
      <c r="AL1311" s="55">
        <f t="shared" si="223"/>
        <v>21.529192167410365</v>
      </c>
      <c r="AM1311" s="56">
        <v>25</v>
      </c>
      <c r="AN1311" s="57">
        <f t="shared" si="221"/>
        <v>3.4708078325896352</v>
      </c>
      <c r="AO1311" s="76">
        <f t="shared" si="224"/>
        <v>13.318543929100212</v>
      </c>
      <c r="AP1311" s="63" t="str">
        <f t="shared" si="225"/>
        <v>Buy Stocks</v>
      </c>
      <c r="AQ1311" s="63" t="str">
        <f t="shared" si="226"/>
        <v/>
      </c>
      <c r="AR1311" s="63" t="str">
        <f t="shared" si="227"/>
        <v/>
      </c>
      <c r="AS1311" s="63" t="str">
        <f t="shared" si="228"/>
        <v/>
      </c>
      <c r="AT1311" s="78" t="str">
        <f t="shared" si="229"/>
        <v/>
      </c>
      <c r="AU1311" s="78" t="str">
        <f t="shared" si="230"/>
        <v/>
      </c>
      <c r="AV1311" s="64" t="str">
        <f ca="1">IFERROR(__xludf.DUMMYFUNCTION("IF(TRIM(AU1311)="""","""",AU1311/INDEX(FILTER(AT$3:AT1311,TRIM(AT$3:AT1311)&lt;&gt;""""),ROWS(FILTER(AT$3:AT1311,TRIM(AT$3:AT1311)&lt;&gt;"""")))-1)"),"")</f>
        <v/>
      </c>
      <c r="AW1311" s="65" t="e">
        <f t="shared" ca="1" si="222"/>
        <v>#VALUE!</v>
      </c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</row>
    <row r="1312" spans="1:68" ht="19" x14ac:dyDescent="0.25">
      <c r="A1312" s="5"/>
      <c r="B1312" s="5"/>
      <c r="C1312" s="5"/>
      <c r="D1312" s="5"/>
      <c r="E1312" s="5"/>
      <c r="F1312" s="5"/>
      <c r="G1312" s="5"/>
      <c r="H1312" s="6"/>
      <c r="I1312" s="5"/>
      <c r="J1312" s="88"/>
      <c r="K1312" s="88"/>
      <c r="L1312" s="88"/>
      <c r="M1312" s="88"/>
      <c r="N1312" s="88"/>
      <c r="O1312" s="88"/>
      <c r="P1312" s="88"/>
      <c r="Q1312" s="89"/>
      <c r="R1312" s="88"/>
      <c r="S1312" s="88"/>
      <c r="T1312" s="90"/>
      <c r="U1312" s="6"/>
      <c r="V1312" s="87">
        <v>45824</v>
      </c>
      <c r="W1312" s="45">
        <v>281.83</v>
      </c>
      <c r="X1312" s="91"/>
      <c r="Y1312" s="77"/>
      <c r="Z1312" s="5"/>
      <c r="AA1312" s="5"/>
      <c r="AB1312" s="5"/>
      <c r="AC1312" s="5"/>
      <c r="AD1312" s="5"/>
      <c r="AE1312" s="5"/>
      <c r="AF1312" s="5"/>
      <c r="AG1312" s="5"/>
      <c r="AH1312" s="6"/>
      <c r="AI1312" s="87">
        <v>45824</v>
      </c>
      <c r="AJ1312" s="53">
        <v>281.83</v>
      </c>
      <c r="AK1312" s="54">
        <f t="shared" si="220"/>
        <v>1.6629391818771877E-2</v>
      </c>
      <c r="AL1312" s="55">
        <f t="shared" si="223"/>
        <v>22.549039824319642</v>
      </c>
      <c r="AM1312" s="56">
        <v>25</v>
      </c>
      <c r="AN1312" s="57">
        <f t="shared" si="221"/>
        <v>2.4509601756803576</v>
      </c>
      <c r="AO1312" s="76">
        <f t="shared" si="224"/>
        <v>10.064437765604984</v>
      </c>
      <c r="AP1312" s="63" t="str">
        <f t="shared" si="225"/>
        <v>Buy Stocks</v>
      </c>
      <c r="AQ1312" s="63" t="str">
        <f t="shared" si="226"/>
        <v/>
      </c>
      <c r="AR1312" s="63" t="str">
        <f t="shared" si="227"/>
        <v/>
      </c>
      <c r="AS1312" s="63" t="str">
        <f t="shared" si="228"/>
        <v/>
      </c>
      <c r="AT1312" s="78" t="str">
        <f t="shared" si="229"/>
        <v/>
      </c>
      <c r="AU1312" s="78" t="str">
        <f t="shared" si="230"/>
        <v/>
      </c>
      <c r="AV1312" s="64" t="str">
        <f ca="1">IFERROR(__xludf.DUMMYFUNCTION("IF(TRIM(AU1312)="""","""",AU1312/INDEX(FILTER(AT$3:AT1312,TRIM(AT$3:AT1312)&lt;&gt;""""),ROWS(FILTER(AT$3:AT1312,TRIM(AT$3:AT1312)&lt;&gt;"""")))-1)"),"")</f>
        <v/>
      </c>
      <c r="AW1312" s="65" t="e">
        <f t="shared" ca="1" si="222"/>
        <v>#VALUE!</v>
      </c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</row>
    <row r="1313" spans="1:68" ht="19" x14ac:dyDescent="0.25">
      <c r="A1313" s="5"/>
      <c r="B1313" s="5"/>
      <c r="C1313" s="5"/>
      <c r="D1313" s="5"/>
      <c r="E1313" s="5"/>
      <c r="F1313" s="5"/>
      <c r="G1313" s="5"/>
      <c r="H1313" s="6"/>
      <c r="I1313" s="5"/>
      <c r="J1313" s="88"/>
      <c r="K1313" s="88"/>
      <c r="L1313" s="88"/>
      <c r="M1313" s="88"/>
      <c r="N1313" s="88"/>
      <c r="O1313" s="88"/>
      <c r="P1313" s="88"/>
      <c r="Q1313" s="89"/>
      <c r="R1313" s="88"/>
      <c r="S1313" s="88"/>
      <c r="T1313" s="90"/>
      <c r="U1313" s="6"/>
      <c r="V1313" s="87">
        <v>45825</v>
      </c>
      <c r="W1313" s="45">
        <v>283.05</v>
      </c>
      <c r="X1313" s="91"/>
      <c r="Y1313" s="77"/>
      <c r="Z1313" s="5"/>
      <c r="AA1313" s="5"/>
      <c r="AB1313" s="5"/>
      <c r="AC1313" s="5"/>
      <c r="AD1313" s="5"/>
      <c r="AE1313" s="5"/>
      <c r="AF1313" s="5"/>
      <c r="AG1313" s="5"/>
      <c r="AH1313" s="6"/>
      <c r="AI1313" s="87">
        <v>45825</v>
      </c>
      <c r="AJ1313" s="53">
        <v>283.05</v>
      </c>
      <c r="AK1313" s="54">
        <f t="shared" si="220"/>
        <v>4.3288507256147302E-3</v>
      </c>
      <c r="AL1313" s="55">
        <f t="shared" si="223"/>
        <v>21.367142209382902</v>
      </c>
      <c r="AM1313" s="56">
        <v>25</v>
      </c>
      <c r="AN1313" s="57">
        <f t="shared" si="221"/>
        <v>3.6328577906170985</v>
      </c>
      <c r="AO1313" s="76">
        <f t="shared" si="224"/>
        <v>7.5554258594657995</v>
      </c>
      <c r="AP1313" s="63" t="str">
        <f t="shared" si="225"/>
        <v>Buy Stocks</v>
      </c>
      <c r="AQ1313" s="63" t="str">
        <f t="shared" si="226"/>
        <v/>
      </c>
      <c r="AR1313" s="63" t="str">
        <f t="shared" si="227"/>
        <v/>
      </c>
      <c r="AS1313" s="63" t="str">
        <f t="shared" si="228"/>
        <v/>
      </c>
      <c r="AT1313" s="78" t="str">
        <f t="shared" si="229"/>
        <v/>
      </c>
      <c r="AU1313" s="78" t="str">
        <f t="shared" si="230"/>
        <v/>
      </c>
      <c r="AV1313" s="64" t="str">
        <f ca="1">IFERROR(__xludf.DUMMYFUNCTION("IF(TRIM(AU1313)="""","""",AU1313/INDEX(FILTER(AT$3:AT1313,TRIM(AT$3:AT1313)&lt;&gt;""""),ROWS(FILTER(AT$3:AT1313,TRIM(AT$3:AT1313)&lt;&gt;"""")))-1)"),"")</f>
        <v/>
      </c>
      <c r="AW1313" s="65" t="e">
        <f t="shared" ca="1" si="222"/>
        <v>#VALUE!</v>
      </c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</row>
    <row r="1314" spans="1:68" ht="19" x14ac:dyDescent="0.25">
      <c r="A1314" s="5"/>
      <c r="B1314" s="5"/>
      <c r="C1314" s="5"/>
      <c r="D1314" s="5"/>
      <c r="E1314" s="5"/>
      <c r="F1314" s="5"/>
      <c r="G1314" s="5"/>
      <c r="H1314" s="6"/>
      <c r="I1314" s="5"/>
      <c r="J1314" s="88"/>
      <c r="K1314" s="88"/>
      <c r="L1314" s="88"/>
      <c r="M1314" s="88"/>
      <c r="N1314" s="88"/>
      <c r="O1314" s="88"/>
      <c r="P1314" s="88"/>
      <c r="Q1314" s="89"/>
      <c r="R1314" s="88"/>
      <c r="S1314" s="88"/>
      <c r="T1314" s="90"/>
      <c r="U1314" s="6"/>
      <c r="V1314" s="87">
        <v>45826</v>
      </c>
      <c r="W1314" s="45">
        <v>283.20999999999998</v>
      </c>
      <c r="X1314" s="91"/>
      <c r="Y1314" s="77"/>
      <c r="Z1314" s="5"/>
      <c r="AA1314" s="5"/>
      <c r="AB1314" s="5"/>
      <c r="AC1314" s="5"/>
      <c r="AD1314" s="5"/>
      <c r="AE1314" s="5"/>
      <c r="AF1314" s="5"/>
      <c r="AG1314" s="5"/>
      <c r="AH1314" s="6"/>
      <c r="AI1314" s="87">
        <v>45826</v>
      </c>
      <c r="AJ1314" s="53">
        <v>283.20999999999998</v>
      </c>
      <c r="AK1314" s="54">
        <f t="shared" si="220"/>
        <v>5.6527115350624157E-4</v>
      </c>
      <c r="AL1314" s="55">
        <f t="shared" si="223"/>
        <v>17.292878134672215</v>
      </c>
      <c r="AM1314" s="56">
        <v>25</v>
      </c>
      <c r="AN1314" s="57">
        <f t="shared" si="221"/>
        <v>7.7071218653277853</v>
      </c>
      <c r="AO1314" s="76">
        <f t="shared" si="224"/>
        <v>5.9034075964029551</v>
      </c>
      <c r="AP1314" s="63" t="str">
        <f t="shared" si="225"/>
        <v>Buy Stocks</v>
      </c>
      <c r="AQ1314" s="63" t="str">
        <f t="shared" si="226"/>
        <v/>
      </c>
      <c r="AR1314" s="63" t="str">
        <f t="shared" si="227"/>
        <v/>
      </c>
      <c r="AS1314" s="63" t="str">
        <f t="shared" si="228"/>
        <v/>
      </c>
      <c r="AT1314" s="78" t="str">
        <f t="shared" si="229"/>
        <v/>
      </c>
      <c r="AU1314" s="78" t="str">
        <f t="shared" si="230"/>
        <v/>
      </c>
      <c r="AV1314" s="64" t="str">
        <f ca="1">IFERROR(__xludf.DUMMYFUNCTION("IF(TRIM(AU1314)="""","""",AU1314/INDEX(FILTER(AT$3:AT1314,TRIM(AT$3:AT1314)&lt;&gt;""""),ROWS(FILTER(AT$3:AT1314,TRIM(AT$3:AT1314)&lt;&gt;"""")))-1)"),"")</f>
        <v/>
      </c>
      <c r="AW1314" s="65" t="e">
        <f t="shared" ca="1" si="222"/>
        <v>#VALUE!</v>
      </c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</row>
    <row r="1315" spans="1:68" ht="19" x14ac:dyDescent="0.25">
      <c r="A1315" s="5"/>
      <c r="B1315" s="5"/>
      <c r="C1315" s="5"/>
      <c r="D1315" s="5"/>
      <c r="E1315" s="5"/>
      <c r="F1315" s="5"/>
      <c r="G1315" s="5"/>
      <c r="H1315" s="6"/>
      <c r="I1315" s="5"/>
      <c r="J1315" s="88"/>
      <c r="K1315" s="88"/>
      <c r="L1315" s="88"/>
      <c r="M1315" s="88"/>
      <c r="N1315" s="88"/>
      <c r="O1315" s="88"/>
      <c r="P1315" s="88"/>
      <c r="Q1315" s="89"/>
      <c r="R1315" s="88"/>
      <c r="S1315" s="88"/>
      <c r="T1315" s="90"/>
      <c r="U1315" s="6"/>
      <c r="V1315" s="87">
        <v>45828</v>
      </c>
      <c r="W1315" s="45">
        <v>280.97000000000003</v>
      </c>
      <c r="X1315" s="91"/>
      <c r="Y1315" s="77"/>
      <c r="Z1315" s="5"/>
      <c r="AA1315" s="5"/>
      <c r="AB1315" s="5"/>
      <c r="AC1315" s="5"/>
      <c r="AD1315" s="5"/>
      <c r="AE1315" s="5"/>
      <c r="AF1315" s="5"/>
      <c r="AG1315" s="5"/>
      <c r="AH1315" s="6"/>
      <c r="AI1315" s="87">
        <v>45828</v>
      </c>
      <c r="AJ1315" s="53">
        <v>280.97000000000003</v>
      </c>
      <c r="AK1315" s="54">
        <f t="shared" si="220"/>
        <v>-7.9093252356906563E-3</v>
      </c>
      <c r="AL1315" s="55">
        <f t="shared" si="223"/>
        <v>18.477810206277638</v>
      </c>
      <c r="AM1315" s="56">
        <v>25</v>
      </c>
      <c r="AN1315" s="57">
        <f t="shared" si="221"/>
        <v>6.5221897937223616</v>
      </c>
      <c r="AO1315" s="76">
        <f t="shared" si="224"/>
        <v>4.7567874915874473</v>
      </c>
      <c r="AP1315" s="63" t="str">
        <f t="shared" si="225"/>
        <v>Buy Stocks</v>
      </c>
      <c r="AQ1315" s="63" t="str">
        <f t="shared" si="226"/>
        <v/>
      </c>
      <c r="AR1315" s="63" t="str">
        <f t="shared" si="227"/>
        <v/>
      </c>
      <c r="AS1315" s="63" t="str">
        <f t="shared" si="228"/>
        <v/>
      </c>
      <c r="AT1315" s="78" t="str">
        <f t="shared" si="229"/>
        <v/>
      </c>
      <c r="AU1315" s="78" t="str">
        <f t="shared" si="230"/>
        <v/>
      </c>
      <c r="AV1315" s="64" t="str">
        <f ca="1">IFERROR(__xludf.DUMMYFUNCTION("IF(TRIM(AU1315)="""","""",AU1315/INDEX(FILTER(AT$3:AT1315,TRIM(AT$3:AT1315)&lt;&gt;""""),ROWS(FILTER(AT$3:AT1315,TRIM(AT$3:AT1315)&lt;&gt;"""")))-1)"),"")</f>
        <v/>
      </c>
      <c r="AW1315" s="65" t="e">
        <f t="shared" ca="1" si="222"/>
        <v>#VALUE!</v>
      </c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</row>
    <row r="1316" spans="1:68" ht="19" x14ac:dyDescent="0.25">
      <c r="A1316" s="5"/>
      <c r="B1316" s="5"/>
      <c r="C1316" s="5"/>
      <c r="D1316" s="5"/>
      <c r="E1316" s="5"/>
      <c r="F1316" s="5"/>
      <c r="G1316" s="5"/>
      <c r="H1316" s="6"/>
      <c r="I1316" s="5"/>
      <c r="J1316" s="88"/>
      <c r="K1316" s="88"/>
      <c r="L1316" s="88"/>
      <c r="M1316" s="88"/>
      <c r="N1316" s="88"/>
      <c r="O1316" s="88"/>
      <c r="P1316" s="88"/>
      <c r="Q1316" s="89"/>
      <c r="R1316" s="88"/>
      <c r="S1316" s="88"/>
      <c r="T1316" s="90"/>
      <c r="U1316" s="6"/>
      <c r="V1316" s="87">
        <v>45831</v>
      </c>
      <c r="W1316" s="45">
        <v>289.18</v>
      </c>
      <c r="X1316" s="91"/>
      <c r="Y1316" s="77"/>
      <c r="Z1316" s="5"/>
      <c r="AA1316" s="5"/>
      <c r="AB1316" s="5"/>
      <c r="AC1316" s="5"/>
      <c r="AD1316" s="5"/>
      <c r="AE1316" s="5"/>
      <c r="AF1316" s="5"/>
      <c r="AG1316" s="5"/>
      <c r="AH1316" s="6"/>
      <c r="AI1316" s="87">
        <v>45831</v>
      </c>
      <c r="AJ1316" s="53">
        <v>289.18</v>
      </c>
      <c r="AK1316" s="54">
        <f t="shared" si="220"/>
        <v>2.9220201444994043E-2</v>
      </c>
      <c r="AL1316" s="55">
        <f t="shared" si="223"/>
        <v>23.072926299556919</v>
      </c>
      <c r="AM1316" s="56">
        <v>25</v>
      </c>
      <c r="AN1316" s="57">
        <f t="shared" si="221"/>
        <v>1.9270737004430813</v>
      </c>
      <c r="AO1316" s="76">
        <f t="shared" si="224"/>
        <v>4.4480406651581372</v>
      </c>
      <c r="AP1316" s="63" t="str">
        <f t="shared" si="225"/>
        <v>Buy Stocks</v>
      </c>
      <c r="AQ1316" s="63" t="str">
        <f t="shared" si="226"/>
        <v/>
      </c>
      <c r="AR1316" s="63" t="str">
        <f t="shared" si="227"/>
        <v/>
      </c>
      <c r="AS1316" s="63" t="str">
        <f t="shared" si="228"/>
        <v/>
      </c>
      <c r="AT1316" s="78" t="str">
        <f t="shared" si="229"/>
        <v/>
      </c>
      <c r="AU1316" s="78" t="str">
        <f t="shared" si="230"/>
        <v/>
      </c>
      <c r="AV1316" s="64" t="str">
        <f ca="1">IFERROR(__xludf.DUMMYFUNCTION("IF(TRIM(AU1316)="""","""",AU1316/INDEX(FILTER(AT$3:AT1316,TRIM(AT$3:AT1316)&lt;&gt;""""),ROWS(FILTER(AT$3:AT1316,TRIM(AT$3:AT1316)&lt;&gt;"""")))-1)"),"")</f>
        <v/>
      </c>
      <c r="AW1316" s="65" t="e">
        <f t="shared" ca="1" si="222"/>
        <v>#VALUE!</v>
      </c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</row>
    <row r="1317" spans="1:68" ht="19" x14ac:dyDescent="0.25">
      <c r="A1317" s="5"/>
      <c r="B1317" s="5"/>
      <c r="C1317" s="5"/>
      <c r="D1317" s="5"/>
      <c r="E1317" s="5"/>
      <c r="F1317" s="5"/>
      <c r="G1317" s="5"/>
      <c r="H1317" s="6"/>
      <c r="I1317" s="5"/>
      <c r="J1317" s="88"/>
      <c r="K1317" s="88"/>
      <c r="L1317" s="88"/>
      <c r="M1317" s="88"/>
      <c r="N1317" s="88"/>
      <c r="O1317" s="88"/>
      <c r="P1317" s="88"/>
      <c r="Q1317" s="89"/>
      <c r="R1317" s="88"/>
      <c r="S1317" s="88"/>
      <c r="T1317" s="90"/>
      <c r="U1317" s="6"/>
      <c r="V1317" s="87">
        <v>45832</v>
      </c>
      <c r="W1317" s="45">
        <v>293.79000000000002</v>
      </c>
      <c r="X1317" s="91"/>
      <c r="Y1317" s="77"/>
      <c r="Z1317" s="5"/>
      <c r="AA1317" s="5"/>
      <c r="AB1317" s="5"/>
      <c r="AC1317" s="5"/>
      <c r="AD1317" s="5"/>
      <c r="AE1317" s="5"/>
      <c r="AF1317" s="5"/>
      <c r="AG1317" s="5"/>
      <c r="AH1317" s="6"/>
      <c r="AI1317" s="87">
        <v>45832</v>
      </c>
      <c r="AJ1317" s="53">
        <v>293.79000000000002</v>
      </c>
      <c r="AK1317" s="54">
        <f t="shared" si="220"/>
        <v>1.5941628051732604E-2</v>
      </c>
      <c r="AL1317" s="55">
        <f t="shared" si="223"/>
        <v>22.926218559562109</v>
      </c>
      <c r="AM1317" s="56">
        <v>25</v>
      </c>
      <c r="AN1317" s="57">
        <f t="shared" si="221"/>
        <v>2.0737814404378909</v>
      </c>
      <c r="AO1317" s="76">
        <f t="shared" si="224"/>
        <v>4.3726049181096434</v>
      </c>
      <c r="AP1317" s="63" t="str">
        <f t="shared" si="225"/>
        <v>Buy Stocks</v>
      </c>
      <c r="AQ1317" s="63" t="str">
        <f t="shared" si="226"/>
        <v/>
      </c>
      <c r="AR1317" s="63" t="str">
        <f t="shared" si="227"/>
        <v/>
      </c>
      <c r="AS1317" s="63" t="str">
        <f t="shared" si="228"/>
        <v/>
      </c>
      <c r="AT1317" s="78" t="str">
        <f t="shared" si="229"/>
        <v/>
      </c>
      <c r="AU1317" s="78" t="str">
        <f t="shared" si="230"/>
        <v/>
      </c>
      <c r="AV1317" s="64" t="str">
        <f ca="1">IFERROR(__xludf.DUMMYFUNCTION("IF(TRIM(AU1317)="""","""",AU1317/INDEX(FILTER(AT$3:AT1317,TRIM(AT$3:AT1317)&lt;&gt;""""),ROWS(FILTER(AT$3:AT1317,TRIM(AT$3:AT1317)&lt;&gt;"""")))-1)"),"")</f>
        <v/>
      </c>
      <c r="AW1317" s="65" t="e">
        <f t="shared" ca="1" si="222"/>
        <v>#VALUE!</v>
      </c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</row>
    <row r="1318" spans="1:68" ht="19" x14ac:dyDescent="0.25">
      <c r="A1318" s="5"/>
      <c r="B1318" s="5"/>
      <c r="C1318" s="5"/>
      <c r="D1318" s="5"/>
      <c r="E1318" s="5"/>
      <c r="F1318" s="5"/>
      <c r="G1318" s="5"/>
      <c r="H1318" s="6"/>
      <c r="I1318" s="5"/>
      <c r="J1318" s="88"/>
      <c r="K1318" s="88"/>
      <c r="L1318" s="88"/>
      <c r="M1318" s="88"/>
      <c r="N1318" s="88"/>
      <c r="O1318" s="88"/>
      <c r="P1318" s="88"/>
      <c r="Q1318" s="89"/>
      <c r="R1318" s="88"/>
      <c r="S1318" s="88"/>
      <c r="T1318" s="90"/>
      <c r="U1318" s="6"/>
      <c r="V1318" s="87">
        <v>45833</v>
      </c>
      <c r="W1318" s="45">
        <v>291.06</v>
      </c>
      <c r="X1318" s="91"/>
      <c r="Y1318" s="77"/>
      <c r="Z1318" s="5"/>
      <c r="AA1318" s="5"/>
      <c r="AB1318" s="5"/>
      <c r="AC1318" s="5"/>
      <c r="AD1318" s="5"/>
      <c r="AE1318" s="5"/>
      <c r="AF1318" s="5"/>
      <c r="AG1318" s="5"/>
      <c r="AH1318" s="6"/>
      <c r="AI1318" s="87">
        <v>45833</v>
      </c>
      <c r="AJ1318" s="53">
        <v>291.06</v>
      </c>
      <c r="AK1318" s="54">
        <f t="shared" si="220"/>
        <v>-9.2923516797712713E-3</v>
      </c>
      <c r="AL1318" s="55">
        <f t="shared" si="223"/>
        <v>26.258284386473413</v>
      </c>
      <c r="AM1318" s="56">
        <v>25</v>
      </c>
      <c r="AN1318" s="57">
        <f t="shared" si="221"/>
        <v>-1.258284386473413</v>
      </c>
      <c r="AO1318" s="76">
        <f t="shared" si="224"/>
        <v>3.3943764826915412</v>
      </c>
      <c r="AP1318" s="63" t="str">
        <f t="shared" si="225"/>
        <v>Buy Stocks</v>
      </c>
      <c r="AQ1318" s="63" t="str">
        <f t="shared" si="226"/>
        <v/>
      </c>
      <c r="AR1318" s="63" t="str">
        <f t="shared" si="227"/>
        <v/>
      </c>
      <c r="AS1318" s="63" t="str">
        <f t="shared" si="228"/>
        <v/>
      </c>
      <c r="AT1318" s="78" t="str">
        <f t="shared" si="229"/>
        <v/>
      </c>
      <c r="AU1318" s="78" t="str">
        <f t="shared" si="230"/>
        <v/>
      </c>
      <c r="AV1318" s="64" t="str">
        <f ca="1">IFERROR(__xludf.DUMMYFUNCTION("IF(TRIM(AU1318)="""","""",AU1318/INDEX(FILTER(AT$3:AT1318,TRIM(AT$3:AT1318)&lt;&gt;""""),ROWS(FILTER(AT$3:AT1318,TRIM(AT$3:AT1318)&lt;&gt;"""")))-1)"),"")</f>
        <v/>
      </c>
      <c r="AW1318" s="65" t="e">
        <f t="shared" ca="1" si="222"/>
        <v>#VALUE!</v>
      </c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</row>
    <row r="1319" spans="1:68" ht="19" x14ac:dyDescent="0.25">
      <c r="A1319" s="5"/>
      <c r="B1319" s="5"/>
      <c r="C1319" s="5"/>
      <c r="D1319" s="5"/>
      <c r="E1319" s="5"/>
      <c r="F1319" s="5"/>
      <c r="G1319" s="5"/>
      <c r="H1319" s="6"/>
      <c r="I1319" s="5"/>
      <c r="J1319" s="88"/>
      <c r="K1319" s="88"/>
      <c r="L1319" s="88"/>
      <c r="M1319" s="88"/>
      <c r="N1319" s="88"/>
      <c r="O1319" s="88"/>
      <c r="P1319" s="88"/>
      <c r="Q1319" s="89"/>
      <c r="R1319" s="88"/>
      <c r="S1319" s="88"/>
      <c r="T1319" s="90"/>
      <c r="U1319" s="6"/>
      <c r="V1319" s="44">
        <v>45834</v>
      </c>
      <c r="W1319" s="45">
        <v>291.93</v>
      </c>
      <c r="X1319" s="91"/>
      <c r="Y1319" s="77"/>
      <c r="Z1319" s="5"/>
      <c r="AA1319" s="5"/>
      <c r="AB1319" s="5"/>
      <c r="AC1319" s="5"/>
      <c r="AD1319" s="5"/>
      <c r="AE1319" s="5"/>
      <c r="AF1319" s="5"/>
      <c r="AG1319" s="5"/>
      <c r="AH1319" s="6"/>
      <c r="AI1319" s="44">
        <v>45834</v>
      </c>
      <c r="AJ1319" s="53">
        <v>291.93</v>
      </c>
      <c r="AK1319" s="54">
        <f t="shared" si="220"/>
        <v>2.9890744176459538E-3</v>
      </c>
      <c r="AL1319" s="55">
        <f t="shared" si="223"/>
        <v>26.014639324154746</v>
      </c>
      <c r="AM1319" s="56">
        <v>25</v>
      </c>
      <c r="AN1319" s="57">
        <f t="shared" si="221"/>
        <v>-1.0146393241547464</v>
      </c>
      <c r="AO1319" s="76">
        <f t="shared" si="224"/>
        <v>1.6500242447950348</v>
      </c>
      <c r="AP1319" s="63" t="str">
        <f t="shared" si="225"/>
        <v>Buy Stocks</v>
      </c>
      <c r="AQ1319" s="63" t="str">
        <f t="shared" si="226"/>
        <v/>
      </c>
      <c r="AR1319" s="63" t="str">
        <f t="shared" si="227"/>
        <v/>
      </c>
      <c r="AS1319" s="63" t="str">
        <f t="shared" si="228"/>
        <v/>
      </c>
      <c r="AT1319" s="78" t="str">
        <f t="shared" si="229"/>
        <v/>
      </c>
      <c r="AU1319" s="78" t="str">
        <f t="shared" si="230"/>
        <v/>
      </c>
      <c r="AV1319" s="64" t="str">
        <f ca="1">IFERROR(__xludf.DUMMYFUNCTION("IF(TRIM(AU1319)="""","""",AU1319/INDEX(FILTER(AT$3:AT1319,TRIM(AT$3:AT1319)&lt;&gt;""""),ROWS(FILTER(AT$3:AT1319,TRIM(AT$3:AT1319)&lt;&gt;"""")))-1)"),"")</f>
        <v/>
      </c>
      <c r="AW1319" s="65" t="e">
        <f t="shared" ca="1" si="222"/>
        <v>#VALUE!</v>
      </c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</row>
    <row r="1320" spans="1:68" ht="19" x14ac:dyDescent="0.25">
      <c r="A1320" s="5"/>
      <c r="B1320" s="5"/>
      <c r="C1320" s="5"/>
      <c r="D1320" s="5"/>
      <c r="E1320" s="5"/>
      <c r="F1320" s="5"/>
      <c r="G1320" s="5"/>
      <c r="H1320" s="6"/>
      <c r="I1320" s="5"/>
      <c r="J1320" s="88"/>
      <c r="K1320" s="88"/>
      <c r="L1320" s="88"/>
      <c r="M1320" s="88"/>
      <c r="N1320" s="88"/>
      <c r="O1320" s="88"/>
      <c r="P1320" s="88"/>
      <c r="Q1320" s="89"/>
      <c r="R1320" s="88"/>
      <c r="S1320" s="88"/>
      <c r="T1320" s="90"/>
      <c r="U1320" s="6"/>
      <c r="V1320" s="44">
        <v>45835</v>
      </c>
      <c r="W1320" s="45">
        <v>289.7</v>
      </c>
      <c r="X1320" s="91"/>
      <c r="Y1320" s="77"/>
      <c r="Z1320" s="5"/>
      <c r="AA1320" s="5"/>
      <c r="AB1320" s="5"/>
      <c r="AC1320" s="5"/>
      <c r="AD1320" s="5"/>
      <c r="AE1320" s="5"/>
      <c r="AF1320" s="5"/>
      <c r="AG1320" s="5"/>
      <c r="AH1320" s="6"/>
      <c r="AI1320" s="44">
        <v>45835</v>
      </c>
      <c r="AJ1320" s="53">
        <v>289.7</v>
      </c>
      <c r="AK1320" s="54">
        <f t="shared" si="220"/>
        <v>-7.638817524749153E-3</v>
      </c>
      <c r="AL1320" s="55">
        <f t="shared" si="223"/>
        <v>25.922823568472779</v>
      </c>
      <c r="AM1320" s="56">
        <v>25</v>
      </c>
      <c r="AN1320" s="57">
        <f t="shared" si="221"/>
        <v>-0.92282356847277924</v>
      </c>
      <c r="AO1320" s="76">
        <f t="shared" si="224"/>
        <v>0.16102157235600673</v>
      </c>
      <c r="AP1320" s="63" t="str">
        <f t="shared" si="225"/>
        <v>Buy Stocks</v>
      </c>
      <c r="AQ1320" s="63" t="str">
        <f t="shared" si="226"/>
        <v/>
      </c>
      <c r="AR1320" s="63" t="str">
        <f t="shared" si="227"/>
        <v/>
      </c>
      <c r="AS1320" s="63" t="str">
        <f t="shared" si="228"/>
        <v/>
      </c>
      <c r="AT1320" s="78" t="str">
        <f t="shared" si="229"/>
        <v/>
      </c>
      <c r="AU1320" s="78" t="str">
        <f t="shared" si="230"/>
        <v/>
      </c>
      <c r="AV1320" s="64" t="str">
        <f ca="1">IFERROR(__xludf.DUMMYFUNCTION("IF(TRIM(AU1320)="""","""",AU1320/INDEX(FILTER(AT$3:AT1320,TRIM(AT$3:AT1320)&lt;&gt;""""),ROWS(FILTER(AT$3:AT1320,TRIM(AT$3:AT1320)&lt;&gt;"""")))-1)"),"")</f>
        <v/>
      </c>
      <c r="AW1320" s="65" t="e">
        <f t="shared" ca="1" si="222"/>
        <v>#VALUE!</v>
      </c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</row>
    <row r="1321" spans="1:68" ht="19" x14ac:dyDescent="0.25">
      <c r="A1321" s="5"/>
      <c r="B1321" s="5"/>
      <c r="C1321" s="5"/>
      <c r="D1321" s="5"/>
      <c r="E1321" s="5"/>
      <c r="F1321" s="5"/>
      <c r="G1321" s="5"/>
      <c r="H1321" s="6"/>
      <c r="I1321" s="5"/>
      <c r="J1321" s="88"/>
      <c r="K1321" s="88"/>
      <c r="L1321" s="88"/>
      <c r="M1321" s="88"/>
      <c r="N1321" s="88"/>
      <c r="O1321" s="88"/>
      <c r="P1321" s="88"/>
      <c r="Q1321" s="89"/>
      <c r="R1321" s="88"/>
      <c r="S1321" s="88"/>
      <c r="T1321" s="90"/>
      <c r="U1321" s="6"/>
      <c r="V1321" s="44">
        <v>45838</v>
      </c>
      <c r="W1321" s="45">
        <v>294.77999999999997</v>
      </c>
      <c r="X1321" s="91"/>
      <c r="Y1321" s="77"/>
      <c r="Z1321" s="5"/>
      <c r="AA1321" s="5"/>
      <c r="AB1321" s="5"/>
      <c r="AC1321" s="5"/>
      <c r="AD1321" s="5"/>
      <c r="AE1321" s="5"/>
      <c r="AF1321" s="5"/>
      <c r="AG1321" s="5"/>
      <c r="AH1321" s="6"/>
      <c r="AI1321" s="44">
        <v>45838</v>
      </c>
      <c r="AJ1321" s="53">
        <v>294.77999999999997</v>
      </c>
      <c r="AK1321" s="54">
        <f t="shared" si="220"/>
        <v>1.7535381429064412E-2</v>
      </c>
      <c r="AL1321" s="55">
        <f t="shared" si="223"/>
        <v>20.063149032981134</v>
      </c>
      <c r="AM1321" s="56">
        <v>25</v>
      </c>
      <c r="AN1321" s="57">
        <f t="shared" si="221"/>
        <v>4.9368509670188665</v>
      </c>
      <c r="AO1321" s="76">
        <f t="shared" si="224"/>
        <v>0.76297702567116377</v>
      </c>
      <c r="AP1321" s="63" t="str">
        <f t="shared" si="225"/>
        <v>Buy Stocks</v>
      </c>
      <c r="AQ1321" s="63" t="str">
        <f t="shared" si="226"/>
        <v/>
      </c>
      <c r="AR1321" s="63" t="str">
        <f t="shared" si="227"/>
        <v/>
      </c>
      <c r="AS1321" s="63" t="str">
        <f t="shared" si="228"/>
        <v/>
      </c>
      <c r="AT1321" s="78" t="str">
        <f t="shared" si="229"/>
        <v/>
      </c>
      <c r="AU1321" s="78" t="str">
        <f t="shared" si="230"/>
        <v/>
      </c>
      <c r="AV1321" s="64" t="str">
        <f ca="1">IFERROR(__xludf.DUMMYFUNCTION("IF(TRIM(AU1321)="""","""",AU1321/INDEX(FILTER(AT$3:AT1321,TRIM(AT$3:AT1321)&lt;&gt;""""),ROWS(FILTER(AT$3:AT1321,TRIM(AT$3:AT1321)&lt;&gt;"""")))-1)"),"")</f>
        <v/>
      </c>
      <c r="AW1321" s="65" t="e">
        <f t="shared" ca="1" si="222"/>
        <v>#VALUE!</v>
      </c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</row>
    <row r="1322" spans="1:68" ht="19" x14ac:dyDescent="0.25">
      <c r="A1322" s="5"/>
      <c r="B1322" s="5"/>
      <c r="C1322" s="5"/>
      <c r="D1322" s="5"/>
      <c r="E1322" s="5"/>
      <c r="F1322" s="5"/>
      <c r="G1322" s="5"/>
      <c r="H1322" s="6"/>
      <c r="I1322" s="5"/>
      <c r="J1322" s="88"/>
      <c r="K1322" s="88"/>
      <c r="L1322" s="88"/>
      <c r="M1322" s="88"/>
      <c r="N1322" s="88"/>
      <c r="O1322" s="88"/>
      <c r="P1322" s="88"/>
      <c r="Q1322" s="89"/>
      <c r="R1322" s="88"/>
      <c r="S1322" s="88"/>
      <c r="T1322" s="90"/>
      <c r="U1322" s="6"/>
      <c r="V1322" s="44">
        <v>45839</v>
      </c>
      <c r="W1322" s="45">
        <v>291.2</v>
      </c>
      <c r="X1322" s="91"/>
      <c r="Y1322" s="77"/>
      <c r="Z1322" s="5"/>
      <c r="AA1322" s="5"/>
      <c r="AB1322" s="5"/>
      <c r="AC1322" s="5"/>
      <c r="AD1322" s="5"/>
      <c r="AE1322" s="5"/>
      <c r="AF1322" s="5"/>
      <c r="AG1322" s="5"/>
      <c r="AH1322" s="6"/>
      <c r="AI1322" s="44">
        <v>45839</v>
      </c>
      <c r="AJ1322" s="53">
        <v>291.2</v>
      </c>
      <c r="AK1322" s="54">
        <f t="shared" si="220"/>
        <v>-1.2144650247642219E-2</v>
      </c>
      <c r="AL1322" s="55">
        <f t="shared" si="223"/>
        <v>19.344618006697996</v>
      </c>
      <c r="AM1322" s="56">
        <v>25</v>
      </c>
      <c r="AN1322" s="57">
        <f t="shared" si="221"/>
        <v>5.6553819933020044</v>
      </c>
      <c r="AO1322" s="76">
        <f t="shared" si="224"/>
        <v>1.4792971362439864</v>
      </c>
      <c r="AP1322" s="63" t="str">
        <f t="shared" si="225"/>
        <v>Buy Stocks</v>
      </c>
      <c r="AQ1322" s="63" t="str">
        <f t="shared" si="226"/>
        <v/>
      </c>
      <c r="AR1322" s="63" t="str">
        <f t="shared" si="227"/>
        <v/>
      </c>
      <c r="AS1322" s="63" t="str">
        <f t="shared" si="228"/>
        <v/>
      </c>
      <c r="AT1322" s="78" t="str">
        <f t="shared" si="229"/>
        <v/>
      </c>
      <c r="AU1322" s="78" t="str">
        <f t="shared" si="230"/>
        <v/>
      </c>
      <c r="AV1322" s="64" t="str">
        <f ca="1">IFERROR(__xludf.DUMMYFUNCTION("IF(TRIM(AU1322)="""","""",AU1322/INDEX(FILTER(AT$3:AT1322,TRIM(AT$3:AT1322)&lt;&gt;""""),ROWS(FILTER(AT$3:AT1322,TRIM(AT$3:AT1322)&lt;&gt;"""")))-1)"),"")</f>
        <v/>
      </c>
      <c r="AW1322" s="65" t="e">
        <f t="shared" ca="1" si="222"/>
        <v>#VALUE!</v>
      </c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</row>
    <row r="1323" spans="1:68" ht="19" x14ac:dyDescent="0.25">
      <c r="A1323" s="5"/>
      <c r="B1323" s="5"/>
      <c r="C1323" s="5"/>
      <c r="D1323" s="5"/>
      <c r="E1323" s="5"/>
      <c r="F1323" s="5"/>
      <c r="G1323" s="5"/>
      <c r="H1323" s="6"/>
      <c r="I1323" s="5"/>
      <c r="J1323" s="88"/>
      <c r="K1323" s="88"/>
      <c r="L1323" s="88"/>
      <c r="M1323" s="88"/>
      <c r="N1323" s="88"/>
      <c r="O1323" s="88"/>
      <c r="P1323" s="88"/>
      <c r="Q1323" s="89"/>
      <c r="R1323" s="88"/>
      <c r="S1323" s="88"/>
      <c r="T1323" s="90"/>
      <c r="U1323" s="6"/>
      <c r="V1323" s="44">
        <v>45840</v>
      </c>
      <c r="W1323" s="45">
        <v>287.64999999999998</v>
      </c>
      <c r="X1323" s="91"/>
      <c r="Y1323" s="77"/>
      <c r="Z1323" s="5"/>
      <c r="AA1323" s="5"/>
      <c r="AB1323" s="5"/>
      <c r="AC1323" s="5"/>
      <c r="AD1323" s="5"/>
      <c r="AE1323" s="5"/>
      <c r="AF1323" s="5"/>
      <c r="AG1323" s="5"/>
      <c r="AH1323" s="6"/>
      <c r="AI1323" s="44">
        <v>45840</v>
      </c>
      <c r="AJ1323" s="53">
        <v>287.64999999999998</v>
      </c>
      <c r="AK1323" s="54">
        <f t="shared" si="220"/>
        <v>-1.2190934065934078E-2</v>
      </c>
      <c r="AL1323" s="55">
        <f t="shared" si="223"/>
        <v>20.152918307890534</v>
      </c>
      <c r="AM1323" s="56">
        <v>25</v>
      </c>
      <c r="AN1323" s="57">
        <f t="shared" si="221"/>
        <v>4.8470816921094659</v>
      </c>
      <c r="AO1323" s="76">
        <f t="shared" si="224"/>
        <v>2.7003703519605624</v>
      </c>
      <c r="AP1323" s="63" t="str">
        <f t="shared" si="225"/>
        <v>Buy Stocks</v>
      </c>
      <c r="AQ1323" s="63" t="str">
        <f t="shared" si="226"/>
        <v/>
      </c>
      <c r="AR1323" s="63" t="str">
        <f t="shared" si="227"/>
        <v/>
      </c>
      <c r="AS1323" s="63" t="str">
        <f t="shared" si="228"/>
        <v/>
      </c>
      <c r="AT1323" s="78" t="str">
        <f t="shared" si="229"/>
        <v/>
      </c>
      <c r="AU1323" s="78" t="str">
        <f t="shared" si="230"/>
        <v/>
      </c>
      <c r="AV1323" s="64" t="str">
        <f ca="1">IFERROR(__xludf.DUMMYFUNCTION("IF(TRIM(AU1323)="""","""",AU1323/INDEX(FILTER(AT$3:AT1323,TRIM(AT$3:AT1323)&lt;&gt;""""),ROWS(FILTER(AT$3:AT1323,TRIM(AT$3:AT1323)&lt;&gt;"""")))-1)"),"")</f>
        <v/>
      </c>
      <c r="AW1323" s="65" t="e">
        <f t="shared" ca="1" si="222"/>
        <v>#VALUE!</v>
      </c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</row>
    <row r="1324" spans="1:68" ht="19" x14ac:dyDescent="0.25">
      <c r="A1324" s="5"/>
      <c r="B1324" s="5"/>
      <c r="C1324" s="5"/>
      <c r="D1324" s="5"/>
      <c r="E1324" s="5"/>
      <c r="F1324" s="5"/>
      <c r="G1324" s="5"/>
      <c r="H1324" s="6"/>
      <c r="I1324" s="5"/>
      <c r="J1324" s="88"/>
      <c r="K1324" s="88"/>
      <c r="L1324" s="88"/>
      <c r="M1324" s="88"/>
      <c r="N1324" s="88"/>
      <c r="O1324" s="88"/>
      <c r="P1324" s="88"/>
      <c r="Q1324" s="89"/>
      <c r="R1324" s="88"/>
      <c r="S1324" s="88"/>
      <c r="T1324" s="90"/>
      <c r="U1324" s="6"/>
      <c r="V1324" s="44">
        <v>45841</v>
      </c>
      <c r="W1324" s="45">
        <v>291.97000000000003</v>
      </c>
      <c r="X1324" s="91"/>
      <c r="Y1324" s="77"/>
      <c r="Z1324" s="5"/>
      <c r="AA1324" s="5"/>
      <c r="AB1324" s="5"/>
      <c r="AC1324" s="5"/>
      <c r="AD1324" s="5"/>
      <c r="AE1324" s="5"/>
      <c r="AF1324" s="5"/>
      <c r="AG1324" s="5"/>
      <c r="AH1324" s="6"/>
      <c r="AI1324" s="44">
        <v>45841</v>
      </c>
      <c r="AJ1324" s="53">
        <v>291.97000000000003</v>
      </c>
      <c r="AK1324" s="54">
        <f t="shared" si="220"/>
        <v>1.5018251347123313E-2</v>
      </c>
      <c r="AL1324" s="55">
        <f t="shared" si="223"/>
        <v>23.644935720802955</v>
      </c>
      <c r="AM1324" s="56">
        <v>25</v>
      </c>
      <c r="AN1324" s="57">
        <f t="shared" si="221"/>
        <v>1.3550642791970446</v>
      </c>
      <c r="AO1324" s="76">
        <f t="shared" si="224"/>
        <v>3.1743110726309203</v>
      </c>
      <c r="AP1324" s="63" t="str">
        <f t="shared" si="225"/>
        <v>Buy Stocks</v>
      </c>
      <c r="AQ1324" s="63" t="str">
        <f t="shared" si="226"/>
        <v/>
      </c>
      <c r="AR1324" s="63" t="str">
        <f t="shared" si="227"/>
        <v/>
      </c>
      <c r="AS1324" s="63" t="str">
        <f t="shared" si="228"/>
        <v/>
      </c>
      <c r="AT1324" s="78" t="str">
        <f t="shared" si="229"/>
        <v/>
      </c>
      <c r="AU1324" s="78" t="str">
        <f t="shared" si="230"/>
        <v/>
      </c>
      <c r="AV1324" s="64" t="str">
        <f ca="1">IFERROR(__xludf.DUMMYFUNCTION("IF(TRIM(AU1324)="""","""",AU1324/INDEX(FILTER(AT$3:AT1324,TRIM(AT$3:AT1324)&lt;&gt;""""),ROWS(FILTER(AT$3:AT1324,TRIM(AT$3:AT1324)&lt;&gt;"""")))-1)"),"")</f>
        <v/>
      </c>
      <c r="AW1324" s="65" t="e">
        <f t="shared" ca="1" si="222"/>
        <v>#VALUE!</v>
      </c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</row>
    <row r="1325" spans="1:68" ht="19" x14ac:dyDescent="0.25">
      <c r="A1325" s="5"/>
      <c r="B1325" s="5"/>
      <c r="C1325" s="5"/>
      <c r="D1325" s="5"/>
      <c r="E1325" s="5"/>
      <c r="F1325" s="5"/>
      <c r="G1325" s="5"/>
      <c r="H1325" s="6"/>
      <c r="I1325" s="5"/>
      <c r="J1325" s="88"/>
      <c r="K1325" s="88"/>
      <c r="L1325" s="88"/>
      <c r="M1325" s="88"/>
      <c r="N1325" s="88"/>
      <c r="O1325" s="88"/>
      <c r="P1325" s="88"/>
      <c r="Q1325" s="89"/>
      <c r="R1325" s="88"/>
      <c r="S1325" s="88"/>
      <c r="T1325" s="90"/>
      <c r="U1325" s="6"/>
      <c r="V1325" s="44">
        <v>45845</v>
      </c>
      <c r="W1325" s="45">
        <v>292.47000000000003</v>
      </c>
      <c r="X1325" s="91"/>
      <c r="Y1325" s="77"/>
      <c r="Z1325" s="5"/>
      <c r="AA1325" s="5"/>
      <c r="AB1325" s="5"/>
      <c r="AC1325" s="5"/>
      <c r="AD1325" s="5"/>
      <c r="AE1325" s="5"/>
      <c r="AF1325" s="5"/>
      <c r="AG1325" s="5"/>
      <c r="AH1325" s="6"/>
      <c r="AI1325" s="44">
        <v>45845</v>
      </c>
      <c r="AJ1325" s="53">
        <v>292.47000000000003</v>
      </c>
      <c r="AK1325" s="54">
        <f t="shared" si="220"/>
        <v>1.7125047093879964E-3</v>
      </c>
      <c r="AL1325" s="55">
        <f t="shared" si="223"/>
        <v>22.622682761629292</v>
      </c>
      <c r="AM1325" s="56">
        <v>25</v>
      </c>
      <c r="AN1325" s="57">
        <f t="shared" si="221"/>
        <v>2.3773172383707077</v>
      </c>
      <c r="AO1325" s="76">
        <f t="shared" si="224"/>
        <v>3.8343392339996178</v>
      </c>
      <c r="AP1325" s="63" t="str">
        <f t="shared" si="225"/>
        <v>Buy Stocks</v>
      </c>
      <c r="AQ1325" s="63" t="str">
        <f t="shared" si="226"/>
        <v/>
      </c>
      <c r="AR1325" s="63" t="str">
        <f t="shared" si="227"/>
        <v/>
      </c>
      <c r="AS1325" s="63" t="str">
        <f t="shared" si="228"/>
        <v/>
      </c>
      <c r="AT1325" s="78" t="str">
        <f t="shared" si="229"/>
        <v/>
      </c>
      <c r="AU1325" s="78" t="str">
        <f t="shared" si="230"/>
        <v/>
      </c>
      <c r="AV1325" s="64" t="str">
        <f ca="1">IFERROR(__xludf.DUMMYFUNCTION("IF(TRIM(AU1325)="""","""",AU1325/INDEX(FILTER(AT$3:AT1325,TRIM(AT$3:AT1325)&lt;&gt;""""),ROWS(FILTER(AT$3:AT1325,TRIM(AT$3:AT1325)&lt;&gt;"""")))-1)"),"")</f>
        <v/>
      </c>
      <c r="AW1325" s="65" t="e">
        <f t="shared" ca="1" si="222"/>
        <v>#VALUE!</v>
      </c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</row>
    <row r="1326" spans="1:68" ht="19" x14ac:dyDescent="0.25">
      <c r="A1326" s="5"/>
      <c r="B1326" s="5"/>
      <c r="C1326" s="5"/>
      <c r="D1326" s="5"/>
      <c r="E1326" s="5"/>
      <c r="F1326" s="5"/>
      <c r="G1326" s="5"/>
      <c r="H1326" s="6"/>
      <c r="I1326" s="5"/>
      <c r="J1326" s="88"/>
      <c r="K1326" s="88"/>
      <c r="L1326" s="88"/>
      <c r="M1326" s="88"/>
      <c r="N1326" s="88"/>
      <c r="O1326" s="88"/>
      <c r="P1326" s="88"/>
      <c r="Q1326" s="89"/>
      <c r="R1326" s="88"/>
      <c r="S1326" s="88"/>
      <c r="T1326" s="90"/>
      <c r="U1326" s="6"/>
      <c r="V1326" s="87">
        <v>45846</v>
      </c>
      <c r="W1326" s="45">
        <v>290.42</v>
      </c>
      <c r="X1326" s="91"/>
      <c r="Y1326" s="77"/>
      <c r="Z1326" s="5"/>
      <c r="AA1326" s="5"/>
      <c r="AB1326" s="5"/>
      <c r="AC1326" s="5"/>
      <c r="AD1326" s="5"/>
      <c r="AE1326" s="5"/>
      <c r="AF1326" s="5"/>
      <c r="AG1326" s="5"/>
      <c r="AH1326" s="6"/>
      <c r="AI1326" s="87">
        <v>45846</v>
      </c>
      <c r="AJ1326" s="53">
        <v>290.42</v>
      </c>
      <c r="AK1326" s="54">
        <f t="shared" si="220"/>
        <v>-7.0092659076145258E-3</v>
      </c>
      <c r="AL1326" s="55">
        <f t="shared" si="223"/>
        <v>18.290288870023041</v>
      </c>
      <c r="AM1326" s="56">
        <v>25</v>
      </c>
      <c r="AN1326" s="57">
        <f t="shared" si="221"/>
        <v>6.7097111299769594</v>
      </c>
      <c r="AO1326" s="76">
        <f t="shared" si="224"/>
        <v>4.1889112665912362</v>
      </c>
      <c r="AP1326" s="63" t="str">
        <f t="shared" si="225"/>
        <v>Buy Stocks</v>
      </c>
      <c r="AQ1326" s="63" t="str">
        <f t="shared" si="226"/>
        <v/>
      </c>
      <c r="AR1326" s="63" t="str">
        <f t="shared" si="227"/>
        <v/>
      </c>
      <c r="AS1326" s="63" t="str">
        <f t="shared" si="228"/>
        <v/>
      </c>
      <c r="AT1326" s="78" t="str">
        <f t="shared" si="229"/>
        <v/>
      </c>
      <c r="AU1326" s="78" t="str">
        <f t="shared" si="230"/>
        <v/>
      </c>
      <c r="AV1326" s="64" t="str">
        <f ca="1">IFERROR(__xludf.DUMMYFUNCTION("IF(TRIM(AU1326)="""","""",AU1326/INDEX(FILTER(AT$3:AT1326,TRIM(AT$3:AT1326)&lt;&gt;""""),ROWS(FILTER(AT$3:AT1326,TRIM(AT$3:AT1326)&lt;&gt;"""")))-1)"),"")</f>
        <v/>
      </c>
      <c r="AW1326" s="65" t="e">
        <f t="shared" ca="1" si="222"/>
        <v>#VALUE!</v>
      </c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</row>
    <row r="1327" spans="1:68" ht="19" x14ac:dyDescent="0.25">
      <c r="A1327" s="5"/>
      <c r="B1327" s="5"/>
      <c r="C1327" s="5"/>
      <c r="D1327" s="5"/>
      <c r="E1327" s="5"/>
      <c r="F1327" s="5"/>
      <c r="G1327" s="5"/>
      <c r="H1327" s="6"/>
      <c r="I1327" s="5"/>
      <c r="J1327" s="88"/>
      <c r="K1327" s="88"/>
      <c r="L1327" s="88"/>
      <c r="M1327" s="88"/>
      <c r="N1327" s="88"/>
      <c r="O1327" s="88"/>
      <c r="P1327" s="88"/>
      <c r="Q1327" s="89"/>
      <c r="R1327" s="88"/>
      <c r="S1327" s="88"/>
      <c r="T1327" s="90"/>
      <c r="U1327" s="6"/>
      <c r="V1327" s="87">
        <v>45847</v>
      </c>
      <c r="W1327" s="45">
        <v>290.14</v>
      </c>
      <c r="X1327" s="91"/>
      <c r="Y1327" s="77"/>
      <c r="Z1327" s="5"/>
      <c r="AA1327" s="5"/>
      <c r="AB1327" s="5"/>
      <c r="AC1327" s="5"/>
      <c r="AD1327" s="5"/>
      <c r="AE1327" s="5"/>
      <c r="AF1327" s="5"/>
      <c r="AG1327" s="5"/>
      <c r="AH1327" s="6"/>
      <c r="AI1327" s="87">
        <v>45847</v>
      </c>
      <c r="AJ1327" s="53">
        <v>290.14</v>
      </c>
      <c r="AK1327" s="54">
        <f t="shared" si="220"/>
        <v>-9.6412092831077434E-4</v>
      </c>
      <c r="AL1327" s="55">
        <f t="shared" si="223"/>
        <v>16.359234597617185</v>
      </c>
      <c r="AM1327" s="56">
        <v>25</v>
      </c>
      <c r="AN1327" s="57">
        <f t="shared" si="221"/>
        <v>8.6407654023828151</v>
      </c>
      <c r="AO1327" s="76">
        <f t="shared" si="224"/>
        <v>4.7859879484073984</v>
      </c>
      <c r="AP1327" s="63" t="str">
        <f t="shared" si="225"/>
        <v>Buy Stocks</v>
      </c>
      <c r="AQ1327" s="63" t="str">
        <f t="shared" si="226"/>
        <v/>
      </c>
      <c r="AR1327" s="63" t="str">
        <f t="shared" si="227"/>
        <v/>
      </c>
      <c r="AS1327" s="63" t="str">
        <f t="shared" si="228"/>
        <v/>
      </c>
      <c r="AT1327" s="78" t="str">
        <f t="shared" si="229"/>
        <v/>
      </c>
      <c r="AU1327" s="78" t="str">
        <f t="shared" si="230"/>
        <v/>
      </c>
      <c r="AV1327" s="64" t="str">
        <f ca="1">IFERROR(__xludf.DUMMYFUNCTION("IF(TRIM(AU1327)="""","""",AU1327/INDEX(FILTER(AT$3:AT1327,TRIM(AT$3:AT1327)&lt;&gt;""""),ROWS(FILTER(AT$3:AT1327,TRIM(AT$3:AT1327)&lt;&gt;"""")))-1)"),"")</f>
        <v/>
      </c>
      <c r="AW1327" s="65" t="e">
        <f t="shared" ca="1" si="222"/>
        <v>#VALUE!</v>
      </c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</row>
    <row r="1328" spans="1:68" ht="19" x14ac:dyDescent="0.25">
      <c r="A1328" s="5"/>
      <c r="B1328" s="5"/>
      <c r="C1328" s="5"/>
      <c r="D1328" s="5"/>
      <c r="E1328" s="5"/>
      <c r="F1328" s="5"/>
      <c r="G1328" s="5"/>
      <c r="H1328" s="6"/>
      <c r="I1328" s="5"/>
      <c r="J1328" s="88"/>
      <c r="K1328" s="88"/>
      <c r="L1328" s="88"/>
      <c r="M1328" s="88"/>
      <c r="N1328" s="88"/>
      <c r="O1328" s="88"/>
      <c r="P1328" s="88"/>
      <c r="Q1328" s="89"/>
      <c r="R1328" s="88"/>
      <c r="S1328" s="88"/>
      <c r="T1328" s="90"/>
      <c r="U1328" s="6"/>
      <c r="V1328" s="87">
        <v>45848</v>
      </c>
      <c r="W1328" s="45">
        <v>287.43</v>
      </c>
      <c r="X1328" s="91"/>
      <c r="Y1328" s="77"/>
      <c r="Z1328" s="5"/>
      <c r="AA1328" s="5"/>
      <c r="AB1328" s="5"/>
      <c r="AC1328" s="5"/>
      <c r="AD1328" s="5"/>
      <c r="AE1328" s="5"/>
      <c r="AF1328" s="5"/>
      <c r="AG1328" s="5"/>
      <c r="AH1328" s="6"/>
      <c r="AI1328" s="87">
        <v>45848</v>
      </c>
      <c r="AJ1328" s="53">
        <v>287.43</v>
      </c>
      <c r="AK1328" s="54">
        <f t="shared" si="220"/>
        <v>-9.3403184669469397E-3</v>
      </c>
      <c r="AL1328" s="55">
        <f t="shared" si="223"/>
        <v>15.178915772918852</v>
      </c>
      <c r="AM1328" s="56">
        <v>25</v>
      </c>
      <c r="AN1328" s="57">
        <f t="shared" si="221"/>
        <v>9.8210842270811476</v>
      </c>
      <c r="AO1328" s="76">
        <f t="shared" si="224"/>
        <v>5.7807884554017352</v>
      </c>
      <c r="AP1328" s="63" t="str">
        <f t="shared" si="225"/>
        <v>Buy Stocks</v>
      </c>
      <c r="AQ1328" s="63" t="str">
        <f t="shared" si="226"/>
        <v/>
      </c>
      <c r="AR1328" s="63" t="str">
        <f t="shared" si="227"/>
        <v/>
      </c>
      <c r="AS1328" s="63" t="str">
        <f t="shared" si="228"/>
        <v/>
      </c>
      <c r="AT1328" s="78" t="str">
        <f t="shared" si="229"/>
        <v/>
      </c>
      <c r="AU1328" s="78" t="str">
        <f t="shared" si="230"/>
        <v/>
      </c>
      <c r="AV1328" s="64" t="str">
        <f ca="1">IFERROR(__xludf.DUMMYFUNCTION("IF(TRIM(AU1328)="""","""",AU1328/INDEX(FILTER(AT$3:AT1328,TRIM(AT$3:AT1328)&lt;&gt;""""),ROWS(FILTER(AT$3:AT1328,TRIM(AT$3:AT1328)&lt;&gt;"""")))-1)"),"")</f>
        <v/>
      </c>
      <c r="AW1328" s="65" t="e">
        <f t="shared" ca="1" si="222"/>
        <v>#VALUE!</v>
      </c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</row>
    <row r="1329" spans="1:68" ht="19" x14ac:dyDescent="0.25">
      <c r="A1329" s="5"/>
      <c r="B1329" s="5"/>
      <c r="C1329" s="5"/>
      <c r="D1329" s="5"/>
      <c r="E1329" s="5"/>
      <c r="F1329" s="5"/>
      <c r="G1329" s="5"/>
      <c r="H1329" s="6"/>
      <c r="I1329" s="5"/>
      <c r="J1329" s="88"/>
      <c r="K1329" s="88"/>
      <c r="L1329" s="88"/>
      <c r="M1329" s="88"/>
      <c r="N1329" s="88"/>
      <c r="O1329" s="88"/>
      <c r="P1329" s="88"/>
      <c r="Q1329" s="89"/>
      <c r="R1329" s="88"/>
      <c r="S1329" s="88"/>
      <c r="T1329" s="90"/>
      <c r="U1329" s="6"/>
      <c r="V1329" s="87">
        <v>45849</v>
      </c>
      <c r="W1329" s="45">
        <v>283.58999999999997</v>
      </c>
      <c r="X1329" s="91"/>
      <c r="Y1329" s="77"/>
      <c r="Z1329" s="5"/>
      <c r="AA1329" s="5"/>
      <c r="AB1329" s="5"/>
      <c r="AC1329" s="5"/>
      <c r="AD1329" s="5"/>
      <c r="AE1329" s="5"/>
      <c r="AF1329" s="5"/>
      <c r="AG1329" s="5"/>
      <c r="AH1329" s="6"/>
      <c r="AI1329" s="87">
        <v>45849</v>
      </c>
      <c r="AJ1329" s="53">
        <v>283.58999999999997</v>
      </c>
      <c r="AK1329" s="54">
        <f t="shared" si="220"/>
        <v>-1.3359774553804549E-2</v>
      </c>
      <c r="AL1329" s="55">
        <f t="shared" si="223"/>
        <v>9.7524764533123367</v>
      </c>
      <c r="AM1329" s="56">
        <v>25</v>
      </c>
      <c r="AN1329" s="57">
        <f t="shared" si="221"/>
        <v>15.247523546687663</v>
      </c>
      <c r="AO1329" s="76">
        <f t="shared" si="224"/>
        <v>8.5592803088998579</v>
      </c>
      <c r="AP1329" s="63" t="str">
        <f t="shared" si="225"/>
        <v>Buy Stocks</v>
      </c>
      <c r="AQ1329" s="63" t="str">
        <f t="shared" si="226"/>
        <v/>
      </c>
      <c r="AR1329" s="63" t="str">
        <f t="shared" si="227"/>
        <v/>
      </c>
      <c r="AS1329" s="63" t="str">
        <f t="shared" si="228"/>
        <v/>
      </c>
      <c r="AT1329" s="78" t="str">
        <f t="shared" si="229"/>
        <v/>
      </c>
      <c r="AU1329" s="78" t="str">
        <f t="shared" si="230"/>
        <v/>
      </c>
      <c r="AV1329" s="64" t="str">
        <f ca="1">IFERROR(__xludf.DUMMYFUNCTION("IF(TRIM(AU1329)="""","""",AU1329/INDEX(FILTER(AT$3:AT1329,TRIM(AT$3:AT1329)&lt;&gt;""""),ROWS(FILTER(AT$3:AT1329,TRIM(AT$3:AT1329)&lt;&gt;"""")))-1)"),"")</f>
        <v/>
      </c>
      <c r="AW1329" s="65" t="e">
        <f t="shared" ca="1" si="222"/>
        <v>#VALUE!</v>
      </c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</row>
    <row r="1330" spans="1:68" ht="19" x14ac:dyDescent="0.25">
      <c r="A1330" s="5"/>
      <c r="B1330" s="5"/>
      <c r="C1330" s="5"/>
      <c r="D1330" s="5"/>
      <c r="E1330" s="5"/>
      <c r="F1330" s="5"/>
      <c r="G1330" s="5"/>
      <c r="H1330" s="6"/>
      <c r="I1330" s="5"/>
      <c r="J1330" s="88"/>
      <c r="K1330" s="88"/>
      <c r="L1330" s="88"/>
      <c r="M1330" s="88"/>
      <c r="N1330" s="88"/>
      <c r="O1330" s="88"/>
      <c r="P1330" s="88"/>
      <c r="Q1330" s="89"/>
      <c r="R1330" s="88"/>
      <c r="S1330" s="88"/>
      <c r="T1330" s="90"/>
      <c r="U1330" s="6"/>
      <c r="V1330" s="87">
        <v>45852</v>
      </c>
      <c r="W1330" s="45">
        <v>283.79000000000002</v>
      </c>
      <c r="X1330" s="91"/>
      <c r="Y1330" s="77"/>
      <c r="Z1330" s="5"/>
      <c r="AA1330" s="5"/>
      <c r="AB1330" s="5"/>
      <c r="AC1330" s="5"/>
      <c r="AD1330" s="5"/>
      <c r="AE1330" s="5"/>
      <c r="AF1330" s="5"/>
      <c r="AG1330" s="5"/>
      <c r="AH1330" s="6"/>
      <c r="AI1330" s="87">
        <v>45852</v>
      </c>
      <c r="AJ1330" s="53">
        <v>283.79000000000002</v>
      </c>
      <c r="AK1330" s="54">
        <f t="shared" si="220"/>
        <v>7.0524348531342262E-4</v>
      </c>
      <c r="AL1330" s="55">
        <f t="shared" si="223"/>
        <v>9.2788770669105123</v>
      </c>
      <c r="AM1330" s="56">
        <v>25</v>
      </c>
      <c r="AN1330" s="57">
        <f t="shared" si="221"/>
        <v>15.721122933089488</v>
      </c>
      <c r="AO1330" s="76">
        <f t="shared" si="224"/>
        <v>11.228041447843614</v>
      </c>
      <c r="AP1330" s="63" t="str">
        <f t="shared" si="225"/>
        <v>Buy Stocks</v>
      </c>
      <c r="AQ1330" s="63" t="str">
        <f t="shared" si="226"/>
        <v/>
      </c>
      <c r="AR1330" s="63" t="str">
        <f t="shared" si="227"/>
        <v/>
      </c>
      <c r="AS1330" s="63" t="str">
        <f t="shared" si="228"/>
        <v/>
      </c>
      <c r="AT1330" s="78" t="str">
        <f t="shared" si="229"/>
        <v/>
      </c>
      <c r="AU1330" s="78" t="str">
        <f t="shared" si="230"/>
        <v/>
      </c>
      <c r="AV1330" s="64" t="str">
        <f ca="1">IFERROR(__xludf.DUMMYFUNCTION("IF(TRIM(AU1330)="""","""",AU1330/INDEX(FILTER(AT$3:AT1330,TRIM(AT$3:AT1330)&lt;&gt;""""),ROWS(FILTER(AT$3:AT1330,TRIM(AT$3:AT1330)&lt;&gt;"""")))-1)"),"")</f>
        <v/>
      </c>
      <c r="AW1330" s="65" t="e">
        <f t="shared" ca="1" si="222"/>
        <v>#VALUE!</v>
      </c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</row>
    <row r="1331" spans="1:68" ht="19" x14ac:dyDescent="0.25">
      <c r="A1331" s="5"/>
      <c r="B1331" s="5"/>
      <c r="C1331" s="5"/>
      <c r="D1331" s="5"/>
      <c r="E1331" s="5"/>
      <c r="F1331" s="5"/>
      <c r="G1331" s="5"/>
      <c r="H1331" s="6"/>
      <c r="I1331" s="5"/>
      <c r="J1331" s="88"/>
      <c r="K1331" s="88"/>
      <c r="L1331" s="88"/>
      <c r="M1331" s="88"/>
      <c r="N1331" s="88"/>
      <c r="O1331" s="88"/>
      <c r="P1331" s="88"/>
      <c r="Q1331" s="89"/>
      <c r="R1331" s="88"/>
      <c r="S1331" s="88"/>
      <c r="T1331" s="90"/>
      <c r="U1331" s="6"/>
      <c r="V1331" s="87">
        <v>45853</v>
      </c>
      <c r="W1331" s="45">
        <v>282.7</v>
      </c>
      <c r="X1331" s="91"/>
      <c r="Y1331" s="77"/>
      <c r="Z1331" s="5"/>
      <c r="AA1331" s="5"/>
      <c r="AB1331" s="5"/>
      <c r="AC1331" s="5"/>
      <c r="AD1331" s="5"/>
      <c r="AE1331" s="5"/>
      <c r="AF1331" s="5"/>
      <c r="AG1331" s="5"/>
      <c r="AH1331" s="6"/>
      <c r="AI1331" s="87">
        <v>45853</v>
      </c>
      <c r="AJ1331" s="53">
        <v>282.7</v>
      </c>
      <c r="AK1331" s="54">
        <f t="shared" si="220"/>
        <v>-3.840868247648066E-3</v>
      </c>
      <c r="AL1331" s="55">
        <f t="shared" si="223"/>
        <v>9.3328748518325657</v>
      </c>
      <c r="AM1331" s="56">
        <v>25</v>
      </c>
      <c r="AN1331" s="57">
        <f t="shared" si="221"/>
        <v>15.667125148167434</v>
      </c>
      <c r="AO1331" s="76">
        <f t="shared" si="224"/>
        <v>13.019524251481709</v>
      </c>
      <c r="AP1331" s="63" t="str">
        <f t="shared" si="225"/>
        <v>Buy Stocks</v>
      </c>
      <c r="AQ1331" s="63" t="str">
        <f t="shared" si="226"/>
        <v/>
      </c>
      <c r="AR1331" s="63" t="str">
        <f t="shared" si="227"/>
        <v/>
      </c>
      <c r="AS1331" s="63" t="str">
        <f t="shared" si="228"/>
        <v/>
      </c>
      <c r="AT1331" s="78" t="str">
        <f t="shared" si="229"/>
        <v/>
      </c>
      <c r="AU1331" s="78" t="str">
        <f t="shared" si="230"/>
        <v/>
      </c>
      <c r="AV1331" s="64" t="str">
        <f ca="1">IFERROR(__xludf.DUMMYFUNCTION("IF(TRIM(AU1331)="""","""",AU1331/INDEX(FILTER(AT$3:AT1331,TRIM(AT$3:AT1331)&lt;&gt;""""),ROWS(FILTER(AT$3:AT1331,TRIM(AT$3:AT1331)&lt;&gt;"""")))-1)"),"")</f>
        <v/>
      </c>
      <c r="AW1331" s="65" t="e">
        <f t="shared" ca="1" si="222"/>
        <v>#VALUE!</v>
      </c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</row>
    <row r="1332" spans="1:68" ht="19" x14ac:dyDescent="0.25">
      <c r="A1332" s="5"/>
      <c r="B1332" s="5"/>
      <c r="C1332" s="5"/>
      <c r="D1332" s="5"/>
      <c r="E1332" s="5"/>
      <c r="F1332" s="5"/>
      <c r="G1332" s="5"/>
      <c r="H1332" s="6"/>
      <c r="I1332" s="5"/>
      <c r="J1332" s="88"/>
      <c r="K1332" s="88"/>
      <c r="L1332" s="88"/>
      <c r="M1332" s="88"/>
      <c r="N1332" s="88"/>
      <c r="O1332" s="88"/>
      <c r="P1332" s="88"/>
      <c r="Q1332" s="89"/>
      <c r="R1332" s="88"/>
      <c r="S1332" s="88"/>
      <c r="T1332" s="90"/>
      <c r="U1332" s="6"/>
      <c r="V1332" s="87">
        <v>45854</v>
      </c>
      <c r="W1332" s="45">
        <v>281.92</v>
      </c>
      <c r="X1332" s="91"/>
      <c r="Y1332" s="77"/>
      <c r="Z1332" s="5"/>
      <c r="AA1332" s="5"/>
      <c r="AB1332" s="5"/>
      <c r="AC1332" s="5"/>
      <c r="AD1332" s="5"/>
      <c r="AE1332" s="5"/>
      <c r="AF1332" s="5"/>
      <c r="AG1332" s="5"/>
      <c r="AH1332" s="6"/>
      <c r="AI1332" s="87">
        <v>45854</v>
      </c>
      <c r="AJ1332" s="53">
        <v>281.92</v>
      </c>
      <c r="AK1332" s="54">
        <f t="shared" si="220"/>
        <v>-2.7591085956844008E-3</v>
      </c>
      <c r="AL1332" s="55">
        <f t="shared" si="223"/>
        <v>8.876058407552053</v>
      </c>
      <c r="AM1332" s="56">
        <v>25</v>
      </c>
      <c r="AN1332" s="57">
        <f t="shared" si="221"/>
        <v>16.123941592447949</v>
      </c>
      <c r="AO1332" s="76">
        <f t="shared" si="224"/>
        <v>14.516159489494736</v>
      </c>
      <c r="AP1332" s="63" t="str">
        <f t="shared" si="225"/>
        <v>Buy Stocks</v>
      </c>
      <c r="AQ1332" s="63" t="str">
        <f t="shared" si="226"/>
        <v/>
      </c>
      <c r="AR1332" s="63" t="str">
        <f t="shared" si="227"/>
        <v/>
      </c>
      <c r="AS1332" s="63" t="str">
        <f t="shared" si="228"/>
        <v/>
      </c>
      <c r="AT1332" s="78" t="str">
        <f t="shared" si="229"/>
        <v/>
      </c>
      <c r="AU1332" s="78" t="str">
        <f t="shared" si="230"/>
        <v/>
      </c>
      <c r="AV1332" s="64" t="str">
        <f ca="1">IFERROR(__xludf.DUMMYFUNCTION("IF(TRIM(AU1332)="""","""",AU1332/INDEX(FILTER(AT$3:AT1332,TRIM(AT$3:AT1332)&lt;&gt;""""),ROWS(FILTER(AT$3:AT1332,TRIM(AT$3:AT1332)&lt;&gt;"""")))-1)"),"")</f>
        <v/>
      </c>
      <c r="AW1332" s="65" t="e">
        <f t="shared" ca="1" si="222"/>
        <v>#VALUE!</v>
      </c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</row>
    <row r="1333" spans="1:68" ht="19" x14ac:dyDescent="0.25">
      <c r="A1333" s="5"/>
      <c r="B1333" s="5"/>
      <c r="C1333" s="5"/>
      <c r="D1333" s="5"/>
      <c r="E1333" s="5"/>
      <c r="F1333" s="5"/>
      <c r="G1333" s="5"/>
      <c r="H1333" s="6"/>
      <c r="I1333" s="5"/>
      <c r="J1333" s="88"/>
      <c r="K1333" s="88"/>
      <c r="L1333" s="88"/>
      <c r="M1333" s="88"/>
      <c r="N1333" s="88"/>
      <c r="O1333" s="88"/>
      <c r="P1333" s="88"/>
      <c r="Q1333" s="89"/>
      <c r="R1333" s="88"/>
      <c r="S1333" s="88"/>
      <c r="T1333" s="90"/>
      <c r="U1333" s="6"/>
      <c r="V1333" s="87">
        <v>45855</v>
      </c>
      <c r="W1333" s="45">
        <v>282</v>
      </c>
      <c r="X1333" s="91"/>
      <c r="Y1333" s="77"/>
      <c r="Z1333" s="5"/>
      <c r="AA1333" s="5"/>
      <c r="AB1333" s="5"/>
      <c r="AC1333" s="5"/>
      <c r="AD1333" s="5"/>
      <c r="AE1333" s="5"/>
      <c r="AF1333" s="5"/>
      <c r="AG1333" s="5"/>
      <c r="AH1333" s="6"/>
      <c r="AI1333" s="87">
        <v>45855</v>
      </c>
      <c r="AJ1333" s="53">
        <v>282</v>
      </c>
      <c r="AK1333" s="54">
        <f t="shared" si="220"/>
        <v>2.8376844494881759E-4</v>
      </c>
      <c r="AL1333" s="55">
        <f t="shared" si="223"/>
        <v>9.0306497552386702</v>
      </c>
      <c r="AM1333" s="56">
        <v>25</v>
      </c>
      <c r="AN1333" s="57">
        <f t="shared" si="221"/>
        <v>15.96935024476133</v>
      </c>
      <c r="AO1333" s="76">
        <f t="shared" si="224"/>
        <v>15.745812693030775</v>
      </c>
      <c r="AP1333" s="63" t="str">
        <f t="shared" si="225"/>
        <v>Buy Stocks</v>
      </c>
      <c r="AQ1333" s="63" t="str">
        <f t="shared" si="226"/>
        <v/>
      </c>
      <c r="AR1333" s="63" t="str">
        <f t="shared" si="227"/>
        <v/>
      </c>
      <c r="AS1333" s="63" t="str">
        <f t="shared" si="228"/>
        <v/>
      </c>
      <c r="AT1333" s="78" t="str">
        <f t="shared" si="229"/>
        <v/>
      </c>
      <c r="AU1333" s="78" t="str">
        <f t="shared" si="230"/>
        <v/>
      </c>
      <c r="AV1333" s="64" t="str">
        <f ca="1">IFERROR(__xludf.DUMMYFUNCTION("IF(TRIM(AU1333)="""","""",AU1333/INDEX(FILTER(AT$3:AT1333,TRIM(AT$3:AT1333)&lt;&gt;""""),ROWS(FILTER(AT$3:AT1333,TRIM(AT$3:AT1333)&lt;&gt;"""")))-1)"),"")</f>
        <v/>
      </c>
      <c r="AW1333" s="65" t="e">
        <f t="shared" ca="1" si="222"/>
        <v>#VALUE!</v>
      </c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</row>
    <row r="1334" spans="1:68" ht="19" x14ac:dyDescent="0.25">
      <c r="A1334" s="5"/>
      <c r="B1334" s="5"/>
      <c r="C1334" s="5"/>
      <c r="D1334" s="5"/>
      <c r="E1334" s="5"/>
      <c r="F1334" s="5"/>
      <c r="G1334" s="5"/>
      <c r="H1334" s="6"/>
      <c r="I1334" s="5"/>
      <c r="J1334" s="88"/>
      <c r="K1334" s="88"/>
      <c r="L1334" s="88"/>
      <c r="M1334" s="88"/>
      <c r="N1334" s="88"/>
      <c r="O1334" s="88"/>
      <c r="P1334" s="88"/>
      <c r="Q1334" s="89"/>
      <c r="R1334" s="88"/>
      <c r="S1334" s="88"/>
      <c r="T1334" s="90"/>
      <c r="U1334" s="6"/>
      <c r="V1334" s="87">
        <v>45856</v>
      </c>
      <c r="W1334" s="45">
        <v>285.87</v>
      </c>
      <c r="X1334" s="91"/>
      <c r="Y1334" s="77"/>
      <c r="Z1334" s="5"/>
      <c r="AA1334" s="5"/>
      <c r="AB1334" s="5"/>
      <c r="AC1334" s="5"/>
      <c r="AD1334" s="5"/>
      <c r="AE1334" s="5"/>
      <c r="AF1334" s="5"/>
      <c r="AG1334" s="5"/>
      <c r="AH1334" s="6"/>
      <c r="AI1334" s="87">
        <v>45856</v>
      </c>
      <c r="AJ1334" s="53">
        <v>285.87</v>
      </c>
      <c r="AK1334" s="54">
        <f t="shared" si="220"/>
        <v>1.3723404255319149E-2</v>
      </c>
      <c r="AL1334" s="55">
        <f t="shared" si="223"/>
        <v>11.17187402131249</v>
      </c>
      <c r="AM1334" s="56">
        <v>25</v>
      </c>
      <c r="AN1334" s="57">
        <f t="shared" si="221"/>
        <v>13.82812597868751</v>
      </c>
      <c r="AO1334" s="76">
        <f t="shared" si="224"/>
        <v>15.461933179430741</v>
      </c>
      <c r="AP1334" s="63" t="str">
        <f t="shared" si="225"/>
        <v>Buy Stocks</v>
      </c>
      <c r="AQ1334" s="63" t="str">
        <f t="shared" si="226"/>
        <v/>
      </c>
      <c r="AR1334" s="63" t="str">
        <f t="shared" si="227"/>
        <v/>
      </c>
      <c r="AS1334" s="63" t="str">
        <f t="shared" si="228"/>
        <v/>
      </c>
      <c r="AT1334" s="78" t="str">
        <f t="shared" si="229"/>
        <v/>
      </c>
      <c r="AU1334" s="78" t="str">
        <f t="shared" si="230"/>
        <v/>
      </c>
      <c r="AV1334" s="64" t="str">
        <f ca="1">IFERROR(__xludf.DUMMYFUNCTION("IF(TRIM(AU1334)="""","""",AU1334/INDEX(FILTER(AT$3:AT1334,TRIM(AT$3:AT1334)&lt;&gt;""""),ROWS(FILTER(AT$3:AT1334,TRIM(AT$3:AT1334)&lt;&gt;"""")))-1)"),"")</f>
        <v/>
      </c>
      <c r="AW1334" s="65" t="e">
        <f t="shared" ca="1" si="222"/>
        <v>#VALUE!</v>
      </c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</row>
    <row r="1335" spans="1:68" ht="19" x14ac:dyDescent="0.25">
      <c r="A1335" s="5"/>
      <c r="B1335" s="5"/>
      <c r="C1335" s="5"/>
      <c r="D1335" s="5"/>
      <c r="E1335" s="5"/>
      <c r="F1335" s="5"/>
      <c r="G1335" s="5"/>
      <c r="H1335" s="6"/>
      <c r="I1335" s="5"/>
      <c r="J1335" s="88"/>
      <c r="K1335" s="88"/>
      <c r="L1335" s="88"/>
      <c r="M1335" s="88"/>
      <c r="N1335" s="88"/>
      <c r="O1335" s="88"/>
      <c r="P1335" s="88"/>
      <c r="Q1335" s="89"/>
      <c r="R1335" s="88"/>
      <c r="S1335" s="88"/>
      <c r="T1335" s="90"/>
      <c r="U1335" s="6"/>
      <c r="V1335" s="87">
        <v>45859</v>
      </c>
      <c r="W1335" s="45">
        <v>284.70999999999998</v>
      </c>
      <c r="X1335" s="91"/>
      <c r="Y1335" s="77"/>
      <c r="Z1335" s="5"/>
      <c r="AA1335" s="5"/>
      <c r="AB1335" s="5"/>
      <c r="AC1335" s="5"/>
      <c r="AD1335" s="5"/>
      <c r="AE1335" s="5"/>
      <c r="AF1335" s="5"/>
      <c r="AG1335" s="5"/>
      <c r="AH1335" s="6"/>
      <c r="AI1335" s="87">
        <v>45859</v>
      </c>
      <c r="AJ1335" s="53">
        <v>284.70999999999998</v>
      </c>
      <c r="AK1335" s="54">
        <f t="shared" si="220"/>
        <v>-4.0577885052647256E-3</v>
      </c>
      <c r="AL1335" s="55">
        <f t="shared" si="223"/>
        <v>11.905860782957138</v>
      </c>
      <c r="AM1335" s="56">
        <v>25</v>
      </c>
      <c r="AN1335" s="57">
        <f t="shared" si="221"/>
        <v>13.094139217042862</v>
      </c>
      <c r="AO1335" s="76">
        <f t="shared" si="224"/>
        <v>14.936536436221417</v>
      </c>
      <c r="AP1335" s="63" t="str">
        <f t="shared" si="225"/>
        <v>Buy Stocks</v>
      </c>
      <c r="AQ1335" s="63" t="str">
        <f t="shared" si="226"/>
        <v/>
      </c>
      <c r="AR1335" s="63" t="str">
        <f t="shared" si="227"/>
        <v/>
      </c>
      <c r="AS1335" s="63" t="str">
        <f t="shared" si="228"/>
        <v/>
      </c>
      <c r="AT1335" s="78" t="str">
        <f t="shared" si="229"/>
        <v/>
      </c>
      <c r="AU1335" s="78" t="str">
        <f t="shared" si="230"/>
        <v/>
      </c>
      <c r="AV1335" s="64" t="str">
        <f ca="1">IFERROR(__xludf.DUMMYFUNCTION("IF(TRIM(AU1335)="""","""",AU1335/INDEX(FILTER(AT$3:AT1335,TRIM(AT$3:AT1335)&lt;&gt;""""),ROWS(FILTER(AT$3:AT1335,TRIM(AT$3:AT1335)&lt;&gt;"""")))-1)"),"")</f>
        <v/>
      </c>
      <c r="AW1335" s="65" t="e">
        <f t="shared" ca="1" si="222"/>
        <v>#VALUE!</v>
      </c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</row>
    <row r="1336" spans="1:68" ht="19" x14ac:dyDescent="0.25">
      <c r="A1336" s="5"/>
      <c r="B1336" s="5"/>
      <c r="C1336" s="5"/>
      <c r="D1336" s="5"/>
      <c r="E1336" s="5"/>
      <c r="F1336" s="5"/>
      <c r="G1336" s="5"/>
      <c r="H1336" s="6"/>
      <c r="I1336" s="5"/>
      <c r="J1336" s="88"/>
      <c r="K1336" s="88"/>
      <c r="L1336" s="88"/>
      <c r="M1336" s="88"/>
      <c r="N1336" s="88"/>
      <c r="O1336" s="88"/>
      <c r="P1336" s="88"/>
      <c r="Q1336" s="89"/>
      <c r="R1336" s="88"/>
      <c r="S1336" s="88"/>
      <c r="T1336" s="90"/>
      <c r="U1336" s="6"/>
      <c r="V1336" s="87">
        <v>45860</v>
      </c>
      <c r="W1336" s="45">
        <v>281.95999999999998</v>
      </c>
      <c r="X1336" s="91"/>
      <c r="Y1336" s="77"/>
      <c r="Z1336" s="5"/>
      <c r="AA1336" s="5"/>
      <c r="AB1336" s="5"/>
      <c r="AC1336" s="5"/>
      <c r="AD1336" s="5"/>
      <c r="AE1336" s="5"/>
      <c r="AF1336" s="5"/>
      <c r="AG1336" s="5"/>
      <c r="AH1336" s="6"/>
      <c r="AI1336" s="87">
        <v>45860</v>
      </c>
      <c r="AJ1336" s="53">
        <v>281.95999999999998</v>
      </c>
      <c r="AK1336" s="54">
        <f t="shared" si="220"/>
        <v>-9.6589512135154543E-3</v>
      </c>
      <c r="AL1336" s="55">
        <f t="shared" si="223"/>
        <v>13.85197820971557</v>
      </c>
      <c r="AM1336" s="56">
        <v>25</v>
      </c>
      <c r="AN1336" s="57">
        <f t="shared" si="221"/>
        <v>11.14802179028443</v>
      </c>
      <c r="AO1336" s="76">
        <f t="shared" si="224"/>
        <v>14.032715764644816</v>
      </c>
      <c r="AP1336" s="63" t="str">
        <f t="shared" si="225"/>
        <v>Buy Stocks</v>
      </c>
      <c r="AQ1336" s="63" t="str">
        <f t="shared" si="226"/>
        <v/>
      </c>
      <c r="AR1336" s="63" t="str">
        <f t="shared" si="227"/>
        <v/>
      </c>
      <c r="AS1336" s="63" t="str">
        <f t="shared" si="228"/>
        <v/>
      </c>
      <c r="AT1336" s="78" t="str">
        <f t="shared" si="229"/>
        <v/>
      </c>
      <c r="AU1336" s="78" t="str">
        <f t="shared" si="230"/>
        <v/>
      </c>
      <c r="AV1336" s="64" t="str">
        <f ca="1">IFERROR(__xludf.DUMMYFUNCTION("IF(TRIM(AU1336)="""","""",AU1336/INDEX(FILTER(AT$3:AT1336,TRIM(AT$3:AT1336)&lt;&gt;""""),ROWS(FILTER(AT$3:AT1336,TRIM(AT$3:AT1336)&lt;&gt;"""")))-1)"),"")</f>
        <v/>
      </c>
      <c r="AW1336" s="65" t="e">
        <f t="shared" ca="1" si="222"/>
        <v>#VALUE!</v>
      </c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</row>
    <row r="1337" spans="1:68" ht="19" x14ac:dyDescent="0.25">
      <c r="A1337" s="5"/>
      <c r="B1337" s="5"/>
      <c r="C1337" s="5"/>
      <c r="D1337" s="5"/>
      <c r="E1337" s="5"/>
      <c r="F1337" s="5"/>
      <c r="G1337" s="5"/>
      <c r="H1337" s="6"/>
      <c r="I1337" s="5"/>
      <c r="J1337" s="88"/>
      <c r="K1337" s="88"/>
      <c r="L1337" s="88"/>
      <c r="M1337" s="88"/>
      <c r="N1337" s="88"/>
      <c r="O1337" s="88"/>
      <c r="P1337" s="88"/>
      <c r="Q1337" s="89"/>
      <c r="R1337" s="88"/>
      <c r="S1337" s="88"/>
      <c r="T1337" s="90"/>
      <c r="U1337" s="6"/>
      <c r="V1337" s="87">
        <v>45861</v>
      </c>
      <c r="W1337" s="45">
        <v>282.01</v>
      </c>
      <c r="X1337" s="91"/>
      <c r="Y1337" s="77"/>
      <c r="Z1337" s="5"/>
      <c r="AA1337" s="5"/>
      <c r="AB1337" s="5"/>
      <c r="AC1337" s="5"/>
      <c r="AD1337" s="5"/>
      <c r="AE1337" s="5"/>
      <c r="AF1337" s="5"/>
      <c r="AG1337" s="5"/>
      <c r="AH1337" s="6"/>
      <c r="AI1337" s="87">
        <v>45861</v>
      </c>
      <c r="AJ1337" s="53">
        <v>282.01</v>
      </c>
      <c r="AK1337" s="54">
        <f t="shared" si="220"/>
        <v>1.7733011774723195E-4</v>
      </c>
      <c r="AL1337" s="55">
        <f t="shared" si="223"/>
        <v>13.705525999003514</v>
      </c>
      <c r="AM1337" s="56">
        <v>25</v>
      </c>
      <c r="AN1337" s="57">
        <f t="shared" si="221"/>
        <v>11.294474000996486</v>
      </c>
      <c r="AO1337" s="76">
        <f t="shared" si="224"/>
        <v>13.066822246354524</v>
      </c>
      <c r="AP1337" s="63" t="str">
        <f t="shared" si="225"/>
        <v>Buy Stocks</v>
      </c>
      <c r="AQ1337" s="63" t="str">
        <f t="shared" si="226"/>
        <v/>
      </c>
      <c r="AR1337" s="63" t="str">
        <f t="shared" si="227"/>
        <v/>
      </c>
      <c r="AS1337" s="63" t="str">
        <f t="shared" si="228"/>
        <v/>
      </c>
      <c r="AT1337" s="78" t="str">
        <f t="shared" si="229"/>
        <v/>
      </c>
      <c r="AU1337" s="78" t="str">
        <f t="shared" si="230"/>
        <v/>
      </c>
      <c r="AV1337" s="64" t="str">
        <f ca="1">IFERROR(__xludf.DUMMYFUNCTION("IF(TRIM(AU1337)="""","""",AU1337/INDEX(FILTER(AT$3:AT1337,TRIM(AT$3:AT1337)&lt;&gt;""""),ROWS(FILTER(AT$3:AT1337,TRIM(AT$3:AT1337)&lt;&gt;"""")))-1)"),"")</f>
        <v/>
      </c>
      <c r="AW1337" s="65" t="e">
        <f t="shared" ca="1" si="222"/>
        <v>#VALUE!</v>
      </c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</row>
    <row r="1338" spans="1:68" ht="19" x14ac:dyDescent="0.25">
      <c r="A1338" s="5"/>
      <c r="B1338" s="5"/>
      <c r="C1338" s="5"/>
      <c r="D1338" s="5"/>
      <c r="E1338" s="5"/>
      <c r="F1338" s="5"/>
      <c r="G1338" s="5"/>
      <c r="H1338" s="6"/>
      <c r="I1338" s="5"/>
      <c r="J1338" s="88"/>
      <c r="K1338" s="88"/>
      <c r="L1338" s="88"/>
      <c r="M1338" s="88"/>
      <c r="N1338" s="88"/>
      <c r="O1338" s="88"/>
      <c r="P1338" s="88"/>
      <c r="Q1338" s="89"/>
      <c r="R1338" s="88"/>
      <c r="S1338" s="88"/>
      <c r="T1338" s="90"/>
      <c r="U1338" s="6"/>
      <c r="V1338" s="87">
        <v>45862</v>
      </c>
      <c r="W1338" s="45">
        <v>260.51</v>
      </c>
      <c r="X1338" s="91"/>
      <c r="Y1338" s="77"/>
      <c r="Z1338" s="5"/>
      <c r="AA1338" s="5"/>
      <c r="AB1338" s="5"/>
      <c r="AC1338" s="5"/>
      <c r="AD1338" s="5"/>
      <c r="AE1338" s="5"/>
      <c r="AF1338" s="5"/>
      <c r="AG1338" s="5"/>
      <c r="AH1338" s="6"/>
      <c r="AI1338" s="87">
        <v>45862</v>
      </c>
      <c r="AJ1338" s="53">
        <v>260.51</v>
      </c>
      <c r="AK1338" s="54">
        <f t="shared" si="220"/>
        <v>-7.6238431261302808E-2</v>
      </c>
      <c r="AL1338" s="55">
        <f t="shared" si="223"/>
        <v>55.863649460220579</v>
      </c>
      <c r="AM1338" s="56">
        <v>25</v>
      </c>
      <c r="AN1338" s="57">
        <f t="shared" si="221"/>
        <v>-30.863649460220579</v>
      </c>
      <c r="AO1338" s="76">
        <f t="shared" si="224"/>
        <v>3.7002223053581416</v>
      </c>
      <c r="AP1338" s="63" t="str">
        <f t="shared" si="225"/>
        <v>Buy Stocks</v>
      </c>
      <c r="AQ1338" s="63" t="str">
        <f t="shared" si="226"/>
        <v/>
      </c>
      <c r="AR1338" s="63" t="str">
        <f t="shared" si="227"/>
        <v/>
      </c>
      <c r="AS1338" s="63" t="str">
        <f t="shared" si="228"/>
        <v/>
      </c>
      <c r="AT1338" s="78" t="str">
        <f t="shared" si="229"/>
        <v/>
      </c>
      <c r="AU1338" s="78" t="str">
        <f t="shared" si="230"/>
        <v/>
      </c>
      <c r="AV1338" s="64" t="str">
        <f ca="1">IFERROR(__xludf.DUMMYFUNCTION("IF(TRIM(AU1338)="""","""",AU1338/INDEX(FILTER(AT$3:AT1338,TRIM(AT$3:AT1338)&lt;&gt;""""),ROWS(FILTER(AT$3:AT1338,TRIM(AT$3:AT1338)&lt;&gt;"""")))-1)"),"")</f>
        <v/>
      </c>
      <c r="AW1338" s="65" t="e">
        <f t="shared" ca="1" si="222"/>
        <v>#VALUE!</v>
      </c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</row>
    <row r="1339" spans="1:68" ht="19" x14ac:dyDescent="0.25">
      <c r="A1339" s="5"/>
      <c r="B1339" s="5"/>
      <c r="C1339" s="5"/>
      <c r="D1339" s="5"/>
      <c r="E1339" s="5"/>
      <c r="F1339" s="5"/>
      <c r="G1339" s="5"/>
      <c r="H1339" s="6"/>
      <c r="I1339" s="5"/>
      <c r="J1339" s="88"/>
      <c r="K1339" s="88"/>
      <c r="L1339" s="88"/>
      <c r="M1339" s="88"/>
      <c r="N1339" s="88"/>
      <c r="O1339" s="88"/>
      <c r="P1339" s="88"/>
      <c r="Q1339" s="89"/>
      <c r="R1339" s="88"/>
      <c r="S1339" s="88"/>
      <c r="T1339" s="90"/>
      <c r="U1339" s="6"/>
      <c r="V1339" s="87">
        <v>45863</v>
      </c>
      <c r="W1339" s="45">
        <v>259.72000000000003</v>
      </c>
      <c r="X1339" s="91"/>
      <c r="Y1339" s="77"/>
      <c r="Z1339" s="5"/>
      <c r="AA1339" s="5"/>
      <c r="AB1339" s="5"/>
      <c r="AC1339" s="5"/>
      <c r="AD1339" s="5"/>
      <c r="AE1339" s="5"/>
      <c r="AF1339" s="5"/>
      <c r="AG1339" s="5"/>
      <c r="AH1339" s="6"/>
      <c r="AI1339" s="87">
        <v>45863</v>
      </c>
      <c r="AJ1339" s="53">
        <v>259.72000000000003</v>
      </c>
      <c r="AK1339" s="54">
        <f t="shared" si="220"/>
        <v>-3.0325131472879185E-3</v>
      </c>
      <c r="AL1339" s="55">
        <f t="shared" si="223"/>
        <v>51.491521655386585</v>
      </c>
      <c r="AM1339" s="56">
        <v>25</v>
      </c>
      <c r="AN1339" s="57">
        <f t="shared" si="221"/>
        <v>-26.491521655386585</v>
      </c>
      <c r="AO1339" s="76">
        <f t="shared" si="224"/>
        <v>-4.3637072214566768</v>
      </c>
      <c r="AP1339" s="63" t="str">
        <f t="shared" si="225"/>
        <v/>
      </c>
      <c r="AQ1339" s="63" t="str">
        <f t="shared" si="226"/>
        <v>Sell Stocks</v>
      </c>
      <c r="AR1339" s="63" t="str">
        <f t="shared" si="227"/>
        <v/>
      </c>
      <c r="AS1339" s="63" t="str">
        <f t="shared" si="228"/>
        <v>Sell Stocks</v>
      </c>
      <c r="AT1339" s="78" t="str">
        <f t="shared" si="229"/>
        <v/>
      </c>
      <c r="AU1339" s="77">
        <f t="shared" si="230"/>
        <v>259.72000000000003</v>
      </c>
      <c r="AV1339" s="64">
        <f ca="1">IFERROR(__xludf.DUMMYFUNCTION("IF(TRIM(AU1339)="""","""",AU1339/INDEX(FILTER(AT$3:AT1339,TRIM(AT$3:AT1339)&lt;&gt;""""),ROWS(FILTER(AT$3:AT1339,TRIM(AT$3:AT1339)&lt;&gt;"""")))-1)"),0.00522506482950824)</f>
        <v>5.2250648295082396E-3</v>
      </c>
      <c r="AW1339" s="65" t="e">
        <f t="shared" ca="1" si="222"/>
        <v>#VALUE!</v>
      </c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</row>
    <row r="1340" spans="1:68" ht="19" x14ac:dyDescent="0.25">
      <c r="A1340" s="5"/>
      <c r="B1340" s="5"/>
      <c r="C1340" s="5"/>
      <c r="D1340" s="5"/>
      <c r="E1340" s="5"/>
      <c r="F1340" s="5"/>
      <c r="G1340" s="5"/>
      <c r="H1340" s="6"/>
      <c r="I1340" s="5"/>
      <c r="J1340" s="88"/>
      <c r="K1340" s="88"/>
      <c r="L1340" s="88"/>
      <c r="M1340" s="88"/>
      <c r="N1340" s="88"/>
      <c r="O1340" s="88"/>
      <c r="P1340" s="88"/>
      <c r="Q1340" s="89"/>
      <c r="R1340" s="88"/>
      <c r="S1340" s="88"/>
      <c r="T1340" s="90"/>
      <c r="U1340" s="6"/>
      <c r="V1340" s="44">
        <v>45866</v>
      </c>
      <c r="W1340" s="45">
        <v>263.20999999999998</v>
      </c>
      <c r="X1340" s="91"/>
      <c r="Y1340" s="77"/>
      <c r="Z1340" s="5"/>
      <c r="AA1340" s="5"/>
      <c r="AB1340" s="5"/>
      <c r="AC1340" s="5"/>
      <c r="AD1340" s="5"/>
      <c r="AE1340" s="5"/>
      <c r="AF1340" s="5"/>
      <c r="AG1340" s="5"/>
      <c r="AH1340" s="6"/>
      <c r="AI1340" s="44">
        <v>45866</v>
      </c>
      <c r="AJ1340" s="53">
        <v>263.20999999999998</v>
      </c>
      <c r="AK1340" s="54">
        <f t="shared" si="220"/>
        <v>1.3437548128753862E-2</v>
      </c>
      <c r="AL1340" s="55">
        <f t="shared" si="223"/>
        <v>55.9050869899555</v>
      </c>
      <c r="AM1340" s="56">
        <v>25</v>
      </c>
      <c r="AN1340" s="57">
        <f t="shared" si="221"/>
        <v>-30.9050869899555</v>
      </c>
      <c r="AO1340" s="76">
        <f t="shared" si="224"/>
        <v>-13.163552462856348</v>
      </c>
      <c r="AP1340" s="63" t="str">
        <f t="shared" si="225"/>
        <v/>
      </c>
      <c r="AQ1340" s="63" t="str">
        <f t="shared" si="226"/>
        <v>Sell Stocks</v>
      </c>
      <c r="AR1340" s="63" t="str">
        <f t="shared" si="227"/>
        <v/>
      </c>
      <c r="AS1340" s="63" t="str">
        <f t="shared" si="228"/>
        <v/>
      </c>
      <c r="AT1340" s="78" t="str">
        <f t="shared" si="229"/>
        <v/>
      </c>
      <c r="AU1340" s="78" t="str">
        <f t="shared" si="230"/>
        <v/>
      </c>
      <c r="AV1340" s="64" t="str">
        <f ca="1">IFERROR(__xludf.DUMMYFUNCTION("IF(TRIM(AU1340)="""","""",AU1340/INDEX(FILTER(AT$3:AT1340,TRIM(AT$3:AT1340)&lt;&gt;""""),ROWS(FILTER(AT$3:AT1340,TRIM(AT$3:AT1340)&lt;&gt;"""")))-1)"),"")</f>
        <v/>
      </c>
      <c r="AW1340" s="65" t="e">
        <f t="shared" ca="1" si="222"/>
        <v>#VALUE!</v>
      </c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</row>
    <row r="1341" spans="1:68" ht="19" x14ac:dyDescent="0.25">
      <c r="A1341" s="5"/>
      <c r="B1341" s="5"/>
      <c r="C1341" s="5"/>
      <c r="D1341" s="5"/>
      <c r="E1341" s="5"/>
      <c r="F1341" s="5"/>
      <c r="G1341" s="5"/>
      <c r="H1341" s="6"/>
      <c r="I1341" s="5"/>
      <c r="J1341" s="88"/>
      <c r="K1341" s="88"/>
      <c r="L1341" s="88"/>
      <c r="M1341" s="88"/>
      <c r="N1341" s="88"/>
      <c r="O1341" s="88"/>
      <c r="P1341" s="88"/>
      <c r="Q1341" s="89"/>
      <c r="R1341" s="88"/>
      <c r="S1341" s="88"/>
      <c r="T1341" s="90"/>
      <c r="U1341" s="6"/>
      <c r="V1341" s="44">
        <v>45867</v>
      </c>
      <c r="W1341" s="45">
        <v>262.41000000000003</v>
      </c>
      <c r="X1341" s="91"/>
      <c r="Y1341" s="77"/>
      <c r="Z1341" s="5"/>
      <c r="AA1341" s="5"/>
      <c r="AB1341" s="5"/>
      <c r="AC1341" s="5"/>
      <c r="AD1341" s="5"/>
      <c r="AE1341" s="5"/>
      <c r="AF1341" s="5"/>
      <c r="AG1341" s="5"/>
      <c r="AH1341" s="6"/>
      <c r="AI1341" s="44">
        <v>45867</v>
      </c>
      <c r="AJ1341" s="53">
        <v>262.41000000000003</v>
      </c>
      <c r="AK1341" s="54">
        <f t="shared" si="220"/>
        <v>-3.0393981991564401E-3</v>
      </c>
      <c r="AL1341" s="55">
        <f t="shared" si="223"/>
        <v>56.502535372227747</v>
      </c>
      <c r="AM1341" s="56">
        <v>25</v>
      </c>
      <c r="AN1341" s="57">
        <f t="shared" si="221"/>
        <v>-31.502535372227747</v>
      </c>
      <c r="AO1341" s="76">
        <f t="shared" si="224"/>
        <v>-21.693663895358789</v>
      </c>
      <c r="AP1341" s="63" t="str">
        <f t="shared" si="225"/>
        <v/>
      </c>
      <c r="AQ1341" s="63" t="str">
        <f t="shared" si="226"/>
        <v>Sell Stocks</v>
      </c>
      <c r="AR1341" s="63" t="str">
        <f t="shared" si="227"/>
        <v/>
      </c>
      <c r="AS1341" s="63" t="str">
        <f t="shared" si="228"/>
        <v/>
      </c>
      <c r="AT1341" s="78" t="str">
        <f t="shared" si="229"/>
        <v/>
      </c>
      <c r="AU1341" s="78" t="str">
        <f t="shared" si="230"/>
        <v/>
      </c>
      <c r="AV1341" s="64" t="str">
        <f ca="1">IFERROR(__xludf.DUMMYFUNCTION("IF(TRIM(AU1341)="""","""",AU1341/INDEX(FILTER(AT$3:AT1341,TRIM(AT$3:AT1341)&lt;&gt;""""),ROWS(FILTER(AT$3:AT1341,TRIM(AT$3:AT1341)&lt;&gt;"""")))-1)"),"")</f>
        <v/>
      </c>
      <c r="AW1341" s="65" t="e">
        <f t="shared" ca="1" si="222"/>
        <v>#VALUE!</v>
      </c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</row>
    <row r="1342" spans="1:68" ht="19" x14ac:dyDescent="0.25">
      <c r="A1342" s="5"/>
      <c r="B1342" s="5"/>
      <c r="C1342" s="5"/>
      <c r="D1342" s="5"/>
      <c r="E1342" s="5"/>
      <c r="F1342" s="5"/>
      <c r="G1342" s="5"/>
      <c r="H1342" s="6"/>
      <c r="I1342" s="5"/>
      <c r="J1342" s="88"/>
      <c r="K1342" s="88"/>
      <c r="L1342" s="88"/>
      <c r="M1342" s="88"/>
      <c r="N1342" s="88"/>
      <c r="O1342" s="88"/>
      <c r="P1342" s="88"/>
      <c r="Q1342" s="89"/>
      <c r="R1342" s="88"/>
      <c r="S1342" s="88"/>
      <c r="T1342" s="90"/>
      <c r="U1342" s="6"/>
      <c r="V1342" s="44">
        <v>45868</v>
      </c>
      <c r="W1342" s="45">
        <v>260.26</v>
      </c>
      <c r="X1342" s="91"/>
      <c r="Y1342" s="77"/>
      <c r="Z1342" s="5"/>
      <c r="AA1342" s="5"/>
      <c r="AB1342" s="5"/>
      <c r="AC1342" s="5"/>
      <c r="AD1342" s="5"/>
      <c r="AE1342" s="5"/>
      <c r="AF1342" s="5"/>
      <c r="AG1342" s="5"/>
      <c r="AH1342" s="6"/>
      <c r="AI1342" s="44">
        <v>45868</v>
      </c>
      <c r="AJ1342" s="53">
        <v>260.26</v>
      </c>
      <c r="AK1342" s="54">
        <f t="shared" si="220"/>
        <v>-8.1932853168706909E-3</v>
      </c>
      <c r="AL1342" s="55">
        <f t="shared" si="223"/>
        <v>55.507424747359956</v>
      </c>
      <c r="AM1342" s="56">
        <v>25</v>
      </c>
      <c r="AN1342" s="57">
        <f t="shared" si="221"/>
        <v>-30.507424747359956</v>
      </c>
      <c r="AO1342" s="76">
        <f t="shared" si="224"/>
        <v>-30.05404364503007</v>
      </c>
      <c r="AP1342" s="63" t="str">
        <f t="shared" si="225"/>
        <v/>
      </c>
      <c r="AQ1342" s="63" t="str">
        <f t="shared" si="226"/>
        <v>Sell Stocks</v>
      </c>
      <c r="AR1342" s="63" t="str">
        <f t="shared" si="227"/>
        <v/>
      </c>
      <c r="AS1342" s="63" t="str">
        <f t="shared" si="228"/>
        <v/>
      </c>
      <c r="AT1342" s="78" t="str">
        <f t="shared" si="229"/>
        <v/>
      </c>
      <c r="AU1342" s="78" t="str">
        <f t="shared" si="230"/>
        <v/>
      </c>
      <c r="AV1342" s="64" t="str">
        <f ca="1">IFERROR(__xludf.DUMMYFUNCTION("IF(TRIM(AU1342)="""","""",AU1342/INDEX(FILTER(AT$3:AT1342,TRIM(AT$3:AT1342)&lt;&gt;""""),ROWS(FILTER(AT$3:AT1342,TRIM(AT$3:AT1342)&lt;&gt;"""")))-1)"),"")</f>
        <v/>
      </c>
      <c r="AW1342" s="65" t="e">
        <f t="shared" ca="1" si="222"/>
        <v>#VALUE!</v>
      </c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</row>
    <row r="1343" spans="1:68" ht="19" x14ac:dyDescent="0.25">
      <c r="A1343" s="5"/>
      <c r="B1343" s="5"/>
      <c r="C1343" s="5"/>
      <c r="D1343" s="5"/>
      <c r="E1343" s="5"/>
      <c r="F1343" s="5"/>
      <c r="G1343" s="5"/>
      <c r="H1343" s="6"/>
      <c r="I1343" s="5"/>
      <c r="J1343" s="88"/>
      <c r="K1343" s="88"/>
      <c r="L1343" s="88"/>
      <c r="M1343" s="88"/>
      <c r="N1343" s="88"/>
      <c r="O1343" s="88"/>
      <c r="P1343" s="88"/>
      <c r="Q1343" s="89"/>
      <c r="R1343" s="88"/>
      <c r="S1343" s="88"/>
      <c r="T1343" s="90"/>
      <c r="U1343" s="6"/>
      <c r="V1343" s="44">
        <v>45869</v>
      </c>
      <c r="W1343" s="45">
        <v>253.15</v>
      </c>
      <c r="X1343" s="91"/>
      <c r="Y1343" s="77"/>
      <c r="Z1343" s="5"/>
      <c r="AA1343" s="5"/>
      <c r="AB1343" s="5"/>
      <c r="AC1343" s="5"/>
      <c r="AD1343" s="5"/>
      <c r="AE1343" s="5"/>
      <c r="AF1343" s="5"/>
      <c r="AG1343" s="5"/>
      <c r="AH1343" s="6"/>
      <c r="AI1343" s="44">
        <v>45869</v>
      </c>
      <c r="AJ1343" s="53">
        <v>253.15</v>
      </c>
      <c r="AK1343" s="54">
        <f t="shared" si="220"/>
        <v>-2.7318835011142628E-2</v>
      </c>
      <c r="AL1343" s="55">
        <f t="shared" si="223"/>
        <v>23.19533337886336</v>
      </c>
      <c r="AM1343" s="56">
        <v>25</v>
      </c>
      <c r="AN1343" s="57">
        <f t="shared" si="221"/>
        <v>1.80466662113664</v>
      </c>
      <c r="AO1343" s="76">
        <f t="shared" si="224"/>
        <v>-23.520380428758624</v>
      </c>
      <c r="AP1343" s="63" t="str">
        <f t="shared" si="225"/>
        <v/>
      </c>
      <c r="AQ1343" s="63" t="str">
        <f t="shared" si="226"/>
        <v>Sell Stocks</v>
      </c>
      <c r="AR1343" s="63" t="str">
        <f t="shared" si="227"/>
        <v/>
      </c>
      <c r="AS1343" s="63" t="str">
        <f t="shared" si="228"/>
        <v/>
      </c>
      <c r="AT1343" s="78" t="str">
        <f t="shared" si="229"/>
        <v/>
      </c>
      <c r="AU1343" s="78" t="str">
        <f t="shared" si="230"/>
        <v/>
      </c>
      <c r="AV1343" s="64" t="str">
        <f ca="1">IFERROR(__xludf.DUMMYFUNCTION("IF(TRIM(AU1343)="""","""",AU1343/INDEX(FILTER(AT$3:AT1343,TRIM(AT$3:AT1343)&lt;&gt;""""),ROWS(FILTER(AT$3:AT1343,TRIM(AT$3:AT1343)&lt;&gt;"""")))-1)"),"")</f>
        <v/>
      </c>
      <c r="AW1343" s="65" t="e">
        <f t="shared" ca="1" si="222"/>
        <v>#VALUE!</v>
      </c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</row>
    <row r="1344" spans="1:68" ht="19" x14ac:dyDescent="0.25">
      <c r="A1344" s="5"/>
      <c r="B1344" s="5"/>
      <c r="C1344" s="5"/>
      <c r="D1344" s="5"/>
      <c r="E1344" s="5"/>
      <c r="F1344" s="5"/>
      <c r="G1344" s="5"/>
      <c r="H1344" s="6"/>
      <c r="I1344" s="5"/>
      <c r="J1344" s="88"/>
      <c r="K1344" s="88"/>
      <c r="L1344" s="88"/>
      <c r="M1344" s="88"/>
      <c r="N1344" s="88"/>
      <c r="O1344" s="88"/>
      <c r="P1344" s="88"/>
      <c r="Q1344" s="89"/>
      <c r="R1344" s="88"/>
      <c r="S1344" s="88"/>
      <c r="T1344" s="90"/>
      <c r="U1344" s="6"/>
      <c r="V1344" s="44">
        <v>45870</v>
      </c>
      <c r="W1344" s="45">
        <v>250.05</v>
      </c>
      <c r="X1344" s="91"/>
      <c r="Y1344" s="77"/>
      <c r="Z1344" s="5"/>
      <c r="AA1344" s="5"/>
      <c r="AB1344" s="5"/>
      <c r="AC1344" s="5"/>
      <c r="AD1344" s="5"/>
      <c r="AE1344" s="5"/>
      <c r="AF1344" s="5"/>
      <c r="AG1344" s="5"/>
      <c r="AH1344" s="6"/>
      <c r="AI1344" s="44">
        <v>45870</v>
      </c>
      <c r="AJ1344" s="53">
        <v>250.05</v>
      </c>
      <c r="AK1344" s="54">
        <f t="shared" si="220"/>
        <v>-1.2245704127987311E-2</v>
      </c>
      <c r="AL1344" s="55">
        <f t="shared" si="223"/>
        <v>23.46613284905925</v>
      </c>
      <c r="AM1344" s="56">
        <v>25</v>
      </c>
      <c r="AN1344" s="57">
        <f t="shared" si="221"/>
        <v>1.5338671509407504</v>
      </c>
      <c r="AO1344" s="76">
        <f t="shared" si="224"/>
        <v>-17.915302667493158</v>
      </c>
      <c r="AP1344" s="63" t="str">
        <f t="shared" si="225"/>
        <v/>
      </c>
      <c r="AQ1344" s="63" t="str">
        <f t="shared" si="226"/>
        <v>Sell Stocks</v>
      </c>
      <c r="AR1344" s="63" t="str">
        <f t="shared" si="227"/>
        <v/>
      </c>
      <c r="AS1344" s="63" t="str">
        <f t="shared" si="228"/>
        <v/>
      </c>
      <c r="AT1344" s="78" t="str">
        <f t="shared" si="229"/>
        <v/>
      </c>
      <c r="AU1344" s="78" t="str">
        <f t="shared" si="230"/>
        <v/>
      </c>
      <c r="AV1344" s="64" t="str">
        <f ca="1">IFERROR(__xludf.DUMMYFUNCTION("IF(TRIM(AU1344)="""","""",AU1344/INDEX(FILTER(AT$3:AT1344,TRIM(AT$3:AT1344)&lt;&gt;""""),ROWS(FILTER(AT$3:AT1344,TRIM(AT$3:AT1344)&lt;&gt;"""")))-1)"),"")</f>
        <v/>
      </c>
      <c r="AW1344" s="65" t="e">
        <f t="shared" ca="1" si="222"/>
        <v>#VALUE!</v>
      </c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</row>
    <row r="1345" spans="1:68" ht="19" x14ac:dyDescent="0.25">
      <c r="A1345" s="5"/>
      <c r="B1345" s="5"/>
      <c r="C1345" s="5"/>
      <c r="D1345" s="5"/>
      <c r="E1345" s="5"/>
      <c r="F1345" s="5"/>
      <c r="G1345" s="5"/>
      <c r="H1345" s="6"/>
      <c r="I1345" s="5"/>
      <c r="J1345" s="88"/>
      <c r="K1345" s="88"/>
      <c r="L1345" s="88"/>
      <c r="M1345" s="88"/>
      <c r="N1345" s="88"/>
      <c r="O1345" s="88"/>
      <c r="P1345" s="88"/>
      <c r="Q1345" s="89"/>
      <c r="R1345" s="88"/>
      <c r="S1345" s="88"/>
      <c r="T1345" s="90"/>
      <c r="U1345" s="6"/>
      <c r="V1345" s="44">
        <v>45873</v>
      </c>
      <c r="W1345" s="45">
        <v>251.98</v>
      </c>
      <c r="X1345" s="91"/>
      <c r="Y1345" s="77"/>
      <c r="Z1345" s="5"/>
      <c r="AA1345" s="5"/>
      <c r="AB1345" s="5"/>
      <c r="AC1345" s="5"/>
      <c r="AD1345" s="5"/>
      <c r="AE1345" s="5"/>
      <c r="AF1345" s="5"/>
      <c r="AG1345" s="5"/>
      <c r="AH1345" s="6"/>
      <c r="AI1345" s="44">
        <v>45873</v>
      </c>
      <c r="AJ1345" s="53">
        <v>251.98</v>
      </c>
      <c r="AK1345" s="54">
        <f t="shared" si="220"/>
        <v>7.7184563087382418E-3</v>
      </c>
      <c r="AL1345" s="55">
        <f t="shared" si="223"/>
        <v>20.40758019212177</v>
      </c>
      <c r="AM1345" s="56">
        <v>25</v>
      </c>
      <c r="AN1345" s="57">
        <f t="shared" si="221"/>
        <v>4.5924198078782297</v>
      </c>
      <c r="AO1345" s="76">
        <f t="shared" si="224"/>
        <v>-10.815801307926417</v>
      </c>
      <c r="AP1345" s="63" t="str">
        <f t="shared" si="225"/>
        <v/>
      </c>
      <c r="AQ1345" s="63" t="str">
        <f t="shared" si="226"/>
        <v>Sell Stocks</v>
      </c>
      <c r="AR1345" s="63" t="str">
        <f t="shared" si="227"/>
        <v/>
      </c>
      <c r="AS1345" s="63" t="str">
        <f t="shared" si="228"/>
        <v/>
      </c>
      <c r="AT1345" s="78" t="str">
        <f t="shared" si="229"/>
        <v/>
      </c>
      <c r="AU1345" s="78" t="str">
        <f t="shared" si="230"/>
        <v/>
      </c>
      <c r="AV1345" s="64" t="str">
        <f ca="1">IFERROR(__xludf.DUMMYFUNCTION("IF(TRIM(AU1345)="""","""",AU1345/INDEX(FILTER(AT$3:AT1345,TRIM(AT$3:AT1345)&lt;&gt;""""),ROWS(FILTER(AT$3:AT1345,TRIM(AT$3:AT1345)&lt;&gt;"""")))-1)"),"")</f>
        <v/>
      </c>
      <c r="AW1345" s="65" t="e">
        <f t="shared" ca="1" si="222"/>
        <v>#VALUE!</v>
      </c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</row>
    <row r="1346" spans="1:68" ht="19" x14ac:dyDescent="0.25">
      <c r="A1346" s="5"/>
      <c r="B1346" s="5"/>
      <c r="C1346" s="5"/>
      <c r="D1346" s="5"/>
      <c r="E1346" s="5"/>
      <c r="F1346" s="5"/>
      <c r="G1346" s="5"/>
      <c r="H1346" s="6"/>
      <c r="I1346" s="5"/>
      <c r="J1346" s="88"/>
      <c r="K1346" s="88"/>
      <c r="L1346" s="88"/>
      <c r="M1346" s="88"/>
      <c r="N1346" s="88"/>
      <c r="O1346" s="88"/>
      <c r="P1346" s="88"/>
      <c r="Q1346" s="89"/>
      <c r="R1346" s="88"/>
      <c r="S1346" s="88"/>
      <c r="T1346" s="90"/>
      <c r="U1346" s="6"/>
      <c r="V1346" s="87">
        <v>45874</v>
      </c>
      <c r="W1346" s="45">
        <v>250.67</v>
      </c>
      <c r="X1346" s="91"/>
      <c r="Y1346" s="77"/>
      <c r="Z1346" s="5"/>
      <c r="AA1346" s="5"/>
      <c r="AB1346" s="5"/>
      <c r="AC1346" s="5"/>
      <c r="AD1346" s="5"/>
      <c r="AE1346" s="5"/>
      <c r="AF1346" s="5"/>
      <c r="AG1346" s="5"/>
      <c r="AH1346" s="6"/>
      <c r="AI1346" s="87">
        <v>45874</v>
      </c>
      <c r="AJ1346" s="53">
        <v>250.67</v>
      </c>
      <c r="AK1346" s="54">
        <f t="shared" si="220"/>
        <v>-5.1988253035955001E-3</v>
      </c>
      <c r="AL1346" s="55">
        <f t="shared" si="223"/>
        <v>20.090967170184115</v>
      </c>
      <c r="AM1346" s="56">
        <v>25</v>
      </c>
      <c r="AN1346" s="57">
        <f t="shared" si="221"/>
        <v>4.9090328298158852</v>
      </c>
      <c r="AO1346" s="76">
        <f t="shared" si="224"/>
        <v>-3.5334876675176901</v>
      </c>
      <c r="AP1346" s="63" t="str">
        <f t="shared" si="225"/>
        <v/>
      </c>
      <c r="AQ1346" s="63" t="str">
        <f t="shared" si="226"/>
        <v>Sell Stocks</v>
      </c>
      <c r="AR1346" s="63" t="str">
        <f t="shared" si="227"/>
        <v/>
      </c>
      <c r="AS1346" s="63" t="str">
        <f t="shared" si="228"/>
        <v/>
      </c>
      <c r="AT1346" s="78" t="str">
        <f t="shared" si="229"/>
        <v/>
      </c>
      <c r="AU1346" s="78" t="str">
        <f t="shared" si="230"/>
        <v/>
      </c>
      <c r="AV1346" s="64" t="str">
        <f ca="1">IFERROR(__xludf.DUMMYFUNCTION("IF(TRIM(AU1346)="""","""",AU1346/INDEX(FILTER(AT$3:AT1346,TRIM(AT$3:AT1346)&lt;&gt;""""),ROWS(FILTER(AT$3:AT1346,TRIM(AT$3:AT1346)&lt;&gt;"""")))-1)"),"")</f>
        <v/>
      </c>
      <c r="AW1346" s="65" t="e">
        <f t="shared" ca="1" si="222"/>
        <v>#VALUE!</v>
      </c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</row>
    <row r="1347" spans="1:68" ht="19" x14ac:dyDescent="0.25">
      <c r="A1347" s="5"/>
      <c r="B1347" s="5"/>
      <c r="C1347" s="5"/>
      <c r="D1347" s="5"/>
      <c r="E1347" s="5"/>
      <c r="F1347" s="5"/>
      <c r="G1347" s="5"/>
      <c r="H1347" s="6"/>
      <c r="I1347" s="5"/>
      <c r="J1347" s="88"/>
      <c r="K1347" s="88"/>
      <c r="L1347" s="88"/>
      <c r="M1347" s="88"/>
      <c r="N1347" s="88"/>
      <c r="O1347" s="88"/>
      <c r="P1347" s="88"/>
      <c r="Q1347" s="89"/>
      <c r="R1347" s="88"/>
      <c r="S1347" s="88"/>
      <c r="T1347" s="90"/>
      <c r="U1347" s="6"/>
      <c r="V1347" s="87">
        <v>45875</v>
      </c>
      <c r="W1347" s="45">
        <v>252.28</v>
      </c>
      <c r="X1347" s="91"/>
      <c r="Y1347" s="77"/>
      <c r="Z1347" s="5"/>
      <c r="AA1347" s="5"/>
      <c r="AB1347" s="5"/>
      <c r="AC1347" s="5"/>
      <c r="AD1347" s="5"/>
      <c r="AE1347" s="5"/>
      <c r="AF1347" s="5"/>
      <c r="AG1347" s="5"/>
      <c r="AH1347" s="6"/>
      <c r="AI1347" s="87">
        <v>45875</v>
      </c>
      <c r="AJ1347" s="53">
        <v>252.28</v>
      </c>
      <c r="AK1347" s="54">
        <f t="shared" ref="AK1347:AK1410" si="231">AJ1347/AJ1346-1</f>
        <v>6.4227869310249375E-3</v>
      </c>
      <c r="AL1347" s="55">
        <f t="shared" si="223"/>
        <v>22.957575008613912</v>
      </c>
      <c r="AM1347" s="56">
        <v>25</v>
      </c>
      <c r="AN1347" s="57">
        <f t="shared" ref="AN1347:AN1410" si="232">AM1347-AL1347</f>
        <v>2.0424249913860884</v>
      </c>
      <c r="AO1347" s="76">
        <f t="shared" si="224"/>
        <v>2.9764822802315187</v>
      </c>
      <c r="AP1347" s="63" t="str">
        <f t="shared" si="225"/>
        <v>Buy Stocks</v>
      </c>
      <c r="AQ1347" s="63" t="str">
        <f t="shared" si="226"/>
        <v/>
      </c>
      <c r="AR1347" s="63" t="str">
        <f t="shared" si="227"/>
        <v>Buy Stocks</v>
      </c>
      <c r="AS1347" s="63" t="str">
        <f t="shared" si="228"/>
        <v/>
      </c>
      <c r="AT1347" s="77">
        <f t="shared" si="229"/>
        <v>252.28</v>
      </c>
      <c r="AU1347" s="78" t="str">
        <f t="shared" si="230"/>
        <v/>
      </c>
      <c r="AV1347" s="64" t="str">
        <f ca="1">IFERROR(__xludf.DUMMYFUNCTION("IF(TRIM(AU1347)="""","""",AU1347/INDEX(FILTER(AT$3:AT1347,TRIM(AT$3:AT1347)&lt;&gt;""""),ROWS(FILTER(AT$3:AT1347,TRIM(AT$3:AT1347)&lt;&gt;"""")))-1)"),"")</f>
        <v/>
      </c>
      <c r="AW1347" s="65" t="e">
        <f t="shared" ref="AW1347:AW1410" ca="1" si="233">AW1346*(1+AV1347)</f>
        <v>#VALUE!</v>
      </c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</row>
    <row r="1348" spans="1:68" ht="19" x14ac:dyDescent="0.25">
      <c r="A1348" s="5"/>
      <c r="B1348" s="5"/>
      <c r="C1348" s="5"/>
      <c r="D1348" s="5"/>
      <c r="E1348" s="5"/>
      <c r="F1348" s="5"/>
      <c r="G1348" s="5"/>
      <c r="H1348" s="6"/>
      <c r="I1348" s="5"/>
      <c r="J1348" s="88"/>
      <c r="K1348" s="88"/>
      <c r="L1348" s="88"/>
      <c r="M1348" s="88"/>
      <c r="N1348" s="88"/>
      <c r="O1348" s="88"/>
      <c r="P1348" s="88"/>
      <c r="Q1348" s="89"/>
      <c r="R1348" s="88"/>
      <c r="S1348" s="88"/>
      <c r="T1348" s="90"/>
      <c r="U1348" s="6"/>
      <c r="V1348" s="87">
        <v>45876</v>
      </c>
      <c r="W1348" s="45">
        <v>250.16</v>
      </c>
      <c r="X1348" s="91"/>
      <c r="Y1348" s="77"/>
      <c r="Z1348" s="5"/>
      <c r="AA1348" s="5"/>
      <c r="AB1348" s="5"/>
      <c r="AC1348" s="5"/>
      <c r="AD1348" s="5"/>
      <c r="AE1348" s="5"/>
      <c r="AF1348" s="5"/>
      <c r="AG1348" s="5"/>
      <c r="AH1348" s="6"/>
      <c r="AI1348" s="87">
        <v>45876</v>
      </c>
      <c r="AJ1348" s="53">
        <v>250.16</v>
      </c>
      <c r="AK1348" s="54">
        <f t="shared" si="231"/>
        <v>-8.4033613445377853E-3</v>
      </c>
      <c r="AL1348" s="55">
        <f t="shared" si="223"/>
        <v>14.221184239304485</v>
      </c>
      <c r="AM1348" s="56">
        <v>25</v>
      </c>
      <c r="AN1348" s="57">
        <f t="shared" si="232"/>
        <v>10.778815760695515</v>
      </c>
      <c r="AO1348" s="76">
        <f t="shared" si="224"/>
        <v>4.7713121081432934</v>
      </c>
      <c r="AP1348" s="63" t="str">
        <f t="shared" si="225"/>
        <v>Buy Stocks</v>
      </c>
      <c r="AQ1348" s="63" t="str">
        <f t="shared" si="226"/>
        <v/>
      </c>
      <c r="AR1348" s="63" t="str">
        <f t="shared" si="227"/>
        <v/>
      </c>
      <c r="AS1348" s="63" t="str">
        <f t="shared" si="228"/>
        <v/>
      </c>
      <c r="AT1348" s="78" t="str">
        <f t="shared" si="229"/>
        <v/>
      </c>
      <c r="AU1348" s="78" t="str">
        <f t="shared" si="230"/>
        <v/>
      </c>
      <c r="AV1348" s="64" t="str">
        <f ca="1">IFERROR(__xludf.DUMMYFUNCTION("IF(TRIM(AU1348)="""","""",AU1348/INDEX(FILTER(AT$3:AT1348,TRIM(AT$3:AT1348)&lt;&gt;""""),ROWS(FILTER(AT$3:AT1348,TRIM(AT$3:AT1348)&lt;&gt;"""")))-1)"),"")</f>
        <v/>
      </c>
      <c r="AW1348" s="65" t="e">
        <f t="shared" ca="1" si="233"/>
        <v>#VALUE!</v>
      </c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</row>
    <row r="1349" spans="1:68" ht="19" x14ac:dyDescent="0.25">
      <c r="A1349" s="5"/>
      <c r="B1349" s="5"/>
      <c r="C1349" s="5"/>
      <c r="D1349" s="5"/>
      <c r="E1349" s="5"/>
      <c r="F1349" s="5"/>
      <c r="G1349" s="5"/>
      <c r="H1349" s="6"/>
      <c r="I1349" s="5"/>
      <c r="J1349" s="88"/>
      <c r="K1349" s="88"/>
      <c r="L1349" s="88"/>
      <c r="M1349" s="88"/>
      <c r="N1349" s="88"/>
      <c r="O1349" s="88"/>
      <c r="P1349" s="88"/>
      <c r="Q1349" s="89"/>
      <c r="R1349" s="88"/>
      <c r="S1349" s="88"/>
      <c r="T1349" s="90"/>
      <c r="U1349" s="6"/>
      <c r="V1349" s="87">
        <v>45877</v>
      </c>
      <c r="W1349" s="45">
        <v>242.27</v>
      </c>
      <c r="X1349" s="91"/>
      <c r="Y1349" s="77"/>
      <c r="Z1349" s="5"/>
      <c r="AA1349" s="5"/>
      <c r="AB1349" s="5"/>
      <c r="AC1349" s="5"/>
      <c r="AD1349" s="5"/>
      <c r="AE1349" s="5"/>
      <c r="AF1349" s="5"/>
      <c r="AG1349" s="5"/>
      <c r="AH1349" s="6"/>
      <c r="AI1349" s="87">
        <v>45877</v>
      </c>
      <c r="AJ1349" s="53">
        <v>242.27</v>
      </c>
      <c r="AK1349" s="54">
        <f t="shared" si="231"/>
        <v>-3.153981451870802E-2</v>
      </c>
      <c r="AL1349" s="55">
        <f t="shared" si="223"/>
        <v>25.112617593806085</v>
      </c>
      <c r="AM1349" s="56">
        <v>25</v>
      </c>
      <c r="AN1349" s="57">
        <f t="shared" si="232"/>
        <v>-0.11261759380608538</v>
      </c>
      <c r="AO1349" s="76">
        <f t="shared" si="224"/>
        <v>4.442015159193927</v>
      </c>
      <c r="AP1349" s="63" t="str">
        <f t="shared" si="225"/>
        <v>Buy Stocks</v>
      </c>
      <c r="AQ1349" s="63" t="str">
        <f t="shared" si="226"/>
        <v/>
      </c>
      <c r="AR1349" s="63" t="str">
        <f t="shared" si="227"/>
        <v/>
      </c>
      <c r="AS1349" s="63" t="str">
        <f t="shared" si="228"/>
        <v/>
      </c>
      <c r="AT1349" s="78" t="str">
        <f t="shared" si="229"/>
        <v/>
      </c>
      <c r="AU1349" s="78" t="str">
        <f t="shared" si="230"/>
        <v/>
      </c>
      <c r="AV1349" s="64" t="str">
        <f ca="1">IFERROR(__xludf.DUMMYFUNCTION("IF(TRIM(AU1349)="""","""",AU1349/INDEX(FILTER(AT$3:AT1349,TRIM(AT$3:AT1349)&lt;&gt;""""),ROWS(FILTER(AT$3:AT1349,TRIM(AT$3:AT1349)&lt;&gt;"""")))-1)"),"")</f>
        <v/>
      </c>
      <c r="AW1349" s="65" t="e">
        <f t="shared" ca="1" si="233"/>
        <v>#VALUE!</v>
      </c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</row>
    <row r="1350" spans="1:68" ht="19" x14ac:dyDescent="0.25">
      <c r="A1350" s="5"/>
      <c r="B1350" s="5"/>
      <c r="C1350" s="5"/>
      <c r="D1350" s="5"/>
      <c r="E1350" s="5"/>
      <c r="F1350" s="5"/>
      <c r="G1350" s="5"/>
      <c r="H1350" s="6"/>
      <c r="I1350" s="5"/>
      <c r="J1350" s="88"/>
      <c r="K1350" s="88"/>
      <c r="L1350" s="88"/>
      <c r="M1350" s="88"/>
      <c r="N1350" s="88"/>
      <c r="O1350" s="88"/>
      <c r="P1350" s="88"/>
      <c r="Q1350" s="89"/>
      <c r="R1350" s="88"/>
      <c r="S1350" s="88"/>
      <c r="T1350" s="90"/>
      <c r="U1350" s="6"/>
      <c r="V1350" s="87">
        <v>45880</v>
      </c>
      <c r="W1350" s="45">
        <v>236.3</v>
      </c>
      <c r="X1350" s="91"/>
      <c r="Y1350" s="77"/>
      <c r="Z1350" s="5"/>
      <c r="AA1350" s="5"/>
      <c r="AB1350" s="5"/>
      <c r="AC1350" s="5"/>
      <c r="AD1350" s="5"/>
      <c r="AE1350" s="5"/>
      <c r="AF1350" s="5"/>
      <c r="AG1350" s="5"/>
      <c r="AH1350" s="6"/>
      <c r="AI1350" s="87">
        <v>45880</v>
      </c>
      <c r="AJ1350" s="53">
        <v>236.3</v>
      </c>
      <c r="AK1350" s="54">
        <f t="shared" si="231"/>
        <v>-2.4641928426961668E-2</v>
      </c>
      <c r="AL1350" s="55">
        <f t="shared" si="223"/>
        <v>24.308662908937549</v>
      </c>
      <c r="AM1350" s="56">
        <v>25</v>
      </c>
      <c r="AN1350" s="57">
        <f t="shared" si="232"/>
        <v>0.69133709106245078</v>
      </c>
      <c r="AO1350" s="76">
        <f t="shared" si="224"/>
        <v>3.6617986158307709</v>
      </c>
      <c r="AP1350" s="63" t="str">
        <f t="shared" si="225"/>
        <v>Buy Stocks</v>
      </c>
      <c r="AQ1350" s="63" t="str">
        <f t="shared" si="226"/>
        <v/>
      </c>
      <c r="AR1350" s="63" t="str">
        <f t="shared" si="227"/>
        <v/>
      </c>
      <c r="AS1350" s="63" t="str">
        <f t="shared" si="228"/>
        <v/>
      </c>
      <c r="AT1350" s="78" t="str">
        <f t="shared" si="229"/>
        <v/>
      </c>
      <c r="AU1350" s="78" t="str">
        <f t="shared" si="230"/>
        <v/>
      </c>
      <c r="AV1350" s="64" t="str">
        <f ca="1">IFERROR(__xludf.DUMMYFUNCTION("IF(TRIM(AU1350)="""","""",AU1350/INDEX(FILTER(AT$3:AT1350,TRIM(AT$3:AT1350)&lt;&gt;""""),ROWS(FILTER(AT$3:AT1350,TRIM(AT$3:AT1350)&lt;&gt;"""")))-1)"),"")</f>
        <v/>
      </c>
      <c r="AW1350" s="65" t="e">
        <f t="shared" ca="1" si="233"/>
        <v>#VALUE!</v>
      </c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</row>
    <row r="1351" spans="1:68" ht="19" x14ac:dyDescent="0.25">
      <c r="A1351" s="5"/>
      <c r="B1351" s="5"/>
      <c r="C1351" s="5"/>
      <c r="D1351" s="5"/>
      <c r="E1351" s="5"/>
      <c r="F1351" s="5"/>
      <c r="G1351" s="5"/>
      <c r="H1351" s="6"/>
      <c r="I1351" s="5"/>
      <c r="J1351" s="88"/>
      <c r="K1351" s="88"/>
      <c r="L1351" s="88"/>
      <c r="M1351" s="88"/>
      <c r="N1351" s="88"/>
      <c r="O1351" s="88"/>
      <c r="P1351" s="88"/>
      <c r="Q1351" s="89"/>
      <c r="R1351" s="88"/>
      <c r="S1351" s="88"/>
      <c r="T1351" s="90"/>
      <c r="U1351" s="6"/>
      <c r="V1351" s="87">
        <v>45881</v>
      </c>
      <c r="W1351" s="45">
        <v>234.77</v>
      </c>
      <c r="X1351" s="91"/>
      <c r="Y1351" s="77"/>
      <c r="Z1351" s="5"/>
      <c r="AA1351" s="5"/>
      <c r="AB1351" s="5"/>
      <c r="AC1351" s="5"/>
      <c r="AD1351" s="5"/>
      <c r="AE1351" s="5"/>
      <c r="AF1351" s="5"/>
      <c r="AG1351" s="5"/>
      <c r="AH1351" s="6"/>
      <c r="AI1351" s="87">
        <v>45881</v>
      </c>
      <c r="AJ1351" s="53">
        <v>234.77</v>
      </c>
      <c r="AK1351" s="54">
        <f t="shared" si="231"/>
        <v>-6.4748201438848962E-3</v>
      </c>
      <c r="AL1351" s="55">
        <f t="shared" ref="AL1351:AL1414" si="234">_xlfn.STDEV.S(AK1347:AK1351)*SQRT(252)*100</f>
        <v>24.077298359634721</v>
      </c>
      <c r="AM1351" s="56">
        <v>25</v>
      </c>
      <c r="AN1351" s="57">
        <f t="shared" si="232"/>
        <v>0.92270164036527902</v>
      </c>
      <c r="AO1351" s="76">
        <f t="shared" ref="AO1351:AO1414" si="235">AVERAGE(AN1347:AN1351)</f>
        <v>2.8645323779406495</v>
      </c>
      <c r="AP1351" s="63" t="str">
        <f t="shared" ref="AP1351:AP1414" si="236">IF(AO1351&gt;0,"Buy Stocks","")</f>
        <v>Buy Stocks</v>
      </c>
      <c r="AQ1351" s="63" t="str">
        <f t="shared" ref="AQ1351:AQ1414" si="237">IF(AO1351&lt;0,"Sell Stocks","")</f>
        <v/>
      </c>
      <c r="AR1351" s="63" t="str">
        <f t="shared" ref="AR1351:AR1414" si="238">IF(AND(AP1351="Buy Stocks",AP1350=""),"Buy Stocks","")</f>
        <v/>
      </c>
      <c r="AS1351" s="63" t="str">
        <f t="shared" ref="AS1351:AS1414" si="239">IF(AND(AQ1351="Sell Stocks",AQ1350=""),"Sell Stocks","")</f>
        <v/>
      </c>
      <c r="AT1351" s="78" t="str">
        <f t="shared" ref="AT1351:AT1414" si="240">IF(AR1351="Buy Stocks",AJ1351,"")</f>
        <v/>
      </c>
      <c r="AU1351" s="78" t="str">
        <f t="shared" ref="AU1351:AU1414" si="241">IF(AS1351="Sell Stocks",AJ1351,"")</f>
        <v/>
      </c>
      <c r="AV1351" s="64" t="str">
        <f ca="1">IFERROR(__xludf.DUMMYFUNCTION("IF(TRIM(AU1351)="""","""",AU1351/INDEX(FILTER(AT$3:AT1351,TRIM(AT$3:AT1351)&lt;&gt;""""),ROWS(FILTER(AT$3:AT1351,TRIM(AT$3:AT1351)&lt;&gt;"""")))-1)"),"")</f>
        <v/>
      </c>
      <c r="AW1351" s="65" t="e">
        <f t="shared" ca="1" si="233"/>
        <v>#VALUE!</v>
      </c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</row>
    <row r="1352" spans="1:68" ht="19" x14ac:dyDescent="0.25">
      <c r="A1352" s="5"/>
      <c r="B1352" s="5"/>
      <c r="C1352" s="5"/>
      <c r="D1352" s="5"/>
      <c r="E1352" s="5"/>
      <c r="F1352" s="5"/>
      <c r="G1352" s="5"/>
      <c r="H1352" s="6"/>
      <c r="I1352" s="5"/>
      <c r="J1352" s="88"/>
      <c r="K1352" s="88"/>
      <c r="L1352" s="88"/>
      <c r="M1352" s="88"/>
      <c r="N1352" s="88"/>
      <c r="O1352" s="88"/>
      <c r="P1352" s="88"/>
      <c r="Q1352" s="89"/>
      <c r="R1352" s="88"/>
      <c r="S1352" s="88"/>
      <c r="T1352" s="90"/>
      <c r="U1352" s="6"/>
      <c r="V1352" s="87">
        <v>45882</v>
      </c>
      <c r="W1352" s="45">
        <v>240.07</v>
      </c>
      <c r="X1352" s="91"/>
      <c r="Y1352" s="77"/>
      <c r="Z1352" s="5"/>
      <c r="AA1352" s="5"/>
      <c r="AB1352" s="5"/>
      <c r="AC1352" s="5"/>
      <c r="AD1352" s="5"/>
      <c r="AE1352" s="5"/>
      <c r="AF1352" s="5"/>
      <c r="AG1352" s="5"/>
      <c r="AH1352" s="6"/>
      <c r="AI1352" s="87">
        <v>45882</v>
      </c>
      <c r="AJ1352" s="53">
        <v>240.07</v>
      </c>
      <c r="AK1352" s="54">
        <f t="shared" si="231"/>
        <v>2.257528645056861E-2</v>
      </c>
      <c r="AL1352" s="55">
        <f t="shared" si="234"/>
        <v>33.241991284472533</v>
      </c>
      <c r="AM1352" s="56">
        <v>25</v>
      </c>
      <c r="AN1352" s="57">
        <f t="shared" si="232"/>
        <v>-8.2419912844725332</v>
      </c>
      <c r="AO1352" s="76">
        <f t="shared" si="235"/>
        <v>0.80764912276892531</v>
      </c>
      <c r="AP1352" s="63" t="str">
        <f t="shared" si="236"/>
        <v>Buy Stocks</v>
      </c>
      <c r="AQ1352" s="63" t="str">
        <f t="shared" si="237"/>
        <v/>
      </c>
      <c r="AR1352" s="63" t="str">
        <f t="shared" si="238"/>
        <v/>
      </c>
      <c r="AS1352" s="63" t="str">
        <f t="shared" si="239"/>
        <v/>
      </c>
      <c r="AT1352" s="78" t="str">
        <f t="shared" si="240"/>
        <v/>
      </c>
      <c r="AU1352" s="78" t="str">
        <f t="shared" si="241"/>
        <v/>
      </c>
      <c r="AV1352" s="64" t="str">
        <f ca="1">IFERROR(__xludf.DUMMYFUNCTION("IF(TRIM(AU1352)="""","""",AU1352/INDEX(FILTER(AT$3:AT1352,TRIM(AT$3:AT1352)&lt;&gt;""""),ROWS(FILTER(AT$3:AT1352,TRIM(AT$3:AT1352)&lt;&gt;"""")))-1)"),"")</f>
        <v/>
      </c>
      <c r="AW1352" s="65" t="e">
        <f t="shared" ca="1" si="233"/>
        <v>#VALUE!</v>
      </c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</row>
    <row r="1353" spans="1:68" ht="19" x14ac:dyDescent="0.25">
      <c r="A1353" s="5"/>
      <c r="B1353" s="5"/>
      <c r="C1353" s="5"/>
      <c r="D1353" s="5"/>
      <c r="E1353" s="5"/>
      <c r="F1353" s="5"/>
      <c r="G1353" s="5"/>
      <c r="H1353" s="6"/>
      <c r="I1353" s="5"/>
      <c r="J1353" s="88"/>
      <c r="K1353" s="88"/>
      <c r="L1353" s="88"/>
      <c r="M1353" s="88"/>
      <c r="N1353" s="88"/>
      <c r="O1353" s="88"/>
      <c r="P1353" s="88"/>
      <c r="Q1353" s="89"/>
      <c r="R1353" s="88"/>
      <c r="S1353" s="88"/>
      <c r="T1353" s="90"/>
      <c r="U1353" s="6"/>
      <c r="V1353" s="87">
        <v>45883</v>
      </c>
      <c r="W1353" s="45">
        <v>237.11</v>
      </c>
      <c r="X1353" s="91"/>
      <c r="Y1353" s="77"/>
      <c r="Z1353" s="5"/>
      <c r="AA1353" s="5"/>
      <c r="AB1353" s="5"/>
      <c r="AC1353" s="5"/>
      <c r="AD1353" s="5"/>
      <c r="AE1353" s="5"/>
      <c r="AF1353" s="5"/>
      <c r="AG1353" s="5"/>
      <c r="AH1353" s="6"/>
      <c r="AI1353" s="87">
        <v>45883</v>
      </c>
      <c r="AJ1353" s="53">
        <v>237.11</v>
      </c>
      <c r="AK1353" s="54">
        <f t="shared" si="231"/>
        <v>-1.2329737159994969E-2</v>
      </c>
      <c r="AL1353" s="55">
        <f t="shared" si="234"/>
        <v>33.262595951826981</v>
      </c>
      <c r="AM1353" s="56">
        <v>25</v>
      </c>
      <c r="AN1353" s="57">
        <f t="shared" si="232"/>
        <v>-8.2625959518269809</v>
      </c>
      <c r="AO1353" s="76">
        <f t="shared" si="235"/>
        <v>-3.0006332197355738</v>
      </c>
      <c r="AP1353" s="63" t="str">
        <f t="shared" si="236"/>
        <v/>
      </c>
      <c r="AQ1353" s="63" t="str">
        <f t="shared" si="237"/>
        <v>Sell Stocks</v>
      </c>
      <c r="AR1353" s="63" t="str">
        <f t="shared" si="238"/>
        <v/>
      </c>
      <c r="AS1353" s="63" t="str">
        <f t="shared" si="239"/>
        <v>Sell Stocks</v>
      </c>
      <c r="AT1353" s="78" t="str">
        <f t="shared" si="240"/>
        <v/>
      </c>
      <c r="AU1353" s="77">
        <f t="shared" si="241"/>
        <v>237.11</v>
      </c>
      <c r="AV1353" s="64">
        <f ca="1">IFERROR(__xludf.DUMMYFUNCTION("IF(TRIM(AU1353)="""","""",AU1353/INDEX(FILTER(AT$3:AT1353,TRIM(AT$3:AT1353)&lt;&gt;""""),ROWS(FILTER(AT$3:AT1353,TRIM(AT$3:AT1353)&lt;&gt;"""")))-1)"),-0.0601315998097351)</f>
        <v>-6.0131599809735099E-2</v>
      </c>
      <c r="AW1353" s="65" t="e">
        <f t="shared" ca="1" si="233"/>
        <v>#VALUE!</v>
      </c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</row>
    <row r="1354" spans="1:68" ht="19" x14ac:dyDescent="0.25">
      <c r="A1354" s="5"/>
      <c r="B1354" s="5"/>
      <c r="C1354" s="5"/>
      <c r="D1354" s="5"/>
      <c r="E1354" s="5"/>
      <c r="F1354" s="5"/>
      <c r="G1354" s="5"/>
      <c r="H1354" s="6"/>
      <c r="I1354" s="5"/>
      <c r="J1354" s="88"/>
      <c r="K1354" s="88"/>
      <c r="L1354" s="88"/>
      <c r="M1354" s="88"/>
      <c r="N1354" s="88"/>
      <c r="O1354" s="88"/>
      <c r="P1354" s="88"/>
      <c r="Q1354" s="89"/>
      <c r="R1354" s="88"/>
      <c r="S1354" s="88"/>
      <c r="T1354" s="90"/>
      <c r="U1354" s="6"/>
      <c r="V1354" s="87">
        <v>45884</v>
      </c>
      <c r="W1354" s="45">
        <v>239.72</v>
      </c>
      <c r="X1354" s="91"/>
      <c r="Y1354" s="77"/>
      <c r="Z1354" s="5"/>
      <c r="AA1354" s="5"/>
      <c r="AB1354" s="5"/>
      <c r="AC1354" s="5"/>
      <c r="AD1354" s="5"/>
      <c r="AE1354" s="5"/>
      <c r="AF1354" s="5"/>
      <c r="AG1354" s="5"/>
      <c r="AH1354" s="6"/>
      <c r="AI1354" s="87">
        <v>45884</v>
      </c>
      <c r="AJ1354" s="53">
        <v>239.72</v>
      </c>
      <c r="AK1354" s="54">
        <f t="shared" si="231"/>
        <v>1.1007549238749803E-2</v>
      </c>
      <c r="AL1354" s="55">
        <f t="shared" si="234"/>
        <v>29.831002171804016</v>
      </c>
      <c r="AM1354" s="56">
        <v>25</v>
      </c>
      <c r="AN1354" s="57">
        <f t="shared" si="232"/>
        <v>-4.8310021718040161</v>
      </c>
      <c r="AO1354" s="76">
        <f t="shared" si="235"/>
        <v>-3.9443101353351602</v>
      </c>
      <c r="AP1354" s="63" t="str">
        <f t="shared" si="236"/>
        <v/>
      </c>
      <c r="AQ1354" s="63" t="str">
        <f t="shared" si="237"/>
        <v>Sell Stocks</v>
      </c>
      <c r="AR1354" s="63" t="str">
        <f t="shared" si="238"/>
        <v/>
      </c>
      <c r="AS1354" s="63" t="str">
        <f t="shared" si="239"/>
        <v/>
      </c>
      <c r="AT1354" s="78" t="str">
        <f t="shared" si="240"/>
        <v/>
      </c>
      <c r="AU1354" s="78" t="str">
        <f t="shared" si="241"/>
        <v/>
      </c>
      <c r="AV1354" s="64" t="str">
        <f ca="1">IFERROR(__xludf.DUMMYFUNCTION("IF(TRIM(AU1354)="""","""",AU1354/INDEX(FILTER(AT$3:AT1354,TRIM(AT$3:AT1354)&lt;&gt;""""),ROWS(FILTER(AT$3:AT1354,TRIM(AT$3:AT1354)&lt;&gt;"""")))-1)"),"")</f>
        <v/>
      </c>
      <c r="AW1354" s="65" t="e">
        <f t="shared" ca="1" si="233"/>
        <v>#VALUE!</v>
      </c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</row>
    <row r="1355" spans="1:68" ht="19" x14ac:dyDescent="0.25">
      <c r="A1355" s="5"/>
      <c r="B1355" s="5"/>
      <c r="C1355" s="5"/>
      <c r="D1355" s="5"/>
      <c r="E1355" s="5"/>
      <c r="F1355" s="5"/>
      <c r="G1355" s="5"/>
      <c r="H1355" s="6"/>
      <c r="I1355" s="5"/>
      <c r="J1355" s="88"/>
      <c r="K1355" s="88"/>
      <c r="L1355" s="88"/>
      <c r="M1355" s="88"/>
      <c r="N1355" s="88"/>
      <c r="O1355" s="88"/>
      <c r="P1355" s="88"/>
      <c r="Q1355" s="89"/>
      <c r="R1355" s="88"/>
      <c r="S1355" s="88"/>
      <c r="T1355" s="90"/>
      <c r="U1355" s="6"/>
      <c r="V1355" s="87">
        <v>45887</v>
      </c>
      <c r="W1355" s="45">
        <v>239.45</v>
      </c>
      <c r="X1355" s="91"/>
      <c r="Y1355" s="77"/>
      <c r="Z1355" s="5"/>
      <c r="AA1355" s="5"/>
      <c r="AB1355" s="5"/>
      <c r="AC1355" s="5"/>
      <c r="AD1355" s="5"/>
      <c r="AE1355" s="5"/>
      <c r="AF1355" s="5"/>
      <c r="AG1355" s="5"/>
      <c r="AH1355" s="6"/>
      <c r="AI1355" s="87">
        <v>45887</v>
      </c>
      <c r="AJ1355" s="53">
        <v>239.45</v>
      </c>
      <c r="AK1355" s="54">
        <f t="shared" si="231"/>
        <v>-1.1263140330385335E-3</v>
      </c>
      <c r="AL1355" s="55">
        <f t="shared" si="234"/>
        <v>22.291516887381157</v>
      </c>
      <c r="AM1355" s="56">
        <v>25</v>
      </c>
      <c r="AN1355" s="57">
        <f t="shared" si="232"/>
        <v>2.7084831126188433</v>
      </c>
      <c r="AO1355" s="76">
        <f t="shared" si="235"/>
        <v>-3.5408809310238816</v>
      </c>
      <c r="AP1355" s="63" t="str">
        <f t="shared" si="236"/>
        <v/>
      </c>
      <c r="AQ1355" s="63" t="str">
        <f t="shared" si="237"/>
        <v>Sell Stocks</v>
      </c>
      <c r="AR1355" s="63" t="str">
        <f t="shared" si="238"/>
        <v/>
      </c>
      <c r="AS1355" s="63" t="str">
        <f t="shared" si="239"/>
        <v/>
      </c>
      <c r="AT1355" s="78" t="str">
        <f t="shared" si="240"/>
        <v/>
      </c>
      <c r="AU1355" s="78" t="str">
        <f t="shared" si="241"/>
        <v/>
      </c>
      <c r="AV1355" s="64" t="str">
        <f ca="1">IFERROR(__xludf.DUMMYFUNCTION("IF(TRIM(AU1355)="""","""",AU1355/INDEX(FILTER(AT$3:AT1355,TRIM(AT$3:AT1355)&lt;&gt;""""),ROWS(FILTER(AT$3:AT1355,TRIM(AT$3:AT1355)&lt;&gt;"""")))-1)"),"")</f>
        <v/>
      </c>
      <c r="AW1355" s="65" t="e">
        <f t="shared" ca="1" si="233"/>
        <v>#VALUE!</v>
      </c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</row>
    <row r="1356" spans="1:68" ht="19" x14ac:dyDescent="0.25">
      <c r="A1356" s="5"/>
      <c r="B1356" s="5"/>
      <c r="C1356" s="5"/>
      <c r="D1356" s="5"/>
      <c r="E1356" s="5"/>
      <c r="F1356" s="5"/>
      <c r="G1356" s="5"/>
      <c r="H1356" s="6"/>
      <c r="I1356" s="5"/>
      <c r="J1356" s="88"/>
      <c r="K1356" s="88"/>
      <c r="L1356" s="88"/>
      <c r="M1356" s="88"/>
      <c r="N1356" s="88"/>
      <c r="O1356" s="88"/>
      <c r="P1356" s="88"/>
      <c r="Q1356" s="89"/>
      <c r="R1356" s="88"/>
      <c r="S1356" s="88"/>
      <c r="T1356" s="90"/>
      <c r="U1356" s="6"/>
      <c r="V1356" s="87">
        <v>45888</v>
      </c>
      <c r="W1356" s="45">
        <v>241.28</v>
      </c>
      <c r="X1356" s="91"/>
      <c r="Y1356" s="77"/>
      <c r="Z1356" s="5"/>
      <c r="AA1356" s="5"/>
      <c r="AB1356" s="5"/>
      <c r="AC1356" s="5"/>
      <c r="AD1356" s="5"/>
      <c r="AE1356" s="5"/>
      <c r="AF1356" s="5"/>
      <c r="AG1356" s="5"/>
      <c r="AH1356" s="6"/>
      <c r="AI1356" s="87">
        <v>45888</v>
      </c>
      <c r="AJ1356" s="53">
        <v>241.28</v>
      </c>
      <c r="AK1356" s="54">
        <f t="shared" si="231"/>
        <v>7.6425140948006565E-3</v>
      </c>
      <c r="AL1356" s="55">
        <f t="shared" si="234"/>
        <v>20.823487169097731</v>
      </c>
      <c r="AM1356" s="56">
        <v>25</v>
      </c>
      <c r="AN1356" s="57">
        <f t="shared" si="232"/>
        <v>4.1765128309022685</v>
      </c>
      <c r="AO1356" s="76">
        <f t="shared" si="235"/>
        <v>-2.8901186929164835</v>
      </c>
      <c r="AP1356" s="63" t="str">
        <f t="shared" si="236"/>
        <v/>
      </c>
      <c r="AQ1356" s="63" t="str">
        <f t="shared" si="237"/>
        <v>Sell Stocks</v>
      </c>
      <c r="AR1356" s="63" t="str">
        <f t="shared" si="238"/>
        <v/>
      </c>
      <c r="AS1356" s="63" t="str">
        <f t="shared" si="239"/>
        <v/>
      </c>
      <c r="AT1356" s="78" t="str">
        <f t="shared" si="240"/>
        <v/>
      </c>
      <c r="AU1356" s="78" t="str">
        <f t="shared" si="241"/>
        <v/>
      </c>
      <c r="AV1356" s="64" t="str">
        <f ca="1">IFERROR(__xludf.DUMMYFUNCTION("IF(TRIM(AU1356)="""","""",AU1356/INDEX(FILTER(AT$3:AT1356,TRIM(AT$3:AT1356)&lt;&gt;""""),ROWS(FILTER(AT$3:AT1356,TRIM(AT$3:AT1356)&lt;&gt;"""")))-1)"),"")</f>
        <v/>
      </c>
      <c r="AW1356" s="65" t="e">
        <f t="shared" ca="1" si="233"/>
        <v>#VALUE!</v>
      </c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</row>
    <row r="1357" spans="1:68" ht="19" x14ac:dyDescent="0.25">
      <c r="A1357" s="5"/>
      <c r="B1357" s="5"/>
      <c r="C1357" s="5"/>
      <c r="D1357" s="5"/>
      <c r="E1357" s="5"/>
      <c r="F1357" s="5"/>
      <c r="G1357" s="5"/>
      <c r="H1357" s="6"/>
      <c r="I1357" s="5"/>
      <c r="J1357" s="88"/>
      <c r="K1357" s="88"/>
      <c r="L1357" s="88"/>
      <c r="M1357" s="88"/>
      <c r="N1357" s="88"/>
      <c r="O1357" s="88"/>
      <c r="P1357" s="88"/>
      <c r="Q1357" s="89"/>
      <c r="R1357" s="88"/>
      <c r="S1357" s="88"/>
      <c r="T1357" s="90"/>
      <c r="U1357" s="6"/>
      <c r="V1357" s="87">
        <v>45889</v>
      </c>
      <c r="W1357" s="45">
        <v>242.55</v>
      </c>
      <c r="X1357" s="91"/>
      <c r="Y1357" s="77"/>
      <c r="Z1357" s="5"/>
      <c r="AA1357" s="5"/>
      <c r="AB1357" s="5"/>
      <c r="AC1357" s="5"/>
      <c r="AD1357" s="5"/>
      <c r="AE1357" s="5"/>
      <c r="AF1357" s="5"/>
      <c r="AG1357" s="5"/>
      <c r="AH1357" s="6"/>
      <c r="AI1357" s="87">
        <v>45889</v>
      </c>
      <c r="AJ1357" s="53">
        <v>242.55</v>
      </c>
      <c r="AK1357" s="54">
        <f t="shared" si="231"/>
        <v>5.26359416445632E-3</v>
      </c>
      <c r="AL1357" s="55">
        <f t="shared" si="234"/>
        <v>14.607529469433889</v>
      </c>
      <c r="AM1357" s="56">
        <v>25</v>
      </c>
      <c r="AN1357" s="57">
        <f t="shared" si="232"/>
        <v>10.392470530566111</v>
      </c>
      <c r="AO1357" s="76">
        <f t="shared" si="235"/>
        <v>0.83677367009124526</v>
      </c>
      <c r="AP1357" s="63" t="str">
        <f t="shared" si="236"/>
        <v>Buy Stocks</v>
      </c>
      <c r="AQ1357" s="63" t="str">
        <f t="shared" si="237"/>
        <v/>
      </c>
      <c r="AR1357" s="63" t="str">
        <f t="shared" si="238"/>
        <v>Buy Stocks</v>
      </c>
      <c r="AS1357" s="63" t="str">
        <f t="shared" si="239"/>
        <v/>
      </c>
      <c r="AT1357" s="77">
        <f t="shared" si="240"/>
        <v>242.55</v>
      </c>
      <c r="AU1357" s="78" t="str">
        <f t="shared" si="241"/>
        <v/>
      </c>
      <c r="AV1357" s="64" t="str">
        <f ca="1">IFERROR(__xludf.DUMMYFUNCTION("IF(TRIM(AU1357)="""","""",AU1357/INDEX(FILTER(AT$3:AT1357,TRIM(AT$3:AT1357)&lt;&gt;""""),ROWS(FILTER(AT$3:AT1357,TRIM(AT$3:AT1357)&lt;&gt;"""")))-1)"),"")</f>
        <v/>
      </c>
      <c r="AW1357" s="65" t="e">
        <f t="shared" ca="1" si="233"/>
        <v>#VALUE!</v>
      </c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</row>
    <row r="1358" spans="1:68" ht="19" x14ac:dyDescent="0.25">
      <c r="A1358" s="5"/>
      <c r="B1358" s="5"/>
      <c r="C1358" s="5"/>
      <c r="D1358" s="5"/>
      <c r="E1358" s="5"/>
      <c r="F1358" s="5"/>
      <c r="G1358" s="5"/>
      <c r="H1358" s="6"/>
      <c r="I1358" s="5"/>
      <c r="J1358" s="88"/>
      <c r="K1358" s="88"/>
      <c r="L1358" s="88"/>
      <c r="M1358" s="88"/>
      <c r="N1358" s="88"/>
      <c r="O1358" s="88"/>
      <c r="P1358" s="88"/>
      <c r="Q1358" s="89"/>
      <c r="R1358" s="88"/>
      <c r="S1358" s="88"/>
      <c r="T1358" s="90"/>
      <c r="U1358" s="6"/>
      <c r="V1358" s="87">
        <v>45890</v>
      </c>
      <c r="W1358" s="45">
        <v>239.4</v>
      </c>
      <c r="X1358" s="91"/>
      <c r="Y1358" s="77"/>
      <c r="Z1358" s="5"/>
      <c r="AA1358" s="5"/>
      <c r="AB1358" s="5"/>
      <c r="AC1358" s="5"/>
      <c r="AD1358" s="5"/>
      <c r="AE1358" s="5"/>
      <c r="AF1358" s="5"/>
      <c r="AG1358" s="5"/>
      <c r="AH1358" s="6"/>
      <c r="AI1358" s="87">
        <v>45890</v>
      </c>
      <c r="AJ1358" s="53">
        <v>239.4</v>
      </c>
      <c r="AK1358" s="54">
        <f t="shared" si="231"/>
        <v>-1.2987012987012991E-2</v>
      </c>
      <c r="AL1358" s="55">
        <f t="shared" si="234"/>
        <v>15.018018149625984</v>
      </c>
      <c r="AM1358" s="56">
        <v>25</v>
      </c>
      <c r="AN1358" s="57">
        <f t="shared" si="232"/>
        <v>9.9819818503740159</v>
      </c>
      <c r="AO1358" s="76">
        <f t="shared" si="235"/>
        <v>4.4856892305314444</v>
      </c>
      <c r="AP1358" s="63" t="str">
        <f t="shared" si="236"/>
        <v>Buy Stocks</v>
      </c>
      <c r="AQ1358" s="63" t="str">
        <f t="shared" si="237"/>
        <v/>
      </c>
      <c r="AR1358" s="63" t="str">
        <f t="shared" si="238"/>
        <v/>
      </c>
      <c r="AS1358" s="63" t="str">
        <f t="shared" si="239"/>
        <v/>
      </c>
      <c r="AT1358" s="78" t="str">
        <f t="shared" si="240"/>
        <v/>
      </c>
      <c r="AU1358" s="78" t="str">
        <f t="shared" si="241"/>
        <v/>
      </c>
      <c r="AV1358" s="64" t="str">
        <f ca="1">IFERROR(__xludf.DUMMYFUNCTION("IF(TRIM(AU1358)="""","""",AU1358/INDEX(FILTER(AT$3:AT1358,TRIM(AT$3:AT1358)&lt;&gt;""""),ROWS(FILTER(AT$3:AT1358,TRIM(AT$3:AT1358)&lt;&gt;"""")))-1)"),"")</f>
        <v/>
      </c>
      <c r="AW1358" s="65" t="e">
        <f t="shared" ca="1" si="233"/>
        <v>#VALUE!</v>
      </c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</row>
    <row r="1359" spans="1:68" ht="19" x14ac:dyDescent="0.25">
      <c r="A1359" s="5"/>
      <c r="B1359" s="5"/>
      <c r="C1359" s="5"/>
      <c r="D1359" s="5"/>
      <c r="E1359" s="5"/>
      <c r="F1359" s="5"/>
      <c r="G1359" s="5"/>
      <c r="H1359" s="6"/>
      <c r="I1359" s="5"/>
      <c r="J1359" s="88"/>
      <c r="K1359" s="88"/>
      <c r="L1359" s="88"/>
      <c r="M1359" s="88"/>
      <c r="N1359" s="88"/>
      <c r="O1359" s="88"/>
      <c r="P1359" s="88"/>
      <c r="Q1359" s="89"/>
      <c r="R1359" s="88"/>
      <c r="S1359" s="88"/>
      <c r="T1359" s="90"/>
      <c r="U1359" s="6"/>
      <c r="V1359" s="87">
        <v>45891</v>
      </c>
      <c r="W1359" s="45">
        <v>242.09</v>
      </c>
      <c r="X1359" s="91"/>
      <c r="Y1359" s="77"/>
      <c r="Z1359" s="5"/>
      <c r="AA1359" s="5"/>
      <c r="AB1359" s="5"/>
      <c r="AC1359" s="5"/>
      <c r="AD1359" s="5"/>
      <c r="AE1359" s="5"/>
      <c r="AF1359" s="5"/>
      <c r="AG1359" s="5"/>
      <c r="AH1359" s="6"/>
      <c r="AI1359" s="87">
        <v>45891</v>
      </c>
      <c r="AJ1359" s="53">
        <v>242.09</v>
      </c>
      <c r="AK1359" s="54">
        <f t="shared" si="231"/>
        <v>1.1236424394319044E-2</v>
      </c>
      <c r="AL1359" s="55">
        <f t="shared" si="234"/>
        <v>15.105509199535641</v>
      </c>
      <c r="AM1359" s="56">
        <v>25</v>
      </c>
      <c r="AN1359" s="57">
        <f t="shared" si="232"/>
        <v>9.894490800464359</v>
      </c>
      <c r="AO1359" s="76">
        <f t="shared" si="235"/>
        <v>7.4307878249851198</v>
      </c>
      <c r="AP1359" s="63" t="str">
        <f t="shared" si="236"/>
        <v>Buy Stocks</v>
      </c>
      <c r="AQ1359" s="63" t="str">
        <f t="shared" si="237"/>
        <v/>
      </c>
      <c r="AR1359" s="63" t="str">
        <f t="shared" si="238"/>
        <v/>
      </c>
      <c r="AS1359" s="63" t="str">
        <f t="shared" si="239"/>
        <v/>
      </c>
      <c r="AT1359" s="78" t="str">
        <f t="shared" si="240"/>
        <v/>
      </c>
      <c r="AU1359" s="78" t="str">
        <f t="shared" si="241"/>
        <v/>
      </c>
      <c r="AV1359" s="64" t="str">
        <f ca="1">IFERROR(__xludf.DUMMYFUNCTION("IF(TRIM(AU1359)="""","""",AU1359/INDEX(FILTER(AT$3:AT1359,TRIM(AT$3:AT1359)&lt;&gt;""""),ROWS(FILTER(AT$3:AT1359,TRIM(AT$3:AT1359)&lt;&gt;"""")))-1)"),"")</f>
        <v/>
      </c>
      <c r="AW1359" s="65" t="e">
        <f t="shared" ca="1" si="233"/>
        <v>#VALUE!</v>
      </c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</row>
    <row r="1360" spans="1:68" ht="19" x14ac:dyDescent="0.25">
      <c r="A1360" s="5"/>
      <c r="B1360" s="5"/>
      <c r="C1360" s="5"/>
      <c r="D1360" s="5"/>
      <c r="E1360" s="5"/>
      <c r="F1360" s="5"/>
      <c r="G1360" s="5"/>
      <c r="H1360" s="6"/>
      <c r="I1360" s="5"/>
      <c r="J1360" s="88"/>
      <c r="K1360" s="88"/>
      <c r="L1360" s="88"/>
      <c r="M1360" s="88"/>
      <c r="N1360" s="88"/>
      <c r="O1360" s="88"/>
      <c r="P1360" s="88"/>
      <c r="Q1360" s="89"/>
      <c r="R1360" s="88"/>
      <c r="S1360" s="88"/>
      <c r="T1360" s="90"/>
      <c r="U1360" s="6"/>
      <c r="V1360" s="87">
        <v>45894</v>
      </c>
      <c r="W1360" s="45">
        <v>239.43</v>
      </c>
      <c r="X1360" s="91"/>
      <c r="Y1360" s="77"/>
      <c r="Z1360" s="5"/>
      <c r="AA1360" s="5"/>
      <c r="AB1360" s="5"/>
      <c r="AC1360" s="5"/>
      <c r="AD1360" s="5"/>
      <c r="AE1360" s="5"/>
      <c r="AF1360" s="5"/>
      <c r="AG1360" s="5"/>
      <c r="AH1360" s="6"/>
      <c r="AI1360" s="87">
        <v>45894</v>
      </c>
      <c r="AJ1360" s="53">
        <v>239.43</v>
      </c>
      <c r="AK1360" s="54">
        <f t="shared" si="231"/>
        <v>-1.0987649221363971E-2</v>
      </c>
      <c r="AL1360" s="55">
        <f t="shared" si="234"/>
        <v>17.779377658858216</v>
      </c>
      <c r="AM1360" s="56">
        <v>25</v>
      </c>
      <c r="AN1360" s="57">
        <f t="shared" si="232"/>
        <v>7.2206223411417838</v>
      </c>
      <c r="AO1360" s="76">
        <f t="shared" si="235"/>
        <v>8.3332156706897074</v>
      </c>
      <c r="AP1360" s="63" t="str">
        <f t="shared" si="236"/>
        <v>Buy Stocks</v>
      </c>
      <c r="AQ1360" s="63" t="str">
        <f t="shared" si="237"/>
        <v/>
      </c>
      <c r="AR1360" s="63" t="str">
        <f t="shared" si="238"/>
        <v/>
      </c>
      <c r="AS1360" s="63" t="str">
        <f t="shared" si="239"/>
        <v/>
      </c>
      <c r="AT1360" s="78" t="str">
        <f t="shared" si="240"/>
        <v/>
      </c>
      <c r="AU1360" s="78" t="str">
        <f t="shared" si="241"/>
        <v/>
      </c>
      <c r="AV1360" s="64" t="str">
        <f ca="1">IFERROR(__xludf.DUMMYFUNCTION("IF(TRIM(AU1360)="""","""",AU1360/INDEX(FILTER(AT$3:AT1360,TRIM(AT$3:AT1360)&lt;&gt;""""),ROWS(FILTER(AT$3:AT1360,TRIM(AT$3:AT1360)&lt;&gt;"""")))-1)"),"")</f>
        <v/>
      </c>
      <c r="AW1360" s="65" t="e">
        <f t="shared" ca="1" si="233"/>
        <v>#VALUE!</v>
      </c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</row>
    <row r="1361" spans="1:68" ht="19" x14ac:dyDescent="0.25">
      <c r="A1361" s="5"/>
      <c r="B1361" s="5"/>
      <c r="C1361" s="5"/>
      <c r="D1361" s="5"/>
      <c r="E1361" s="5"/>
      <c r="F1361" s="5"/>
      <c r="G1361" s="5"/>
      <c r="H1361" s="6"/>
      <c r="I1361" s="5"/>
      <c r="J1361" s="88"/>
      <c r="K1361" s="88"/>
      <c r="L1361" s="88"/>
      <c r="M1361" s="88"/>
      <c r="N1361" s="88"/>
      <c r="O1361" s="88"/>
      <c r="P1361" s="88"/>
      <c r="Q1361" s="89"/>
      <c r="R1361" s="88"/>
      <c r="S1361" s="88"/>
      <c r="T1361" s="90"/>
      <c r="U1361" s="6"/>
      <c r="V1361" s="44">
        <v>45895</v>
      </c>
      <c r="W1361" s="45">
        <v>242.63</v>
      </c>
      <c r="X1361" s="91"/>
      <c r="Y1361" s="77"/>
      <c r="Z1361" s="5"/>
      <c r="AA1361" s="5"/>
      <c r="AB1361" s="5"/>
      <c r="AC1361" s="5"/>
      <c r="AD1361" s="5"/>
      <c r="AE1361" s="5"/>
      <c r="AF1361" s="5"/>
      <c r="AG1361" s="5"/>
      <c r="AH1361" s="6"/>
      <c r="AI1361" s="44">
        <v>45895</v>
      </c>
      <c r="AJ1361" s="53">
        <v>242.63</v>
      </c>
      <c r="AK1361" s="54">
        <f t="shared" si="231"/>
        <v>1.3365075387378411E-2</v>
      </c>
      <c r="AL1361" s="55">
        <f t="shared" si="234"/>
        <v>19.684380174128862</v>
      </c>
      <c r="AM1361" s="56">
        <v>25</v>
      </c>
      <c r="AN1361" s="57">
        <f t="shared" si="232"/>
        <v>5.3156198258711385</v>
      </c>
      <c r="AO1361" s="76">
        <f t="shared" si="235"/>
        <v>8.5610370696834828</v>
      </c>
      <c r="AP1361" s="63" t="str">
        <f t="shared" si="236"/>
        <v>Buy Stocks</v>
      </c>
      <c r="AQ1361" s="63" t="str">
        <f t="shared" si="237"/>
        <v/>
      </c>
      <c r="AR1361" s="63" t="str">
        <f t="shared" si="238"/>
        <v/>
      </c>
      <c r="AS1361" s="63" t="str">
        <f t="shared" si="239"/>
        <v/>
      </c>
      <c r="AT1361" s="78" t="str">
        <f t="shared" si="240"/>
        <v/>
      </c>
      <c r="AU1361" s="78" t="str">
        <f t="shared" si="241"/>
        <v/>
      </c>
      <c r="AV1361" s="64" t="str">
        <f ca="1">IFERROR(__xludf.DUMMYFUNCTION("IF(TRIM(AU1361)="""","""",AU1361/INDEX(FILTER(AT$3:AT1361,TRIM(AT$3:AT1361)&lt;&gt;""""),ROWS(FILTER(AT$3:AT1361,TRIM(AT$3:AT1361)&lt;&gt;"""")))-1)"),"")</f>
        <v/>
      </c>
      <c r="AW1361" s="65" t="e">
        <f t="shared" ca="1" si="233"/>
        <v>#VALUE!</v>
      </c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</row>
    <row r="1362" spans="1:68" ht="19" x14ac:dyDescent="0.25">
      <c r="A1362" s="5"/>
      <c r="B1362" s="5"/>
      <c r="C1362" s="5"/>
      <c r="D1362" s="5"/>
      <c r="E1362" s="5"/>
      <c r="F1362" s="5"/>
      <c r="G1362" s="5"/>
      <c r="H1362" s="6"/>
      <c r="I1362" s="5"/>
      <c r="J1362" s="88"/>
      <c r="K1362" s="88"/>
      <c r="L1362" s="88"/>
      <c r="M1362" s="88"/>
      <c r="N1362" s="88"/>
      <c r="O1362" s="88"/>
      <c r="P1362" s="88"/>
      <c r="Q1362" s="89"/>
      <c r="R1362" s="88"/>
      <c r="S1362" s="88"/>
      <c r="T1362" s="90"/>
      <c r="U1362" s="6"/>
      <c r="V1362" s="44">
        <v>45896</v>
      </c>
      <c r="W1362" s="45">
        <v>244.84</v>
      </c>
      <c r="X1362" s="91"/>
      <c r="Y1362" s="77"/>
      <c r="Z1362" s="5"/>
      <c r="AA1362" s="5"/>
      <c r="AB1362" s="5"/>
      <c r="AC1362" s="5"/>
      <c r="AD1362" s="5"/>
      <c r="AE1362" s="5"/>
      <c r="AF1362" s="5"/>
      <c r="AG1362" s="5"/>
      <c r="AH1362" s="6"/>
      <c r="AI1362" s="44">
        <v>45896</v>
      </c>
      <c r="AJ1362" s="53">
        <v>244.84</v>
      </c>
      <c r="AK1362" s="54">
        <f t="shared" si="231"/>
        <v>9.1085191443762703E-3</v>
      </c>
      <c r="AL1362" s="55">
        <f t="shared" si="234"/>
        <v>20.364634890400879</v>
      </c>
      <c r="AM1362" s="56">
        <v>25</v>
      </c>
      <c r="AN1362" s="57">
        <f t="shared" si="232"/>
        <v>4.6353651095991211</v>
      </c>
      <c r="AO1362" s="76">
        <f t="shared" si="235"/>
        <v>7.4096159854900829</v>
      </c>
      <c r="AP1362" s="63" t="str">
        <f t="shared" si="236"/>
        <v>Buy Stocks</v>
      </c>
      <c r="AQ1362" s="63" t="str">
        <f t="shared" si="237"/>
        <v/>
      </c>
      <c r="AR1362" s="63" t="str">
        <f t="shared" si="238"/>
        <v/>
      </c>
      <c r="AS1362" s="63" t="str">
        <f t="shared" si="239"/>
        <v/>
      </c>
      <c r="AT1362" s="78" t="str">
        <f t="shared" si="240"/>
        <v/>
      </c>
      <c r="AU1362" s="78" t="str">
        <f t="shared" si="241"/>
        <v/>
      </c>
      <c r="AV1362" s="64" t="str">
        <f ca="1">IFERROR(__xludf.DUMMYFUNCTION("IF(TRIM(AU1362)="""","""",AU1362/INDEX(FILTER(AT$3:AT1362,TRIM(AT$3:AT1362)&lt;&gt;""""),ROWS(FILTER(AT$3:AT1362,TRIM(AT$3:AT1362)&lt;&gt;"""")))-1)"),"")</f>
        <v/>
      </c>
      <c r="AW1362" s="65" t="e">
        <f t="shared" ca="1" si="233"/>
        <v>#VALUE!</v>
      </c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</row>
    <row r="1363" spans="1:68" ht="19" x14ac:dyDescent="0.25">
      <c r="A1363" s="5"/>
      <c r="B1363" s="5"/>
      <c r="C1363" s="5"/>
      <c r="D1363" s="5"/>
      <c r="E1363" s="5"/>
      <c r="F1363" s="5"/>
      <c r="G1363" s="5"/>
      <c r="H1363" s="6"/>
      <c r="I1363" s="5"/>
      <c r="J1363" s="88"/>
      <c r="K1363" s="88"/>
      <c r="L1363" s="88"/>
      <c r="M1363" s="88"/>
      <c r="N1363" s="88"/>
      <c r="O1363" s="88"/>
      <c r="P1363" s="88"/>
      <c r="Q1363" s="89"/>
      <c r="R1363" s="88"/>
      <c r="S1363" s="88"/>
      <c r="T1363" s="90"/>
      <c r="U1363" s="6"/>
      <c r="V1363" s="44">
        <v>45897</v>
      </c>
      <c r="W1363" s="45">
        <v>245.73</v>
      </c>
      <c r="X1363" s="91"/>
      <c r="Y1363" s="77"/>
      <c r="Z1363" s="5"/>
      <c r="AA1363" s="5"/>
      <c r="AB1363" s="5"/>
      <c r="AC1363" s="5"/>
      <c r="AD1363" s="5"/>
      <c r="AE1363" s="5"/>
      <c r="AF1363" s="5"/>
      <c r="AG1363" s="5"/>
      <c r="AH1363" s="6"/>
      <c r="AI1363" s="44">
        <v>45897</v>
      </c>
      <c r="AJ1363" s="53">
        <v>245.73</v>
      </c>
      <c r="AK1363" s="54">
        <f t="shared" si="231"/>
        <v>3.6350269563796278E-3</v>
      </c>
      <c r="AL1363" s="55">
        <f t="shared" si="234"/>
        <v>15.530408774999252</v>
      </c>
      <c r="AM1363" s="56">
        <v>25</v>
      </c>
      <c r="AN1363" s="57">
        <f t="shared" si="232"/>
        <v>9.4695912250007481</v>
      </c>
      <c r="AO1363" s="76">
        <f t="shared" si="235"/>
        <v>7.3071378604154305</v>
      </c>
      <c r="AP1363" s="63" t="str">
        <f t="shared" si="236"/>
        <v>Buy Stocks</v>
      </c>
      <c r="AQ1363" s="63" t="str">
        <f t="shared" si="237"/>
        <v/>
      </c>
      <c r="AR1363" s="63" t="str">
        <f t="shared" si="238"/>
        <v/>
      </c>
      <c r="AS1363" s="63" t="str">
        <f t="shared" si="239"/>
        <v/>
      </c>
      <c r="AT1363" s="78" t="str">
        <f t="shared" si="240"/>
        <v/>
      </c>
      <c r="AU1363" s="78" t="str">
        <f t="shared" si="241"/>
        <v/>
      </c>
      <c r="AV1363" s="64" t="str">
        <f ca="1">IFERROR(__xludf.DUMMYFUNCTION("IF(TRIM(AU1363)="""","""",AU1363/INDEX(FILTER(AT$3:AT1363,TRIM(AT$3:AT1363)&lt;&gt;""""),ROWS(FILTER(AT$3:AT1363,TRIM(AT$3:AT1363)&lt;&gt;"""")))-1)"),"")</f>
        <v/>
      </c>
      <c r="AW1363" s="65" t="e">
        <f t="shared" ca="1" si="233"/>
        <v>#VALUE!</v>
      </c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</row>
    <row r="1364" spans="1:68" ht="19" x14ac:dyDescent="0.25">
      <c r="A1364" s="5"/>
      <c r="B1364" s="5"/>
      <c r="C1364" s="5"/>
      <c r="D1364" s="5"/>
      <c r="E1364" s="5"/>
      <c r="F1364" s="5"/>
      <c r="G1364" s="5"/>
      <c r="H1364" s="6"/>
      <c r="I1364" s="5"/>
      <c r="J1364" s="88"/>
      <c r="K1364" s="88"/>
      <c r="L1364" s="88"/>
      <c r="M1364" s="88"/>
      <c r="N1364" s="88"/>
      <c r="O1364" s="88"/>
      <c r="P1364" s="88"/>
      <c r="Q1364" s="89"/>
      <c r="R1364" s="88"/>
      <c r="S1364" s="88"/>
      <c r="T1364" s="90"/>
      <c r="U1364" s="6"/>
      <c r="V1364" s="44">
        <v>45898</v>
      </c>
      <c r="W1364" s="45">
        <v>243.49</v>
      </c>
      <c r="X1364" s="91"/>
      <c r="Y1364" s="77"/>
      <c r="Z1364" s="5"/>
      <c r="AA1364" s="5"/>
      <c r="AB1364" s="5"/>
      <c r="AC1364" s="5"/>
      <c r="AD1364" s="5"/>
      <c r="AE1364" s="5"/>
      <c r="AF1364" s="5"/>
      <c r="AG1364" s="5"/>
      <c r="AH1364" s="6"/>
      <c r="AI1364" s="44">
        <v>45898</v>
      </c>
      <c r="AJ1364" s="53">
        <v>243.49</v>
      </c>
      <c r="AK1364" s="54">
        <f t="shared" si="231"/>
        <v>-9.1156960892034844E-3</v>
      </c>
      <c r="AL1364" s="55">
        <f t="shared" si="234"/>
        <v>17.233448363764175</v>
      </c>
      <c r="AM1364" s="56">
        <v>25</v>
      </c>
      <c r="AN1364" s="57">
        <f t="shared" si="232"/>
        <v>7.7665516362358247</v>
      </c>
      <c r="AO1364" s="76">
        <f t="shared" si="235"/>
        <v>6.8815500275697232</v>
      </c>
      <c r="AP1364" s="63" t="str">
        <f t="shared" si="236"/>
        <v>Buy Stocks</v>
      </c>
      <c r="AQ1364" s="63" t="str">
        <f t="shared" si="237"/>
        <v/>
      </c>
      <c r="AR1364" s="63" t="str">
        <f t="shared" si="238"/>
        <v/>
      </c>
      <c r="AS1364" s="63" t="str">
        <f t="shared" si="239"/>
        <v/>
      </c>
      <c r="AT1364" s="78" t="str">
        <f t="shared" si="240"/>
        <v/>
      </c>
      <c r="AU1364" s="78" t="str">
        <f t="shared" si="241"/>
        <v/>
      </c>
      <c r="AV1364" s="64" t="str">
        <f ca="1">IFERROR(__xludf.DUMMYFUNCTION("IF(TRIM(AU1364)="""","""",AU1364/INDEX(FILTER(AT$3:AT1364,TRIM(AT$3:AT1364)&lt;&gt;""""),ROWS(FILTER(AT$3:AT1364,TRIM(AT$3:AT1364)&lt;&gt;"""")))-1)"),"")</f>
        <v/>
      </c>
      <c r="AW1364" s="65" t="e">
        <f t="shared" ca="1" si="233"/>
        <v>#VALUE!</v>
      </c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</row>
    <row r="1365" spans="1:68" ht="19" x14ac:dyDescent="0.25">
      <c r="A1365" s="5"/>
      <c r="B1365" s="5"/>
      <c r="C1365" s="5"/>
      <c r="D1365" s="5"/>
      <c r="E1365" s="5"/>
      <c r="F1365" s="5"/>
      <c r="G1365" s="5"/>
      <c r="H1365" s="6"/>
      <c r="I1365" s="5"/>
      <c r="J1365" s="88"/>
      <c r="K1365" s="88"/>
      <c r="L1365" s="88"/>
      <c r="M1365" s="88"/>
      <c r="N1365" s="88"/>
      <c r="O1365" s="88"/>
      <c r="P1365" s="88"/>
      <c r="Q1365" s="89"/>
      <c r="R1365" s="88"/>
      <c r="S1365" s="88"/>
      <c r="T1365" s="90"/>
      <c r="U1365" s="6"/>
      <c r="V1365" s="44">
        <v>45902</v>
      </c>
      <c r="W1365" s="45">
        <v>241.5</v>
      </c>
      <c r="X1365" s="91"/>
      <c r="Y1365" s="77"/>
      <c r="Z1365" s="5"/>
      <c r="AA1365" s="5"/>
      <c r="AB1365" s="5"/>
      <c r="AC1365" s="5"/>
      <c r="AD1365" s="5"/>
      <c r="AE1365" s="5"/>
      <c r="AF1365" s="5"/>
      <c r="AG1365" s="5"/>
      <c r="AH1365" s="6"/>
      <c r="AI1365" s="44">
        <v>45902</v>
      </c>
      <c r="AJ1365" s="53">
        <v>241.5</v>
      </c>
      <c r="AK1365" s="54">
        <f t="shared" si="231"/>
        <v>-8.1728202390242144E-3</v>
      </c>
      <c r="AL1365" s="55">
        <f t="shared" si="234"/>
        <v>16.054768053965198</v>
      </c>
      <c r="AM1365" s="56">
        <v>25</v>
      </c>
      <c r="AN1365" s="57">
        <f t="shared" si="232"/>
        <v>8.9452319460348022</v>
      </c>
      <c r="AO1365" s="76">
        <f t="shared" si="235"/>
        <v>7.2264719485483271</v>
      </c>
      <c r="AP1365" s="63" t="str">
        <f t="shared" si="236"/>
        <v>Buy Stocks</v>
      </c>
      <c r="AQ1365" s="63" t="str">
        <f t="shared" si="237"/>
        <v/>
      </c>
      <c r="AR1365" s="63" t="str">
        <f t="shared" si="238"/>
        <v/>
      </c>
      <c r="AS1365" s="63" t="str">
        <f t="shared" si="239"/>
        <v/>
      </c>
      <c r="AT1365" s="78" t="str">
        <f t="shared" si="240"/>
        <v/>
      </c>
      <c r="AU1365" s="78" t="str">
        <f t="shared" si="241"/>
        <v/>
      </c>
      <c r="AV1365" s="64" t="str">
        <f ca="1">IFERROR(__xludf.DUMMYFUNCTION("IF(TRIM(AU1365)="""","""",AU1365/INDEX(FILTER(AT$3:AT1365,TRIM(AT$3:AT1365)&lt;&gt;""""),ROWS(FILTER(AT$3:AT1365,TRIM(AT$3:AT1365)&lt;&gt;"""")))-1)"),"")</f>
        <v/>
      </c>
      <c r="AW1365" s="65" t="e">
        <f t="shared" ca="1" si="233"/>
        <v>#VALUE!</v>
      </c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</row>
    <row r="1366" spans="1:68" ht="19" x14ac:dyDescent="0.25">
      <c r="A1366" s="5"/>
      <c r="B1366" s="5"/>
      <c r="C1366" s="5"/>
      <c r="D1366" s="5"/>
      <c r="E1366" s="5"/>
      <c r="F1366" s="5"/>
      <c r="G1366" s="5"/>
      <c r="H1366" s="6"/>
      <c r="I1366" s="5"/>
      <c r="J1366" s="88"/>
      <c r="K1366" s="88"/>
      <c r="L1366" s="88"/>
      <c r="M1366" s="88"/>
      <c r="N1366" s="88"/>
      <c r="O1366" s="88"/>
      <c r="P1366" s="88"/>
      <c r="Q1366" s="89"/>
      <c r="R1366" s="88"/>
      <c r="S1366" s="88"/>
      <c r="T1366" s="90"/>
      <c r="U1366" s="6"/>
      <c r="V1366" s="44">
        <v>45903</v>
      </c>
      <c r="W1366" s="45">
        <v>244.1</v>
      </c>
      <c r="X1366" s="91"/>
      <c r="Y1366" s="77"/>
      <c r="Z1366" s="5"/>
      <c r="AA1366" s="5"/>
      <c r="AB1366" s="5"/>
      <c r="AC1366" s="5"/>
      <c r="AD1366" s="5"/>
      <c r="AE1366" s="5"/>
      <c r="AF1366" s="5"/>
      <c r="AG1366" s="5"/>
      <c r="AH1366" s="6"/>
      <c r="AI1366" s="44">
        <v>45903</v>
      </c>
      <c r="AJ1366" s="53">
        <v>244.1</v>
      </c>
      <c r="AK1366" s="54">
        <f t="shared" si="231"/>
        <v>1.0766045548654235E-2</v>
      </c>
      <c r="AL1366" s="55">
        <f t="shared" si="234"/>
        <v>14.938848758860068</v>
      </c>
      <c r="AM1366" s="56">
        <v>25</v>
      </c>
      <c r="AN1366" s="57">
        <f t="shared" si="232"/>
        <v>10.061151241139932</v>
      </c>
      <c r="AO1366" s="76">
        <f t="shared" si="235"/>
        <v>8.1755782316020849</v>
      </c>
      <c r="AP1366" s="63" t="str">
        <f t="shared" si="236"/>
        <v>Buy Stocks</v>
      </c>
      <c r="AQ1366" s="63" t="str">
        <f t="shared" si="237"/>
        <v/>
      </c>
      <c r="AR1366" s="63" t="str">
        <f t="shared" si="238"/>
        <v/>
      </c>
      <c r="AS1366" s="63" t="str">
        <f t="shared" si="239"/>
        <v/>
      </c>
      <c r="AT1366" s="78" t="str">
        <f t="shared" si="240"/>
        <v/>
      </c>
      <c r="AU1366" s="78" t="str">
        <f t="shared" si="241"/>
        <v/>
      </c>
      <c r="AV1366" s="64" t="str">
        <f ca="1">IFERROR(__xludf.DUMMYFUNCTION("IF(TRIM(AU1366)="""","""",AU1366/INDEX(FILTER(AT$3:AT1366,TRIM(AT$3:AT1366)&lt;&gt;""""),ROWS(FILTER(AT$3:AT1366,TRIM(AT$3:AT1366)&lt;&gt;"""")))-1)"),"")</f>
        <v/>
      </c>
      <c r="AW1366" s="65" t="e">
        <f t="shared" ca="1" si="233"/>
        <v>#VALUE!</v>
      </c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</row>
    <row r="1367" spans="1:68" ht="19" x14ac:dyDescent="0.25">
      <c r="A1367" s="5"/>
      <c r="B1367" s="5"/>
      <c r="C1367" s="5"/>
      <c r="D1367" s="5"/>
      <c r="E1367" s="5"/>
      <c r="F1367" s="5"/>
      <c r="G1367" s="5"/>
      <c r="H1367" s="6"/>
      <c r="I1367" s="5"/>
      <c r="J1367" s="88"/>
      <c r="K1367" s="88"/>
      <c r="L1367" s="88"/>
      <c r="M1367" s="88"/>
      <c r="N1367" s="88"/>
      <c r="O1367" s="88"/>
      <c r="P1367" s="88"/>
      <c r="Q1367" s="89"/>
      <c r="R1367" s="88"/>
      <c r="S1367" s="88"/>
      <c r="T1367" s="90"/>
      <c r="U1367" s="6"/>
      <c r="V1367" s="44">
        <v>45904</v>
      </c>
      <c r="W1367" s="45">
        <v>247.18</v>
      </c>
      <c r="X1367" s="91"/>
      <c r="Y1367" s="77"/>
      <c r="Z1367" s="5"/>
      <c r="AA1367" s="5"/>
      <c r="AB1367" s="5"/>
      <c r="AC1367" s="5"/>
      <c r="AD1367" s="5"/>
      <c r="AE1367" s="5"/>
      <c r="AF1367" s="5"/>
      <c r="AG1367" s="5"/>
      <c r="AH1367" s="6"/>
      <c r="AI1367" s="44">
        <v>45904</v>
      </c>
      <c r="AJ1367" s="53">
        <v>247.18</v>
      </c>
      <c r="AK1367" s="54">
        <f t="shared" si="231"/>
        <v>1.261777959852517E-2</v>
      </c>
      <c r="AL1367" s="55">
        <f t="shared" si="234"/>
        <v>16.252669300494478</v>
      </c>
      <c r="AM1367" s="56">
        <v>25</v>
      </c>
      <c r="AN1367" s="57">
        <f t="shared" si="232"/>
        <v>8.7473306995055218</v>
      </c>
      <c r="AO1367" s="76">
        <f t="shared" si="235"/>
        <v>8.9979713495833664</v>
      </c>
      <c r="AP1367" s="63" t="str">
        <f t="shared" si="236"/>
        <v>Buy Stocks</v>
      </c>
      <c r="AQ1367" s="63" t="str">
        <f t="shared" si="237"/>
        <v/>
      </c>
      <c r="AR1367" s="63" t="str">
        <f t="shared" si="238"/>
        <v/>
      </c>
      <c r="AS1367" s="63" t="str">
        <f t="shared" si="239"/>
        <v/>
      </c>
      <c r="AT1367" s="78" t="str">
        <f t="shared" si="240"/>
        <v/>
      </c>
      <c r="AU1367" s="78" t="str">
        <f t="shared" si="241"/>
        <v/>
      </c>
      <c r="AV1367" s="64" t="str">
        <f ca="1">IFERROR(__xludf.DUMMYFUNCTION("IF(TRIM(AU1367)="""","""",AU1367/INDEX(FILTER(AT$3:AT1367,TRIM(AT$3:AT1367)&lt;&gt;""""),ROWS(FILTER(AT$3:AT1367,TRIM(AT$3:AT1367)&lt;&gt;"""")))-1)"),"")</f>
        <v/>
      </c>
      <c r="AW1367" s="65" t="e">
        <f t="shared" ca="1" si="233"/>
        <v>#VALUE!</v>
      </c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</row>
    <row r="1368" spans="1:68" ht="19" x14ac:dyDescent="0.25">
      <c r="A1368" s="5"/>
      <c r="B1368" s="5"/>
      <c r="C1368" s="5"/>
      <c r="D1368" s="5"/>
      <c r="E1368" s="5"/>
      <c r="F1368" s="5"/>
      <c r="G1368" s="5"/>
      <c r="H1368" s="6"/>
      <c r="I1368" s="5"/>
      <c r="J1368" s="88"/>
      <c r="K1368" s="88"/>
      <c r="L1368" s="88"/>
      <c r="M1368" s="88"/>
      <c r="N1368" s="88"/>
      <c r="O1368" s="88"/>
      <c r="P1368" s="88"/>
      <c r="Q1368" s="89"/>
      <c r="R1368" s="88"/>
      <c r="S1368" s="88"/>
      <c r="T1368" s="90"/>
      <c r="U1368" s="6"/>
      <c r="V1368" s="44">
        <v>45905</v>
      </c>
      <c r="W1368" s="45">
        <v>248.53</v>
      </c>
      <c r="X1368" s="91"/>
      <c r="Y1368" s="77"/>
      <c r="Z1368" s="5"/>
      <c r="AA1368" s="5"/>
      <c r="AB1368" s="5"/>
      <c r="AC1368" s="5"/>
      <c r="AD1368" s="5"/>
      <c r="AE1368" s="5"/>
      <c r="AF1368" s="5"/>
      <c r="AG1368" s="5"/>
      <c r="AH1368" s="6"/>
      <c r="AI1368" s="44">
        <v>45905</v>
      </c>
      <c r="AJ1368" s="53">
        <v>248.53</v>
      </c>
      <c r="AK1368" s="54">
        <f t="shared" si="231"/>
        <v>5.4616069261266276E-3</v>
      </c>
      <c r="AL1368" s="55">
        <f t="shared" si="234"/>
        <v>16.423091290668491</v>
      </c>
      <c r="AM1368" s="56">
        <v>25</v>
      </c>
      <c r="AN1368" s="57">
        <f t="shared" si="232"/>
        <v>8.5769087093315086</v>
      </c>
      <c r="AO1368" s="76">
        <f t="shared" si="235"/>
        <v>8.819434846449516</v>
      </c>
      <c r="AP1368" s="63" t="str">
        <f t="shared" si="236"/>
        <v>Buy Stocks</v>
      </c>
      <c r="AQ1368" s="63" t="str">
        <f t="shared" si="237"/>
        <v/>
      </c>
      <c r="AR1368" s="63" t="str">
        <f t="shared" si="238"/>
        <v/>
      </c>
      <c r="AS1368" s="63" t="str">
        <f t="shared" si="239"/>
        <v/>
      </c>
      <c r="AT1368" s="78" t="str">
        <f t="shared" si="240"/>
        <v/>
      </c>
      <c r="AU1368" s="78" t="str">
        <f t="shared" si="241"/>
        <v/>
      </c>
      <c r="AV1368" s="64" t="str">
        <f ca="1">IFERROR(__xludf.DUMMYFUNCTION("IF(TRIM(AU1368)="""","""",AU1368/INDEX(FILTER(AT$3:AT1368,TRIM(AT$3:AT1368)&lt;&gt;""""),ROWS(FILTER(AT$3:AT1368,TRIM(AT$3:AT1368)&lt;&gt;"""")))-1)"),"")</f>
        <v/>
      </c>
      <c r="AW1368" s="65" t="e">
        <f t="shared" ca="1" si="233"/>
        <v>#VALUE!</v>
      </c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</row>
    <row r="1369" spans="1:68" ht="19" x14ac:dyDescent="0.25">
      <c r="A1369" s="5"/>
      <c r="B1369" s="5"/>
      <c r="C1369" s="5"/>
      <c r="D1369" s="5"/>
      <c r="E1369" s="5"/>
      <c r="F1369" s="5"/>
      <c r="G1369" s="5"/>
      <c r="H1369" s="6"/>
      <c r="I1369" s="5"/>
      <c r="J1369" s="88"/>
      <c r="K1369" s="88"/>
      <c r="L1369" s="88"/>
      <c r="M1369" s="88"/>
      <c r="N1369" s="88"/>
      <c r="O1369" s="88"/>
      <c r="P1369" s="88"/>
      <c r="Q1369" s="89"/>
      <c r="R1369" s="88"/>
      <c r="S1369" s="88"/>
      <c r="T1369" s="90"/>
      <c r="U1369" s="6"/>
      <c r="V1369" s="44">
        <v>45908</v>
      </c>
      <c r="W1369" s="45">
        <v>256.08999999999997</v>
      </c>
      <c r="X1369" s="91"/>
      <c r="Y1369" s="77"/>
      <c r="Z1369" s="5"/>
      <c r="AA1369" s="5"/>
      <c r="AB1369" s="5"/>
      <c r="AC1369" s="5"/>
      <c r="AD1369" s="5"/>
      <c r="AE1369" s="5"/>
      <c r="AF1369" s="5"/>
      <c r="AG1369" s="5"/>
      <c r="AH1369" s="6"/>
      <c r="AI1369" s="44">
        <v>45908</v>
      </c>
      <c r="AJ1369" s="53">
        <v>256.08999999999997</v>
      </c>
      <c r="AK1369" s="54">
        <f t="shared" si="231"/>
        <v>3.041886291393392E-2</v>
      </c>
      <c r="AL1369" s="55">
        <f t="shared" si="234"/>
        <v>22.096090432366129</v>
      </c>
      <c r="AM1369" s="56">
        <v>25</v>
      </c>
      <c r="AN1369" s="57">
        <f t="shared" si="232"/>
        <v>2.9039095676338711</v>
      </c>
      <c r="AO1369" s="76">
        <f t="shared" si="235"/>
        <v>7.8469064327291278</v>
      </c>
      <c r="AP1369" s="63" t="str">
        <f t="shared" si="236"/>
        <v>Buy Stocks</v>
      </c>
      <c r="AQ1369" s="63" t="str">
        <f t="shared" si="237"/>
        <v/>
      </c>
      <c r="AR1369" s="63" t="str">
        <f t="shared" si="238"/>
        <v/>
      </c>
      <c r="AS1369" s="63" t="str">
        <f t="shared" si="239"/>
        <v/>
      </c>
      <c r="AT1369" s="78" t="str">
        <f t="shared" si="240"/>
        <v/>
      </c>
      <c r="AU1369" s="78" t="str">
        <f t="shared" si="241"/>
        <v/>
      </c>
      <c r="AV1369" s="64" t="str">
        <f ca="1">IFERROR(__xludf.DUMMYFUNCTION("IF(TRIM(AU1369)="""","""",AU1369/INDEX(FILTER(AT$3:AT1369,TRIM(AT$3:AT1369)&lt;&gt;""""),ROWS(FILTER(AT$3:AT1369,TRIM(AT$3:AT1369)&lt;&gt;"""")))-1)"),"")</f>
        <v/>
      </c>
      <c r="AW1369" s="65" t="e">
        <f t="shared" ca="1" si="233"/>
        <v>#VALUE!</v>
      </c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</row>
    <row r="1370" spans="1:68" ht="19" x14ac:dyDescent="0.25">
      <c r="A1370" s="5"/>
      <c r="B1370" s="5"/>
      <c r="C1370" s="5"/>
      <c r="D1370" s="5"/>
      <c r="E1370" s="5"/>
      <c r="F1370" s="5"/>
      <c r="G1370" s="5"/>
      <c r="H1370" s="6"/>
      <c r="I1370" s="5"/>
      <c r="J1370" s="88"/>
      <c r="K1370" s="88"/>
      <c r="L1370" s="88"/>
      <c r="M1370" s="88"/>
      <c r="N1370" s="88"/>
      <c r="O1370" s="88"/>
      <c r="P1370" s="88"/>
      <c r="Q1370" s="89"/>
      <c r="R1370" s="88"/>
      <c r="S1370" s="88"/>
      <c r="T1370" s="90"/>
      <c r="U1370" s="6"/>
      <c r="V1370" s="44">
        <v>45909</v>
      </c>
      <c r="W1370" s="45">
        <v>259.11</v>
      </c>
      <c r="X1370" s="91"/>
      <c r="Y1370" s="77"/>
      <c r="Z1370" s="5"/>
      <c r="AA1370" s="5"/>
      <c r="AB1370" s="5"/>
      <c r="AC1370" s="5"/>
      <c r="AD1370" s="5"/>
      <c r="AE1370" s="5"/>
      <c r="AF1370" s="5"/>
      <c r="AG1370" s="5"/>
      <c r="AH1370" s="6"/>
      <c r="AI1370" s="44">
        <v>45909</v>
      </c>
      <c r="AJ1370" s="53">
        <v>259.11</v>
      </c>
      <c r="AK1370" s="54">
        <f t="shared" si="231"/>
        <v>1.1792729118669465E-2</v>
      </c>
      <c r="AL1370" s="55">
        <f t="shared" si="234"/>
        <v>15.049435234711881</v>
      </c>
      <c r="AM1370" s="56">
        <v>25</v>
      </c>
      <c r="AN1370" s="57">
        <f t="shared" si="232"/>
        <v>9.9505647652881191</v>
      </c>
      <c r="AO1370" s="76">
        <f t="shared" si="235"/>
        <v>8.0479729965797908</v>
      </c>
      <c r="AP1370" s="63" t="str">
        <f t="shared" si="236"/>
        <v>Buy Stocks</v>
      </c>
      <c r="AQ1370" s="63" t="str">
        <f t="shared" si="237"/>
        <v/>
      </c>
      <c r="AR1370" s="63" t="str">
        <f t="shared" si="238"/>
        <v/>
      </c>
      <c r="AS1370" s="63" t="str">
        <f t="shared" si="239"/>
        <v/>
      </c>
      <c r="AT1370" s="78" t="str">
        <f t="shared" si="240"/>
        <v/>
      </c>
      <c r="AU1370" s="78" t="str">
        <f t="shared" si="241"/>
        <v/>
      </c>
      <c r="AV1370" s="64" t="str">
        <f ca="1">IFERROR(__xludf.DUMMYFUNCTION("IF(TRIM(AU1370)="""","""",AU1370/INDEX(FILTER(AT$3:AT1370,TRIM(AT$3:AT1370)&lt;&gt;""""),ROWS(FILTER(AT$3:AT1370,TRIM(AT$3:AT1370)&lt;&gt;"""")))-1)"),"")</f>
        <v/>
      </c>
      <c r="AW1370" s="65" t="e">
        <f t="shared" ca="1" si="233"/>
        <v>#VALUE!</v>
      </c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</row>
    <row r="1371" spans="1:68" ht="19" x14ac:dyDescent="0.25">
      <c r="A1371" s="5"/>
      <c r="B1371" s="5"/>
      <c r="C1371" s="5"/>
      <c r="D1371" s="5"/>
      <c r="E1371" s="5"/>
      <c r="F1371" s="5"/>
      <c r="G1371" s="5"/>
      <c r="H1371" s="6"/>
      <c r="I1371" s="5"/>
      <c r="J1371" s="88"/>
      <c r="K1371" s="88"/>
      <c r="L1371" s="88"/>
      <c r="M1371" s="88"/>
      <c r="N1371" s="88"/>
      <c r="O1371" s="88"/>
      <c r="P1371" s="88"/>
      <c r="Q1371" s="89"/>
      <c r="R1371" s="88"/>
      <c r="S1371" s="88"/>
      <c r="T1371" s="90"/>
      <c r="U1371" s="6"/>
      <c r="V1371" s="44">
        <v>45910</v>
      </c>
      <c r="W1371" s="45">
        <v>256.88</v>
      </c>
      <c r="X1371" s="91"/>
      <c r="Y1371" s="77"/>
      <c r="Z1371" s="5"/>
      <c r="AA1371" s="5"/>
      <c r="AB1371" s="5"/>
      <c r="AC1371" s="5"/>
      <c r="AD1371" s="5"/>
      <c r="AE1371" s="5"/>
      <c r="AF1371" s="5"/>
      <c r="AG1371" s="5"/>
      <c r="AH1371" s="6"/>
      <c r="AI1371" s="44">
        <v>45910</v>
      </c>
      <c r="AJ1371" s="53">
        <v>256.88</v>
      </c>
      <c r="AK1371" s="54">
        <f t="shared" si="231"/>
        <v>-8.6063833892942032E-3</v>
      </c>
      <c r="AL1371" s="55">
        <f t="shared" si="234"/>
        <v>22.354660324889725</v>
      </c>
      <c r="AM1371" s="56">
        <v>25</v>
      </c>
      <c r="AN1371" s="57">
        <f t="shared" si="232"/>
        <v>2.6453396751102751</v>
      </c>
      <c r="AO1371" s="76">
        <f t="shared" si="235"/>
        <v>6.5648106833738584</v>
      </c>
      <c r="AP1371" s="63" t="str">
        <f t="shared" si="236"/>
        <v>Buy Stocks</v>
      </c>
      <c r="AQ1371" s="63" t="str">
        <f t="shared" si="237"/>
        <v/>
      </c>
      <c r="AR1371" s="63" t="str">
        <f t="shared" si="238"/>
        <v/>
      </c>
      <c r="AS1371" s="63" t="str">
        <f t="shared" si="239"/>
        <v/>
      </c>
      <c r="AT1371" s="78" t="str">
        <f t="shared" si="240"/>
        <v/>
      </c>
      <c r="AU1371" s="78" t="str">
        <f t="shared" si="241"/>
        <v/>
      </c>
      <c r="AV1371" s="64" t="str">
        <f ca="1">IFERROR(__xludf.DUMMYFUNCTION("IF(TRIM(AU1371)="""","""",AU1371/INDEX(FILTER(AT$3:AT1371,TRIM(AT$3:AT1371)&lt;&gt;""""),ROWS(FILTER(AT$3:AT1371,TRIM(AT$3:AT1371)&lt;&gt;"""")))-1)"),"")</f>
        <v/>
      </c>
      <c r="AW1371" s="65" t="e">
        <f t="shared" ca="1" si="233"/>
        <v>#VALUE!</v>
      </c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</row>
    <row r="1372" spans="1:68" ht="19" x14ac:dyDescent="0.25">
      <c r="A1372" s="5"/>
      <c r="B1372" s="5"/>
      <c r="C1372" s="5"/>
      <c r="D1372" s="5"/>
      <c r="E1372" s="5"/>
      <c r="F1372" s="5"/>
      <c r="G1372" s="5"/>
      <c r="H1372" s="6"/>
      <c r="I1372" s="5"/>
      <c r="J1372" s="88"/>
      <c r="K1372" s="88"/>
      <c r="L1372" s="88"/>
      <c r="M1372" s="88"/>
      <c r="N1372" s="88"/>
      <c r="O1372" s="88"/>
      <c r="P1372" s="88"/>
      <c r="Q1372" s="89"/>
      <c r="R1372" s="88"/>
      <c r="S1372" s="88"/>
      <c r="T1372" s="90"/>
      <c r="U1372" s="6"/>
      <c r="V1372" s="44">
        <v>45911</v>
      </c>
      <c r="W1372" s="45">
        <v>257.01</v>
      </c>
      <c r="X1372" s="91"/>
      <c r="Y1372" s="77"/>
      <c r="Z1372" s="5"/>
      <c r="AA1372" s="5"/>
      <c r="AB1372" s="5"/>
      <c r="AC1372" s="5"/>
      <c r="AD1372" s="5"/>
      <c r="AE1372" s="5"/>
      <c r="AF1372" s="5"/>
      <c r="AG1372" s="5"/>
      <c r="AH1372" s="6"/>
      <c r="AI1372" s="44">
        <v>45911</v>
      </c>
      <c r="AJ1372" s="53">
        <v>257.01</v>
      </c>
      <c r="AK1372" s="54">
        <f t="shared" si="231"/>
        <v>5.0607287449389027E-4</v>
      </c>
      <c r="AL1372" s="55">
        <f t="shared" si="234"/>
        <v>23.213286883619958</v>
      </c>
      <c r="AM1372" s="56">
        <v>25</v>
      </c>
      <c r="AN1372" s="57">
        <f t="shared" si="232"/>
        <v>1.7867131163800423</v>
      </c>
      <c r="AO1372" s="76">
        <f t="shared" si="235"/>
        <v>5.1726871667487639</v>
      </c>
      <c r="AP1372" s="63" t="str">
        <f t="shared" si="236"/>
        <v>Buy Stocks</v>
      </c>
      <c r="AQ1372" s="63" t="str">
        <f t="shared" si="237"/>
        <v/>
      </c>
      <c r="AR1372" s="63" t="str">
        <f t="shared" si="238"/>
        <v/>
      </c>
      <c r="AS1372" s="63" t="str">
        <f t="shared" si="239"/>
        <v/>
      </c>
      <c r="AT1372" s="78" t="str">
        <f t="shared" si="240"/>
        <v/>
      </c>
      <c r="AU1372" s="78" t="str">
        <f t="shared" si="241"/>
        <v/>
      </c>
      <c r="AV1372" s="64" t="str">
        <f ca="1">IFERROR(__xludf.DUMMYFUNCTION("IF(TRIM(AU1372)="""","""",AU1372/INDEX(FILTER(AT$3:AT1372,TRIM(AT$3:AT1372)&lt;&gt;""""),ROWS(FILTER(AT$3:AT1372,TRIM(AT$3:AT1372)&lt;&gt;"""")))-1)"),"")</f>
        <v/>
      </c>
      <c r="AW1372" s="65" t="e">
        <f t="shared" ca="1" si="233"/>
        <v>#VALUE!</v>
      </c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</row>
    <row r="1373" spans="1:68" ht="19" x14ac:dyDescent="0.25">
      <c r="A1373" s="5"/>
      <c r="B1373" s="5"/>
      <c r="C1373" s="5"/>
      <c r="D1373" s="5"/>
      <c r="E1373" s="5"/>
      <c r="F1373" s="5"/>
      <c r="G1373" s="5"/>
      <c r="H1373" s="6"/>
      <c r="I1373" s="5"/>
      <c r="J1373" s="88"/>
      <c r="K1373" s="88"/>
      <c r="L1373" s="88"/>
      <c r="M1373" s="88"/>
      <c r="N1373" s="88"/>
      <c r="O1373" s="88"/>
      <c r="P1373" s="88"/>
      <c r="Q1373" s="89"/>
      <c r="R1373" s="88"/>
      <c r="S1373" s="88"/>
      <c r="T1373" s="90"/>
      <c r="U1373" s="6"/>
      <c r="V1373" s="44">
        <v>45912</v>
      </c>
      <c r="W1373" s="45">
        <v>253.44</v>
      </c>
      <c r="X1373" s="91"/>
      <c r="Y1373" s="77"/>
      <c r="Z1373" s="5"/>
      <c r="AA1373" s="5"/>
      <c r="AB1373" s="5"/>
      <c r="AC1373" s="5"/>
      <c r="AD1373" s="5"/>
      <c r="AE1373" s="5"/>
      <c r="AF1373" s="5"/>
      <c r="AG1373" s="5"/>
      <c r="AH1373" s="6"/>
      <c r="AI1373" s="44">
        <v>45912</v>
      </c>
      <c r="AJ1373" s="53">
        <v>253.44</v>
      </c>
      <c r="AK1373" s="54">
        <f t="shared" si="231"/>
        <v>-1.3890510096883357E-2</v>
      </c>
      <c r="AL1373" s="55">
        <f t="shared" si="234"/>
        <v>28.060993311877862</v>
      </c>
      <c r="AM1373" s="56">
        <v>25</v>
      </c>
      <c r="AN1373" s="57">
        <f t="shared" si="232"/>
        <v>-3.0609933118778621</v>
      </c>
      <c r="AO1373" s="76">
        <f t="shared" si="235"/>
        <v>2.8451067625068895</v>
      </c>
      <c r="AP1373" s="63" t="str">
        <f t="shared" si="236"/>
        <v>Buy Stocks</v>
      </c>
      <c r="AQ1373" s="63" t="str">
        <f t="shared" si="237"/>
        <v/>
      </c>
      <c r="AR1373" s="63" t="str">
        <f t="shared" si="238"/>
        <v/>
      </c>
      <c r="AS1373" s="63" t="str">
        <f t="shared" si="239"/>
        <v/>
      </c>
      <c r="AT1373" s="78" t="str">
        <f t="shared" si="240"/>
        <v/>
      </c>
      <c r="AU1373" s="78" t="str">
        <f t="shared" si="241"/>
        <v/>
      </c>
      <c r="AV1373" s="64" t="str">
        <f ca="1">IFERROR(__xludf.DUMMYFUNCTION("IF(TRIM(AU1373)="""","""",AU1373/INDEX(FILTER(AT$3:AT1373,TRIM(AT$3:AT1373)&lt;&gt;""""),ROWS(FILTER(AT$3:AT1373,TRIM(AT$3:AT1373)&lt;&gt;"""")))-1)"),"")</f>
        <v/>
      </c>
      <c r="AW1373" s="65" t="e">
        <f t="shared" ca="1" si="233"/>
        <v>#VALUE!</v>
      </c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</row>
    <row r="1374" spans="1:68" ht="19" x14ac:dyDescent="0.25">
      <c r="A1374" s="5"/>
      <c r="B1374" s="5"/>
      <c r="C1374" s="5"/>
      <c r="D1374" s="5"/>
      <c r="E1374" s="5"/>
      <c r="F1374" s="5"/>
      <c r="G1374" s="5"/>
      <c r="H1374" s="6"/>
      <c r="I1374" s="5"/>
      <c r="J1374" s="88"/>
      <c r="K1374" s="88"/>
      <c r="L1374" s="88"/>
      <c r="M1374" s="88"/>
      <c r="N1374" s="88"/>
      <c r="O1374" s="88"/>
      <c r="P1374" s="88"/>
      <c r="Q1374" s="89"/>
      <c r="R1374" s="88"/>
      <c r="S1374" s="88"/>
      <c r="T1374" s="90"/>
      <c r="U1374" s="6"/>
      <c r="V1374" s="44">
        <v>45915</v>
      </c>
      <c r="W1374" s="45">
        <v>256.24</v>
      </c>
      <c r="X1374" s="91"/>
      <c r="Y1374" s="77"/>
      <c r="Z1374" s="5"/>
      <c r="AA1374" s="5"/>
      <c r="AB1374" s="5"/>
      <c r="AC1374" s="5"/>
      <c r="AD1374" s="5"/>
      <c r="AE1374" s="5"/>
      <c r="AF1374" s="5"/>
      <c r="AG1374" s="5"/>
      <c r="AH1374" s="6"/>
      <c r="AI1374" s="44">
        <v>45915</v>
      </c>
      <c r="AJ1374" s="53">
        <v>256.24</v>
      </c>
      <c r="AK1374" s="54">
        <f t="shared" si="231"/>
        <v>1.104797979797989E-2</v>
      </c>
      <c r="AL1374" s="55">
        <f t="shared" si="234"/>
        <v>18.242808579269468</v>
      </c>
      <c r="AM1374" s="56">
        <v>25</v>
      </c>
      <c r="AN1374" s="57">
        <f t="shared" si="232"/>
        <v>6.7571914207305319</v>
      </c>
      <c r="AO1374" s="76">
        <f t="shared" si="235"/>
        <v>3.615763133126221</v>
      </c>
      <c r="AP1374" s="63" t="str">
        <f t="shared" si="236"/>
        <v>Buy Stocks</v>
      </c>
      <c r="AQ1374" s="63" t="str">
        <f t="shared" si="237"/>
        <v/>
      </c>
      <c r="AR1374" s="63" t="str">
        <f t="shared" si="238"/>
        <v/>
      </c>
      <c r="AS1374" s="63" t="str">
        <f t="shared" si="239"/>
        <v/>
      </c>
      <c r="AT1374" s="78" t="str">
        <f t="shared" si="240"/>
        <v/>
      </c>
      <c r="AU1374" s="78" t="str">
        <f t="shared" si="241"/>
        <v/>
      </c>
      <c r="AV1374" s="64" t="str">
        <f ca="1">IFERROR(__xludf.DUMMYFUNCTION("IF(TRIM(AU1374)="""","""",AU1374/INDEX(FILTER(AT$3:AT1374,TRIM(AT$3:AT1374)&lt;&gt;""""),ROWS(FILTER(AT$3:AT1374,TRIM(AT$3:AT1374)&lt;&gt;"""")))-1)"),"")</f>
        <v/>
      </c>
      <c r="AW1374" s="65" t="e">
        <f t="shared" ca="1" si="233"/>
        <v>#VALUE!</v>
      </c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</row>
    <row r="1375" spans="1:68" ht="19" x14ac:dyDescent="0.25">
      <c r="A1375" s="5"/>
      <c r="B1375" s="5"/>
      <c r="C1375" s="5"/>
      <c r="D1375" s="5"/>
      <c r="E1375" s="5"/>
      <c r="F1375" s="5"/>
      <c r="G1375" s="5"/>
      <c r="H1375" s="6"/>
      <c r="I1375" s="5"/>
      <c r="J1375" s="88"/>
      <c r="K1375" s="88"/>
      <c r="L1375" s="88"/>
      <c r="M1375" s="88"/>
      <c r="N1375" s="88"/>
      <c r="O1375" s="88"/>
      <c r="P1375" s="88"/>
      <c r="Q1375" s="89"/>
      <c r="R1375" s="88"/>
      <c r="S1375" s="88"/>
      <c r="T1375" s="90"/>
      <c r="U1375" s="6"/>
      <c r="V1375" s="44">
        <v>45916</v>
      </c>
      <c r="W1375" s="45">
        <v>257.52</v>
      </c>
      <c r="X1375" s="91"/>
      <c r="Y1375" s="77"/>
      <c r="Z1375" s="5"/>
      <c r="AA1375" s="5"/>
      <c r="AB1375" s="5"/>
      <c r="AC1375" s="5"/>
      <c r="AD1375" s="5"/>
      <c r="AE1375" s="5"/>
      <c r="AF1375" s="5"/>
      <c r="AG1375" s="5"/>
      <c r="AH1375" s="6"/>
      <c r="AI1375" s="44">
        <v>45916</v>
      </c>
      <c r="AJ1375" s="53">
        <v>257.52</v>
      </c>
      <c r="AK1375" s="54">
        <f t="shared" si="231"/>
        <v>4.9953168904151024E-3</v>
      </c>
      <c r="AL1375" s="55">
        <f t="shared" si="234"/>
        <v>16.016911474375309</v>
      </c>
      <c r="AM1375" s="56">
        <v>25</v>
      </c>
      <c r="AN1375" s="57">
        <f t="shared" si="232"/>
        <v>8.9830885256246908</v>
      </c>
      <c r="AO1375" s="76">
        <f t="shared" si="235"/>
        <v>3.4222678851935355</v>
      </c>
      <c r="AP1375" s="63" t="str">
        <f t="shared" si="236"/>
        <v>Buy Stocks</v>
      </c>
      <c r="AQ1375" s="63" t="str">
        <f t="shared" si="237"/>
        <v/>
      </c>
      <c r="AR1375" s="63" t="str">
        <f t="shared" si="238"/>
        <v/>
      </c>
      <c r="AS1375" s="63" t="str">
        <f t="shared" si="239"/>
        <v/>
      </c>
      <c r="AT1375" s="78" t="str">
        <f t="shared" si="240"/>
        <v/>
      </c>
      <c r="AU1375" s="78" t="str">
        <f t="shared" si="241"/>
        <v/>
      </c>
      <c r="AV1375" s="64" t="str">
        <f ca="1">IFERROR(__xludf.DUMMYFUNCTION("IF(TRIM(AU1375)="""","""",AU1375/INDEX(FILTER(AT$3:AT1375,TRIM(AT$3:AT1375)&lt;&gt;""""),ROWS(FILTER(AT$3:AT1375,TRIM(AT$3:AT1375)&lt;&gt;"""")))-1)"),"")</f>
        <v/>
      </c>
      <c r="AW1375" s="65" t="e">
        <f t="shared" ca="1" si="233"/>
        <v>#VALUE!</v>
      </c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</row>
    <row r="1376" spans="1:68" ht="19" x14ac:dyDescent="0.25">
      <c r="A1376" s="5"/>
      <c r="B1376" s="5"/>
      <c r="C1376" s="5"/>
      <c r="D1376" s="5"/>
      <c r="E1376" s="5"/>
      <c r="F1376" s="5"/>
      <c r="G1376" s="5"/>
      <c r="H1376" s="6"/>
      <c r="I1376" s="5"/>
      <c r="J1376" s="88"/>
      <c r="K1376" s="88"/>
      <c r="L1376" s="88"/>
      <c r="M1376" s="88"/>
      <c r="N1376" s="88"/>
      <c r="O1376" s="88"/>
      <c r="P1376" s="88"/>
      <c r="Q1376" s="89"/>
      <c r="R1376" s="88"/>
      <c r="S1376" s="88"/>
      <c r="T1376" s="90"/>
      <c r="U1376" s="6"/>
      <c r="V1376" s="44">
        <v>45917</v>
      </c>
      <c r="W1376" s="45">
        <v>259.08</v>
      </c>
      <c r="X1376" s="91"/>
      <c r="Y1376" s="77"/>
      <c r="Z1376" s="5"/>
      <c r="AA1376" s="5"/>
      <c r="AB1376" s="5"/>
      <c r="AC1376" s="5"/>
      <c r="AD1376" s="5"/>
      <c r="AE1376" s="5"/>
      <c r="AF1376" s="5"/>
      <c r="AG1376" s="5"/>
      <c r="AH1376" s="6"/>
      <c r="AI1376" s="44">
        <v>45917</v>
      </c>
      <c r="AJ1376" s="53">
        <v>259.08</v>
      </c>
      <c r="AK1376" s="54">
        <f t="shared" si="231"/>
        <v>6.0577819198508465E-3</v>
      </c>
      <c r="AL1376" s="55">
        <f t="shared" si="234"/>
        <v>15.095692614190396</v>
      </c>
      <c r="AM1376" s="56">
        <v>25</v>
      </c>
      <c r="AN1376" s="57">
        <f t="shared" si="232"/>
        <v>9.904307385809604</v>
      </c>
      <c r="AO1376" s="76">
        <f t="shared" si="235"/>
        <v>4.8740614273334018</v>
      </c>
      <c r="AP1376" s="63" t="str">
        <f t="shared" si="236"/>
        <v>Buy Stocks</v>
      </c>
      <c r="AQ1376" s="63" t="str">
        <f t="shared" si="237"/>
        <v/>
      </c>
      <c r="AR1376" s="63" t="str">
        <f t="shared" si="238"/>
        <v/>
      </c>
      <c r="AS1376" s="63" t="str">
        <f t="shared" si="239"/>
        <v/>
      </c>
      <c r="AT1376" s="78" t="str">
        <f t="shared" si="240"/>
        <v/>
      </c>
      <c r="AU1376" s="78" t="str">
        <f t="shared" si="241"/>
        <v/>
      </c>
      <c r="AV1376" s="64" t="str">
        <f ca="1">IFERROR(__xludf.DUMMYFUNCTION("IF(TRIM(AU1376)="""","""",AU1376/INDEX(FILTER(AT$3:AT1376,TRIM(AT$3:AT1376)&lt;&gt;""""),ROWS(FILTER(AT$3:AT1376,TRIM(AT$3:AT1376)&lt;&gt;"""")))-1)"),"")</f>
        <v/>
      </c>
      <c r="AW1376" s="65" t="e">
        <f t="shared" ca="1" si="233"/>
        <v>#VALUE!</v>
      </c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</row>
    <row r="1377" spans="1:68" ht="19" x14ac:dyDescent="0.25">
      <c r="A1377" s="5"/>
      <c r="B1377" s="5"/>
      <c r="C1377" s="5"/>
      <c r="D1377" s="5"/>
      <c r="E1377" s="5"/>
      <c r="F1377" s="5"/>
      <c r="G1377" s="5"/>
      <c r="H1377" s="6"/>
      <c r="I1377" s="5"/>
      <c r="J1377" s="88"/>
      <c r="K1377" s="88"/>
      <c r="L1377" s="88"/>
      <c r="M1377" s="88"/>
      <c r="N1377" s="88"/>
      <c r="O1377" s="88"/>
      <c r="P1377" s="88"/>
      <c r="Q1377" s="89"/>
      <c r="R1377" s="88"/>
      <c r="S1377" s="88"/>
      <c r="T1377" s="90"/>
      <c r="U1377" s="6"/>
      <c r="V1377" s="44">
        <v>45918</v>
      </c>
      <c r="W1377" s="45">
        <v>265</v>
      </c>
      <c r="X1377" s="91"/>
      <c r="Y1377" s="77"/>
      <c r="Z1377" s="5"/>
      <c r="AA1377" s="5"/>
      <c r="AB1377" s="5"/>
      <c r="AC1377" s="5"/>
      <c r="AD1377" s="5"/>
      <c r="AE1377" s="5"/>
      <c r="AF1377" s="5"/>
      <c r="AG1377" s="5"/>
      <c r="AH1377" s="6"/>
      <c r="AI1377" s="44">
        <v>45918</v>
      </c>
      <c r="AJ1377" s="53">
        <v>265</v>
      </c>
      <c r="AK1377" s="54">
        <f t="shared" si="231"/>
        <v>2.2850084915856161E-2</v>
      </c>
      <c r="AL1377" s="55">
        <f t="shared" si="234"/>
        <v>21.087232571750022</v>
      </c>
      <c r="AM1377" s="56">
        <v>25</v>
      </c>
      <c r="AN1377" s="57">
        <f t="shared" si="232"/>
        <v>3.9127674282499783</v>
      </c>
      <c r="AO1377" s="76">
        <f t="shared" si="235"/>
        <v>5.2992722897073889</v>
      </c>
      <c r="AP1377" s="63" t="str">
        <f t="shared" si="236"/>
        <v>Buy Stocks</v>
      </c>
      <c r="AQ1377" s="63" t="str">
        <f t="shared" si="237"/>
        <v/>
      </c>
      <c r="AR1377" s="63" t="str">
        <f t="shared" si="238"/>
        <v/>
      </c>
      <c r="AS1377" s="63" t="str">
        <f t="shared" si="239"/>
        <v/>
      </c>
      <c r="AT1377" s="78" t="str">
        <f t="shared" si="240"/>
        <v/>
      </c>
      <c r="AU1377" s="78" t="str">
        <f t="shared" si="241"/>
        <v/>
      </c>
      <c r="AV1377" s="64" t="str">
        <f ca="1">IFERROR(__xludf.DUMMYFUNCTION("IF(TRIM(AU1377)="""","""",AU1377/INDEX(FILTER(AT$3:AT1377,TRIM(AT$3:AT1377)&lt;&gt;""""),ROWS(FILTER(AT$3:AT1377,TRIM(AT$3:AT1377)&lt;&gt;"""")))-1)"),"")</f>
        <v/>
      </c>
      <c r="AW1377" s="65" t="e">
        <f t="shared" ca="1" si="233"/>
        <v>#VALUE!</v>
      </c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</row>
    <row r="1378" spans="1:68" ht="19" x14ac:dyDescent="0.25">
      <c r="A1378" s="5"/>
      <c r="B1378" s="5"/>
      <c r="C1378" s="5"/>
      <c r="D1378" s="5"/>
      <c r="E1378" s="5"/>
      <c r="F1378" s="5"/>
      <c r="G1378" s="5"/>
      <c r="H1378" s="6"/>
      <c r="I1378" s="5"/>
      <c r="J1378" s="88"/>
      <c r="K1378" s="88"/>
      <c r="L1378" s="88"/>
      <c r="M1378" s="88"/>
      <c r="N1378" s="88"/>
      <c r="O1378" s="88"/>
      <c r="P1378" s="88"/>
      <c r="Q1378" s="89"/>
      <c r="R1378" s="88"/>
      <c r="S1378" s="88"/>
      <c r="T1378" s="90"/>
      <c r="U1378" s="6"/>
      <c r="V1378" s="44">
        <v>45919</v>
      </c>
      <c r="W1378" s="45">
        <v>266.39999999999998</v>
      </c>
      <c r="X1378" s="91"/>
      <c r="Y1378" s="77"/>
      <c r="Z1378" s="5"/>
      <c r="AA1378" s="5"/>
      <c r="AB1378" s="5"/>
      <c r="AC1378" s="5"/>
      <c r="AD1378" s="5"/>
      <c r="AE1378" s="5"/>
      <c r="AF1378" s="5"/>
      <c r="AG1378" s="5"/>
      <c r="AH1378" s="6"/>
      <c r="AI1378" s="44">
        <v>45919</v>
      </c>
      <c r="AJ1378" s="53">
        <v>266.39999999999998</v>
      </c>
      <c r="AK1378" s="54">
        <f t="shared" si="231"/>
        <v>5.2830188679244827E-3</v>
      </c>
      <c r="AL1378" s="55">
        <f t="shared" si="234"/>
        <v>12.012551293528757</v>
      </c>
      <c r="AM1378" s="56">
        <v>25</v>
      </c>
      <c r="AN1378" s="57">
        <f t="shared" si="232"/>
        <v>12.987448706471243</v>
      </c>
      <c r="AO1378" s="76">
        <f t="shared" si="235"/>
        <v>8.5089606933772082</v>
      </c>
      <c r="AP1378" s="63" t="str">
        <f t="shared" si="236"/>
        <v>Buy Stocks</v>
      </c>
      <c r="AQ1378" s="63" t="str">
        <f t="shared" si="237"/>
        <v/>
      </c>
      <c r="AR1378" s="63" t="str">
        <f t="shared" si="238"/>
        <v/>
      </c>
      <c r="AS1378" s="63" t="str">
        <f t="shared" si="239"/>
        <v/>
      </c>
      <c r="AT1378" s="78" t="str">
        <f t="shared" si="240"/>
        <v/>
      </c>
      <c r="AU1378" s="78" t="str">
        <f t="shared" si="241"/>
        <v/>
      </c>
      <c r="AV1378" s="64" t="str">
        <f ca="1">IFERROR(__xludf.DUMMYFUNCTION("IF(TRIM(AU1378)="""","""",AU1378/INDEX(FILTER(AT$3:AT1378,TRIM(AT$3:AT1378)&lt;&gt;""""),ROWS(FILTER(AT$3:AT1378,TRIM(AT$3:AT1378)&lt;&gt;"""")))-1)"),"")</f>
        <v/>
      </c>
      <c r="AW1378" s="65" t="e">
        <f t="shared" ca="1" si="233"/>
        <v>#VALUE!</v>
      </c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</row>
    <row r="1379" spans="1:68" ht="19" x14ac:dyDescent="0.25">
      <c r="A1379" s="5"/>
      <c r="B1379" s="5"/>
      <c r="C1379" s="5"/>
      <c r="D1379" s="5"/>
      <c r="E1379" s="5"/>
      <c r="F1379" s="5"/>
      <c r="G1379" s="5"/>
      <c r="H1379" s="6"/>
      <c r="I1379" s="5"/>
      <c r="J1379" s="88"/>
      <c r="K1379" s="88"/>
      <c r="L1379" s="88"/>
      <c r="M1379" s="88"/>
      <c r="N1379" s="88"/>
      <c r="O1379" s="88"/>
      <c r="P1379" s="88"/>
      <c r="Q1379" s="89"/>
      <c r="R1379" s="88"/>
      <c r="S1379" s="88"/>
      <c r="T1379" s="90"/>
      <c r="U1379" s="6"/>
      <c r="V1379" s="44">
        <v>45922</v>
      </c>
      <c r="W1379" s="45">
        <v>271.37</v>
      </c>
      <c r="X1379" s="91"/>
      <c r="Y1379" s="77"/>
      <c r="Z1379" s="5"/>
      <c r="AA1379" s="5"/>
      <c r="AB1379" s="5"/>
      <c r="AC1379" s="5"/>
      <c r="AD1379" s="5"/>
      <c r="AE1379" s="5"/>
      <c r="AF1379" s="5"/>
      <c r="AG1379" s="5"/>
      <c r="AH1379" s="6"/>
      <c r="AI1379" s="44">
        <v>45922</v>
      </c>
      <c r="AJ1379" s="53">
        <v>271.37</v>
      </c>
      <c r="AK1379" s="54">
        <f t="shared" si="231"/>
        <v>1.8656156156156234E-2</v>
      </c>
      <c r="AL1379" s="55">
        <f t="shared" si="234"/>
        <v>13.530423575648806</v>
      </c>
      <c r="AM1379" s="56">
        <v>25</v>
      </c>
      <c r="AN1379" s="57">
        <f t="shared" si="232"/>
        <v>11.469576424351194</v>
      </c>
      <c r="AO1379" s="76">
        <f t="shared" si="235"/>
        <v>9.451437694101342</v>
      </c>
      <c r="AP1379" s="63" t="str">
        <f t="shared" si="236"/>
        <v>Buy Stocks</v>
      </c>
      <c r="AQ1379" s="63" t="str">
        <f t="shared" si="237"/>
        <v/>
      </c>
      <c r="AR1379" s="63" t="str">
        <f t="shared" si="238"/>
        <v/>
      </c>
      <c r="AS1379" s="63" t="str">
        <f t="shared" si="239"/>
        <v/>
      </c>
      <c r="AT1379" s="78" t="str">
        <f t="shared" si="240"/>
        <v/>
      </c>
      <c r="AU1379" s="78" t="str">
        <f t="shared" si="241"/>
        <v/>
      </c>
      <c r="AV1379" s="64" t="str">
        <f ca="1">IFERROR(__xludf.DUMMYFUNCTION("IF(TRIM(AU1379)="""","""",AU1379/INDEX(FILTER(AT$3:AT1379,TRIM(AT$3:AT1379)&lt;&gt;""""),ROWS(FILTER(AT$3:AT1379,TRIM(AT$3:AT1379)&lt;&gt;"""")))-1)"),"")</f>
        <v/>
      </c>
      <c r="AW1379" s="65" t="e">
        <f t="shared" ca="1" si="233"/>
        <v>#VALUE!</v>
      </c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</row>
    <row r="1380" spans="1:68" ht="19" x14ac:dyDescent="0.25">
      <c r="A1380" s="5"/>
      <c r="B1380" s="5"/>
      <c r="C1380" s="5"/>
      <c r="D1380" s="5"/>
      <c r="E1380" s="5"/>
      <c r="F1380" s="5"/>
      <c r="G1380" s="5"/>
      <c r="H1380" s="6"/>
      <c r="I1380" s="5"/>
      <c r="J1380" s="88"/>
      <c r="K1380" s="88"/>
      <c r="L1380" s="88"/>
      <c r="M1380" s="88"/>
      <c r="N1380" s="88"/>
      <c r="O1380" s="88"/>
      <c r="P1380" s="88"/>
      <c r="Q1380" s="89"/>
      <c r="R1380" s="88"/>
      <c r="S1380" s="88"/>
      <c r="T1380" s="90"/>
      <c r="U1380" s="6"/>
      <c r="V1380" s="44">
        <v>45923</v>
      </c>
      <c r="W1380" s="45">
        <v>272.24</v>
      </c>
      <c r="X1380" s="91"/>
      <c r="Y1380" s="77"/>
      <c r="Z1380" s="5"/>
      <c r="AA1380" s="5"/>
      <c r="AB1380" s="5"/>
      <c r="AC1380" s="5"/>
      <c r="AD1380" s="5"/>
      <c r="AE1380" s="5"/>
      <c r="AF1380" s="5"/>
      <c r="AG1380" s="5"/>
      <c r="AH1380" s="6"/>
      <c r="AI1380" s="44">
        <v>45923</v>
      </c>
      <c r="AJ1380" s="53">
        <v>272.24</v>
      </c>
      <c r="AK1380" s="54">
        <f t="shared" si="231"/>
        <v>3.2059549692302625E-3</v>
      </c>
      <c r="AL1380" s="55">
        <f t="shared" si="234"/>
        <v>14.124655260685687</v>
      </c>
      <c r="AM1380" s="56">
        <v>25</v>
      </c>
      <c r="AN1380" s="57">
        <f t="shared" si="232"/>
        <v>10.875344739314313</v>
      </c>
      <c r="AO1380" s="76">
        <f t="shared" si="235"/>
        <v>9.8298889368392661</v>
      </c>
      <c r="AP1380" s="63" t="str">
        <f t="shared" si="236"/>
        <v>Buy Stocks</v>
      </c>
      <c r="AQ1380" s="63" t="str">
        <f t="shared" si="237"/>
        <v/>
      </c>
      <c r="AR1380" s="63" t="str">
        <f t="shared" si="238"/>
        <v/>
      </c>
      <c r="AS1380" s="63" t="str">
        <f t="shared" si="239"/>
        <v/>
      </c>
      <c r="AT1380" s="78" t="str">
        <f t="shared" si="240"/>
        <v/>
      </c>
      <c r="AU1380" s="78" t="str">
        <f t="shared" si="241"/>
        <v/>
      </c>
      <c r="AV1380" s="64" t="str">
        <f ca="1">IFERROR(__xludf.DUMMYFUNCTION("IF(TRIM(AU1380)="""","""",AU1380/INDEX(FILTER(AT$3:AT1380,TRIM(AT$3:AT1380)&lt;&gt;""""),ROWS(FILTER(AT$3:AT1380,TRIM(AT$3:AT1380)&lt;&gt;"""")))-1)"),"")</f>
        <v/>
      </c>
      <c r="AW1380" s="65" t="e">
        <f t="shared" ca="1" si="233"/>
        <v>#VALUE!</v>
      </c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</row>
    <row r="1381" spans="1:68" ht="19" x14ac:dyDescent="0.25">
      <c r="A1381" s="5"/>
      <c r="B1381" s="5"/>
      <c r="C1381" s="5"/>
      <c r="D1381" s="5"/>
      <c r="E1381" s="5"/>
      <c r="F1381" s="5"/>
      <c r="G1381" s="5"/>
      <c r="H1381" s="6"/>
      <c r="I1381" s="5"/>
      <c r="J1381" s="88"/>
      <c r="K1381" s="88"/>
      <c r="L1381" s="88"/>
      <c r="M1381" s="88"/>
      <c r="N1381" s="88"/>
      <c r="O1381" s="88"/>
      <c r="P1381" s="88"/>
      <c r="Q1381" s="89"/>
      <c r="R1381" s="88"/>
      <c r="S1381" s="88"/>
      <c r="T1381" s="90"/>
      <c r="U1381" s="6"/>
      <c r="V1381" s="44">
        <v>45924</v>
      </c>
      <c r="W1381" s="45">
        <v>267.52999999999997</v>
      </c>
      <c r="X1381" s="91"/>
      <c r="Y1381" s="77"/>
      <c r="Z1381" s="5"/>
      <c r="AA1381" s="5"/>
      <c r="AB1381" s="5"/>
      <c r="AC1381" s="5"/>
      <c r="AD1381" s="5"/>
      <c r="AE1381" s="5"/>
      <c r="AF1381" s="5"/>
      <c r="AG1381" s="5"/>
      <c r="AH1381" s="6"/>
      <c r="AI1381" s="44">
        <v>45924</v>
      </c>
      <c r="AJ1381" s="53">
        <v>267.52999999999997</v>
      </c>
      <c r="AK1381" s="54">
        <f t="shared" si="231"/>
        <v>-1.7300910960917015E-2</v>
      </c>
      <c r="AL1381" s="55">
        <f t="shared" si="234"/>
        <v>25.023192201533234</v>
      </c>
      <c r="AM1381" s="56">
        <v>25</v>
      </c>
      <c r="AN1381" s="57">
        <f t="shared" si="232"/>
        <v>-2.3192201533234424E-2</v>
      </c>
      <c r="AO1381" s="76">
        <f t="shared" si="235"/>
        <v>7.8443890193706993</v>
      </c>
      <c r="AP1381" s="63" t="str">
        <f t="shared" si="236"/>
        <v>Buy Stocks</v>
      </c>
      <c r="AQ1381" s="63" t="str">
        <f t="shared" si="237"/>
        <v/>
      </c>
      <c r="AR1381" s="63" t="str">
        <f t="shared" si="238"/>
        <v/>
      </c>
      <c r="AS1381" s="63" t="str">
        <f t="shared" si="239"/>
        <v/>
      </c>
      <c r="AT1381" s="78" t="str">
        <f t="shared" si="240"/>
        <v/>
      </c>
      <c r="AU1381" s="78" t="str">
        <f t="shared" si="241"/>
        <v/>
      </c>
      <c r="AV1381" s="64" t="str">
        <f ca="1">IFERROR(__xludf.DUMMYFUNCTION("IF(TRIM(AU1381)="""","""",AU1381/INDEX(FILTER(AT$3:AT1381,TRIM(AT$3:AT1381)&lt;&gt;""""),ROWS(FILTER(AT$3:AT1381,TRIM(AT$3:AT1381)&lt;&gt;"""")))-1)"),"")</f>
        <v/>
      </c>
      <c r="AW1381" s="65" t="e">
        <f t="shared" ca="1" si="233"/>
        <v>#VALUE!</v>
      </c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</row>
    <row r="1382" spans="1:68" ht="19" x14ac:dyDescent="0.25">
      <c r="A1382" s="5"/>
      <c r="B1382" s="5"/>
      <c r="C1382" s="5"/>
      <c r="D1382" s="5"/>
      <c r="E1382" s="5"/>
      <c r="F1382" s="5"/>
      <c r="G1382" s="5"/>
      <c r="H1382" s="6"/>
      <c r="I1382" s="5"/>
      <c r="J1382" s="88"/>
      <c r="K1382" s="88"/>
      <c r="L1382" s="88"/>
      <c r="M1382" s="88"/>
      <c r="N1382" s="88"/>
      <c r="O1382" s="88"/>
      <c r="P1382" s="88"/>
      <c r="Q1382" s="89"/>
      <c r="R1382" s="88"/>
      <c r="S1382" s="88"/>
      <c r="T1382" s="90"/>
      <c r="U1382" s="6"/>
      <c r="V1382" s="44">
        <v>45925</v>
      </c>
      <c r="W1382" s="45">
        <v>281.44</v>
      </c>
      <c r="X1382" s="91"/>
      <c r="Y1382" s="77"/>
      <c r="Z1382" s="5"/>
      <c r="AA1382" s="5"/>
      <c r="AB1382" s="5"/>
      <c r="AC1382" s="5"/>
      <c r="AD1382" s="5"/>
      <c r="AE1382" s="5"/>
      <c r="AF1382" s="5"/>
      <c r="AG1382" s="5"/>
      <c r="AH1382" s="6"/>
      <c r="AI1382" s="44">
        <v>45925</v>
      </c>
      <c r="AJ1382" s="53">
        <v>281.44</v>
      </c>
      <c r="AK1382" s="54">
        <f t="shared" si="231"/>
        <v>5.1994168878256808E-2</v>
      </c>
      <c r="AL1382" s="55">
        <f t="shared" si="234"/>
        <v>40.659806162386928</v>
      </c>
      <c r="AM1382" s="56">
        <v>25</v>
      </c>
      <c r="AN1382" s="57">
        <f t="shared" si="232"/>
        <v>-15.659806162386928</v>
      </c>
      <c r="AO1382" s="76">
        <f t="shared" si="235"/>
        <v>3.9298743012433177</v>
      </c>
      <c r="AP1382" s="63" t="str">
        <f t="shared" si="236"/>
        <v>Buy Stocks</v>
      </c>
      <c r="AQ1382" s="63" t="str">
        <f t="shared" si="237"/>
        <v/>
      </c>
      <c r="AR1382" s="63" t="str">
        <f t="shared" si="238"/>
        <v/>
      </c>
      <c r="AS1382" s="63" t="str">
        <f t="shared" si="239"/>
        <v/>
      </c>
      <c r="AT1382" s="78" t="str">
        <f t="shared" si="240"/>
        <v/>
      </c>
      <c r="AU1382" s="78" t="str">
        <f t="shared" si="241"/>
        <v/>
      </c>
      <c r="AV1382" s="64" t="str">
        <f ca="1">IFERROR(__xludf.DUMMYFUNCTION("IF(TRIM(AU1382)="""","""",AU1382/INDEX(FILTER(AT$3:AT1382,TRIM(AT$3:AT1382)&lt;&gt;""""),ROWS(FILTER(AT$3:AT1382,TRIM(AT$3:AT1382)&lt;&gt;"""")))-1)"),"")</f>
        <v/>
      </c>
      <c r="AW1382" s="65" t="e">
        <f t="shared" ca="1" si="233"/>
        <v>#VALUE!</v>
      </c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</row>
    <row r="1383" spans="1:68" ht="19" x14ac:dyDescent="0.25">
      <c r="A1383" s="5"/>
      <c r="B1383" s="5"/>
      <c r="C1383" s="5"/>
      <c r="D1383" s="5"/>
      <c r="E1383" s="5"/>
      <c r="F1383" s="5"/>
      <c r="G1383" s="5"/>
      <c r="H1383" s="6"/>
      <c r="I1383" s="5"/>
      <c r="J1383" s="88"/>
      <c r="K1383" s="88"/>
      <c r="L1383" s="88"/>
      <c r="M1383" s="88"/>
      <c r="N1383" s="88"/>
      <c r="O1383" s="88"/>
      <c r="P1383" s="88"/>
      <c r="Q1383" s="89"/>
      <c r="R1383" s="88"/>
      <c r="S1383" s="88"/>
      <c r="T1383" s="90"/>
      <c r="U1383" s="6"/>
      <c r="V1383" s="44">
        <v>45926</v>
      </c>
      <c r="W1383" s="45">
        <v>284.31</v>
      </c>
      <c r="X1383" s="91"/>
      <c r="Y1383" s="77"/>
      <c r="Z1383" s="5"/>
      <c r="AA1383" s="5"/>
      <c r="AB1383" s="5"/>
      <c r="AC1383" s="5"/>
      <c r="AD1383" s="5"/>
      <c r="AE1383" s="5"/>
      <c r="AF1383" s="5"/>
      <c r="AG1383" s="5"/>
      <c r="AH1383" s="6"/>
      <c r="AI1383" s="44">
        <v>45926</v>
      </c>
      <c r="AJ1383" s="53">
        <v>284.31</v>
      </c>
      <c r="AK1383" s="54">
        <f t="shared" si="231"/>
        <v>1.0197555429221072E-2</v>
      </c>
      <c r="AL1383" s="55">
        <f t="shared" si="234"/>
        <v>40.268130533470817</v>
      </c>
      <c r="AM1383" s="56">
        <v>25</v>
      </c>
      <c r="AN1383" s="57">
        <f t="shared" si="232"/>
        <v>-15.268130533470817</v>
      </c>
      <c r="AO1383" s="76">
        <f t="shared" si="235"/>
        <v>-1.7212415467450946</v>
      </c>
      <c r="AP1383" s="63" t="str">
        <f t="shared" si="236"/>
        <v/>
      </c>
      <c r="AQ1383" s="63" t="str">
        <f t="shared" si="237"/>
        <v>Sell Stocks</v>
      </c>
      <c r="AR1383" s="63" t="str">
        <f t="shared" si="238"/>
        <v/>
      </c>
      <c r="AS1383" s="63" t="str">
        <f t="shared" si="239"/>
        <v>Sell Stocks</v>
      </c>
      <c r="AT1383" s="78" t="str">
        <f t="shared" si="240"/>
        <v/>
      </c>
      <c r="AU1383" s="77">
        <f t="shared" si="241"/>
        <v>284.31</v>
      </c>
      <c r="AV1383" s="64">
        <f ca="1">IFERROR(__xludf.DUMMYFUNCTION("IF(TRIM(AU1383)="""","""",AU1383/INDEX(FILTER(AT$3:AT1383,TRIM(AT$3:AT1383)&lt;&gt;""""),ROWS(FILTER(AT$3:AT1383,TRIM(AT$3:AT1383)&lt;&gt;"""")))-1)"),0.1721706864564)</f>
        <v>0.17217068645639999</v>
      </c>
      <c r="AW1383" s="65" t="e">
        <f t="shared" ca="1" si="233"/>
        <v>#VALUE!</v>
      </c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</row>
    <row r="1384" spans="1:68" ht="19" x14ac:dyDescent="0.25">
      <c r="A1384" s="5"/>
      <c r="B1384" s="5"/>
      <c r="C1384" s="5"/>
      <c r="D1384" s="5"/>
      <c r="E1384" s="5"/>
      <c r="F1384" s="5"/>
      <c r="G1384" s="5"/>
      <c r="H1384" s="6"/>
      <c r="I1384" s="5"/>
      <c r="J1384" s="88"/>
      <c r="K1384" s="88"/>
      <c r="L1384" s="88"/>
      <c r="M1384" s="88"/>
      <c r="N1384" s="88"/>
      <c r="O1384" s="88"/>
      <c r="P1384" s="88"/>
      <c r="Q1384" s="89"/>
      <c r="R1384" s="88"/>
      <c r="S1384" s="88"/>
      <c r="T1384" s="90"/>
      <c r="U1384" s="6"/>
      <c r="V1384" s="44">
        <v>45929</v>
      </c>
      <c r="W1384" s="45">
        <v>279.8</v>
      </c>
      <c r="X1384" s="91"/>
      <c r="Y1384" s="77"/>
      <c r="Z1384" s="5"/>
      <c r="AA1384" s="5"/>
      <c r="AB1384" s="5"/>
      <c r="AC1384" s="5"/>
      <c r="AD1384" s="5"/>
      <c r="AE1384" s="5"/>
      <c r="AF1384" s="5"/>
      <c r="AG1384" s="5"/>
      <c r="AH1384" s="6"/>
      <c r="AI1384" s="44">
        <v>45929</v>
      </c>
      <c r="AJ1384" s="53">
        <v>279.8</v>
      </c>
      <c r="AK1384" s="54">
        <f t="shared" si="231"/>
        <v>-1.5862966480250429E-2</v>
      </c>
      <c r="AL1384" s="55">
        <f t="shared" si="234"/>
        <v>44.624124773633625</v>
      </c>
      <c r="AM1384" s="56">
        <v>25</v>
      </c>
      <c r="AN1384" s="57">
        <f t="shared" si="232"/>
        <v>-19.624124773633625</v>
      </c>
      <c r="AO1384" s="76">
        <f t="shared" si="235"/>
        <v>-7.9399817863420576</v>
      </c>
      <c r="AP1384" s="63" t="str">
        <f t="shared" si="236"/>
        <v/>
      </c>
      <c r="AQ1384" s="63" t="str">
        <f t="shared" si="237"/>
        <v>Sell Stocks</v>
      </c>
      <c r="AR1384" s="63" t="str">
        <f t="shared" si="238"/>
        <v/>
      </c>
      <c r="AS1384" s="63" t="str">
        <f t="shared" si="239"/>
        <v/>
      </c>
      <c r="AT1384" s="78" t="str">
        <f t="shared" si="240"/>
        <v/>
      </c>
      <c r="AU1384" s="78" t="str">
        <f t="shared" si="241"/>
        <v/>
      </c>
      <c r="AV1384" s="64" t="str">
        <f ca="1">IFERROR(__xludf.DUMMYFUNCTION("IF(TRIM(AU1384)="""","""",AU1384/INDEX(FILTER(AT$3:AT1384,TRIM(AT$3:AT1384)&lt;&gt;""""),ROWS(FILTER(AT$3:AT1384,TRIM(AT$3:AT1384)&lt;&gt;"""")))-1)"),"")</f>
        <v/>
      </c>
      <c r="AW1384" s="65" t="e">
        <f t="shared" ca="1" si="233"/>
        <v>#VALUE!</v>
      </c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</row>
    <row r="1385" spans="1:68" ht="19" x14ac:dyDescent="0.25">
      <c r="A1385" s="5"/>
      <c r="B1385" s="5"/>
      <c r="C1385" s="5"/>
      <c r="D1385" s="5"/>
      <c r="E1385" s="5"/>
      <c r="F1385" s="5"/>
      <c r="G1385" s="5"/>
      <c r="H1385" s="6"/>
      <c r="I1385" s="5"/>
      <c r="J1385" s="88"/>
      <c r="K1385" s="88"/>
      <c r="L1385" s="88"/>
      <c r="M1385" s="88"/>
      <c r="N1385" s="88"/>
      <c r="O1385" s="88"/>
      <c r="P1385" s="88"/>
      <c r="Q1385" s="89"/>
      <c r="R1385" s="88"/>
      <c r="S1385" s="88"/>
      <c r="T1385" s="90"/>
      <c r="U1385" s="6"/>
      <c r="V1385" s="44">
        <v>45930</v>
      </c>
      <c r="W1385" s="45">
        <v>282.16000000000003</v>
      </c>
      <c r="X1385" s="91"/>
      <c r="Y1385" s="77"/>
      <c r="Z1385" s="5"/>
      <c r="AA1385" s="5"/>
      <c r="AB1385" s="5"/>
      <c r="AC1385" s="5"/>
      <c r="AD1385" s="5"/>
      <c r="AE1385" s="5"/>
      <c r="AF1385" s="5"/>
      <c r="AG1385" s="5"/>
      <c r="AH1385" s="6"/>
      <c r="AI1385" s="44">
        <v>45930</v>
      </c>
      <c r="AJ1385" s="53">
        <v>282.16000000000003</v>
      </c>
      <c r="AK1385" s="54">
        <f t="shared" si="231"/>
        <v>8.4345961401002256E-3</v>
      </c>
      <c r="AL1385" s="55">
        <f t="shared" si="234"/>
        <v>44.539201834627676</v>
      </c>
      <c r="AM1385" s="56">
        <v>25</v>
      </c>
      <c r="AN1385" s="57">
        <f t="shared" si="232"/>
        <v>-19.539201834627676</v>
      </c>
      <c r="AO1385" s="76">
        <f t="shared" si="235"/>
        <v>-14.022891101130455</v>
      </c>
      <c r="AP1385" s="63" t="str">
        <f t="shared" si="236"/>
        <v/>
      </c>
      <c r="AQ1385" s="63" t="str">
        <f t="shared" si="237"/>
        <v>Sell Stocks</v>
      </c>
      <c r="AR1385" s="63" t="str">
        <f t="shared" si="238"/>
        <v/>
      </c>
      <c r="AS1385" s="63" t="str">
        <f t="shared" si="239"/>
        <v/>
      </c>
      <c r="AT1385" s="78" t="str">
        <f t="shared" si="240"/>
        <v/>
      </c>
      <c r="AU1385" s="78" t="str">
        <f t="shared" si="241"/>
        <v/>
      </c>
      <c r="AV1385" s="64" t="str">
        <f ca="1">IFERROR(__xludf.DUMMYFUNCTION("IF(TRIM(AU1385)="""","""",AU1385/INDEX(FILTER(AT$3:AT1385,TRIM(AT$3:AT1385)&lt;&gt;""""),ROWS(FILTER(AT$3:AT1385,TRIM(AT$3:AT1385)&lt;&gt;"""")))-1)"),"")</f>
        <v/>
      </c>
      <c r="AW1385" s="65" t="e">
        <f t="shared" ca="1" si="233"/>
        <v>#VALUE!</v>
      </c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</row>
    <row r="1386" spans="1:68" ht="19" x14ac:dyDescent="0.25">
      <c r="A1386" s="5"/>
      <c r="B1386" s="5"/>
      <c r="C1386" s="5"/>
      <c r="D1386" s="5"/>
      <c r="E1386" s="5"/>
      <c r="F1386" s="5"/>
      <c r="G1386" s="5"/>
      <c r="H1386" s="6"/>
      <c r="I1386" s="5"/>
      <c r="J1386" s="88"/>
      <c r="K1386" s="88"/>
      <c r="L1386" s="88"/>
      <c r="M1386" s="88"/>
      <c r="N1386" s="88"/>
      <c r="O1386" s="88"/>
      <c r="P1386" s="88"/>
      <c r="Q1386" s="89"/>
      <c r="R1386" s="88"/>
      <c r="S1386" s="88"/>
      <c r="T1386" s="90"/>
      <c r="U1386" s="6"/>
      <c r="V1386" s="44">
        <v>45931</v>
      </c>
      <c r="W1386" s="45">
        <v>286.49</v>
      </c>
      <c r="X1386" s="91"/>
      <c r="Y1386" s="77"/>
      <c r="Z1386" s="5"/>
      <c r="AA1386" s="5"/>
      <c r="AB1386" s="5"/>
      <c r="AC1386" s="5"/>
      <c r="AD1386" s="5"/>
      <c r="AE1386" s="5"/>
      <c r="AF1386" s="5"/>
      <c r="AG1386" s="5"/>
      <c r="AH1386" s="6"/>
      <c r="AI1386" s="44">
        <v>45931</v>
      </c>
      <c r="AJ1386" s="53">
        <v>286.49</v>
      </c>
      <c r="AK1386" s="54">
        <f t="shared" si="231"/>
        <v>1.5345903033739727E-2</v>
      </c>
      <c r="AL1386" s="55">
        <f t="shared" si="234"/>
        <v>38.743191080906634</v>
      </c>
      <c r="AM1386" s="56">
        <v>25</v>
      </c>
      <c r="AN1386" s="57">
        <f t="shared" si="232"/>
        <v>-13.743191080906634</v>
      </c>
      <c r="AO1386" s="76">
        <f t="shared" si="235"/>
        <v>-16.766890877005135</v>
      </c>
      <c r="AP1386" s="63" t="str">
        <f t="shared" si="236"/>
        <v/>
      </c>
      <c r="AQ1386" s="63" t="str">
        <f t="shared" si="237"/>
        <v>Sell Stocks</v>
      </c>
      <c r="AR1386" s="63" t="str">
        <f t="shared" si="238"/>
        <v/>
      </c>
      <c r="AS1386" s="63" t="str">
        <f t="shared" si="239"/>
        <v/>
      </c>
      <c r="AT1386" s="78" t="str">
        <f t="shared" si="240"/>
        <v/>
      </c>
      <c r="AU1386" s="78" t="str">
        <f t="shared" si="241"/>
        <v/>
      </c>
      <c r="AV1386" s="64" t="str">
        <f ca="1">IFERROR(__xludf.DUMMYFUNCTION("IF(TRIM(AU1386)="""","""",AU1386/INDEX(FILTER(AT$3:AT1386,TRIM(AT$3:AT1386)&lt;&gt;""""),ROWS(FILTER(AT$3:AT1386,TRIM(AT$3:AT1386)&lt;&gt;"""")))-1)"),"")</f>
        <v/>
      </c>
      <c r="AW1386" s="65" t="e">
        <f t="shared" ca="1" si="233"/>
        <v>#VALUE!</v>
      </c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</row>
    <row r="1387" spans="1:68" ht="19" x14ac:dyDescent="0.25">
      <c r="A1387" s="5"/>
      <c r="B1387" s="5"/>
      <c r="C1387" s="5"/>
      <c r="D1387" s="5"/>
      <c r="E1387" s="5"/>
      <c r="F1387" s="5"/>
      <c r="G1387" s="5"/>
      <c r="H1387" s="6"/>
      <c r="I1387" s="5"/>
      <c r="J1387" s="88"/>
      <c r="K1387" s="88"/>
      <c r="L1387" s="88"/>
      <c r="M1387" s="88"/>
      <c r="N1387" s="88"/>
      <c r="O1387" s="88"/>
      <c r="P1387" s="88"/>
      <c r="Q1387" s="89"/>
      <c r="R1387" s="88"/>
      <c r="S1387" s="88"/>
      <c r="T1387" s="90"/>
      <c r="U1387" s="6"/>
      <c r="V1387" s="44">
        <v>45932</v>
      </c>
      <c r="W1387" s="45">
        <v>286.72000000000003</v>
      </c>
      <c r="X1387" s="91"/>
      <c r="Y1387" s="77"/>
      <c r="Z1387" s="5"/>
      <c r="AA1387" s="5"/>
      <c r="AB1387" s="5"/>
      <c r="AC1387" s="5"/>
      <c r="AD1387" s="5"/>
      <c r="AE1387" s="5"/>
      <c r="AF1387" s="5"/>
      <c r="AG1387" s="5"/>
      <c r="AH1387" s="6"/>
      <c r="AI1387" s="44">
        <v>45932</v>
      </c>
      <c r="AJ1387" s="53">
        <v>286.72000000000003</v>
      </c>
      <c r="AK1387" s="54">
        <f t="shared" si="231"/>
        <v>8.0282034276946135E-4</v>
      </c>
      <c r="AL1387" s="55">
        <f t="shared" si="234"/>
        <v>19.301241914614909</v>
      </c>
      <c r="AM1387" s="56">
        <v>25</v>
      </c>
      <c r="AN1387" s="57">
        <f t="shared" si="232"/>
        <v>5.6987580853850908</v>
      </c>
      <c r="AO1387" s="76">
        <f t="shared" si="235"/>
        <v>-12.495178027450731</v>
      </c>
      <c r="AP1387" s="63" t="str">
        <f t="shared" si="236"/>
        <v/>
      </c>
      <c r="AQ1387" s="63" t="str">
        <f t="shared" si="237"/>
        <v>Sell Stocks</v>
      </c>
      <c r="AR1387" s="63" t="str">
        <f t="shared" si="238"/>
        <v/>
      </c>
      <c r="AS1387" s="63" t="str">
        <f t="shared" si="239"/>
        <v/>
      </c>
      <c r="AT1387" s="78" t="str">
        <f t="shared" si="240"/>
        <v/>
      </c>
      <c r="AU1387" s="78" t="str">
        <f t="shared" si="241"/>
        <v/>
      </c>
      <c r="AV1387" s="64" t="str">
        <f ca="1">IFERROR(__xludf.DUMMYFUNCTION("IF(TRIM(AU1387)="""","""",AU1387/INDEX(FILTER(AT$3:AT1387,TRIM(AT$3:AT1387)&lt;&gt;""""),ROWS(FILTER(AT$3:AT1387,TRIM(AT$3:AT1387)&lt;&gt;"""")))-1)"),"")</f>
        <v/>
      </c>
      <c r="AW1387" s="65" t="e">
        <f t="shared" ca="1" si="233"/>
        <v>#VALUE!</v>
      </c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</row>
    <row r="1388" spans="1:68" ht="19" x14ac:dyDescent="0.25">
      <c r="A1388" s="5"/>
      <c r="B1388" s="5"/>
      <c r="C1388" s="5"/>
      <c r="D1388" s="5"/>
      <c r="E1388" s="5"/>
      <c r="F1388" s="5"/>
      <c r="G1388" s="5"/>
      <c r="H1388" s="6"/>
      <c r="I1388" s="5"/>
      <c r="J1388" s="88"/>
      <c r="K1388" s="88"/>
      <c r="L1388" s="88"/>
      <c r="M1388" s="88"/>
      <c r="N1388" s="88"/>
      <c r="O1388" s="88"/>
      <c r="P1388" s="88"/>
      <c r="Q1388" s="89"/>
      <c r="R1388" s="88"/>
      <c r="S1388" s="88"/>
      <c r="T1388" s="90"/>
      <c r="U1388" s="6"/>
      <c r="V1388" s="44">
        <v>45933</v>
      </c>
      <c r="W1388" s="45">
        <v>288.37</v>
      </c>
      <c r="X1388" s="91"/>
      <c r="Y1388" s="77"/>
      <c r="Z1388" s="5"/>
      <c r="AA1388" s="5"/>
      <c r="AB1388" s="5"/>
      <c r="AC1388" s="5"/>
      <c r="AD1388" s="5"/>
      <c r="AE1388" s="5"/>
      <c r="AF1388" s="5"/>
      <c r="AG1388" s="5"/>
      <c r="AH1388" s="6"/>
      <c r="AI1388" s="44">
        <v>45933</v>
      </c>
      <c r="AJ1388" s="53">
        <v>288.37</v>
      </c>
      <c r="AK1388" s="54">
        <f t="shared" si="231"/>
        <v>5.7547433035713969E-3</v>
      </c>
      <c r="AL1388" s="55">
        <f t="shared" si="234"/>
        <v>18.616689351047118</v>
      </c>
      <c r="AM1388" s="56">
        <v>25</v>
      </c>
      <c r="AN1388" s="57">
        <f t="shared" si="232"/>
        <v>6.3833106489528824</v>
      </c>
      <c r="AO1388" s="76">
        <f t="shared" si="235"/>
        <v>-8.1648897909659919</v>
      </c>
      <c r="AP1388" s="63" t="str">
        <f t="shared" si="236"/>
        <v/>
      </c>
      <c r="AQ1388" s="63" t="str">
        <f t="shared" si="237"/>
        <v>Sell Stocks</v>
      </c>
      <c r="AR1388" s="63" t="str">
        <f t="shared" si="238"/>
        <v/>
      </c>
      <c r="AS1388" s="63" t="str">
        <f t="shared" si="239"/>
        <v/>
      </c>
      <c r="AT1388" s="78" t="str">
        <f t="shared" si="240"/>
        <v/>
      </c>
      <c r="AU1388" s="78" t="str">
        <f t="shared" si="241"/>
        <v/>
      </c>
      <c r="AV1388" s="64" t="str">
        <f ca="1">IFERROR(__xludf.DUMMYFUNCTION("IF(TRIM(AU1388)="""","""",AU1388/INDEX(FILTER(AT$3:AT1388,TRIM(AT$3:AT1388)&lt;&gt;""""),ROWS(FILTER(AT$3:AT1388,TRIM(AT$3:AT1388)&lt;&gt;"""")))-1)"),"")</f>
        <v/>
      </c>
      <c r="AW1388" s="65" t="e">
        <f t="shared" ca="1" si="233"/>
        <v>#VALUE!</v>
      </c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</row>
    <row r="1389" spans="1:68" ht="19" x14ac:dyDescent="0.25">
      <c r="A1389" s="5"/>
      <c r="B1389" s="5"/>
      <c r="C1389" s="5"/>
      <c r="D1389" s="5"/>
      <c r="E1389" s="5"/>
      <c r="F1389" s="5"/>
      <c r="G1389" s="5"/>
      <c r="H1389" s="6"/>
      <c r="I1389" s="5"/>
      <c r="J1389" s="88"/>
      <c r="K1389" s="88"/>
      <c r="L1389" s="88"/>
      <c r="M1389" s="88"/>
      <c r="N1389" s="88"/>
      <c r="O1389" s="88"/>
      <c r="P1389" s="88"/>
      <c r="Q1389" s="89"/>
      <c r="R1389" s="88"/>
      <c r="S1389" s="88"/>
      <c r="T1389" s="90"/>
      <c r="U1389" s="6"/>
      <c r="V1389" s="44">
        <v>45936</v>
      </c>
      <c r="W1389" s="45">
        <v>289.42</v>
      </c>
      <c r="X1389" s="91"/>
      <c r="Y1389" s="77"/>
      <c r="Z1389" s="5"/>
      <c r="AA1389" s="5"/>
      <c r="AB1389" s="5"/>
      <c r="AC1389" s="5"/>
      <c r="AD1389" s="5"/>
      <c r="AE1389" s="5"/>
      <c r="AF1389" s="5"/>
      <c r="AG1389" s="5"/>
      <c r="AH1389" s="6"/>
      <c r="AI1389" s="44">
        <v>45936</v>
      </c>
      <c r="AJ1389" s="53">
        <v>289.42</v>
      </c>
      <c r="AK1389" s="54">
        <f t="shared" si="231"/>
        <v>3.6411554599993234E-3</v>
      </c>
      <c r="AL1389" s="55">
        <f t="shared" si="234"/>
        <v>8.7935783197960546</v>
      </c>
      <c r="AM1389" s="56">
        <v>25</v>
      </c>
      <c r="AN1389" s="57">
        <f t="shared" si="232"/>
        <v>16.206421680203945</v>
      </c>
      <c r="AO1389" s="76">
        <f t="shared" si="235"/>
        <v>-0.99878050019847819</v>
      </c>
      <c r="AP1389" s="63" t="str">
        <f t="shared" si="236"/>
        <v/>
      </c>
      <c r="AQ1389" s="63" t="str">
        <f t="shared" si="237"/>
        <v>Sell Stocks</v>
      </c>
      <c r="AR1389" s="63" t="str">
        <f t="shared" si="238"/>
        <v/>
      </c>
      <c r="AS1389" s="63" t="str">
        <f t="shared" si="239"/>
        <v/>
      </c>
      <c r="AT1389" s="78" t="str">
        <f t="shared" si="240"/>
        <v/>
      </c>
      <c r="AU1389" s="78" t="str">
        <f t="shared" si="241"/>
        <v/>
      </c>
      <c r="AV1389" s="64" t="str">
        <f ca="1">IFERROR(__xludf.DUMMYFUNCTION("IF(TRIM(AU1389)="""","""",AU1389/INDEX(FILTER(AT$3:AT1389,TRIM(AT$3:AT1389)&lt;&gt;""""),ROWS(FILTER(AT$3:AT1389,TRIM(AT$3:AT1389)&lt;&gt;"""")))-1)"),"")</f>
        <v/>
      </c>
      <c r="AW1389" s="65" t="e">
        <f t="shared" ca="1" si="233"/>
        <v>#VALUE!</v>
      </c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</row>
    <row r="1390" spans="1:68" ht="19" x14ac:dyDescent="0.25">
      <c r="A1390" s="5"/>
      <c r="B1390" s="5"/>
      <c r="C1390" s="5"/>
      <c r="D1390" s="5"/>
      <c r="E1390" s="5"/>
      <c r="F1390" s="5"/>
      <c r="G1390" s="5"/>
      <c r="H1390" s="6"/>
      <c r="I1390" s="5"/>
      <c r="J1390" s="88"/>
      <c r="K1390" s="88"/>
      <c r="L1390" s="88"/>
      <c r="M1390" s="88"/>
      <c r="N1390" s="88"/>
      <c r="O1390" s="88"/>
      <c r="P1390" s="88"/>
      <c r="Q1390" s="89"/>
      <c r="R1390" s="88"/>
      <c r="S1390" s="88"/>
      <c r="T1390" s="90"/>
      <c r="U1390" s="6"/>
      <c r="V1390" s="44">
        <v>45937</v>
      </c>
      <c r="W1390" s="45">
        <v>293.87</v>
      </c>
      <c r="X1390" s="91"/>
      <c r="Y1390" s="77"/>
      <c r="Z1390" s="5"/>
      <c r="AA1390" s="5"/>
      <c r="AB1390" s="5"/>
      <c r="AC1390" s="5"/>
      <c r="AD1390" s="5"/>
      <c r="AE1390" s="5"/>
      <c r="AF1390" s="5"/>
      <c r="AG1390" s="5"/>
      <c r="AH1390" s="6"/>
      <c r="AI1390" s="44">
        <v>45937</v>
      </c>
      <c r="AJ1390" s="53">
        <v>293.87</v>
      </c>
      <c r="AK1390" s="54">
        <f t="shared" si="231"/>
        <v>1.5375578743694218E-2</v>
      </c>
      <c r="AL1390" s="55">
        <f t="shared" si="234"/>
        <v>10.767557035153812</v>
      </c>
      <c r="AM1390" s="56">
        <v>25</v>
      </c>
      <c r="AN1390" s="57">
        <f t="shared" si="232"/>
        <v>14.232442964846188</v>
      </c>
      <c r="AO1390" s="76">
        <f t="shared" si="235"/>
        <v>5.7555484596962945</v>
      </c>
      <c r="AP1390" s="63" t="str">
        <f t="shared" si="236"/>
        <v>Buy Stocks</v>
      </c>
      <c r="AQ1390" s="63" t="str">
        <f t="shared" si="237"/>
        <v/>
      </c>
      <c r="AR1390" s="63" t="str">
        <f t="shared" si="238"/>
        <v>Buy Stocks</v>
      </c>
      <c r="AS1390" s="63" t="str">
        <f t="shared" si="239"/>
        <v/>
      </c>
      <c r="AT1390" s="77">
        <f t="shared" si="240"/>
        <v>293.87</v>
      </c>
      <c r="AU1390" s="78" t="str">
        <f t="shared" si="241"/>
        <v/>
      </c>
      <c r="AV1390" s="64" t="str">
        <f ca="1">IFERROR(__xludf.DUMMYFUNCTION("IF(TRIM(AU1390)="""","""",AU1390/INDEX(FILTER(AT$3:AT1390,TRIM(AT$3:AT1390)&lt;&gt;""""),ROWS(FILTER(AT$3:AT1390,TRIM(AT$3:AT1390)&lt;&gt;"""")))-1)"),"")</f>
        <v/>
      </c>
      <c r="AW1390" s="65" t="e">
        <f t="shared" ca="1" si="233"/>
        <v>#VALUE!</v>
      </c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</row>
    <row r="1391" spans="1:68" ht="19" x14ac:dyDescent="0.25">
      <c r="A1391" s="5"/>
      <c r="B1391" s="5"/>
      <c r="C1391" s="5"/>
      <c r="D1391" s="5"/>
      <c r="E1391" s="5"/>
      <c r="F1391" s="5"/>
      <c r="G1391" s="5"/>
      <c r="H1391" s="6"/>
      <c r="I1391" s="5"/>
      <c r="J1391" s="88"/>
      <c r="K1391" s="88"/>
      <c r="L1391" s="88"/>
      <c r="M1391" s="88"/>
      <c r="N1391" s="88"/>
      <c r="O1391" s="88"/>
      <c r="P1391" s="88"/>
      <c r="Q1391" s="89"/>
      <c r="R1391" s="88"/>
      <c r="S1391" s="88"/>
      <c r="T1391" s="90"/>
      <c r="U1391" s="6"/>
      <c r="V1391" s="44">
        <v>45938</v>
      </c>
      <c r="W1391" s="45">
        <v>289.45999999999998</v>
      </c>
      <c r="X1391" s="91"/>
      <c r="Y1391" s="77"/>
      <c r="Z1391" s="5"/>
      <c r="AA1391" s="5"/>
      <c r="AB1391" s="5"/>
      <c r="AC1391" s="5"/>
      <c r="AD1391" s="5"/>
      <c r="AE1391" s="5"/>
      <c r="AF1391" s="5"/>
      <c r="AG1391" s="5"/>
      <c r="AH1391" s="6"/>
      <c r="AI1391" s="44">
        <v>45938</v>
      </c>
      <c r="AJ1391" s="53">
        <v>289.45999999999998</v>
      </c>
      <c r="AK1391" s="54">
        <f t="shared" si="231"/>
        <v>-1.500663558716453E-2</v>
      </c>
      <c r="AL1391" s="55">
        <f t="shared" si="234"/>
        <v>17.503256422163467</v>
      </c>
      <c r="AM1391" s="56">
        <v>25</v>
      </c>
      <c r="AN1391" s="57">
        <f t="shared" si="232"/>
        <v>7.4967435778365328</v>
      </c>
      <c r="AO1391" s="76">
        <f t="shared" si="235"/>
        <v>10.003535391444927</v>
      </c>
      <c r="AP1391" s="63" t="str">
        <f t="shared" si="236"/>
        <v>Buy Stocks</v>
      </c>
      <c r="AQ1391" s="63" t="str">
        <f t="shared" si="237"/>
        <v/>
      </c>
      <c r="AR1391" s="63" t="str">
        <f t="shared" si="238"/>
        <v/>
      </c>
      <c r="AS1391" s="63" t="str">
        <f t="shared" si="239"/>
        <v/>
      </c>
      <c r="AT1391" s="78" t="str">
        <f t="shared" si="240"/>
        <v/>
      </c>
      <c r="AU1391" s="78" t="str">
        <f t="shared" si="241"/>
        <v/>
      </c>
      <c r="AV1391" s="64" t="str">
        <f ca="1">IFERROR(__xludf.DUMMYFUNCTION("IF(TRIM(AU1391)="""","""",AU1391/INDEX(FILTER(AT$3:AT1391,TRIM(AT$3:AT1391)&lt;&gt;""""),ROWS(FILTER(AT$3:AT1391,TRIM(AT$3:AT1391)&lt;&gt;"""")))-1)"),"")</f>
        <v/>
      </c>
      <c r="AW1391" s="65" t="e">
        <f t="shared" ca="1" si="233"/>
        <v>#VALUE!</v>
      </c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</row>
    <row r="1392" spans="1:68" ht="19" x14ac:dyDescent="0.25">
      <c r="A1392" s="5"/>
      <c r="B1392" s="5"/>
      <c r="C1392" s="5"/>
      <c r="D1392" s="5"/>
      <c r="E1392" s="5"/>
      <c r="F1392" s="5"/>
      <c r="G1392" s="5"/>
      <c r="H1392" s="6"/>
      <c r="I1392" s="5"/>
      <c r="J1392" s="88"/>
      <c r="K1392" s="88"/>
      <c r="L1392" s="88"/>
      <c r="M1392" s="88"/>
      <c r="N1392" s="88"/>
      <c r="O1392" s="88"/>
      <c r="P1392" s="88"/>
      <c r="Q1392" s="89"/>
      <c r="R1392" s="88"/>
      <c r="S1392" s="88"/>
      <c r="T1392" s="90"/>
      <c r="U1392" s="6"/>
      <c r="V1392" s="44">
        <v>45939</v>
      </c>
      <c r="W1392" s="45">
        <v>288.23</v>
      </c>
      <c r="X1392" s="91"/>
      <c r="Y1392" s="77"/>
      <c r="Z1392" s="5"/>
      <c r="AA1392" s="5"/>
      <c r="AB1392" s="5"/>
      <c r="AC1392" s="5"/>
      <c r="AD1392" s="5"/>
      <c r="AE1392" s="5"/>
      <c r="AF1392" s="5"/>
      <c r="AG1392" s="5"/>
      <c r="AH1392" s="6"/>
      <c r="AI1392" s="44">
        <v>45939</v>
      </c>
      <c r="AJ1392" s="53">
        <v>288.23</v>
      </c>
      <c r="AK1392" s="54">
        <f t="shared" si="231"/>
        <v>-4.2492917847024581E-3</v>
      </c>
      <c r="AL1392" s="55">
        <f t="shared" si="234"/>
        <v>18.098937773512855</v>
      </c>
      <c r="AM1392" s="56">
        <v>25</v>
      </c>
      <c r="AN1392" s="57">
        <f t="shared" si="232"/>
        <v>6.9010622264871451</v>
      </c>
      <c r="AO1392" s="76">
        <f t="shared" si="235"/>
        <v>10.243996219665339</v>
      </c>
      <c r="AP1392" s="63" t="str">
        <f t="shared" si="236"/>
        <v>Buy Stocks</v>
      </c>
      <c r="AQ1392" s="63" t="str">
        <f t="shared" si="237"/>
        <v/>
      </c>
      <c r="AR1392" s="63" t="str">
        <f t="shared" si="238"/>
        <v/>
      </c>
      <c r="AS1392" s="63" t="str">
        <f t="shared" si="239"/>
        <v/>
      </c>
      <c r="AT1392" s="78" t="str">
        <f t="shared" si="240"/>
        <v/>
      </c>
      <c r="AU1392" s="78" t="str">
        <f t="shared" si="241"/>
        <v/>
      </c>
      <c r="AV1392" s="64" t="str">
        <f ca="1">IFERROR(__xludf.DUMMYFUNCTION("IF(TRIM(AU1392)="""","""",AU1392/INDEX(FILTER(AT$3:AT1392,TRIM(AT$3:AT1392)&lt;&gt;""""),ROWS(FILTER(AT$3:AT1392,TRIM(AT$3:AT1392)&lt;&gt;"""")))-1)"),"")</f>
        <v/>
      </c>
      <c r="AW1392" s="65" t="e">
        <f t="shared" ca="1" si="233"/>
        <v>#VALUE!</v>
      </c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</row>
    <row r="1393" spans="1:68" ht="19" x14ac:dyDescent="0.25">
      <c r="A1393" s="5"/>
      <c r="B1393" s="5"/>
      <c r="C1393" s="5"/>
      <c r="D1393" s="5"/>
      <c r="E1393" s="5"/>
      <c r="F1393" s="5"/>
      <c r="G1393" s="5"/>
      <c r="H1393" s="6"/>
      <c r="I1393" s="5"/>
      <c r="J1393" s="88"/>
      <c r="K1393" s="88"/>
      <c r="L1393" s="88"/>
      <c r="M1393" s="88"/>
      <c r="N1393" s="88"/>
      <c r="O1393" s="88"/>
      <c r="P1393" s="88"/>
      <c r="Q1393" s="89"/>
      <c r="R1393" s="88"/>
      <c r="S1393" s="88"/>
      <c r="T1393" s="90"/>
      <c r="U1393" s="6"/>
      <c r="V1393" s="44">
        <v>45940</v>
      </c>
      <c r="W1393" s="45">
        <v>277.82</v>
      </c>
      <c r="X1393" s="91"/>
      <c r="Y1393" s="77"/>
      <c r="Z1393" s="5"/>
      <c r="AA1393" s="5"/>
      <c r="AB1393" s="5"/>
      <c r="AC1393" s="5"/>
      <c r="AD1393" s="5"/>
      <c r="AE1393" s="5"/>
      <c r="AF1393" s="5"/>
      <c r="AG1393" s="5"/>
      <c r="AH1393" s="6"/>
      <c r="AI1393" s="44">
        <v>45940</v>
      </c>
      <c r="AJ1393" s="53">
        <v>277.82</v>
      </c>
      <c r="AK1393" s="54">
        <f t="shared" si="231"/>
        <v>-3.6116989903896224E-2</v>
      </c>
      <c r="AL1393" s="55">
        <f t="shared" si="234"/>
        <v>31.077208428440393</v>
      </c>
      <c r="AM1393" s="56">
        <v>25</v>
      </c>
      <c r="AN1393" s="57">
        <f t="shared" si="232"/>
        <v>-6.0772084284403931</v>
      </c>
      <c r="AO1393" s="76">
        <f t="shared" si="235"/>
        <v>7.7518924041866839</v>
      </c>
      <c r="AP1393" s="63" t="str">
        <f t="shared" si="236"/>
        <v>Buy Stocks</v>
      </c>
      <c r="AQ1393" s="63" t="str">
        <f t="shared" si="237"/>
        <v/>
      </c>
      <c r="AR1393" s="63" t="str">
        <f t="shared" si="238"/>
        <v/>
      </c>
      <c r="AS1393" s="63" t="str">
        <f t="shared" si="239"/>
        <v/>
      </c>
      <c r="AT1393" s="78" t="str">
        <f t="shared" si="240"/>
        <v/>
      </c>
      <c r="AU1393" s="78" t="str">
        <f t="shared" si="241"/>
        <v/>
      </c>
      <c r="AV1393" s="64" t="str">
        <f ca="1">IFERROR(__xludf.DUMMYFUNCTION("IF(TRIM(AU1393)="""","""",AU1393/INDEX(FILTER(AT$3:AT1393,TRIM(AT$3:AT1393)&lt;&gt;""""),ROWS(FILTER(AT$3:AT1393,TRIM(AT$3:AT1393)&lt;&gt;"""")))-1)"),"")</f>
        <v/>
      </c>
      <c r="AW1393" s="65" t="e">
        <f t="shared" ca="1" si="233"/>
        <v>#VALUE!</v>
      </c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</row>
    <row r="1394" spans="1:68" ht="19" x14ac:dyDescent="0.25">
      <c r="A1394" s="5"/>
      <c r="B1394" s="5"/>
      <c r="C1394" s="5"/>
      <c r="D1394" s="5"/>
      <c r="E1394" s="5"/>
      <c r="F1394" s="5"/>
      <c r="G1394" s="5"/>
      <c r="H1394" s="6"/>
      <c r="I1394" s="5"/>
      <c r="J1394" s="88"/>
      <c r="K1394" s="88"/>
      <c r="L1394" s="88"/>
      <c r="M1394" s="88"/>
      <c r="N1394" s="88"/>
      <c r="O1394" s="88"/>
      <c r="P1394" s="88"/>
      <c r="Q1394" s="89"/>
      <c r="R1394" s="88"/>
      <c r="S1394" s="88"/>
      <c r="T1394" s="90"/>
      <c r="U1394" s="6"/>
      <c r="V1394" s="44">
        <v>45943</v>
      </c>
      <c r="W1394" s="45">
        <v>277.22000000000003</v>
      </c>
      <c r="X1394" s="91"/>
      <c r="Y1394" s="77"/>
      <c r="Z1394" s="5"/>
      <c r="AA1394" s="5"/>
      <c r="AB1394" s="5"/>
      <c r="AC1394" s="5"/>
      <c r="AD1394" s="5"/>
      <c r="AE1394" s="5"/>
      <c r="AF1394" s="5"/>
      <c r="AG1394" s="5"/>
      <c r="AH1394" s="6"/>
      <c r="AI1394" s="44">
        <v>45943</v>
      </c>
      <c r="AJ1394" s="53">
        <v>277.22000000000003</v>
      </c>
      <c r="AK1394" s="54">
        <f t="shared" si="231"/>
        <v>-2.1596717298969503E-3</v>
      </c>
      <c r="AL1394" s="55">
        <f t="shared" si="234"/>
        <v>30.049844347533529</v>
      </c>
      <c r="AM1394" s="56">
        <v>25</v>
      </c>
      <c r="AN1394" s="57">
        <f t="shared" si="232"/>
        <v>-5.0498443475335293</v>
      </c>
      <c r="AO1394" s="76">
        <f t="shared" si="235"/>
        <v>3.5006391986391883</v>
      </c>
      <c r="AP1394" s="63" t="str">
        <f t="shared" si="236"/>
        <v>Buy Stocks</v>
      </c>
      <c r="AQ1394" s="63" t="str">
        <f t="shared" si="237"/>
        <v/>
      </c>
      <c r="AR1394" s="63" t="str">
        <f t="shared" si="238"/>
        <v/>
      </c>
      <c r="AS1394" s="63" t="str">
        <f t="shared" si="239"/>
        <v/>
      </c>
      <c r="AT1394" s="78" t="str">
        <f t="shared" si="240"/>
        <v/>
      </c>
      <c r="AU1394" s="78" t="str">
        <f t="shared" si="241"/>
        <v/>
      </c>
      <c r="AV1394" s="64" t="str">
        <f ca="1">IFERROR(__xludf.DUMMYFUNCTION("IF(TRIM(AU1394)="""","""",AU1394/INDEX(FILTER(AT$3:AT1394,TRIM(AT$3:AT1394)&lt;&gt;""""),ROWS(FILTER(AT$3:AT1394,TRIM(AT$3:AT1394)&lt;&gt;"""")))-1)"),"")</f>
        <v/>
      </c>
      <c r="AW1394" s="65" t="e">
        <f t="shared" ca="1" si="233"/>
        <v>#VALUE!</v>
      </c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</row>
    <row r="1395" spans="1:68" ht="19" x14ac:dyDescent="0.25">
      <c r="A1395" s="5"/>
      <c r="B1395" s="5"/>
      <c r="C1395" s="5"/>
      <c r="D1395" s="5"/>
      <c r="E1395" s="5"/>
      <c r="F1395" s="5"/>
      <c r="G1395" s="5"/>
      <c r="H1395" s="6"/>
      <c r="I1395" s="5"/>
      <c r="J1395" s="88"/>
      <c r="K1395" s="88"/>
      <c r="L1395" s="88"/>
      <c r="M1395" s="88"/>
      <c r="N1395" s="88"/>
      <c r="O1395" s="88"/>
      <c r="P1395" s="88"/>
      <c r="Q1395" s="89"/>
      <c r="R1395" s="88"/>
      <c r="S1395" s="88"/>
      <c r="T1395" s="90"/>
      <c r="U1395" s="6"/>
      <c r="V1395" s="44">
        <v>45944</v>
      </c>
      <c r="W1395" s="45">
        <v>276.14999999999998</v>
      </c>
      <c r="X1395" s="91"/>
      <c r="Y1395" s="77"/>
      <c r="Z1395" s="5"/>
      <c r="AA1395" s="5"/>
      <c r="AB1395" s="5"/>
      <c r="AC1395" s="5"/>
      <c r="AD1395" s="5"/>
      <c r="AE1395" s="5"/>
      <c r="AF1395" s="5"/>
      <c r="AG1395" s="5"/>
      <c r="AH1395" s="6"/>
      <c r="AI1395" s="44">
        <v>45944</v>
      </c>
      <c r="AJ1395" s="53">
        <v>276.14999999999998</v>
      </c>
      <c r="AK1395" s="54">
        <f t="shared" si="231"/>
        <v>-3.8597503787607401E-3</v>
      </c>
      <c r="AL1395" s="55">
        <f t="shared" si="234"/>
        <v>22.63788506442777</v>
      </c>
      <c r="AM1395" s="56">
        <v>25</v>
      </c>
      <c r="AN1395" s="57">
        <f t="shared" si="232"/>
        <v>2.3621149355722295</v>
      </c>
      <c r="AO1395" s="76">
        <f t="shared" si="235"/>
        <v>1.1265735927843969</v>
      </c>
      <c r="AP1395" s="63" t="str">
        <f t="shared" si="236"/>
        <v>Buy Stocks</v>
      </c>
      <c r="AQ1395" s="63" t="str">
        <f t="shared" si="237"/>
        <v/>
      </c>
      <c r="AR1395" s="63" t="str">
        <f t="shared" si="238"/>
        <v/>
      </c>
      <c r="AS1395" s="63" t="str">
        <f t="shared" si="239"/>
        <v/>
      </c>
      <c r="AT1395" s="78" t="str">
        <f t="shared" si="240"/>
        <v/>
      </c>
      <c r="AU1395" s="78" t="str">
        <f t="shared" si="241"/>
        <v/>
      </c>
      <c r="AV1395" s="64" t="str">
        <f ca="1">IFERROR(__xludf.DUMMYFUNCTION("IF(TRIM(AU1395)="""","""",AU1395/INDEX(FILTER(AT$3:AT1395,TRIM(AT$3:AT1395)&lt;&gt;""""),ROWS(FILTER(AT$3:AT1395,TRIM(AT$3:AT1395)&lt;&gt;"""")))-1)"),"")</f>
        <v/>
      </c>
      <c r="AW1395" s="65" t="e">
        <f t="shared" ca="1" si="233"/>
        <v>#VALUE!</v>
      </c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</row>
    <row r="1396" spans="1:68" ht="19" x14ac:dyDescent="0.25">
      <c r="A1396" s="5"/>
      <c r="B1396" s="5"/>
      <c r="C1396" s="5"/>
      <c r="D1396" s="5"/>
      <c r="E1396" s="5"/>
      <c r="F1396" s="5"/>
      <c r="G1396" s="5"/>
      <c r="H1396" s="6"/>
      <c r="I1396" s="5"/>
      <c r="J1396" s="88"/>
      <c r="K1396" s="88"/>
      <c r="L1396" s="88"/>
      <c r="M1396" s="88"/>
      <c r="N1396" s="88"/>
      <c r="O1396" s="88"/>
      <c r="P1396" s="88"/>
      <c r="Q1396" s="89"/>
      <c r="R1396" s="88"/>
      <c r="S1396" s="88"/>
      <c r="T1396" s="90"/>
      <c r="U1396" s="6"/>
      <c r="V1396" s="44">
        <v>45945</v>
      </c>
      <c r="W1396" s="45">
        <v>280.75</v>
      </c>
      <c r="X1396" s="91"/>
      <c r="Y1396" s="77"/>
      <c r="Z1396" s="5"/>
      <c r="AA1396" s="5"/>
      <c r="AB1396" s="5"/>
      <c r="AC1396" s="5"/>
      <c r="AD1396" s="5"/>
      <c r="AE1396" s="5"/>
      <c r="AF1396" s="5"/>
      <c r="AG1396" s="5"/>
      <c r="AH1396" s="6"/>
      <c r="AI1396" s="44">
        <v>45945</v>
      </c>
      <c r="AJ1396" s="53">
        <v>280.75</v>
      </c>
      <c r="AK1396" s="54">
        <f t="shared" si="231"/>
        <v>1.6657613615788547E-2</v>
      </c>
      <c r="AL1396" s="55">
        <f t="shared" si="234"/>
        <v>30.148815831874387</v>
      </c>
      <c r="AM1396" s="56">
        <v>25</v>
      </c>
      <c r="AN1396" s="57">
        <f t="shared" si="232"/>
        <v>-5.1488158318743871</v>
      </c>
      <c r="AO1396" s="76">
        <f t="shared" si="235"/>
        <v>-1.4025382891577869</v>
      </c>
      <c r="AP1396" s="63" t="str">
        <f t="shared" si="236"/>
        <v/>
      </c>
      <c r="AQ1396" s="63" t="str">
        <f t="shared" si="237"/>
        <v>Sell Stocks</v>
      </c>
      <c r="AR1396" s="63" t="str">
        <f t="shared" si="238"/>
        <v/>
      </c>
      <c r="AS1396" s="63" t="str">
        <f t="shared" si="239"/>
        <v>Sell Stocks</v>
      </c>
      <c r="AT1396" s="78" t="str">
        <f t="shared" si="240"/>
        <v/>
      </c>
      <c r="AU1396" s="77">
        <f t="shared" si="241"/>
        <v>280.75</v>
      </c>
      <c r="AV1396" s="64">
        <f ca="1">IFERROR(__xludf.DUMMYFUNCTION("IF(TRIM(AU1396)="""","""",AU1396/INDEX(FILTER(AT$3:AT1396,TRIM(AT$3:AT1396)&lt;&gt;""""),ROWS(FILTER(AT$3:AT1396,TRIM(AT$3:AT1396)&lt;&gt;"""")))-1)"),-0.0446455915881172)</f>
        <v>-4.4645591588117199E-2</v>
      </c>
      <c r="AW1396" s="65" t="e">
        <f t="shared" ca="1" si="233"/>
        <v>#VALUE!</v>
      </c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</row>
    <row r="1397" spans="1:68" ht="19" x14ac:dyDescent="0.25">
      <c r="A1397" s="5"/>
      <c r="B1397" s="5"/>
      <c r="C1397" s="5"/>
      <c r="D1397" s="5"/>
      <c r="E1397" s="5"/>
      <c r="F1397" s="5"/>
      <c r="G1397" s="5"/>
      <c r="H1397" s="6"/>
      <c r="I1397" s="5"/>
      <c r="J1397" s="88"/>
      <c r="K1397" s="88"/>
      <c r="L1397" s="88"/>
      <c r="M1397" s="88"/>
      <c r="N1397" s="88"/>
      <c r="O1397" s="88"/>
      <c r="P1397" s="88"/>
      <c r="Q1397" s="89"/>
      <c r="R1397" s="88"/>
      <c r="S1397" s="88"/>
      <c r="T1397" s="90"/>
      <c r="U1397" s="6"/>
      <c r="V1397" s="44">
        <v>45946</v>
      </c>
      <c r="W1397" s="45">
        <v>275.97000000000003</v>
      </c>
      <c r="X1397" s="91"/>
      <c r="Y1397" s="77"/>
      <c r="Z1397" s="5"/>
      <c r="AA1397" s="5"/>
      <c r="AB1397" s="5"/>
      <c r="AC1397" s="5"/>
      <c r="AD1397" s="5"/>
      <c r="AE1397" s="5"/>
      <c r="AF1397" s="5"/>
      <c r="AG1397" s="5"/>
      <c r="AH1397" s="6"/>
      <c r="AI1397" s="44">
        <v>45946</v>
      </c>
      <c r="AJ1397" s="53">
        <v>275.97000000000003</v>
      </c>
      <c r="AK1397" s="54">
        <f t="shared" si="231"/>
        <v>-1.7025823686553809E-2</v>
      </c>
      <c r="AL1397" s="55">
        <f t="shared" si="234"/>
        <v>31.046992593520272</v>
      </c>
      <c r="AM1397" s="56">
        <v>25</v>
      </c>
      <c r="AN1397" s="57">
        <f t="shared" si="232"/>
        <v>-6.0469925935202724</v>
      </c>
      <c r="AO1397" s="76">
        <f t="shared" si="235"/>
        <v>-3.9921492531592704</v>
      </c>
      <c r="AP1397" s="63" t="str">
        <f t="shared" si="236"/>
        <v/>
      </c>
      <c r="AQ1397" s="63" t="str">
        <f t="shared" si="237"/>
        <v>Sell Stocks</v>
      </c>
      <c r="AR1397" s="63" t="str">
        <f t="shared" si="238"/>
        <v/>
      </c>
      <c r="AS1397" s="63" t="str">
        <f t="shared" si="239"/>
        <v/>
      </c>
      <c r="AT1397" s="78" t="str">
        <f t="shared" si="240"/>
        <v/>
      </c>
      <c r="AU1397" s="78" t="str">
        <f t="shared" si="241"/>
        <v/>
      </c>
      <c r="AV1397" s="64" t="str">
        <f ca="1">IFERROR(__xludf.DUMMYFUNCTION("IF(TRIM(AU1397)="""","""",AU1397/INDEX(FILTER(AT$3:AT1397,TRIM(AT$3:AT1397)&lt;&gt;""""),ROWS(FILTER(AT$3:AT1397,TRIM(AT$3:AT1397)&lt;&gt;"""")))-1)"),"")</f>
        <v/>
      </c>
      <c r="AW1397" s="65" t="e">
        <f t="shared" ca="1" si="233"/>
        <v>#VALUE!</v>
      </c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</row>
    <row r="1398" spans="1:68" ht="19" x14ac:dyDescent="0.25">
      <c r="A1398" s="5"/>
      <c r="B1398" s="5"/>
      <c r="C1398" s="5"/>
      <c r="D1398" s="5"/>
      <c r="E1398" s="5"/>
      <c r="F1398" s="5"/>
      <c r="G1398" s="5"/>
      <c r="H1398" s="6"/>
      <c r="I1398" s="5"/>
      <c r="J1398" s="88"/>
      <c r="K1398" s="88"/>
      <c r="L1398" s="88"/>
      <c r="M1398" s="88"/>
      <c r="N1398" s="88"/>
      <c r="O1398" s="88"/>
      <c r="P1398" s="88"/>
      <c r="Q1398" s="89"/>
      <c r="R1398" s="88"/>
      <c r="S1398" s="88"/>
      <c r="T1398" s="90"/>
      <c r="U1398" s="6"/>
      <c r="V1398" s="44">
        <v>45947</v>
      </c>
      <c r="W1398" s="45">
        <v>281.27999999999997</v>
      </c>
      <c r="X1398" s="91"/>
      <c r="Y1398" s="77"/>
      <c r="Z1398" s="5"/>
      <c r="AA1398" s="5"/>
      <c r="AB1398" s="5"/>
      <c r="AC1398" s="5"/>
      <c r="AD1398" s="5"/>
      <c r="AE1398" s="5"/>
      <c r="AF1398" s="5"/>
      <c r="AG1398" s="5"/>
      <c r="AH1398" s="6"/>
      <c r="AI1398" s="44">
        <v>45947</v>
      </c>
      <c r="AJ1398" s="53">
        <v>281.27999999999997</v>
      </c>
      <c r="AK1398" s="54">
        <f t="shared" si="231"/>
        <v>1.9241221871942438E-2</v>
      </c>
      <c r="AL1398" s="55">
        <f t="shared" si="234"/>
        <v>24.12844626093549</v>
      </c>
      <c r="AM1398" s="56">
        <v>25</v>
      </c>
      <c r="AN1398" s="57">
        <f t="shared" si="232"/>
        <v>0.87155373906450961</v>
      </c>
      <c r="AO1398" s="76">
        <f t="shared" si="235"/>
        <v>-2.6023968196582898</v>
      </c>
      <c r="AP1398" s="63" t="str">
        <f t="shared" si="236"/>
        <v/>
      </c>
      <c r="AQ1398" s="63" t="str">
        <f t="shared" si="237"/>
        <v>Sell Stocks</v>
      </c>
      <c r="AR1398" s="63" t="str">
        <f t="shared" si="238"/>
        <v/>
      </c>
      <c r="AS1398" s="63" t="str">
        <f t="shared" si="239"/>
        <v/>
      </c>
      <c r="AT1398" s="78" t="str">
        <f t="shared" si="240"/>
        <v/>
      </c>
      <c r="AU1398" s="78" t="str">
        <f t="shared" si="241"/>
        <v/>
      </c>
      <c r="AV1398" s="64" t="str">
        <f ca="1">IFERROR(__xludf.DUMMYFUNCTION("IF(TRIM(AU1398)="""","""",AU1398/INDEX(FILTER(AT$3:AT1398,TRIM(AT$3:AT1398)&lt;&gt;""""),ROWS(FILTER(AT$3:AT1398,TRIM(AT$3:AT1398)&lt;&gt;"""")))-1)"),"")</f>
        <v/>
      </c>
      <c r="AW1398" s="65" t="e">
        <f t="shared" ca="1" si="233"/>
        <v>#VALUE!</v>
      </c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</row>
    <row r="1399" spans="1:68" ht="19" x14ac:dyDescent="0.25">
      <c r="A1399" s="5"/>
      <c r="B1399" s="5"/>
      <c r="C1399" s="5"/>
      <c r="D1399" s="5"/>
      <c r="E1399" s="5"/>
      <c r="F1399" s="5"/>
      <c r="G1399" s="5"/>
      <c r="H1399" s="6"/>
      <c r="I1399" s="5"/>
      <c r="J1399" s="88"/>
      <c r="K1399" s="88"/>
      <c r="L1399" s="88"/>
      <c r="M1399" s="88"/>
      <c r="N1399" s="88"/>
      <c r="O1399" s="88"/>
      <c r="P1399" s="88"/>
      <c r="Q1399" s="89"/>
      <c r="R1399" s="88"/>
      <c r="S1399" s="88"/>
      <c r="T1399" s="90"/>
      <c r="U1399" s="6"/>
      <c r="V1399" s="44">
        <v>45950</v>
      </c>
      <c r="W1399" s="45">
        <v>283.64999999999998</v>
      </c>
      <c r="X1399" s="91"/>
      <c r="Y1399" s="77"/>
      <c r="Z1399" s="5"/>
      <c r="AA1399" s="5"/>
      <c r="AB1399" s="5"/>
      <c r="AC1399" s="5"/>
      <c r="AD1399" s="5"/>
      <c r="AE1399" s="5"/>
      <c r="AF1399" s="5"/>
      <c r="AG1399" s="5"/>
      <c r="AH1399" s="6"/>
      <c r="AI1399" s="44">
        <v>45950</v>
      </c>
      <c r="AJ1399" s="53">
        <v>283.64999999999998</v>
      </c>
      <c r="AK1399" s="54">
        <f t="shared" si="231"/>
        <v>8.4257679180888001E-3</v>
      </c>
      <c r="AL1399" s="55">
        <f t="shared" si="234"/>
        <v>23.9909064207928</v>
      </c>
      <c r="AM1399" s="56">
        <v>25</v>
      </c>
      <c r="AN1399" s="57">
        <f t="shared" si="232"/>
        <v>1.0090935792071996</v>
      </c>
      <c r="AO1399" s="76">
        <f t="shared" si="235"/>
        <v>-1.3906092343101442</v>
      </c>
      <c r="AP1399" s="63" t="str">
        <f t="shared" si="236"/>
        <v/>
      </c>
      <c r="AQ1399" s="63" t="str">
        <f t="shared" si="237"/>
        <v>Sell Stocks</v>
      </c>
      <c r="AR1399" s="63" t="str">
        <f t="shared" si="238"/>
        <v/>
      </c>
      <c r="AS1399" s="63" t="str">
        <f t="shared" si="239"/>
        <v/>
      </c>
      <c r="AT1399" s="78" t="str">
        <f t="shared" si="240"/>
        <v/>
      </c>
      <c r="AU1399" s="78" t="str">
        <f t="shared" si="241"/>
        <v/>
      </c>
      <c r="AV1399" s="64" t="str">
        <f ca="1">IFERROR(__xludf.DUMMYFUNCTION("IF(TRIM(AU1399)="""","""",AU1399/INDEX(FILTER(AT$3:AT1399,TRIM(AT$3:AT1399)&lt;&gt;""""),ROWS(FILTER(AT$3:AT1399,TRIM(AT$3:AT1399)&lt;&gt;"""")))-1)"),"")</f>
        <v/>
      </c>
      <c r="AW1399" s="65" t="e">
        <f t="shared" ca="1" si="233"/>
        <v>#VALUE!</v>
      </c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</row>
    <row r="1400" spans="1:68" ht="19" x14ac:dyDescent="0.25">
      <c r="A1400" s="5"/>
      <c r="B1400" s="5"/>
      <c r="C1400" s="5"/>
      <c r="D1400" s="5"/>
      <c r="E1400" s="5"/>
      <c r="F1400" s="5"/>
      <c r="G1400" s="5"/>
      <c r="H1400" s="6"/>
      <c r="I1400" s="5"/>
      <c r="J1400" s="88"/>
      <c r="K1400" s="88"/>
      <c r="L1400" s="88"/>
      <c r="M1400" s="88"/>
      <c r="N1400" s="88"/>
      <c r="O1400" s="88"/>
      <c r="P1400" s="88"/>
      <c r="Q1400" s="89"/>
      <c r="R1400" s="88"/>
      <c r="S1400" s="88"/>
      <c r="T1400" s="90"/>
      <c r="U1400" s="6"/>
      <c r="V1400" s="44">
        <v>45951</v>
      </c>
      <c r="W1400" s="45">
        <v>282.05</v>
      </c>
      <c r="X1400" s="91"/>
      <c r="Y1400" s="77"/>
      <c r="Z1400" s="5"/>
      <c r="AA1400" s="5"/>
      <c r="AB1400" s="5"/>
      <c r="AC1400" s="5"/>
      <c r="AD1400" s="5"/>
      <c r="AE1400" s="5"/>
      <c r="AF1400" s="5"/>
      <c r="AG1400" s="5"/>
      <c r="AH1400" s="6"/>
      <c r="AI1400" s="44">
        <v>45951</v>
      </c>
      <c r="AJ1400" s="53">
        <v>282.05</v>
      </c>
      <c r="AK1400" s="54">
        <f t="shared" si="231"/>
        <v>-5.6407544509077256E-3</v>
      </c>
      <c r="AL1400" s="55">
        <f t="shared" si="234"/>
        <v>24.420146180434561</v>
      </c>
      <c r="AM1400" s="56">
        <v>25</v>
      </c>
      <c r="AN1400" s="57">
        <f t="shared" si="232"/>
        <v>0.57985381956543947</v>
      </c>
      <c r="AO1400" s="76">
        <f t="shared" si="235"/>
        <v>-1.7470614575115022</v>
      </c>
      <c r="AP1400" s="63" t="str">
        <f t="shared" si="236"/>
        <v/>
      </c>
      <c r="AQ1400" s="63" t="str">
        <f t="shared" si="237"/>
        <v>Sell Stocks</v>
      </c>
      <c r="AR1400" s="63" t="str">
        <f t="shared" si="238"/>
        <v/>
      </c>
      <c r="AS1400" s="63" t="str">
        <f t="shared" si="239"/>
        <v/>
      </c>
      <c r="AT1400" s="78" t="str">
        <f t="shared" si="240"/>
        <v/>
      </c>
      <c r="AU1400" s="78" t="str">
        <f t="shared" si="241"/>
        <v/>
      </c>
      <c r="AV1400" s="64" t="str">
        <f ca="1">IFERROR(__xludf.DUMMYFUNCTION("IF(TRIM(AU1400)="""","""",AU1400/INDEX(FILTER(AT$3:AT1400,TRIM(AT$3:AT1400)&lt;&gt;""""),ROWS(FILTER(AT$3:AT1400,TRIM(AT$3:AT1400)&lt;&gt;"""")))-1)"),"")</f>
        <v/>
      </c>
      <c r="AW1400" s="65" t="e">
        <f t="shared" ca="1" si="233"/>
        <v>#VALUE!</v>
      </c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</row>
    <row r="1401" spans="1:68" ht="19" x14ac:dyDescent="0.25">
      <c r="A1401" s="5"/>
      <c r="B1401" s="5"/>
      <c r="C1401" s="5"/>
      <c r="D1401" s="5"/>
      <c r="E1401" s="5"/>
      <c r="F1401" s="5"/>
      <c r="G1401" s="5"/>
      <c r="H1401" s="6"/>
      <c r="I1401" s="5"/>
      <c r="J1401" s="88"/>
      <c r="K1401" s="88"/>
      <c r="L1401" s="88"/>
      <c r="M1401" s="88"/>
      <c r="N1401" s="88"/>
      <c r="O1401" s="88"/>
      <c r="P1401" s="88"/>
      <c r="Q1401" s="89"/>
      <c r="R1401" s="88"/>
      <c r="S1401" s="88"/>
      <c r="T1401" s="90"/>
      <c r="U1401" s="6"/>
      <c r="V1401" s="44">
        <v>45952</v>
      </c>
      <c r="W1401" s="45">
        <v>287.51</v>
      </c>
      <c r="X1401" s="91"/>
      <c r="Y1401" s="77"/>
      <c r="Z1401" s="5"/>
      <c r="AA1401" s="5"/>
      <c r="AB1401" s="5"/>
      <c r="AC1401" s="5"/>
      <c r="AD1401" s="5"/>
      <c r="AE1401" s="5"/>
      <c r="AF1401" s="5"/>
      <c r="AG1401" s="5"/>
      <c r="AH1401" s="6"/>
      <c r="AI1401" s="44">
        <v>45952</v>
      </c>
      <c r="AJ1401" s="53">
        <v>287.51</v>
      </c>
      <c r="AK1401" s="54">
        <f t="shared" si="231"/>
        <v>1.9358269810317186E-2</v>
      </c>
      <c r="AL1401" s="55">
        <f t="shared" si="234"/>
        <v>25.336983994251927</v>
      </c>
      <c r="AM1401" s="56">
        <v>25</v>
      </c>
      <c r="AN1401" s="57">
        <f t="shared" si="232"/>
        <v>-0.33698399425192704</v>
      </c>
      <c r="AO1401" s="76">
        <f t="shared" si="235"/>
        <v>-0.78469508998701021</v>
      </c>
      <c r="AP1401" s="63" t="str">
        <f t="shared" si="236"/>
        <v/>
      </c>
      <c r="AQ1401" s="63" t="str">
        <f t="shared" si="237"/>
        <v>Sell Stocks</v>
      </c>
      <c r="AR1401" s="63" t="str">
        <f t="shared" si="238"/>
        <v/>
      </c>
      <c r="AS1401" s="63" t="str">
        <f t="shared" si="239"/>
        <v/>
      </c>
      <c r="AT1401" s="78" t="str">
        <f t="shared" si="240"/>
        <v/>
      </c>
      <c r="AU1401" s="78" t="str">
        <f t="shared" si="241"/>
        <v/>
      </c>
      <c r="AV1401" s="64" t="str">
        <f ca="1">IFERROR(__xludf.DUMMYFUNCTION("IF(TRIM(AU1401)="""","""",AU1401/INDEX(FILTER(AT$3:AT1401,TRIM(AT$3:AT1401)&lt;&gt;""""),ROWS(FILTER(AT$3:AT1401,TRIM(AT$3:AT1401)&lt;&gt;"""")))-1)"),"")</f>
        <v/>
      </c>
      <c r="AW1401" s="65" t="e">
        <f t="shared" ca="1" si="233"/>
        <v>#VALUE!</v>
      </c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</row>
    <row r="1402" spans="1:68" ht="19" x14ac:dyDescent="0.25">
      <c r="A1402" s="5"/>
      <c r="B1402" s="5"/>
      <c r="C1402" s="5"/>
      <c r="D1402" s="5"/>
      <c r="E1402" s="5"/>
      <c r="F1402" s="5"/>
      <c r="G1402" s="5"/>
      <c r="H1402" s="6"/>
      <c r="I1402" s="5"/>
      <c r="J1402" s="88"/>
      <c r="K1402" s="88"/>
      <c r="L1402" s="88"/>
      <c r="M1402" s="88"/>
      <c r="N1402" s="88"/>
      <c r="O1402" s="88"/>
      <c r="P1402" s="88"/>
      <c r="Q1402" s="89"/>
      <c r="R1402" s="88"/>
      <c r="S1402" s="88"/>
      <c r="T1402" s="90"/>
      <c r="U1402" s="6"/>
      <c r="V1402" s="44">
        <v>45953</v>
      </c>
      <c r="W1402" s="45">
        <v>285</v>
      </c>
      <c r="X1402" s="91"/>
      <c r="Y1402" s="77"/>
      <c r="Z1402" s="5"/>
      <c r="AA1402" s="5"/>
      <c r="AB1402" s="5"/>
      <c r="AC1402" s="5"/>
      <c r="AD1402" s="5"/>
      <c r="AE1402" s="5"/>
      <c r="AF1402" s="5"/>
      <c r="AG1402" s="5"/>
      <c r="AH1402" s="6"/>
      <c r="AI1402" s="44">
        <v>45953</v>
      </c>
      <c r="AJ1402" s="53">
        <v>285</v>
      </c>
      <c r="AK1402" s="54">
        <f t="shared" si="231"/>
        <v>-8.7301311258738412E-3</v>
      </c>
      <c r="AL1402" s="55">
        <f t="shared" si="234"/>
        <v>21.160374606604261</v>
      </c>
      <c r="AM1402" s="56">
        <v>25</v>
      </c>
      <c r="AN1402" s="57">
        <f t="shared" si="232"/>
        <v>3.8396253933957389</v>
      </c>
      <c r="AO1402" s="76">
        <f t="shared" si="235"/>
        <v>1.1926285073961922</v>
      </c>
      <c r="AP1402" s="63" t="str">
        <f t="shared" si="236"/>
        <v>Buy Stocks</v>
      </c>
      <c r="AQ1402" s="63" t="str">
        <f t="shared" si="237"/>
        <v/>
      </c>
      <c r="AR1402" s="63" t="str">
        <f t="shared" si="238"/>
        <v>Buy Stocks</v>
      </c>
      <c r="AS1402" s="63" t="str">
        <f t="shared" si="239"/>
        <v/>
      </c>
      <c r="AT1402" s="77">
        <f t="shared" si="240"/>
        <v>285</v>
      </c>
      <c r="AU1402" s="78" t="str">
        <f t="shared" si="241"/>
        <v/>
      </c>
      <c r="AV1402" s="64" t="str">
        <f ca="1">IFERROR(__xludf.DUMMYFUNCTION("IF(TRIM(AU1402)="""","""",AU1402/INDEX(FILTER(AT$3:AT1402,TRIM(AT$3:AT1402)&lt;&gt;""""),ROWS(FILTER(AT$3:AT1402,TRIM(AT$3:AT1402)&lt;&gt;"""")))-1)"),"")</f>
        <v/>
      </c>
      <c r="AW1402" s="65" t="e">
        <f t="shared" ca="1" si="233"/>
        <v>#VALUE!</v>
      </c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</row>
    <row r="1403" spans="1:68" ht="19" x14ac:dyDescent="0.25">
      <c r="A1403" s="5"/>
      <c r="B1403" s="5"/>
      <c r="C1403" s="5"/>
      <c r="D1403" s="5"/>
      <c r="E1403" s="5"/>
      <c r="F1403" s="5"/>
      <c r="G1403" s="5"/>
      <c r="H1403" s="6"/>
      <c r="I1403" s="5"/>
      <c r="J1403" s="88"/>
      <c r="K1403" s="88"/>
      <c r="L1403" s="88"/>
      <c r="M1403" s="88"/>
      <c r="N1403" s="88"/>
      <c r="O1403" s="88"/>
      <c r="P1403" s="88"/>
      <c r="Q1403" s="89"/>
      <c r="R1403" s="88"/>
      <c r="S1403" s="88"/>
      <c r="T1403" s="90"/>
      <c r="U1403" s="6"/>
      <c r="V1403" s="44">
        <v>45954</v>
      </c>
      <c r="W1403" s="45">
        <v>307.45999999999998</v>
      </c>
      <c r="X1403" s="91"/>
      <c r="Y1403" s="77"/>
      <c r="Z1403" s="5"/>
      <c r="AA1403" s="5"/>
      <c r="AB1403" s="5"/>
      <c r="AC1403" s="5"/>
      <c r="AD1403" s="5"/>
      <c r="AE1403" s="5"/>
      <c r="AF1403" s="5"/>
      <c r="AG1403" s="5"/>
      <c r="AH1403" s="6"/>
      <c r="AI1403" s="44">
        <v>45954</v>
      </c>
      <c r="AJ1403" s="53">
        <v>307.45999999999998</v>
      </c>
      <c r="AK1403" s="54">
        <f t="shared" si="231"/>
        <v>7.8807017543859548E-2</v>
      </c>
      <c r="AL1403" s="55">
        <f t="shared" si="234"/>
        <v>56.47959132582875</v>
      </c>
      <c r="AM1403" s="56">
        <v>25</v>
      </c>
      <c r="AN1403" s="57">
        <f t="shared" si="232"/>
        <v>-31.47959132582875</v>
      </c>
      <c r="AO1403" s="76">
        <f t="shared" si="235"/>
        <v>-5.27760050558246</v>
      </c>
      <c r="AP1403" s="63" t="str">
        <f t="shared" si="236"/>
        <v/>
      </c>
      <c r="AQ1403" s="63" t="str">
        <f t="shared" si="237"/>
        <v>Sell Stocks</v>
      </c>
      <c r="AR1403" s="63" t="str">
        <f t="shared" si="238"/>
        <v/>
      </c>
      <c r="AS1403" s="63" t="str">
        <f t="shared" si="239"/>
        <v>Sell Stocks</v>
      </c>
      <c r="AT1403" s="78" t="str">
        <f t="shared" si="240"/>
        <v/>
      </c>
      <c r="AU1403" s="77">
        <f t="shared" si="241"/>
        <v>307.45999999999998</v>
      </c>
      <c r="AV1403" s="64">
        <f ca="1">IFERROR(__xludf.DUMMYFUNCTION("IF(TRIM(AU1403)="""","""",AU1403/INDEX(FILTER(AT$3:AT1403,TRIM(AT$3:AT1403)&lt;&gt;""""),ROWS(FILTER(AT$3:AT1403,TRIM(AT$3:AT1403)&lt;&gt;"""")))-1)"),0.0788070175438595)</f>
        <v>7.8807017543859506E-2</v>
      </c>
      <c r="AW1403" s="65" t="e">
        <f t="shared" ca="1" si="233"/>
        <v>#VALUE!</v>
      </c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</row>
    <row r="1404" spans="1:68" ht="19" x14ac:dyDescent="0.25">
      <c r="A1404" s="5"/>
      <c r="B1404" s="5"/>
      <c r="C1404" s="5"/>
      <c r="D1404" s="5"/>
      <c r="E1404" s="5"/>
      <c r="F1404" s="5"/>
      <c r="G1404" s="5"/>
      <c r="H1404" s="6"/>
      <c r="I1404" s="5"/>
      <c r="J1404" s="88"/>
      <c r="K1404" s="88"/>
      <c r="L1404" s="88"/>
      <c r="M1404" s="88"/>
      <c r="N1404" s="88"/>
      <c r="O1404" s="88"/>
      <c r="P1404" s="88"/>
      <c r="Q1404" s="89"/>
      <c r="R1404" s="88"/>
      <c r="S1404" s="88"/>
      <c r="T1404" s="90"/>
      <c r="U1404" s="6"/>
      <c r="V1404" s="44">
        <v>45957</v>
      </c>
      <c r="W1404" s="45">
        <v>313.08999999999997</v>
      </c>
      <c r="X1404" s="91"/>
      <c r="Y1404" s="77"/>
      <c r="Z1404" s="5"/>
      <c r="AA1404" s="5"/>
      <c r="AB1404" s="5"/>
      <c r="AC1404" s="5"/>
      <c r="AD1404" s="5"/>
      <c r="AE1404" s="5"/>
      <c r="AF1404" s="5"/>
      <c r="AG1404" s="5"/>
      <c r="AH1404" s="6"/>
      <c r="AI1404" s="44">
        <v>45957</v>
      </c>
      <c r="AJ1404" s="53">
        <v>313.08999999999997</v>
      </c>
      <c r="AK1404" s="54">
        <f t="shared" si="231"/>
        <v>1.8311325050412997E-2</v>
      </c>
      <c r="AL1404" s="55">
        <f t="shared" si="234"/>
        <v>55.806914584055555</v>
      </c>
      <c r="AM1404" s="56">
        <v>25</v>
      </c>
      <c r="AN1404" s="57">
        <f t="shared" si="232"/>
        <v>-30.806914584055555</v>
      </c>
      <c r="AO1404" s="76">
        <f t="shared" si="235"/>
        <v>-11.640802138235012</v>
      </c>
      <c r="AP1404" s="63" t="str">
        <f t="shared" si="236"/>
        <v/>
      </c>
      <c r="AQ1404" s="63" t="str">
        <f t="shared" si="237"/>
        <v>Sell Stocks</v>
      </c>
      <c r="AR1404" s="63" t="str">
        <f t="shared" si="238"/>
        <v/>
      </c>
      <c r="AS1404" s="63" t="str">
        <f t="shared" si="239"/>
        <v/>
      </c>
      <c r="AT1404" s="78" t="str">
        <f t="shared" si="240"/>
        <v/>
      </c>
      <c r="AU1404" s="78" t="str">
        <f t="shared" si="241"/>
        <v/>
      </c>
      <c r="AV1404" s="64" t="str">
        <f ca="1">IFERROR(__xludf.DUMMYFUNCTION("IF(TRIM(AU1404)="""","""",AU1404/INDEX(FILTER(AT$3:AT1404,TRIM(AT$3:AT1404)&lt;&gt;""""),ROWS(FILTER(AT$3:AT1404,TRIM(AT$3:AT1404)&lt;&gt;"""")))-1)"),"")</f>
        <v/>
      </c>
      <c r="AW1404" s="65" t="e">
        <f t="shared" ca="1" si="233"/>
        <v>#VALUE!</v>
      </c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</row>
    <row r="1405" spans="1:68" ht="19" x14ac:dyDescent="0.25">
      <c r="A1405" s="5"/>
      <c r="B1405" s="5"/>
      <c r="C1405" s="5"/>
      <c r="D1405" s="5"/>
      <c r="E1405" s="5"/>
      <c r="F1405" s="5"/>
      <c r="G1405" s="5"/>
      <c r="H1405" s="6"/>
      <c r="I1405" s="5"/>
      <c r="J1405" s="88"/>
      <c r="K1405" s="88"/>
      <c r="L1405" s="88"/>
      <c r="M1405" s="88"/>
      <c r="N1405" s="88"/>
      <c r="O1405" s="88"/>
      <c r="P1405" s="88"/>
      <c r="Q1405" s="89"/>
      <c r="R1405" s="88"/>
      <c r="S1405" s="88"/>
      <c r="T1405" s="90"/>
      <c r="U1405" s="6"/>
      <c r="V1405" s="44">
        <v>45958</v>
      </c>
      <c r="W1405" s="45">
        <v>312.57</v>
      </c>
      <c r="X1405" s="91"/>
      <c r="Y1405" s="77"/>
      <c r="Z1405" s="5"/>
      <c r="AA1405" s="5"/>
      <c r="AB1405" s="5"/>
      <c r="AC1405" s="5"/>
      <c r="AD1405" s="5"/>
      <c r="AE1405" s="5"/>
      <c r="AF1405" s="5"/>
      <c r="AG1405" s="5"/>
      <c r="AH1405" s="6"/>
      <c r="AI1405" s="44">
        <v>45958</v>
      </c>
      <c r="AJ1405" s="53">
        <v>312.57</v>
      </c>
      <c r="AK1405" s="54">
        <f t="shared" si="231"/>
        <v>-1.6608642882237623E-3</v>
      </c>
      <c r="AL1405" s="55">
        <f t="shared" si="234"/>
        <v>54.696464492560061</v>
      </c>
      <c r="AM1405" s="56">
        <v>25</v>
      </c>
      <c r="AN1405" s="57">
        <f t="shared" si="232"/>
        <v>-29.696464492560061</v>
      </c>
      <c r="AO1405" s="76">
        <f t="shared" si="235"/>
        <v>-17.696065800660111</v>
      </c>
      <c r="AP1405" s="63" t="str">
        <f t="shared" si="236"/>
        <v/>
      </c>
      <c r="AQ1405" s="63" t="str">
        <f t="shared" si="237"/>
        <v>Sell Stocks</v>
      </c>
      <c r="AR1405" s="63" t="str">
        <f t="shared" si="238"/>
        <v/>
      </c>
      <c r="AS1405" s="63" t="str">
        <f t="shared" si="239"/>
        <v/>
      </c>
      <c r="AT1405" s="78" t="str">
        <f t="shared" si="240"/>
        <v/>
      </c>
      <c r="AU1405" s="78" t="str">
        <f t="shared" si="241"/>
        <v/>
      </c>
      <c r="AV1405" s="64" t="str">
        <f ca="1">IFERROR(__xludf.DUMMYFUNCTION("IF(TRIM(AU1405)="""","""",AU1405/INDEX(FILTER(AT$3:AT1405,TRIM(AT$3:AT1405)&lt;&gt;""""),ROWS(FILTER(AT$3:AT1405,TRIM(AT$3:AT1405)&lt;&gt;"""")))-1)"),"")</f>
        <v/>
      </c>
      <c r="AW1405" s="65" t="e">
        <f t="shared" ca="1" si="233"/>
        <v>#VALUE!</v>
      </c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</row>
    <row r="1406" spans="1:68" ht="19" x14ac:dyDescent="0.25">
      <c r="A1406" s="5"/>
      <c r="B1406" s="5"/>
      <c r="C1406" s="5"/>
      <c r="D1406" s="5"/>
      <c r="E1406" s="5"/>
      <c r="F1406" s="5"/>
      <c r="G1406" s="5"/>
      <c r="H1406" s="6"/>
      <c r="I1406" s="5"/>
      <c r="J1406" s="88"/>
      <c r="K1406" s="88"/>
      <c r="L1406" s="88"/>
      <c r="M1406" s="88"/>
      <c r="N1406" s="88"/>
      <c r="O1406" s="88"/>
      <c r="P1406" s="88"/>
      <c r="Q1406" s="89"/>
      <c r="R1406" s="88"/>
      <c r="S1406" s="88"/>
      <c r="T1406" s="90"/>
      <c r="U1406" s="6"/>
      <c r="V1406" s="44">
        <v>45959</v>
      </c>
      <c r="W1406" s="45">
        <v>308.20999999999998</v>
      </c>
      <c r="X1406" s="91"/>
      <c r="Y1406" s="77"/>
      <c r="Z1406" s="5"/>
      <c r="AA1406" s="5"/>
      <c r="AB1406" s="5"/>
      <c r="AC1406" s="5"/>
      <c r="AD1406" s="5"/>
      <c r="AE1406" s="5"/>
      <c r="AF1406" s="5"/>
      <c r="AG1406" s="5"/>
      <c r="AH1406" s="6"/>
      <c r="AI1406" s="44">
        <v>45959</v>
      </c>
      <c r="AJ1406" s="53">
        <v>308.20999999999998</v>
      </c>
      <c r="AK1406" s="54">
        <f t="shared" si="231"/>
        <v>-1.3948875451898823E-2</v>
      </c>
      <c r="AL1406" s="55">
        <f t="shared" si="234"/>
        <v>60.23980551594277</v>
      </c>
      <c r="AM1406" s="56">
        <v>25</v>
      </c>
      <c r="AN1406" s="57">
        <f t="shared" si="232"/>
        <v>-35.23980551594277</v>
      </c>
      <c r="AO1406" s="76">
        <f t="shared" si="235"/>
        <v>-24.676630104998281</v>
      </c>
      <c r="AP1406" s="63" t="str">
        <f t="shared" si="236"/>
        <v/>
      </c>
      <c r="AQ1406" s="63" t="str">
        <f t="shared" si="237"/>
        <v>Sell Stocks</v>
      </c>
      <c r="AR1406" s="63" t="str">
        <f t="shared" si="238"/>
        <v/>
      </c>
      <c r="AS1406" s="63" t="str">
        <f t="shared" si="239"/>
        <v/>
      </c>
      <c r="AT1406" s="78" t="str">
        <f t="shared" si="240"/>
        <v/>
      </c>
      <c r="AU1406" s="78" t="str">
        <f t="shared" si="241"/>
        <v/>
      </c>
      <c r="AV1406" s="64" t="str">
        <f ca="1">IFERROR(__xludf.DUMMYFUNCTION("IF(TRIM(AU1406)="""","""",AU1406/INDEX(FILTER(AT$3:AT1406,TRIM(AT$3:AT1406)&lt;&gt;""""),ROWS(FILTER(AT$3:AT1406,TRIM(AT$3:AT1406)&lt;&gt;"""")))-1)"),"")</f>
        <v/>
      </c>
      <c r="AW1406" s="65" t="e">
        <f t="shared" ca="1" si="233"/>
        <v>#VALUE!</v>
      </c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</row>
    <row r="1407" spans="1:68" ht="19" x14ac:dyDescent="0.25">
      <c r="A1407" s="5"/>
      <c r="B1407" s="5"/>
      <c r="C1407" s="5"/>
      <c r="D1407" s="5"/>
      <c r="E1407" s="5"/>
      <c r="F1407" s="5"/>
      <c r="G1407" s="5"/>
      <c r="H1407" s="6"/>
      <c r="I1407" s="5"/>
      <c r="J1407" s="88"/>
      <c r="K1407" s="88"/>
      <c r="L1407" s="88"/>
      <c r="M1407" s="88"/>
      <c r="N1407" s="88"/>
      <c r="O1407" s="88"/>
      <c r="P1407" s="88"/>
      <c r="Q1407" s="89"/>
      <c r="R1407" s="88"/>
      <c r="S1407" s="88"/>
      <c r="T1407" s="90"/>
      <c r="U1407" s="6"/>
      <c r="V1407" s="44">
        <v>45960</v>
      </c>
      <c r="W1407" s="45">
        <v>310.06</v>
      </c>
      <c r="X1407" s="91"/>
      <c r="Y1407" s="77"/>
      <c r="Z1407" s="5"/>
      <c r="AA1407" s="5"/>
      <c r="AB1407" s="5"/>
      <c r="AC1407" s="5"/>
      <c r="AD1407" s="5"/>
      <c r="AE1407" s="5"/>
      <c r="AF1407" s="5"/>
      <c r="AG1407" s="5"/>
      <c r="AH1407" s="6"/>
      <c r="AI1407" s="44">
        <v>45960</v>
      </c>
      <c r="AJ1407" s="53">
        <v>310.06</v>
      </c>
      <c r="AK1407" s="54">
        <f t="shared" si="231"/>
        <v>6.0024009603842909E-3</v>
      </c>
      <c r="AL1407" s="55">
        <f t="shared" si="234"/>
        <v>57.497578680232984</v>
      </c>
      <c r="AM1407" s="56">
        <v>25</v>
      </c>
      <c r="AN1407" s="57">
        <f t="shared" si="232"/>
        <v>-32.497578680232984</v>
      </c>
      <c r="AO1407" s="76">
        <f t="shared" si="235"/>
        <v>-31.94407091972402</v>
      </c>
      <c r="AP1407" s="63" t="str">
        <f t="shared" si="236"/>
        <v/>
      </c>
      <c r="AQ1407" s="63" t="str">
        <f t="shared" si="237"/>
        <v>Sell Stocks</v>
      </c>
      <c r="AR1407" s="63" t="str">
        <f t="shared" si="238"/>
        <v/>
      </c>
      <c r="AS1407" s="63" t="str">
        <f t="shared" si="239"/>
        <v/>
      </c>
      <c r="AT1407" s="78" t="str">
        <f t="shared" si="240"/>
        <v/>
      </c>
      <c r="AU1407" s="78" t="str">
        <f t="shared" si="241"/>
        <v/>
      </c>
      <c r="AV1407" s="64" t="str">
        <f ca="1">IFERROR(__xludf.DUMMYFUNCTION("IF(TRIM(AU1407)="""","""",AU1407/INDEX(FILTER(AT$3:AT1407,TRIM(AT$3:AT1407)&lt;&gt;""""),ROWS(FILTER(AT$3:AT1407,TRIM(AT$3:AT1407)&lt;&gt;"""")))-1)"),"")</f>
        <v/>
      </c>
      <c r="AW1407" s="65" t="e">
        <f t="shared" ca="1" si="233"/>
        <v>#VALUE!</v>
      </c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</row>
    <row r="1408" spans="1:68" ht="19" x14ac:dyDescent="0.25">
      <c r="A1408" s="5"/>
      <c r="B1408" s="5"/>
      <c r="C1408" s="5"/>
      <c r="D1408" s="5"/>
      <c r="E1408" s="5"/>
      <c r="F1408" s="5"/>
      <c r="G1408" s="5"/>
      <c r="H1408" s="6"/>
      <c r="I1408" s="5"/>
      <c r="J1408" s="88"/>
      <c r="K1408" s="88"/>
      <c r="L1408" s="88"/>
      <c r="M1408" s="88"/>
      <c r="N1408" s="88"/>
      <c r="O1408" s="88"/>
      <c r="P1408" s="88"/>
      <c r="Q1408" s="89"/>
      <c r="R1408" s="88"/>
      <c r="S1408" s="88"/>
      <c r="T1408" s="90"/>
      <c r="U1408" s="6"/>
      <c r="V1408" s="44">
        <v>45961</v>
      </c>
      <c r="W1408" s="45">
        <v>307.41000000000003</v>
      </c>
      <c r="X1408" s="91"/>
      <c r="Y1408" s="77"/>
      <c r="Z1408" s="5"/>
      <c r="AA1408" s="5"/>
      <c r="AB1408" s="5"/>
      <c r="AC1408" s="5"/>
      <c r="AD1408" s="5"/>
      <c r="AE1408" s="5"/>
      <c r="AF1408" s="5"/>
      <c r="AG1408" s="5"/>
      <c r="AH1408" s="6"/>
      <c r="AI1408" s="44">
        <v>45961</v>
      </c>
      <c r="AJ1408" s="53">
        <v>307.41000000000003</v>
      </c>
      <c r="AK1408" s="54">
        <f t="shared" si="231"/>
        <v>-8.546732890408193E-3</v>
      </c>
      <c r="AL1408" s="55">
        <f t="shared" si="234"/>
        <v>20.1065656909166</v>
      </c>
      <c r="AM1408" s="56">
        <v>25</v>
      </c>
      <c r="AN1408" s="57">
        <f t="shared" si="232"/>
        <v>4.8934343090833998</v>
      </c>
      <c r="AO1408" s="76">
        <f t="shared" si="235"/>
        <v>-24.66946579274159</v>
      </c>
      <c r="AP1408" s="63" t="str">
        <f t="shared" si="236"/>
        <v/>
      </c>
      <c r="AQ1408" s="63" t="str">
        <f t="shared" si="237"/>
        <v>Sell Stocks</v>
      </c>
      <c r="AR1408" s="63" t="str">
        <f t="shared" si="238"/>
        <v/>
      </c>
      <c r="AS1408" s="63" t="str">
        <f t="shared" si="239"/>
        <v/>
      </c>
      <c r="AT1408" s="78" t="str">
        <f t="shared" si="240"/>
        <v/>
      </c>
      <c r="AU1408" s="78" t="str">
        <f t="shared" si="241"/>
        <v/>
      </c>
      <c r="AV1408" s="64" t="str">
        <f ca="1">IFERROR(__xludf.DUMMYFUNCTION("IF(TRIM(AU1408)="""","""",AU1408/INDEX(FILTER(AT$3:AT1408,TRIM(AT$3:AT1408)&lt;&gt;""""),ROWS(FILTER(AT$3:AT1408,TRIM(AT$3:AT1408)&lt;&gt;"""")))-1)"),"")</f>
        <v/>
      </c>
      <c r="AW1408" s="65" t="e">
        <f t="shared" ca="1" si="233"/>
        <v>#VALUE!</v>
      </c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</row>
    <row r="1409" spans="1:68" ht="19" x14ac:dyDescent="0.25">
      <c r="A1409" s="5"/>
      <c r="B1409" s="5"/>
      <c r="C1409" s="5"/>
      <c r="D1409" s="5"/>
      <c r="E1409" s="5"/>
      <c r="F1409" s="5"/>
      <c r="G1409" s="5"/>
      <c r="H1409" s="6"/>
      <c r="I1409" s="5"/>
      <c r="J1409" s="88"/>
      <c r="K1409" s="88"/>
      <c r="L1409" s="88"/>
      <c r="M1409" s="88"/>
      <c r="N1409" s="88"/>
      <c r="O1409" s="88"/>
      <c r="P1409" s="88"/>
      <c r="Q1409" s="89"/>
      <c r="R1409" s="88"/>
      <c r="S1409" s="88"/>
      <c r="T1409" s="90"/>
      <c r="U1409" s="6"/>
      <c r="V1409" s="44">
        <v>45964</v>
      </c>
      <c r="W1409" s="45">
        <v>304.73</v>
      </c>
      <c r="X1409" s="91"/>
      <c r="Y1409" s="77"/>
      <c r="Z1409" s="5"/>
      <c r="AA1409" s="5"/>
      <c r="AB1409" s="5"/>
      <c r="AC1409" s="5"/>
      <c r="AD1409" s="5"/>
      <c r="AE1409" s="5"/>
      <c r="AF1409" s="5"/>
      <c r="AG1409" s="5"/>
      <c r="AH1409" s="6"/>
      <c r="AI1409" s="44">
        <v>45964</v>
      </c>
      <c r="AJ1409" s="53">
        <v>304.73</v>
      </c>
      <c r="AK1409" s="54">
        <f t="shared" si="231"/>
        <v>-8.7179987638659195E-3</v>
      </c>
      <c r="AL1409" s="55">
        <f t="shared" si="234"/>
        <v>12.244662636084442</v>
      </c>
      <c r="AM1409" s="56">
        <v>25</v>
      </c>
      <c r="AN1409" s="57">
        <f t="shared" si="232"/>
        <v>12.755337363915558</v>
      </c>
      <c r="AO1409" s="76">
        <f t="shared" si="235"/>
        <v>-15.957015403147372</v>
      </c>
      <c r="AP1409" s="63" t="str">
        <f t="shared" si="236"/>
        <v/>
      </c>
      <c r="AQ1409" s="63" t="str">
        <f t="shared" si="237"/>
        <v>Sell Stocks</v>
      </c>
      <c r="AR1409" s="63" t="str">
        <f t="shared" si="238"/>
        <v/>
      </c>
      <c r="AS1409" s="63" t="str">
        <f t="shared" si="239"/>
        <v/>
      </c>
      <c r="AT1409" s="78" t="str">
        <f t="shared" si="240"/>
        <v/>
      </c>
      <c r="AU1409" s="78" t="str">
        <f t="shared" si="241"/>
        <v/>
      </c>
      <c r="AV1409" s="64" t="str">
        <f ca="1">IFERROR(__xludf.DUMMYFUNCTION("IF(TRIM(AU1409)="""","""",AU1409/INDEX(FILTER(AT$3:AT1409,TRIM(AT$3:AT1409)&lt;&gt;""""),ROWS(FILTER(AT$3:AT1409,TRIM(AT$3:AT1409)&lt;&gt;"""")))-1)"),"")</f>
        <v/>
      </c>
      <c r="AW1409" s="65" t="e">
        <f t="shared" ca="1" si="233"/>
        <v>#VALUE!</v>
      </c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</row>
    <row r="1410" spans="1:68" ht="19" x14ac:dyDescent="0.25">
      <c r="A1410" s="5"/>
      <c r="B1410" s="5"/>
      <c r="C1410" s="5"/>
      <c r="D1410" s="5"/>
      <c r="E1410" s="5"/>
      <c r="F1410" s="5"/>
      <c r="G1410" s="5"/>
      <c r="H1410" s="6"/>
      <c r="I1410" s="5"/>
      <c r="J1410" s="88"/>
      <c r="K1410" s="88"/>
      <c r="L1410" s="88"/>
      <c r="M1410" s="88"/>
      <c r="N1410" s="88"/>
      <c r="O1410" s="88"/>
      <c r="P1410" s="88"/>
      <c r="Q1410" s="89"/>
      <c r="R1410" s="88"/>
      <c r="S1410" s="88"/>
      <c r="T1410" s="90"/>
      <c r="U1410" s="6"/>
      <c r="V1410" s="44">
        <v>45965</v>
      </c>
      <c r="W1410" s="45">
        <v>300.85000000000002</v>
      </c>
      <c r="X1410" s="91"/>
      <c r="Y1410" s="77"/>
      <c r="Z1410" s="5"/>
      <c r="AA1410" s="5"/>
      <c r="AB1410" s="5"/>
      <c r="AC1410" s="5"/>
      <c r="AD1410" s="5"/>
      <c r="AE1410" s="5"/>
      <c r="AF1410" s="5"/>
      <c r="AG1410" s="5"/>
      <c r="AH1410" s="6"/>
      <c r="AI1410" s="44">
        <v>45965</v>
      </c>
      <c r="AJ1410" s="53">
        <v>300.85000000000002</v>
      </c>
      <c r="AK1410" s="54">
        <f t="shared" si="231"/>
        <v>-1.2732582942276749E-2</v>
      </c>
      <c r="AL1410" s="55">
        <f t="shared" si="234"/>
        <v>12.645481203051059</v>
      </c>
      <c r="AM1410" s="56">
        <v>25</v>
      </c>
      <c r="AN1410" s="57">
        <f t="shared" si="232"/>
        <v>12.354518796948941</v>
      </c>
      <c r="AO1410" s="76">
        <f t="shared" si="235"/>
        <v>-7.5468187452455711</v>
      </c>
      <c r="AP1410" s="63" t="str">
        <f t="shared" si="236"/>
        <v/>
      </c>
      <c r="AQ1410" s="63" t="str">
        <f t="shared" si="237"/>
        <v>Sell Stocks</v>
      </c>
      <c r="AR1410" s="63" t="str">
        <f t="shared" si="238"/>
        <v/>
      </c>
      <c r="AS1410" s="63" t="str">
        <f t="shared" si="239"/>
        <v/>
      </c>
      <c r="AT1410" s="78" t="str">
        <f t="shared" si="240"/>
        <v/>
      </c>
      <c r="AU1410" s="78" t="str">
        <f t="shared" si="241"/>
        <v/>
      </c>
      <c r="AV1410" s="64" t="str">
        <f ca="1">IFERROR(__xludf.DUMMYFUNCTION("IF(TRIM(AU1410)="""","""",AU1410/INDEX(FILTER(AT$3:AT1410,TRIM(AT$3:AT1410)&lt;&gt;""""),ROWS(FILTER(AT$3:AT1410,TRIM(AT$3:AT1410)&lt;&gt;"""")))-1)"),"")</f>
        <v/>
      </c>
      <c r="AW1410" s="65" t="e">
        <f t="shared" ca="1" si="233"/>
        <v>#VALUE!</v>
      </c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</row>
    <row r="1411" spans="1:68" ht="19" x14ac:dyDescent="0.25">
      <c r="A1411" s="5"/>
      <c r="B1411" s="5"/>
      <c r="C1411" s="5"/>
      <c r="D1411" s="5"/>
      <c r="E1411" s="5"/>
      <c r="F1411" s="5"/>
      <c r="G1411" s="5"/>
      <c r="H1411" s="6"/>
      <c r="I1411" s="5"/>
      <c r="J1411" s="88"/>
      <c r="K1411" s="88"/>
      <c r="L1411" s="88"/>
      <c r="M1411" s="88"/>
      <c r="N1411" s="88"/>
      <c r="O1411" s="88"/>
      <c r="P1411" s="88"/>
      <c r="Q1411" s="89"/>
      <c r="R1411" s="88"/>
      <c r="S1411" s="88"/>
      <c r="T1411" s="90"/>
      <c r="U1411" s="6"/>
      <c r="V1411" s="44">
        <v>45966</v>
      </c>
      <c r="W1411" s="45">
        <v>306.77</v>
      </c>
      <c r="X1411" s="91"/>
      <c r="Y1411" s="77"/>
      <c r="Z1411" s="5"/>
      <c r="AA1411" s="5"/>
      <c r="AB1411" s="5"/>
      <c r="AC1411" s="5"/>
      <c r="AD1411" s="5"/>
      <c r="AE1411" s="5"/>
      <c r="AF1411" s="5"/>
      <c r="AG1411" s="5"/>
      <c r="AH1411" s="6"/>
      <c r="AI1411" s="44">
        <v>45966</v>
      </c>
      <c r="AJ1411" s="53">
        <v>306.77</v>
      </c>
      <c r="AK1411" s="54">
        <f t="shared" ref="AK1411:AK1474" si="242">AJ1411/AJ1410-1</f>
        <v>1.9677580189463084E-2</v>
      </c>
      <c r="AL1411" s="55">
        <f t="shared" si="234"/>
        <v>21.455219864149299</v>
      </c>
      <c r="AM1411" s="56">
        <v>25</v>
      </c>
      <c r="AN1411" s="57">
        <f t="shared" ref="AN1411:AN1474" si="243">AM1411-AL1411</f>
        <v>3.5447801358507007</v>
      </c>
      <c r="AO1411" s="76">
        <f t="shared" si="235"/>
        <v>0.21009838511312323</v>
      </c>
      <c r="AP1411" s="63" t="str">
        <f t="shared" si="236"/>
        <v>Buy Stocks</v>
      </c>
      <c r="AQ1411" s="63" t="str">
        <f t="shared" si="237"/>
        <v/>
      </c>
      <c r="AR1411" s="63" t="str">
        <f t="shared" si="238"/>
        <v>Buy Stocks</v>
      </c>
      <c r="AS1411" s="63" t="str">
        <f t="shared" si="239"/>
        <v/>
      </c>
      <c r="AT1411" s="77">
        <f t="shared" si="240"/>
        <v>306.77</v>
      </c>
      <c r="AU1411" s="78" t="str">
        <f t="shared" si="241"/>
        <v/>
      </c>
      <c r="AV1411" s="64" t="str">
        <f ca="1">IFERROR(__xludf.DUMMYFUNCTION("IF(TRIM(AU1411)="""","""",AU1411/INDEX(FILTER(AT$3:AT1411,TRIM(AT$3:AT1411)&lt;&gt;""""),ROWS(FILTER(AT$3:AT1411,TRIM(AT$3:AT1411)&lt;&gt;"""")))-1)"),"")</f>
        <v/>
      </c>
      <c r="AW1411" s="65" t="e">
        <f t="shared" ref="AW1411:AW1474" ca="1" si="244">AW1410*(1+AV1411)</f>
        <v>#VALUE!</v>
      </c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</row>
    <row r="1412" spans="1:68" ht="19" x14ac:dyDescent="0.25">
      <c r="A1412" s="5"/>
      <c r="B1412" s="5"/>
      <c r="C1412" s="5"/>
      <c r="D1412" s="5"/>
      <c r="E1412" s="5"/>
      <c r="F1412" s="5"/>
      <c r="G1412" s="5"/>
      <c r="H1412" s="6"/>
      <c r="I1412" s="5"/>
      <c r="J1412" s="88"/>
      <c r="K1412" s="88"/>
      <c r="L1412" s="88"/>
      <c r="M1412" s="88"/>
      <c r="N1412" s="88"/>
      <c r="O1412" s="88"/>
      <c r="P1412" s="88"/>
      <c r="Q1412" s="89"/>
      <c r="R1412" s="88"/>
      <c r="S1412" s="88"/>
      <c r="T1412" s="90"/>
      <c r="U1412" s="6"/>
      <c r="V1412" s="44">
        <v>45967</v>
      </c>
      <c r="W1412" s="45">
        <v>312.42</v>
      </c>
      <c r="X1412" s="91"/>
      <c r="Y1412" s="77"/>
      <c r="Z1412" s="5"/>
      <c r="AA1412" s="5"/>
      <c r="AB1412" s="5"/>
      <c r="AC1412" s="5"/>
      <c r="AD1412" s="5"/>
      <c r="AE1412" s="5"/>
      <c r="AF1412" s="5"/>
      <c r="AG1412" s="5"/>
      <c r="AH1412" s="6"/>
      <c r="AI1412" s="44">
        <v>45967</v>
      </c>
      <c r="AJ1412" s="53">
        <v>312.42</v>
      </c>
      <c r="AK1412" s="54">
        <f t="shared" si="242"/>
        <v>1.841770707696333E-2</v>
      </c>
      <c r="AL1412" s="55">
        <f t="shared" si="234"/>
        <v>25.405071560170445</v>
      </c>
      <c r="AM1412" s="56">
        <v>25</v>
      </c>
      <c r="AN1412" s="57">
        <f t="shared" si="243"/>
        <v>-0.40507156017044466</v>
      </c>
      <c r="AO1412" s="76">
        <f t="shared" si="235"/>
        <v>6.6285998091256317</v>
      </c>
      <c r="AP1412" s="63" t="str">
        <f t="shared" si="236"/>
        <v>Buy Stocks</v>
      </c>
      <c r="AQ1412" s="63" t="str">
        <f t="shared" si="237"/>
        <v/>
      </c>
      <c r="AR1412" s="63" t="str">
        <f t="shared" si="238"/>
        <v/>
      </c>
      <c r="AS1412" s="63" t="str">
        <f t="shared" si="239"/>
        <v/>
      </c>
      <c r="AT1412" s="78" t="str">
        <f t="shared" si="240"/>
        <v/>
      </c>
      <c r="AU1412" s="78" t="str">
        <f t="shared" si="241"/>
        <v/>
      </c>
      <c r="AV1412" s="64" t="str">
        <f ca="1">IFERROR(__xludf.DUMMYFUNCTION("IF(TRIM(AU1412)="""","""",AU1412/INDEX(FILTER(AT$3:AT1412,TRIM(AT$3:AT1412)&lt;&gt;""""),ROWS(FILTER(AT$3:AT1412,TRIM(AT$3:AT1412)&lt;&gt;"""")))-1)"),"")</f>
        <v/>
      </c>
      <c r="AW1412" s="65" t="e">
        <f t="shared" ca="1" si="244"/>
        <v>#VALUE!</v>
      </c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</row>
    <row r="1413" spans="1:68" ht="19" x14ac:dyDescent="0.25">
      <c r="A1413" s="5"/>
      <c r="B1413" s="5"/>
      <c r="C1413" s="5"/>
      <c r="D1413" s="5"/>
      <c r="E1413" s="5"/>
      <c r="F1413" s="5"/>
      <c r="G1413" s="5"/>
      <c r="H1413" s="6"/>
      <c r="I1413" s="5"/>
      <c r="J1413" s="88"/>
      <c r="K1413" s="88"/>
      <c r="L1413" s="88"/>
      <c r="M1413" s="88"/>
      <c r="N1413" s="88"/>
      <c r="O1413" s="88"/>
      <c r="P1413" s="88"/>
      <c r="Q1413" s="89"/>
      <c r="R1413" s="88"/>
      <c r="S1413" s="88"/>
      <c r="T1413" s="90"/>
      <c r="U1413" s="6"/>
      <c r="V1413" s="44">
        <v>45968</v>
      </c>
      <c r="W1413" s="45">
        <v>306.38</v>
      </c>
      <c r="X1413" s="91"/>
      <c r="Y1413" s="77"/>
      <c r="Z1413" s="5"/>
      <c r="AA1413" s="5"/>
      <c r="AB1413" s="5"/>
      <c r="AC1413" s="5"/>
      <c r="AD1413" s="5"/>
      <c r="AE1413" s="5"/>
      <c r="AF1413" s="5"/>
      <c r="AG1413" s="5"/>
      <c r="AH1413" s="6"/>
      <c r="AI1413" s="44">
        <v>45968</v>
      </c>
      <c r="AJ1413" s="53">
        <v>306.38</v>
      </c>
      <c r="AK1413" s="54">
        <f t="shared" si="242"/>
        <v>-1.9332949235004171E-2</v>
      </c>
      <c r="AL1413" s="55">
        <f t="shared" si="234"/>
        <v>29.021045522220014</v>
      </c>
      <c r="AM1413" s="56">
        <v>25</v>
      </c>
      <c r="AN1413" s="57">
        <f t="shared" si="243"/>
        <v>-4.0210455222200139</v>
      </c>
      <c r="AO1413" s="76">
        <f t="shared" si="235"/>
        <v>4.8457038428649479</v>
      </c>
      <c r="AP1413" s="63" t="str">
        <f t="shared" si="236"/>
        <v>Buy Stocks</v>
      </c>
      <c r="AQ1413" s="63" t="str">
        <f t="shared" si="237"/>
        <v/>
      </c>
      <c r="AR1413" s="63" t="str">
        <f t="shared" si="238"/>
        <v/>
      </c>
      <c r="AS1413" s="63" t="str">
        <f t="shared" si="239"/>
        <v/>
      </c>
      <c r="AT1413" s="78" t="str">
        <f t="shared" si="240"/>
        <v/>
      </c>
      <c r="AU1413" s="78" t="str">
        <f t="shared" si="241"/>
        <v/>
      </c>
      <c r="AV1413" s="64" t="str">
        <f ca="1">IFERROR(__xludf.DUMMYFUNCTION("IF(TRIM(AU1413)="""","""",AU1413/INDEX(FILTER(AT$3:AT1413,TRIM(AT$3:AT1413)&lt;&gt;""""),ROWS(FILTER(AT$3:AT1413,TRIM(AT$3:AT1413)&lt;&gt;"""")))-1)"),"")</f>
        <v/>
      </c>
      <c r="AW1413" s="65" t="e">
        <f t="shared" ca="1" si="244"/>
        <v>#VALUE!</v>
      </c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</row>
    <row r="1414" spans="1:68" ht="19" x14ac:dyDescent="0.25">
      <c r="A1414" s="5"/>
      <c r="B1414" s="5"/>
      <c r="C1414" s="5"/>
      <c r="D1414" s="5"/>
      <c r="E1414" s="5"/>
      <c r="F1414" s="5"/>
      <c r="G1414" s="5"/>
      <c r="H1414" s="6"/>
      <c r="I1414" s="5"/>
      <c r="J1414" s="88"/>
      <c r="K1414" s="88"/>
      <c r="L1414" s="88"/>
      <c r="M1414" s="88"/>
      <c r="N1414" s="88"/>
      <c r="O1414" s="88"/>
      <c r="P1414" s="88"/>
      <c r="Q1414" s="89"/>
      <c r="R1414" s="88"/>
      <c r="S1414" s="88"/>
      <c r="T1414" s="90"/>
      <c r="U1414" s="6"/>
      <c r="V1414" s="44">
        <v>45971</v>
      </c>
      <c r="W1414" s="45">
        <v>309.13</v>
      </c>
      <c r="X1414" s="91"/>
      <c r="Y1414" s="77"/>
      <c r="Z1414" s="5"/>
      <c r="AA1414" s="5"/>
      <c r="AB1414" s="5"/>
      <c r="AC1414" s="5"/>
      <c r="AD1414" s="5"/>
      <c r="AE1414" s="5"/>
      <c r="AF1414" s="5"/>
      <c r="AG1414" s="5"/>
      <c r="AH1414" s="6"/>
      <c r="AI1414" s="44">
        <v>45971</v>
      </c>
      <c r="AJ1414" s="53">
        <v>309.13</v>
      </c>
      <c r="AK1414" s="54">
        <f t="shared" si="242"/>
        <v>8.9757817089888281E-3</v>
      </c>
      <c r="AL1414" s="55">
        <f t="shared" si="234"/>
        <v>28.594304261577076</v>
      </c>
      <c r="AM1414" s="56">
        <v>25</v>
      </c>
      <c r="AN1414" s="57">
        <f t="shared" si="243"/>
        <v>-3.5943042615770757</v>
      </c>
      <c r="AO1414" s="76">
        <f t="shared" si="235"/>
        <v>1.5757755177664214</v>
      </c>
      <c r="AP1414" s="63" t="str">
        <f t="shared" si="236"/>
        <v>Buy Stocks</v>
      </c>
      <c r="AQ1414" s="63" t="str">
        <f t="shared" si="237"/>
        <v/>
      </c>
      <c r="AR1414" s="63" t="str">
        <f t="shared" si="238"/>
        <v/>
      </c>
      <c r="AS1414" s="63" t="str">
        <f t="shared" si="239"/>
        <v/>
      </c>
      <c r="AT1414" s="78" t="str">
        <f t="shared" si="240"/>
        <v/>
      </c>
      <c r="AU1414" s="78" t="str">
        <f t="shared" si="241"/>
        <v/>
      </c>
      <c r="AV1414" s="64" t="str">
        <f ca="1">IFERROR(__xludf.DUMMYFUNCTION("IF(TRIM(AU1414)="""","""",AU1414/INDEX(FILTER(AT$3:AT1414,TRIM(AT$3:AT1414)&lt;&gt;""""),ROWS(FILTER(AT$3:AT1414,TRIM(AT$3:AT1414)&lt;&gt;"""")))-1)"),"")</f>
        <v/>
      </c>
      <c r="AW1414" s="65" t="e">
        <f t="shared" ca="1" si="244"/>
        <v>#VALUE!</v>
      </c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</row>
    <row r="1415" spans="1:68" ht="19" x14ac:dyDescent="0.25">
      <c r="A1415" s="5"/>
      <c r="B1415" s="5"/>
      <c r="C1415" s="5"/>
      <c r="D1415" s="5"/>
      <c r="E1415" s="5"/>
      <c r="F1415" s="5"/>
      <c r="G1415" s="5"/>
      <c r="H1415" s="6"/>
      <c r="I1415" s="5"/>
      <c r="J1415" s="88"/>
      <c r="K1415" s="88"/>
      <c r="L1415" s="88"/>
      <c r="M1415" s="88"/>
      <c r="N1415" s="88"/>
      <c r="O1415" s="88"/>
      <c r="P1415" s="88"/>
      <c r="Q1415" s="89"/>
      <c r="R1415" s="88"/>
      <c r="S1415" s="88"/>
      <c r="T1415" s="90"/>
      <c r="U1415" s="6"/>
      <c r="V1415" s="44">
        <v>45972</v>
      </c>
      <c r="W1415" s="45">
        <v>313.72000000000003</v>
      </c>
      <c r="X1415" s="91"/>
      <c r="Y1415" s="77"/>
      <c r="Z1415" s="5"/>
      <c r="AA1415" s="5"/>
      <c r="AB1415" s="5"/>
      <c r="AC1415" s="5"/>
      <c r="AD1415" s="5"/>
      <c r="AE1415" s="5"/>
      <c r="AF1415" s="5"/>
      <c r="AG1415" s="5"/>
      <c r="AH1415" s="6"/>
      <c r="AI1415" s="44">
        <v>45972</v>
      </c>
      <c r="AJ1415" s="53">
        <v>313.72000000000003</v>
      </c>
      <c r="AK1415" s="54">
        <f t="shared" si="242"/>
        <v>1.4848122149257792E-2</v>
      </c>
      <c r="AL1415" s="55">
        <f t="shared" ref="AL1415:AL1478" si="245">_xlfn.STDEV.S(AK1411:AK1415)*SQRT(252)*100</f>
        <v>25.578357278273756</v>
      </c>
      <c r="AM1415" s="56">
        <v>25</v>
      </c>
      <c r="AN1415" s="57">
        <f t="shared" si="243"/>
        <v>-0.57835727827375649</v>
      </c>
      <c r="AO1415" s="76">
        <f t="shared" ref="AO1415:AO1478" si="246">AVERAGE(AN1411:AN1415)</f>
        <v>-1.0107996972781179</v>
      </c>
      <c r="AP1415" s="63" t="str">
        <f t="shared" ref="AP1415:AP1478" si="247">IF(AO1415&gt;0,"Buy Stocks","")</f>
        <v/>
      </c>
      <c r="AQ1415" s="63" t="str">
        <f t="shared" ref="AQ1415:AQ1478" si="248">IF(AO1415&lt;0,"Sell Stocks","")</f>
        <v>Sell Stocks</v>
      </c>
      <c r="AR1415" s="63" t="str">
        <f t="shared" ref="AR1415:AR1478" si="249">IF(AND(AP1415="Buy Stocks",AP1414=""),"Buy Stocks","")</f>
        <v/>
      </c>
      <c r="AS1415" s="63" t="str">
        <f t="shared" ref="AS1415:AS1478" si="250">IF(AND(AQ1415="Sell Stocks",AQ1414=""),"Sell Stocks","")</f>
        <v>Sell Stocks</v>
      </c>
      <c r="AT1415" s="78" t="str">
        <f t="shared" ref="AT1415:AT1478" si="251">IF(AR1415="Buy Stocks",AJ1415,"")</f>
        <v/>
      </c>
      <c r="AU1415" s="77">
        <f t="shared" ref="AU1415:AU1478" si="252">IF(AS1415="Sell Stocks",AJ1415,"")</f>
        <v>313.72000000000003</v>
      </c>
      <c r="AV1415" s="64">
        <f ca="1">IFERROR(__xludf.DUMMYFUNCTION("IF(TRIM(AU1415)="""","""",AU1415/INDEX(FILTER(AT$3:AT1415,TRIM(AT$3:AT1415)&lt;&gt;""""),ROWS(FILTER(AT$3:AT1415,TRIM(AT$3:AT1415)&lt;&gt;"""")))-1)"),0.0226554095902469)</f>
        <v>2.2655409590246901E-2</v>
      </c>
      <c r="AW1415" s="65" t="e">
        <f t="shared" ca="1" si="244"/>
        <v>#VALUE!</v>
      </c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</row>
    <row r="1416" spans="1:68" ht="19" x14ac:dyDescent="0.25">
      <c r="A1416" s="5"/>
      <c r="B1416" s="5"/>
      <c r="C1416" s="5"/>
      <c r="D1416" s="5"/>
      <c r="E1416" s="5"/>
      <c r="F1416" s="5"/>
      <c r="G1416" s="5"/>
      <c r="H1416" s="6"/>
      <c r="I1416" s="5"/>
      <c r="J1416" s="88"/>
      <c r="K1416" s="88"/>
      <c r="L1416" s="88"/>
      <c r="M1416" s="88"/>
      <c r="N1416" s="88"/>
      <c r="O1416" s="88"/>
      <c r="P1416" s="88"/>
      <c r="Q1416" s="89"/>
      <c r="R1416" s="88"/>
      <c r="S1416" s="88"/>
      <c r="T1416" s="90"/>
      <c r="U1416" s="6"/>
      <c r="V1416" s="44">
        <v>45973</v>
      </c>
      <c r="W1416" s="45">
        <v>314.98</v>
      </c>
      <c r="X1416" s="91"/>
      <c r="Y1416" s="77"/>
      <c r="Z1416" s="5"/>
      <c r="AA1416" s="5"/>
      <c r="AB1416" s="5"/>
      <c r="AC1416" s="5"/>
      <c r="AD1416" s="5"/>
      <c r="AE1416" s="5"/>
      <c r="AF1416" s="5"/>
      <c r="AG1416" s="5"/>
      <c r="AH1416" s="6"/>
      <c r="AI1416" s="44">
        <v>45973</v>
      </c>
      <c r="AJ1416" s="53">
        <v>314.98</v>
      </c>
      <c r="AK1416" s="54">
        <f t="shared" si="242"/>
        <v>4.0163202856049462E-3</v>
      </c>
      <c r="AL1416" s="55">
        <f t="shared" si="245"/>
        <v>23.614446261282836</v>
      </c>
      <c r="AM1416" s="56">
        <v>25</v>
      </c>
      <c r="AN1416" s="57">
        <f t="shared" si="243"/>
        <v>1.3855537387171637</v>
      </c>
      <c r="AO1416" s="76">
        <f t="shared" si="246"/>
        <v>-1.4426449767048255</v>
      </c>
      <c r="AP1416" s="63" t="str">
        <f t="shared" si="247"/>
        <v/>
      </c>
      <c r="AQ1416" s="63" t="str">
        <f t="shared" si="248"/>
        <v>Sell Stocks</v>
      </c>
      <c r="AR1416" s="63" t="str">
        <f t="shared" si="249"/>
        <v/>
      </c>
      <c r="AS1416" s="63" t="str">
        <f t="shared" si="250"/>
        <v/>
      </c>
      <c r="AT1416" s="78" t="str">
        <f t="shared" si="251"/>
        <v/>
      </c>
      <c r="AU1416" s="78" t="str">
        <f t="shared" si="252"/>
        <v/>
      </c>
      <c r="AV1416" s="64" t="str">
        <f ca="1">IFERROR(__xludf.DUMMYFUNCTION("IF(TRIM(AU1416)="""","""",AU1416/INDEX(FILTER(AT$3:AT1416,TRIM(AT$3:AT1416)&lt;&gt;""""),ROWS(FILTER(AT$3:AT1416,TRIM(AT$3:AT1416)&lt;&gt;"""")))-1)"),"")</f>
        <v/>
      </c>
      <c r="AW1416" s="65" t="e">
        <f t="shared" ca="1" si="244"/>
        <v>#VALUE!</v>
      </c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</row>
    <row r="1417" spans="1:68" ht="19" x14ac:dyDescent="0.25">
      <c r="A1417" s="5"/>
      <c r="B1417" s="5"/>
      <c r="C1417" s="5"/>
      <c r="D1417" s="5"/>
      <c r="E1417" s="5"/>
      <c r="F1417" s="5"/>
      <c r="G1417" s="5"/>
      <c r="H1417" s="6"/>
      <c r="I1417" s="5"/>
      <c r="J1417" s="88"/>
      <c r="K1417" s="88"/>
      <c r="L1417" s="88"/>
      <c r="M1417" s="88"/>
      <c r="N1417" s="88"/>
      <c r="O1417" s="88"/>
      <c r="P1417" s="88"/>
      <c r="Q1417" s="89"/>
      <c r="R1417" s="88"/>
      <c r="S1417" s="88"/>
      <c r="T1417" s="90"/>
      <c r="U1417" s="6"/>
      <c r="V1417" s="44">
        <v>45974</v>
      </c>
      <c r="W1417" s="45">
        <v>304.86</v>
      </c>
      <c r="X1417" s="91"/>
      <c r="Y1417" s="77"/>
      <c r="Z1417" s="5"/>
      <c r="AA1417" s="5"/>
      <c r="AB1417" s="5"/>
      <c r="AC1417" s="5"/>
      <c r="AD1417" s="5"/>
      <c r="AE1417" s="5"/>
      <c r="AF1417" s="5"/>
      <c r="AG1417" s="5"/>
      <c r="AH1417" s="6"/>
      <c r="AI1417" s="44">
        <v>45974</v>
      </c>
      <c r="AJ1417" s="53">
        <v>304.86</v>
      </c>
      <c r="AK1417" s="54">
        <f t="shared" si="242"/>
        <v>-3.2129024065020051E-2</v>
      </c>
      <c r="AL1417" s="55">
        <f t="shared" si="245"/>
        <v>31.8639170882483</v>
      </c>
      <c r="AM1417" s="56">
        <v>25</v>
      </c>
      <c r="AN1417" s="57">
        <f t="shared" si="243"/>
        <v>-6.8639170882483</v>
      </c>
      <c r="AO1417" s="76">
        <f t="shared" si="246"/>
        <v>-2.7344140823203964</v>
      </c>
      <c r="AP1417" s="63" t="str">
        <f t="shared" si="247"/>
        <v/>
      </c>
      <c r="AQ1417" s="63" t="str">
        <f t="shared" si="248"/>
        <v>Sell Stocks</v>
      </c>
      <c r="AR1417" s="63" t="str">
        <f t="shared" si="249"/>
        <v/>
      </c>
      <c r="AS1417" s="63" t="str">
        <f t="shared" si="250"/>
        <v/>
      </c>
      <c r="AT1417" s="78" t="str">
        <f t="shared" si="251"/>
        <v/>
      </c>
      <c r="AU1417" s="78" t="str">
        <f t="shared" si="252"/>
        <v/>
      </c>
      <c r="AV1417" s="64" t="str">
        <f ca="1">IFERROR(__xludf.DUMMYFUNCTION("IF(TRIM(AU1417)="""","""",AU1417/INDEX(FILTER(AT$3:AT1417,TRIM(AT$3:AT1417)&lt;&gt;""""),ROWS(FILTER(AT$3:AT1417,TRIM(AT$3:AT1417)&lt;&gt;"""")))-1)"),"")</f>
        <v/>
      </c>
      <c r="AW1417" s="65" t="e">
        <f t="shared" ca="1" si="244"/>
        <v>#VALUE!</v>
      </c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</row>
    <row r="1418" spans="1:68" ht="19" x14ac:dyDescent="0.25">
      <c r="A1418" s="5"/>
      <c r="B1418" s="5"/>
      <c r="C1418" s="5"/>
      <c r="D1418" s="5"/>
      <c r="E1418" s="5"/>
      <c r="F1418" s="5"/>
      <c r="G1418" s="5"/>
      <c r="H1418" s="6"/>
      <c r="I1418" s="5"/>
      <c r="J1418" s="88"/>
      <c r="K1418" s="88"/>
      <c r="L1418" s="88"/>
      <c r="M1418" s="88"/>
      <c r="N1418" s="88"/>
      <c r="O1418" s="88"/>
      <c r="P1418" s="88"/>
      <c r="Q1418" s="89"/>
      <c r="R1418" s="88"/>
      <c r="S1418" s="88"/>
      <c r="T1418" s="90"/>
      <c r="U1418" s="6"/>
      <c r="V1418" s="44">
        <v>45975</v>
      </c>
      <c r="W1418" s="45">
        <v>305.69</v>
      </c>
      <c r="X1418" s="91"/>
      <c r="Y1418" s="77"/>
      <c r="Z1418" s="5"/>
      <c r="AA1418" s="5"/>
      <c r="AB1418" s="5"/>
      <c r="AC1418" s="5"/>
      <c r="AD1418" s="5"/>
      <c r="AE1418" s="5"/>
      <c r="AF1418" s="5"/>
      <c r="AG1418" s="5"/>
      <c r="AH1418" s="6"/>
      <c r="AI1418" s="44">
        <v>45975</v>
      </c>
      <c r="AJ1418" s="53">
        <v>305.69</v>
      </c>
      <c r="AK1418" s="54">
        <f t="shared" si="242"/>
        <v>2.7225611756216406E-3</v>
      </c>
      <c r="AL1418" s="55">
        <f t="shared" si="245"/>
        <v>29.231928052145186</v>
      </c>
      <c r="AM1418" s="56">
        <v>25</v>
      </c>
      <c r="AN1418" s="57">
        <f t="shared" si="243"/>
        <v>-4.2319280521451859</v>
      </c>
      <c r="AO1418" s="76">
        <f t="shared" si="246"/>
        <v>-2.7765905883054307</v>
      </c>
      <c r="AP1418" s="63" t="str">
        <f t="shared" si="247"/>
        <v/>
      </c>
      <c r="AQ1418" s="63" t="str">
        <f t="shared" si="248"/>
        <v>Sell Stocks</v>
      </c>
      <c r="AR1418" s="63" t="str">
        <f t="shared" si="249"/>
        <v/>
      </c>
      <c r="AS1418" s="63" t="str">
        <f t="shared" si="250"/>
        <v/>
      </c>
      <c r="AT1418" s="78" t="str">
        <f t="shared" si="251"/>
        <v/>
      </c>
      <c r="AU1418" s="78" t="str">
        <f t="shared" si="252"/>
        <v/>
      </c>
      <c r="AV1418" s="64" t="str">
        <f ca="1">IFERROR(__xludf.DUMMYFUNCTION("IF(TRIM(AU1418)="""","""",AU1418/INDEX(FILTER(AT$3:AT1418,TRIM(AT$3:AT1418)&lt;&gt;""""),ROWS(FILTER(AT$3:AT1418,TRIM(AT$3:AT1418)&lt;&gt;"""")))-1)"),"")</f>
        <v/>
      </c>
      <c r="AW1418" s="65" t="e">
        <f t="shared" ca="1" si="244"/>
        <v>#VALUE!</v>
      </c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</row>
    <row r="1419" spans="1:68" ht="19" x14ac:dyDescent="0.25">
      <c r="A1419" s="5"/>
      <c r="B1419" s="5"/>
      <c r="C1419" s="5"/>
      <c r="D1419" s="5"/>
      <c r="E1419" s="5"/>
      <c r="F1419" s="5"/>
      <c r="G1419" s="5"/>
      <c r="H1419" s="6"/>
      <c r="I1419" s="5"/>
      <c r="J1419" s="88"/>
      <c r="K1419" s="88"/>
      <c r="L1419" s="88"/>
      <c r="M1419" s="88"/>
      <c r="N1419" s="88"/>
      <c r="O1419" s="88"/>
      <c r="P1419" s="88"/>
      <c r="Q1419" s="89"/>
      <c r="R1419" s="88"/>
      <c r="S1419" s="88"/>
      <c r="T1419" s="90"/>
      <c r="U1419" s="6"/>
      <c r="V1419" s="44">
        <v>45978</v>
      </c>
      <c r="W1419" s="45">
        <v>297.17</v>
      </c>
      <c r="X1419" s="91"/>
      <c r="Y1419" s="77"/>
      <c r="Z1419" s="5"/>
      <c r="AA1419" s="5"/>
      <c r="AB1419" s="5"/>
      <c r="AC1419" s="5"/>
      <c r="AD1419" s="5"/>
      <c r="AE1419" s="5"/>
      <c r="AF1419" s="5"/>
      <c r="AG1419" s="5"/>
      <c r="AH1419" s="6"/>
      <c r="AI1419" s="44">
        <v>45978</v>
      </c>
      <c r="AJ1419" s="53">
        <v>297.17</v>
      </c>
      <c r="AK1419" s="54">
        <f t="shared" si="242"/>
        <v>-2.7871372959534124E-2</v>
      </c>
      <c r="AL1419" s="55">
        <f t="shared" si="245"/>
        <v>33.279531967142958</v>
      </c>
      <c r="AM1419" s="56">
        <v>25</v>
      </c>
      <c r="AN1419" s="57">
        <f t="shared" si="243"/>
        <v>-8.2795319671429581</v>
      </c>
      <c r="AO1419" s="76">
        <f t="shared" si="246"/>
        <v>-3.7136361294186075</v>
      </c>
      <c r="AP1419" s="63" t="str">
        <f t="shared" si="247"/>
        <v/>
      </c>
      <c r="AQ1419" s="63" t="str">
        <f t="shared" si="248"/>
        <v>Sell Stocks</v>
      </c>
      <c r="AR1419" s="63" t="str">
        <f t="shared" si="249"/>
        <v/>
      </c>
      <c r="AS1419" s="63" t="str">
        <f t="shared" si="250"/>
        <v/>
      </c>
      <c r="AT1419" s="78" t="str">
        <f t="shared" si="251"/>
        <v/>
      </c>
      <c r="AU1419" s="78" t="str">
        <f t="shared" si="252"/>
        <v/>
      </c>
      <c r="AV1419" s="64" t="str">
        <f ca="1">IFERROR(__xludf.DUMMYFUNCTION("IF(TRIM(AU1419)="""","""",AU1419/INDEX(FILTER(AT$3:AT1419,TRIM(AT$3:AT1419)&lt;&gt;""""),ROWS(FILTER(AT$3:AT1419,TRIM(AT$3:AT1419)&lt;&gt;"""")))-1)"),"")</f>
        <v/>
      </c>
      <c r="AW1419" s="65" t="e">
        <f t="shared" ca="1" si="244"/>
        <v>#VALUE!</v>
      </c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</row>
    <row r="1420" spans="1:68" ht="19" x14ac:dyDescent="0.25">
      <c r="A1420" s="5"/>
      <c r="B1420" s="5"/>
      <c r="C1420" s="5"/>
      <c r="D1420" s="5"/>
      <c r="E1420" s="5"/>
      <c r="F1420" s="5"/>
      <c r="G1420" s="5"/>
      <c r="H1420" s="6"/>
      <c r="I1420" s="5"/>
      <c r="J1420" s="88"/>
      <c r="K1420" s="88"/>
      <c r="L1420" s="88"/>
      <c r="M1420" s="88"/>
      <c r="N1420" s="88"/>
      <c r="O1420" s="88"/>
      <c r="P1420" s="88"/>
      <c r="Q1420" s="89"/>
      <c r="R1420" s="88"/>
      <c r="S1420" s="88"/>
      <c r="T1420" s="90"/>
      <c r="U1420" s="6"/>
      <c r="V1420" s="44">
        <v>45979</v>
      </c>
      <c r="W1420" s="45">
        <v>289.95</v>
      </c>
      <c r="X1420" s="91"/>
      <c r="Y1420" s="77"/>
      <c r="Z1420" s="5"/>
      <c r="AA1420" s="5"/>
      <c r="AB1420" s="5"/>
      <c r="AC1420" s="5"/>
      <c r="AD1420" s="5"/>
      <c r="AE1420" s="5"/>
      <c r="AF1420" s="5"/>
      <c r="AG1420" s="5"/>
      <c r="AH1420" s="6"/>
      <c r="AI1420" s="44">
        <v>45979</v>
      </c>
      <c r="AJ1420" s="53">
        <v>289.95</v>
      </c>
      <c r="AK1420" s="54">
        <f t="shared" si="242"/>
        <v>-2.4295857589931802E-2</v>
      </c>
      <c r="AL1420" s="55">
        <f t="shared" si="245"/>
        <v>27.722389169256722</v>
      </c>
      <c r="AM1420" s="56">
        <v>25</v>
      </c>
      <c r="AN1420" s="57">
        <f t="shared" si="243"/>
        <v>-2.7223891692567221</v>
      </c>
      <c r="AO1420" s="76">
        <f t="shared" si="246"/>
        <v>-4.1424425076152005</v>
      </c>
      <c r="AP1420" s="63" t="str">
        <f t="shared" si="247"/>
        <v/>
      </c>
      <c r="AQ1420" s="63" t="str">
        <f t="shared" si="248"/>
        <v>Sell Stocks</v>
      </c>
      <c r="AR1420" s="63" t="str">
        <f t="shared" si="249"/>
        <v/>
      </c>
      <c r="AS1420" s="63" t="str">
        <f t="shared" si="250"/>
        <v/>
      </c>
      <c r="AT1420" s="78" t="str">
        <f t="shared" si="251"/>
        <v/>
      </c>
      <c r="AU1420" s="78" t="str">
        <f t="shared" si="252"/>
        <v/>
      </c>
      <c r="AV1420" s="64" t="str">
        <f ca="1">IFERROR(__xludf.DUMMYFUNCTION("IF(TRIM(AU1420)="""","""",AU1420/INDEX(FILTER(AT$3:AT1420,TRIM(AT$3:AT1420)&lt;&gt;""""),ROWS(FILTER(AT$3:AT1420,TRIM(AT$3:AT1420)&lt;&gt;"""")))-1)"),"")</f>
        <v/>
      </c>
      <c r="AW1420" s="65" t="e">
        <f t="shared" ca="1" si="244"/>
        <v>#VALUE!</v>
      </c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</row>
    <row r="1421" spans="1:68" ht="19" x14ac:dyDescent="0.25">
      <c r="A1421" s="5"/>
      <c r="B1421" s="5"/>
      <c r="C1421" s="5"/>
      <c r="D1421" s="5"/>
      <c r="E1421" s="5"/>
      <c r="F1421" s="5"/>
      <c r="G1421" s="5"/>
      <c r="H1421" s="6"/>
      <c r="I1421" s="5"/>
      <c r="J1421" s="88"/>
      <c r="K1421" s="88"/>
      <c r="L1421" s="88"/>
      <c r="M1421" s="88"/>
      <c r="N1421" s="88"/>
      <c r="O1421" s="88"/>
      <c r="P1421" s="88"/>
      <c r="Q1421" s="89"/>
      <c r="R1421" s="88"/>
      <c r="S1421" s="88"/>
      <c r="T1421" s="90"/>
      <c r="U1421" s="6"/>
      <c r="V1421" s="44">
        <v>45980</v>
      </c>
      <c r="W1421" s="45">
        <v>288.52999999999997</v>
      </c>
      <c r="X1421" s="91"/>
      <c r="Y1421" s="77"/>
      <c r="Z1421" s="5"/>
      <c r="AA1421" s="5"/>
      <c r="AB1421" s="5"/>
      <c r="AC1421" s="5"/>
      <c r="AD1421" s="5"/>
      <c r="AE1421" s="5"/>
      <c r="AF1421" s="5"/>
      <c r="AG1421" s="5"/>
      <c r="AH1421" s="6"/>
      <c r="AI1421" s="44">
        <v>45980</v>
      </c>
      <c r="AJ1421" s="53">
        <v>288.52999999999997</v>
      </c>
      <c r="AK1421" s="54">
        <f t="shared" si="242"/>
        <v>-4.8973961027763968E-3</v>
      </c>
      <c r="AL1421" s="55">
        <f t="shared" si="245"/>
        <v>24.274547664460318</v>
      </c>
      <c r="AM1421" s="56">
        <v>25</v>
      </c>
      <c r="AN1421" s="57">
        <f t="shared" si="243"/>
        <v>0.72545233553968203</v>
      </c>
      <c r="AO1421" s="76">
        <f t="shared" si="246"/>
        <v>-4.2744627882506965</v>
      </c>
      <c r="AP1421" s="63" t="str">
        <f t="shared" si="247"/>
        <v/>
      </c>
      <c r="AQ1421" s="63" t="str">
        <f t="shared" si="248"/>
        <v>Sell Stocks</v>
      </c>
      <c r="AR1421" s="63" t="str">
        <f t="shared" si="249"/>
        <v/>
      </c>
      <c r="AS1421" s="63" t="str">
        <f t="shared" si="250"/>
        <v/>
      </c>
      <c r="AT1421" s="78" t="str">
        <f t="shared" si="251"/>
        <v/>
      </c>
      <c r="AU1421" s="78" t="str">
        <f t="shared" si="252"/>
        <v/>
      </c>
      <c r="AV1421" s="64" t="str">
        <f ca="1">IFERROR(__xludf.DUMMYFUNCTION("IF(TRIM(AU1421)="""","""",AU1421/INDEX(FILTER(AT$3:AT1421,TRIM(AT$3:AT1421)&lt;&gt;""""),ROWS(FILTER(AT$3:AT1421,TRIM(AT$3:AT1421)&lt;&gt;"""")))-1)"),"")</f>
        <v/>
      </c>
      <c r="AW1421" s="65" t="e">
        <f t="shared" ca="1" si="244"/>
        <v>#VALUE!</v>
      </c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</row>
    <row r="1422" spans="1:68" ht="19" x14ac:dyDescent="0.25">
      <c r="A1422" s="5"/>
      <c r="B1422" s="5"/>
      <c r="C1422" s="5"/>
      <c r="D1422" s="5"/>
      <c r="E1422" s="5"/>
      <c r="F1422" s="5"/>
      <c r="G1422" s="5"/>
      <c r="H1422" s="6"/>
      <c r="I1422" s="5"/>
      <c r="J1422" s="88"/>
      <c r="K1422" s="88"/>
      <c r="L1422" s="88"/>
      <c r="M1422" s="88"/>
      <c r="N1422" s="88"/>
      <c r="O1422" s="88"/>
      <c r="P1422" s="88"/>
      <c r="Q1422" s="89"/>
      <c r="R1422" s="88"/>
      <c r="S1422" s="88"/>
      <c r="T1422" s="90"/>
      <c r="U1422" s="6"/>
      <c r="V1422" s="44">
        <v>45981</v>
      </c>
      <c r="W1422" s="45">
        <v>290.39999999999998</v>
      </c>
      <c r="X1422" s="91"/>
      <c r="Y1422" s="77"/>
      <c r="Z1422" s="5"/>
      <c r="AA1422" s="5"/>
      <c r="AB1422" s="5"/>
      <c r="AC1422" s="5"/>
      <c r="AD1422" s="5"/>
      <c r="AE1422" s="5"/>
      <c r="AF1422" s="5"/>
      <c r="AG1422" s="5"/>
      <c r="AH1422" s="6"/>
      <c r="AI1422" s="44">
        <v>45981</v>
      </c>
      <c r="AJ1422" s="53">
        <v>290.39999999999998</v>
      </c>
      <c r="AK1422" s="54">
        <f t="shared" si="242"/>
        <v>6.4811284788410806E-3</v>
      </c>
      <c r="AL1422" s="55">
        <f t="shared" si="245"/>
        <v>24.877563736021646</v>
      </c>
      <c r="AM1422" s="56">
        <v>25</v>
      </c>
      <c r="AN1422" s="57">
        <f t="shared" si="243"/>
        <v>0.12243626397835428</v>
      </c>
      <c r="AO1422" s="76">
        <f t="shared" si="246"/>
        <v>-2.8771921178053659</v>
      </c>
      <c r="AP1422" s="63" t="str">
        <f t="shared" si="247"/>
        <v/>
      </c>
      <c r="AQ1422" s="63" t="str">
        <f t="shared" si="248"/>
        <v>Sell Stocks</v>
      </c>
      <c r="AR1422" s="63" t="str">
        <f t="shared" si="249"/>
        <v/>
      </c>
      <c r="AS1422" s="63" t="str">
        <f t="shared" si="250"/>
        <v/>
      </c>
      <c r="AT1422" s="78" t="str">
        <f t="shared" si="251"/>
        <v/>
      </c>
      <c r="AU1422" s="78" t="str">
        <f t="shared" si="252"/>
        <v/>
      </c>
      <c r="AV1422" s="64" t="str">
        <f ca="1">IFERROR(__xludf.DUMMYFUNCTION("IF(TRIM(AU1422)="""","""",AU1422/INDEX(FILTER(AT$3:AT1422,TRIM(AT$3:AT1422)&lt;&gt;""""),ROWS(FILTER(AT$3:AT1422,TRIM(AT$3:AT1422)&lt;&gt;"""")))-1)"),"")</f>
        <v/>
      </c>
      <c r="AW1422" s="65" t="e">
        <f t="shared" ca="1" si="244"/>
        <v>#VALUE!</v>
      </c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</row>
    <row r="1423" spans="1:68" ht="19" x14ac:dyDescent="0.25">
      <c r="A1423" s="5"/>
      <c r="B1423" s="5"/>
      <c r="C1423" s="5"/>
      <c r="D1423" s="5"/>
      <c r="E1423" s="5"/>
      <c r="F1423" s="5"/>
      <c r="G1423" s="5"/>
      <c r="H1423" s="6"/>
      <c r="I1423" s="5"/>
      <c r="J1423" s="88"/>
      <c r="K1423" s="88"/>
      <c r="L1423" s="88"/>
      <c r="M1423" s="88"/>
      <c r="N1423" s="88"/>
      <c r="O1423" s="88"/>
      <c r="P1423" s="88"/>
      <c r="Q1423" s="89"/>
      <c r="R1423" s="88"/>
      <c r="S1423" s="88"/>
      <c r="T1423" s="90"/>
      <c r="U1423" s="6"/>
      <c r="V1423" s="44">
        <v>45982</v>
      </c>
      <c r="W1423" s="45">
        <v>297.44</v>
      </c>
      <c r="X1423" s="91"/>
      <c r="Y1423" s="77"/>
      <c r="Z1423" s="5"/>
      <c r="AA1423" s="5"/>
      <c r="AB1423" s="5"/>
      <c r="AC1423" s="5"/>
      <c r="AD1423" s="5"/>
      <c r="AE1423" s="5"/>
      <c r="AF1423" s="5"/>
      <c r="AG1423" s="5"/>
      <c r="AH1423" s="6"/>
      <c r="AI1423" s="44">
        <v>45982</v>
      </c>
      <c r="AJ1423" s="53">
        <v>297.44</v>
      </c>
      <c r="AK1423" s="54">
        <f t="shared" si="242"/>
        <v>2.4242424242424399E-2</v>
      </c>
      <c r="AL1423" s="55">
        <f t="shared" si="245"/>
        <v>34.433563480323507</v>
      </c>
      <c r="AM1423" s="56">
        <v>25</v>
      </c>
      <c r="AN1423" s="57">
        <f t="shared" si="243"/>
        <v>-9.4335634803235067</v>
      </c>
      <c r="AO1423" s="76">
        <f t="shared" si="246"/>
        <v>-3.9175192034410302</v>
      </c>
      <c r="AP1423" s="63" t="str">
        <f t="shared" si="247"/>
        <v/>
      </c>
      <c r="AQ1423" s="63" t="str">
        <f t="shared" si="248"/>
        <v>Sell Stocks</v>
      </c>
      <c r="AR1423" s="63" t="str">
        <f t="shared" si="249"/>
        <v/>
      </c>
      <c r="AS1423" s="63" t="str">
        <f t="shared" si="250"/>
        <v/>
      </c>
      <c r="AT1423" s="78" t="str">
        <f t="shared" si="251"/>
        <v/>
      </c>
      <c r="AU1423" s="78" t="str">
        <f t="shared" si="252"/>
        <v/>
      </c>
      <c r="AV1423" s="64" t="str">
        <f ca="1">IFERROR(__xludf.DUMMYFUNCTION("IF(TRIM(AU1423)="""","""",AU1423/INDEX(FILTER(AT$3:AT1423,TRIM(AT$3:AT1423)&lt;&gt;""""),ROWS(FILTER(AT$3:AT1423,TRIM(AT$3:AT1423)&lt;&gt;"""")))-1)"),"")</f>
        <v/>
      </c>
      <c r="AW1423" s="65" t="e">
        <f t="shared" ca="1" si="244"/>
        <v>#VALUE!</v>
      </c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</row>
    <row r="1424" spans="1:68" ht="19" x14ac:dyDescent="0.25">
      <c r="A1424" s="5"/>
      <c r="B1424" s="5"/>
      <c r="C1424" s="5"/>
      <c r="D1424" s="5"/>
      <c r="E1424" s="5"/>
      <c r="F1424" s="5"/>
      <c r="G1424" s="5"/>
      <c r="H1424" s="6"/>
      <c r="I1424" s="5"/>
      <c r="J1424" s="88"/>
      <c r="K1424" s="88"/>
      <c r="L1424" s="88"/>
      <c r="M1424" s="88"/>
      <c r="N1424" s="88"/>
      <c r="O1424" s="88"/>
      <c r="P1424" s="88"/>
      <c r="Q1424" s="89"/>
      <c r="R1424" s="88"/>
      <c r="S1424" s="88"/>
      <c r="T1424" s="90"/>
      <c r="U1424" s="6"/>
      <c r="V1424" s="44">
        <v>45985</v>
      </c>
      <c r="W1424" s="45">
        <v>304.12</v>
      </c>
      <c r="X1424" s="91"/>
      <c r="Y1424" s="77"/>
      <c r="Z1424" s="5"/>
      <c r="AA1424" s="5"/>
      <c r="AB1424" s="5"/>
      <c r="AC1424" s="5"/>
      <c r="AD1424" s="5"/>
      <c r="AE1424" s="5"/>
      <c r="AF1424" s="5"/>
      <c r="AG1424" s="5"/>
      <c r="AH1424" s="6"/>
      <c r="AI1424" s="44">
        <v>45985</v>
      </c>
      <c r="AJ1424" s="53">
        <v>304.12</v>
      </c>
      <c r="AK1424" s="54">
        <f t="shared" si="242"/>
        <v>2.2458310919849511E-2</v>
      </c>
      <c r="AL1424" s="55">
        <f t="shared" si="245"/>
        <v>32.077293947435805</v>
      </c>
      <c r="AM1424" s="56">
        <v>25</v>
      </c>
      <c r="AN1424" s="57">
        <f t="shared" si="243"/>
        <v>-7.0772939474358054</v>
      </c>
      <c r="AO1424" s="76">
        <f t="shared" si="246"/>
        <v>-3.6770715994995995</v>
      </c>
      <c r="AP1424" s="63" t="str">
        <f t="shared" si="247"/>
        <v/>
      </c>
      <c r="AQ1424" s="63" t="str">
        <f t="shared" si="248"/>
        <v>Sell Stocks</v>
      </c>
      <c r="AR1424" s="63" t="str">
        <f t="shared" si="249"/>
        <v/>
      </c>
      <c r="AS1424" s="63" t="str">
        <f t="shared" si="250"/>
        <v/>
      </c>
      <c r="AT1424" s="78" t="str">
        <f t="shared" si="251"/>
        <v/>
      </c>
      <c r="AU1424" s="78" t="str">
        <f t="shared" si="252"/>
        <v/>
      </c>
      <c r="AV1424" s="64" t="str">
        <f ca="1">IFERROR(__xludf.DUMMYFUNCTION("IF(TRIM(AU1424)="""","""",AU1424/INDEX(FILTER(AT$3:AT1424,TRIM(AT$3:AT1424)&lt;&gt;""""),ROWS(FILTER(AT$3:AT1424,TRIM(AT$3:AT1424)&lt;&gt;"""")))-1)"),"")</f>
        <v/>
      </c>
      <c r="AW1424" s="65" t="e">
        <f t="shared" ca="1" si="244"/>
        <v>#VALUE!</v>
      </c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</row>
    <row r="1425" spans="1:68" ht="19" x14ac:dyDescent="0.25">
      <c r="A1425" s="5"/>
      <c r="B1425" s="5"/>
      <c r="C1425" s="5"/>
      <c r="D1425" s="5"/>
      <c r="E1425" s="5"/>
      <c r="F1425" s="5"/>
      <c r="G1425" s="5"/>
      <c r="H1425" s="6"/>
      <c r="I1425" s="5"/>
      <c r="J1425" s="88"/>
      <c r="K1425" s="88"/>
      <c r="L1425" s="88"/>
      <c r="M1425" s="88"/>
      <c r="N1425" s="88"/>
      <c r="O1425" s="88"/>
      <c r="P1425" s="88"/>
      <c r="Q1425" s="89"/>
      <c r="R1425" s="88"/>
      <c r="S1425" s="88"/>
      <c r="T1425" s="90"/>
      <c r="U1425" s="6"/>
      <c r="V1425" s="44">
        <v>45986</v>
      </c>
      <c r="W1425" s="45">
        <v>304.48</v>
      </c>
      <c r="X1425" s="91"/>
      <c r="Y1425" s="77"/>
      <c r="Z1425" s="5"/>
      <c r="AA1425" s="5"/>
      <c r="AB1425" s="5"/>
      <c r="AC1425" s="5"/>
      <c r="AD1425" s="5"/>
      <c r="AE1425" s="5"/>
      <c r="AF1425" s="5"/>
      <c r="AG1425" s="5"/>
      <c r="AH1425" s="6"/>
      <c r="AI1425" s="44">
        <v>45986</v>
      </c>
      <c r="AJ1425" s="53">
        <v>304.48</v>
      </c>
      <c r="AK1425" s="54">
        <f t="shared" si="242"/>
        <v>1.1837432592398667E-3</v>
      </c>
      <c r="AL1425" s="55">
        <f t="shared" si="245"/>
        <v>20.545698705378054</v>
      </c>
      <c r="AM1425" s="56">
        <v>25</v>
      </c>
      <c r="AN1425" s="57">
        <f t="shared" si="243"/>
        <v>4.4543012946219456</v>
      </c>
      <c r="AO1425" s="76">
        <f t="shared" si="246"/>
        <v>-2.241733506723866</v>
      </c>
      <c r="AP1425" s="63" t="str">
        <f t="shared" si="247"/>
        <v/>
      </c>
      <c r="AQ1425" s="63" t="str">
        <f t="shared" si="248"/>
        <v>Sell Stocks</v>
      </c>
      <c r="AR1425" s="63" t="str">
        <f t="shared" si="249"/>
        <v/>
      </c>
      <c r="AS1425" s="63" t="str">
        <f t="shared" si="250"/>
        <v/>
      </c>
      <c r="AT1425" s="78" t="str">
        <f t="shared" si="251"/>
        <v/>
      </c>
      <c r="AU1425" s="78" t="str">
        <f t="shared" si="252"/>
        <v/>
      </c>
      <c r="AV1425" s="64" t="str">
        <f ca="1">IFERROR(__xludf.DUMMYFUNCTION("IF(TRIM(AU1425)="""","""",AU1425/INDEX(FILTER(AT$3:AT1425,TRIM(AT$3:AT1425)&lt;&gt;""""),ROWS(FILTER(AT$3:AT1425,TRIM(AT$3:AT1425)&lt;&gt;"""")))-1)"),"")</f>
        <v/>
      </c>
      <c r="AW1425" s="65" t="e">
        <f t="shared" ca="1" si="244"/>
        <v>#VALUE!</v>
      </c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</row>
    <row r="1426" spans="1:68" ht="19" x14ac:dyDescent="0.25">
      <c r="A1426" s="5"/>
      <c r="B1426" s="5"/>
      <c r="C1426" s="5"/>
      <c r="D1426" s="5"/>
      <c r="E1426" s="5"/>
      <c r="F1426" s="5"/>
      <c r="G1426" s="5"/>
      <c r="H1426" s="6"/>
      <c r="I1426" s="5"/>
      <c r="J1426" s="88"/>
      <c r="K1426" s="88"/>
      <c r="L1426" s="88"/>
      <c r="M1426" s="88"/>
      <c r="N1426" s="88"/>
      <c r="O1426" s="88"/>
      <c r="P1426" s="88"/>
      <c r="Q1426" s="89"/>
      <c r="R1426" s="88"/>
      <c r="S1426" s="88"/>
      <c r="T1426" s="90"/>
      <c r="U1426" s="6"/>
      <c r="V1426" s="44">
        <v>45987</v>
      </c>
      <c r="W1426" s="45">
        <v>303.20999999999998</v>
      </c>
      <c r="X1426" s="91"/>
      <c r="Y1426" s="77"/>
      <c r="Z1426" s="5"/>
      <c r="AA1426" s="5"/>
      <c r="AB1426" s="5"/>
      <c r="AC1426" s="5"/>
      <c r="AD1426" s="5"/>
      <c r="AE1426" s="5"/>
      <c r="AF1426" s="5"/>
      <c r="AG1426" s="5"/>
      <c r="AH1426" s="6"/>
      <c r="AI1426" s="44">
        <v>45987</v>
      </c>
      <c r="AJ1426" s="53">
        <v>303.20999999999998</v>
      </c>
      <c r="AK1426" s="54">
        <f t="shared" si="242"/>
        <v>-4.1710457172886573E-3</v>
      </c>
      <c r="AL1426" s="55">
        <f t="shared" si="245"/>
        <v>20.220159689775997</v>
      </c>
      <c r="AM1426" s="56">
        <v>25</v>
      </c>
      <c r="AN1426" s="57">
        <f t="shared" si="243"/>
        <v>4.779840310224003</v>
      </c>
      <c r="AO1426" s="76">
        <f t="shared" si="246"/>
        <v>-1.4308559117870019</v>
      </c>
      <c r="AP1426" s="63" t="str">
        <f t="shared" si="247"/>
        <v/>
      </c>
      <c r="AQ1426" s="63" t="str">
        <f t="shared" si="248"/>
        <v>Sell Stocks</v>
      </c>
      <c r="AR1426" s="63" t="str">
        <f t="shared" si="249"/>
        <v/>
      </c>
      <c r="AS1426" s="63" t="str">
        <f t="shared" si="250"/>
        <v/>
      </c>
      <c r="AT1426" s="78" t="str">
        <f t="shared" si="251"/>
        <v/>
      </c>
      <c r="AU1426" s="78" t="str">
        <f t="shared" si="252"/>
        <v/>
      </c>
      <c r="AV1426" s="64" t="str">
        <f ca="1">IFERROR(__xludf.DUMMYFUNCTION("IF(TRIM(AU1426)="""","""",AU1426/INDEX(FILTER(AT$3:AT1426,TRIM(AT$3:AT1426)&lt;&gt;""""),ROWS(FILTER(AT$3:AT1426,TRIM(AT$3:AT1426)&lt;&gt;"""")))-1)"),"")</f>
        <v/>
      </c>
      <c r="AW1426" s="65" t="e">
        <f t="shared" ca="1" si="244"/>
        <v>#VALUE!</v>
      </c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</row>
    <row r="1427" spans="1:68" ht="19" x14ac:dyDescent="0.25">
      <c r="A1427" s="5"/>
      <c r="B1427" s="5"/>
      <c r="C1427" s="5"/>
      <c r="D1427" s="5"/>
      <c r="E1427" s="5"/>
      <c r="F1427" s="5"/>
      <c r="G1427" s="5"/>
      <c r="H1427" s="6"/>
      <c r="I1427" s="5"/>
      <c r="J1427" s="88"/>
      <c r="K1427" s="88"/>
      <c r="L1427" s="88"/>
      <c r="M1427" s="88"/>
      <c r="N1427" s="88"/>
      <c r="O1427" s="88"/>
      <c r="P1427" s="88"/>
      <c r="Q1427" s="89"/>
      <c r="R1427" s="88"/>
      <c r="S1427" s="88"/>
      <c r="T1427" s="90"/>
      <c r="U1427" s="6"/>
      <c r="V1427" s="44">
        <v>45989</v>
      </c>
      <c r="W1427" s="45">
        <v>308.58</v>
      </c>
      <c r="X1427" s="91"/>
      <c r="Y1427" s="77"/>
      <c r="Z1427" s="5"/>
      <c r="AA1427" s="5"/>
      <c r="AB1427" s="5"/>
      <c r="AC1427" s="5"/>
      <c r="AD1427" s="5"/>
      <c r="AE1427" s="5"/>
      <c r="AF1427" s="5"/>
      <c r="AG1427" s="5"/>
      <c r="AH1427" s="6"/>
      <c r="AI1427" s="44">
        <v>45989</v>
      </c>
      <c r="AJ1427" s="53">
        <v>308.58</v>
      </c>
      <c r="AK1427" s="54">
        <f t="shared" si="242"/>
        <v>1.7710497674878756E-2</v>
      </c>
      <c r="AL1427" s="55">
        <f t="shared" si="245"/>
        <v>20.544330561926238</v>
      </c>
      <c r="AM1427" s="56">
        <v>25</v>
      </c>
      <c r="AN1427" s="57">
        <f t="shared" si="243"/>
        <v>4.4556694380737625</v>
      </c>
      <c r="AO1427" s="76">
        <f t="shared" si="246"/>
        <v>-0.56420927696792023</v>
      </c>
      <c r="AP1427" s="63" t="str">
        <f t="shared" si="247"/>
        <v/>
      </c>
      <c r="AQ1427" s="63" t="str">
        <f t="shared" si="248"/>
        <v>Sell Stocks</v>
      </c>
      <c r="AR1427" s="63" t="str">
        <f t="shared" si="249"/>
        <v/>
      </c>
      <c r="AS1427" s="63" t="str">
        <f t="shared" si="250"/>
        <v/>
      </c>
      <c r="AT1427" s="78" t="str">
        <f t="shared" si="251"/>
        <v/>
      </c>
      <c r="AU1427" s="78" t="str">
        <f t="shared" si="252"/>
        <v/>
      </c>
      <c r="AV1427" s="64" t="str">
        <f ca="1">IFERROR(__xludf.DUMMYFUNCTION("IF(TRIM(AU1427)="""","""",AU1427/INDEX(FILTER(AT$3:AT1427,TRIM(AT$3:AT1427)&lt;&gt;""""),ROWS(FILTER(AT$3:AT1427,TRIM(AT$3:AT1427)&lt;&gt;"""")))-1)"),"")</f>
        <v/>
      </c>
      <c r="AW1427" s="65" t="e">
        <f t="shared" ca="1" si="244"/>
        <v>#VALUE!</v>
      </c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</row>
    <row r="1428" spans="1:68" ht="19" x14ac:dyDescent="0.25">
      <c r="A1428" s="5"/>
      <c r="B1428" s="5"/>
      <c r="C1428" s="5"/>
      <c r="D1428" s="5"/>
      <c r="E1428" s="5"/>
      <c r="F1428" s="5"/>
      <c r="G1428" s="5"/>
      <c r="H1428" s="6"/>
      <c r="I1428" s="5"/>
      <c r="J1428" s="88"/>
      <c r="K1428" s="88"/>
      <c r="L1428" s="88"/>
      <c r="M1428" s="88"/>
      <c r="N1428" s="88"/>
      <c r="O1428" s="88"/>
      <c r="P1428" s="88"/>
      <c r="Q1428" s="89"/>
      <c r="R1428" s="88"/>
      <c r="S1428" s="88"/>
      <c r="T1428" s="90"/>
      <c r="U1428" s="6"/>
      <c r="V1428" s="44">
        <v>45992</v>
      </c>
      <c r="W1428" s="45">
        <v>305.67</v>
      </c>
      <c r="X1428" s="91"/>
      <c r="Y1428" s="77"/>
      <c r="Z1428" s="5"/>
      <c r="AA1428" s="5"/>
      <c r="AB1428" s="5"/>
      <c r="AC1428" s="5"/>
      <c r="AD1428" s="5"/>
      <c r="AE1428" s="5"/>
      <c r="AF1428" s="5"/>
      <c r="AG1428" s="5"/>
      <c r="AH1428" s="6"/>
      <c r="AI1428" s="44">
        <v>45992</v>
      </c>
      <c r="AJ1428" s="53">
        <v>305.67</v>
      </c>
      <c r="AK1428" s="54">
        <f t="shared" si="242"/>
        <v>-9.4302936029553308E-3</v>
      </c>
      <c r="AL1428" s="55">
        <f t="shared" si="245"/>
        <v>22.049868653374226</v>
      </c>
      <c r="AM1428" s="56">
        <v>25</v>
      </c>
      <c r="AN1428" s="57">
        <f t="shared" si="243"/>
        <v>2.9501313466257741</v>
      </c>
      <c r="AO1428" s="76">
        <f t="shared" si="246"/>
        <v>1.912529688421936</v>
      </c>
      <c r="AP1428" s="63" t="str">
        <f t="shared" si="247"/>
        <v>Buy Stocks</v>
      </c>
      <c r="AQ1428" s="63" t="str">
        <f t="shared" si="248"/>
        <v/>
      </c>
      <c r="AR1428" s="63" t="str">
        <f t="shared" si="249"/>
        <v>Buy Stocks</v>
      </c>
      <c r="AS1428" s="63" t="str">
        <f t="shared" si="250"/>
        <v/>
      </c>
      <c r="AT1428" s="77">
        <f t="shared" si="251"/>
        <v>305.67</v>
      </c>
      <c r="AU1428" s="78" t="str">
        <f t="shared" si="252"/>
        <v/>
      </c>
      <c r="AV1428" s="64" t="str">
        <f ca="1">IFERROR(__xludf.DUMMYFUNCTION("IF(TRIM(AU1428)="""","""",AU1428/INDEX(FILTER(AT$3:AT1428,TRIM(AT$3:AT1428)&lt;&gt;""""),ROWS(FILTER(AT$3:AT1428,TRIM(AT$3:AT1428)&lt;&gt;"""")))-1)"),"")</f>
        <v/>
      </c>
      <c r="AW1428" s="65" t="e">
        <f t="shared" ca="1" si="244"/>
        <v>#VALUE!</v>
      </c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</row>
    <row r="1429" spans="1:68" ht="19" x14ac:dyDescent="0.25">
      <c r="A1429" s="5"/>
      <c r="B1429" s="5"/>
      <c r="C1429" s="5"/>
      <c r="D1429" s="5"/>
      <c r="E1429" s="5"/>
      <c r="F1429" s="5"/>
      <c r="G1429" s="5"/>
      <c r="H1429" s="6"/>
      <c r="I1429" s="5"/>
      <c r="J1429" s="88"/>
      <c r="K1429" s="88"/>
      <c r="L1429" s="88"/>
      <c r="M1429" s="88"/>
      <c r="N1429" s="88"/>
      <c r="O1429" s="88"/>
      <c r="P1429" s="88"/>
      <c r="Q1429" s="89"/>
      <c r="R1429" s="88"/>
      <c r="S1429" s="88"/>
      <c r="T1429" s="90"/>
      <c r="U1429" s="6"/>
      <c r="V1429" s="44">
        <v>45993</v>
      </c>
      <c r="W1429" s="45">
        <v>301.77999999999997</v>
      </c>
      <c r="X1429" s="91"/>
      <c r="Y1429" s="77"/>
      <c r="Z1429" s="5"/>
      <c r="AA1429" s="5"/>
      <c r="AB1429" s="5"/>
      <c r="AC1429" s="5"/>
      <c r="AD1429" s="5"/>
      <c r="AE1429" s="5"/>
      <c r="AF1429" s="5"/>
      <c r="AG1429" s="5"/>
      <c r="AH1429" s="6"/>
      <c r="AI1429" s="44">
        <v>45993</v>
      </c>
      <c r="AJ1429" s="53">
        <v>301.77999999999997</v>
      </c>
      <c r="AK1429" s="54">
        <f t="shared" si="242"/>
        <v>-1.2726142572054955E-2</v>
      </c>
      <c r="AL1429" s="55">
        <f t="shared" si="245"/>
        <v>18.988047019044156</v>
      </c>
      <c r="AM1429" s="56">
        <v>25</v>
      </c>
      <c r="AN1429" s="57">
        <f t="shared" si="243"/>
        <v>6.0119529809558436</v>
      </c>
      <c r="AO1429" s="76">
        <f t="shared" si="246"/>
        <v>4.5303790741002654</v>
      </c>
      <c r="AP1429" s="63" t="str">
        <f t="shared" si="247"/>
        <v>Buy Stocks</v>
      </c>
      <c r="AQ1429" s="63" t="str">
        <f t="shared" si="248"/>
        <v/>
      </c>
      <c r="AR1429" s="63" t="str">
        <f t="shared" si="249"/>
        <v/>
      </c>
      <c r="AS1429" s="63" t="str">
        <f t="shared" si="250"/>
        <v/>
      </c>
      <c r="AT1429" s="78" t="str">
        <f t="shared" si="251"/>
        <v/>
      </c>
      <c r="AU1429" s="78" t="str">
        <f t="shared" si="252"/>
        <v/>
      </c>
      <c r="AV1429" s="64" t="str">
        <f ca="1">IFERROR(__xludf.DUMMYFUNCTION("IF(TRIM(AU1429)="""","""",AU1429/INDEX(FILTER(AT$3:AT1429,TRIM(AT$3:AT1429)&lt;&gt;""""),ROWS(FILTER(AT$3:AT1429,TRIM(AT$3:AT1429)&lt;&gt;"""")))-1)"),"")</f>
        <v/>
      </c>
      <c r="AW1429" s="65" t="e">
        <f t="shared" ca="1" si="244"/>
        <v>#VALUE!</v>
      </c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</row>
    <row r="1430" spans="1:68" ht="19" x14ac:dyDescent="0.25">
      <c r="A1430" s="5"/>
      <c r="B1430" s="5"/>
      <c r="C1430" s="5"/>
      <c r="D1430" s="5"/>
      <c r="E1430" s="5"/>
      <c r="F1430" s="5"/>
      <c r="G1430" s="5"/>
      <c r="H1430" s="6"/>
      <c r="I1430" s="5"/>
      <c r="J1430" s="88"/>
      <c r="K1430" s="88"/>
      <c r="L1430" s="88"/>
      <c r="M1430" s="88"/>
      <c r="N1430" s="88"/>
      <c r="O1430" s="88"/>
      <c r="P1430" s="88"/>
      <c r="Q1430" s="89"/>
      <c r="R1430" s="88"/>
      <c r="S1430" s="88"/>
      <c r="T1430" s="90"/>
      <c r="U1430" s="6"/>
      <c r="V1430" s="44">
        <v>45994</v>
      </c>
      <c r="W1430" s="45">
        <v>302.62</v>
      </c>
      <c r="X1430" s="91"/>
      <c r="Y1430" s="77"/>
      <c r="Z1430" s="5"/>
      <c r="AA1430" s="5"/>
      <c r="AB1430" s="5"/>
      <c r="AC1430" s="5"/>
      <c r="AD1430" s="5"/>
      <c r="AE1430" s="5"/>
      <c r="AF1430" s="5"/>
      <c r="AG1430" s="5"/>
      <c r="AH1430" s="6"/>
      <c r="AI1430" s="44">
        <v>45994</v>
      </c>
      <c r="AJ1430" s="53">
        <v>302.62</v>
      </c>
      <c r="AK1430" s="54">
        <f t="shared" si="242"/>
        <v>2.7834846576977323E-3</v>
      </c>
      <c r="AL1430" s="55">
        <f t="shared" si="245"/>
        <v>19.162943187534569</v>
      </c>
      <c r="AM1430" s="56">
        <v>25</v>
      </c>
      <c r="AN1430" s="57">
        <f t="shared" si="243"/>
        <v>5.8370568124654305</v>
      </c>
      <c r="AO1430" s="76">
        <f t="shared" si="246"/>
        <v>4.8069301776689626</v>
      </c>
      <c r="AP1430" s="63" t="str">
        <f t="shared" si="247"/>
        <v>Buy Stocks</v>
      </c>
      <c r="AQ1430" s="63" t="str">
        <f t="shared" si="248"/>
        <v/>
      </c>
      <c r="AR1430" s="63" t="str">
        <f t="shared" si="249"/>
        <v/>
      </c>
      <c r="AS1430" s="63" t="str">
        <f t="shared" si="250"/>
        <v/>
      </c>
      <c r="AT1430" s="78" t="str">
        <f t="shared" si="251"/>
        <v/>
      </c>
      <c r="AU1430" s="78" t="str">
        <f t="shared" si="252"/>
        <v/>
      </c>
      <c r="AV1430" s="64" t="str">
        <f ca="1">IFERROR(__xludf.DUMMYFUNCTION("IF(TRIM(AU1430)="""","""",AU1430/INDEX(FILTER(AT$3:AT1430,TRIM(AT$3:AT1430)&lt;&gt;""""),ROWS(FILTER(AT$3:AT1430,TRIM(AT$3:AT1430)&lt;&gt;"""")))-1)"),"")</f>
        <v/>
      </c>
      <c r="AW1430" s="65" t="e">
        <f t="shared" ca="1" si="244"/>
        <v>#VALUE!</v>
      </c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</row>
    <row r="1431" spans="1:68" ht="19" x14ac:dyDescent="0.25">
      <c r="A1431" s="5"/>
      <c r="B1431" s="5"/>
      <c r="C1431" s="5"/>
      <c r="D1431" s="5"/>
      <c r="E1431" s="5"/>
      <c r="F1431" s="5"/>
      <c r="G1431" s="5"/>
      <c r="H1431" s="6"/>
      <c r="I1431" s="5"/>
      <c r="J1431" s="88"/>
      <c r="K1431" s="88"/>
      <c r="L1431" s="88"/>
      <c r="M1431" s="88"/>
      <c r="N1431" s="88"/>
      <c r="O1431" s="88"/>
      <c r="P1431" s="88"/>
      <c r="Q1431" s="89"/>
      <c r="R1431" s="88"/>
      <c r="S1431" s="88"/>
      <c r="T1431" s="90"/>
      <c r="U1431" s="6"/>
      <c r="V1431" s="44">
        <v>45995</v>
      </c>
      <c r="W1431" s="45">
        <v>307.99</v>
      </c>
      <c r="X1431" s="91"/>
      <c r="Y1431" s="77"/>
      <c r="Z1431" s="5"/>
      <c r="AA1431" s="5"/>
      <c r="AB1431" s="5"/>
      <c r="AC1431" s="5"/>
      <c r="AD1431" s="5"/>
      <c r="AE1431" s="5"/>
      <c r="AF1431" s="5"/>
      <c r="AG1431" s="5"/>
      <c r="AH1431" s="6"/>
      <c r="AI1431" s="44">
        <v>45995</v>
      </c>
      <c r="AJ1431" s="53">
        <v>307.99</v>
      </c>
      <c r="AK1431" s="54">
        <f t="shared" si="242"/>
        <v>1.7745026766241567E-2</v>
      </c>
      <c r="AL1431" s="55">
        <f t="shared" si="245"/>
        <v>22.941970380593304</v>
      </c>
      <c r="AM1431" s="56">
        <v>25</v>
      </c>
      <c r="AN1431" s="57">
        <f t="shared" si="243"/>
        <v>2.058029619406696</v>
      </c>
      <c r="AO1431" s="76">
        <f t="shared" si="246"/>
        <v>4.262568039505501</v>
      </c>
      <c r="AP1431" s="63" t="str">
        <f t="shared" si="247"/>
        <v>Buy Stocks</v>
      </c>
      <c r="AQ1431" s="63" t="str">
        <f t="shared" si="248"/>
        <v/>
      </c>
      <c r="AR1431" s="63" t="str">
        <f t="shared" si="249"/>
        <v/>
      </c>
      <c r="AS1431" s="63" t="str">
        <f t="shared" si="250"/>
        <v/>
      </c>
      <c r="AT1431" s="78" t="str">
        <f t="shared" si="251"/>
        <v/>
      </c>
      <c r="AU1431" s="78" t="str">
        <f t="shared" si="252"/>
        <v/>
      </c>
      <c r="AV1431" s="64" t="str">
        <f ca="1">IFERROR(__xludf.DUMMYFUNCTION("IF(TRIM(AU1431)="""","""",AU1431/INDEX(FILTER(AT$3:AT1431,TRIM(AT$3:AT1431)&lt;&gt;""""),ROWS(FILTER(AT$3:AT1431,TRIM(AT$3:AT1431)&lt;&gt;"""")))-1)"),"")</f>
        <v/>
      </c>
      <c r="AW1431" s="65" t="e">
        <f t="shared" ca="1" si="244"/>
        <v>#VALUE!</v>
      </c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</row>
    <row r="1432" spans="1:68" ht="19" x14ac:dyDescent="0.25">
      <c r="A1432" s="5"/>
      <c r="B1432" s="5"/>
      <c r="C1432" s="5"/>
      <c r="D1432" s="5"/>
      <c r="E1432" s="5"/>
      <c r="F1432" s="5"/>
      <c r="G1432" s="5"/>
      <c r="H1432" s="6"/>
      <c r="I1432" s="5"/>
      <c r="J1432" s="88"/>
      <c r="K1432" s="88"/>
      <c r="L1432" s="88"/>
      <c r="M1432" s="88"/>
      <c r="N1432" s="88"/>
      <c r="O1432" s="88"/>
      <c r="P1432" s="88"/>
      <c r="Q1432" s="89"/>
      <c r="R1432" s="88"/>
      <c r="S1432" s="88"/>
      <c r="T1432" s="90"/>
      <c r="U1432" s="6"/>
      <c r="V1432" s="44">
        <v>45996</v>
      </c>
      <c r="W1432" s="45">
        <v>307.94</v>
      </c>
      <c r="X1432" s="91"/>
      <c r="Y1432" s="77"/>
      <c r="Z1432" s="5"/>
      <c r="AA1432" s="5"/>
      <c r="AB1432" s="5"/>
      <c r="AC1432" s="5"/>
      <c r="AD1432" s="5"/>
      <c r="AE1432" s="5"/>
      <c r="AF1432" s="5"/>
      <c r="AG1432" s="5"/>
      <c r="AH1432" s="6"/>
      <c r="AI1432" s="44">
        <v>45996</v>
      </c>
      <c r="AJ1432" s="53">
        <v>307.94</v>
      </c>
      <c r="AK1432" s="54">
        <f t="shared" si="242"/>
        <v>-1.623429332121562E-4</v>
      </c>
      <c r="AL1432" s="55">
        <f t="shared" si="245"/>
        <v>18.998149276778079</v>
      </c>
      <c r="AM1432" s="56">
        <v>25</v>
      </c>
      <c r="AN1432" s="57">
        <f t="shared" si="243"/>
        <v>6.0018507232219207</v>
      </c>
      <c r="AO1432" s="76">
        <f t="shared" si="246"/>
        <v>4.5718042965351327</v>
      </c>
      <c r="AP1432" s="63" t="str">
        <f t="shared" si="247"/>
        <v>Buy Stocks</v>
      </c>
      <c r="AQ1432" s="63" t="str">
        <f t="shared" si="248"/>
        <v/>
      </c>
      <c r="AR1432" s="63" t="str">
        <f t="shared" si="249"/>
        <v/>
      </c>
      <c r="AS1432" s="63" t="str">
        <f t="shared" si="250"/>
        <v/>
      </c>
      <c r="AT1432" s="78" t="str">
        <f t="shared" si="251"/>
        <v/>
      </c>
      <c r="AU1432" s="78" t="str">
        <f t="shared" si="252"/>
        <v/>
      </c>
      <c r="AV1432" s="64" t="str">
        <f ca="1">IFERROR(__xludf.DUMMYFUNCTION("IF(TRIM(AU1432)="""","""",AU1432/INDEX(FILTER(AT$3:AT1432,TRIM(AT$3:AT1432)&lt;&gt;""""),ROWS(FILTER(AT$3:AT1432,TRIM(AT$3:AT1432)&lt;&gt;"""")))-1)"),"")</f>
        <v/>
      </c>
      <c r="AW1432" s="65" t="e">
        <f t="shared" ca="1" si="244"/>
        <v>#VALUE!</v>
      </c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</row>
    <row r="1433" spans="1:68" ht="19" x14ac:dyDescent="0.25">
      <c r="A1433" s="5"/>
      <c r="B1433" s="5"/>
      <c r="C1433" s="5"/>
      <c r="D1433" s="5"/>
      <c r="E1433" s="5"/>
      <c r="F1433" s="5"/>
      <c r="G1433" s="5"/>
      <c r="H1433" s="6"/>
      <c r="I1433" s="5"/>
      <c r="J1433" s="88"/>
      <c r="K1433" s="88"/>
      <c r="L1433" s="88"/>
      <c r="M1433" s="88"/>
      <c r="N1433" s="88"/>
      <c r="O1433" s="88"/>
      <c r="P1433" s="88"/>
      <c r="Q1433" s="89"/>
      <c r="R1433" s="88"/>
      <c r="S1433" s="88"/>
      <c r="T1433" s="90"/>
      <c r="U1433" s="6"/>
      <c r="V1433" s="44">
        <v>45999</v>
      </c>
      <c r="W1433" s="45">
        <v>309.18</v>
      </c>
      <c r="X1433" s="91"/>
      <c r="Y1433" s="77"/>
      <c r="Z1433" s="5"/>
      <c r="AA1433" s="5"/>
      <c r="AB1433" s="5"/>
      <c r="AC1433" s="5"/>
      <c r="AD1433" s="5"/>
      <c r="AE1433" s="5"/>
      <c r="AF1433" s="5"/>
      <c r="AG1433" s="5"/>
      <c r="AH1433" s="6"/>
      <c r="AI1433" s="44">
        <v>45999</v>
      </c>
      <c r="AJ1433" s="53">
        <v>309.18</v>
      </c>
      <c r="AK1433" s="54">
        <f t="shared" si="242"/>
        <v>4.0267584594402273E-3</v>
      </c>
      <c r="AL1433" s="55">
        <f t="shared" si="245"/>
        <v>17.273456670991596</v>
      </c>
      <c r="AM1433" s="56">
        <v>25</v>
      </c>
      <c r="AN1433" s="57">
        <f t="shared" si="243"/>
        <v>7.726543329008404</v>
      </c>
      <c r="AO1433" s="76">
        <f t="shared" si="246"/>
        <v>5.5270866930116593</v>
      </c>
      <c r="AP1433" s="63" t="str">
        <f t="shared" si="247"/>
        <v>Buy Stocks</v>
      </c>
      <c r="AQ1433" s="63" t="str">
        <f t="shared" si="248"/>
        <v/>
      </c>
      <c r="AR1433" s="63" t="str">
        <f t="shared" si="249"/>
        <v/>
      </c>
      <c r="AS1433" s="63" t="str">
        <f t="shared" si="250"/>
        <v/>
      </c>
      <c r="AT1433" s="78" t="str">
        <f t="shared" si="251"/>
        <v/>
      </c>
      <c r="AU1433" s="78" t="str">
        <f t="shared" si="252"/>
        <v/>
      </c>
      <c r="AV1433" s="64" t="str">
        <f ca="1">IFERROR(__xludf.DUMMYFUNCTION("IF(TRIM(AU1433)="""","""",AU1433/INDEX(FILTER(AT$3:AT1433,TRIM(AT$3:AT1433)&lt;&gt;""""),ROWS(FILTER(AT$3:AT1433,TRIM(AT$3:AT1433)&lt;&gt;"""")))-1)"),"")</f>
        <v/>
      </c>
      <c r="AW1433" s="65" t="e">
        <f t="shared" ca="1" si="244"/>
        <v>#VALUE!</v>
      </c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</row>
    <row r="1434" spans="1:68" ht="19" x14ac:dyDescent="0.25">
      <c r="A1434" s="5"/>
      <c r="B1434" s="5"/>
      <c r="C1434" s="5"/>
      <c r="D1434" s="5"/>
      <c r="E1434" s="5"/>
      <c r="F1434" s="5"/>
      <c r="G1434" s="5"/>
      <c r="H1434" s="6"/>
      <c r="I1434" s="5"/>
      <c r="J1434" s="88"/>
      <c r="K1434" s="88"/>
      <c r="L1434" s="88"/>
      <c r="M1434" s="88"/>
      <c r="N1434" s="88"/>
      <c r="O1434" s="88"/>
      <c r="P1434" s="88"/>
      <c r="Q1434" s="89"/>
      <c r="R1434" s="88"/>
      <c r="S1434" s="88"/>
      <c r="T1434" s="90"/>
      <c r="U1434" s="6"/>
      <c r="V1434" s="44">
        <v>46000</v>
      </c>
      <c r="W1434" s="45">
        <v>310.48</v>
      </c>
      <c r="X1434" s="91"/>
      <c r="Y1434" s="77"/>
      <c r="Z1434" s="5"/>
      <c r="AA1434" s="5"/>
      <c r="AB1434" s="5"/>
      <c r="AC1434" s="5"/>
      <c r="AD1434" s="5"/>
      <c r="AE1434" s="5"/>
      <c r="AF1434" s="5"/>
      <c r="AG1434" s="5"/>
      <c r="AH1434" s="6"/>
      <c r="AI1434" s="44">
        <v>46000</v>
      </c>
      <c r="AJ1434" s="53">
        <v>310.48</v>
      </c>
      <c r="AK1434" s="54">
        <f t="shared" si="242"/>
        <v>4.2046704185265682E-3</v>
      </c>
      <c r="AL1434" s="55">
        <f t="shared" si="245"/>
        <v>11.026489584198579</v>
      </c>
      <c r="AM1434" s="56">
        <v>25</v>
      </c>
      <c r="AN1434" s="57">
        <f t="shared" si="243"/>
        <v>13.973510415801421</v>
      </c>
      <c r="AO1434" s="76">
        <f t="shared" si="246"/>
        <v>7.1193981799807746</v>
      </c>
      <c r="AP1434" s="63" t="str">
        <f t="shared" si="247"/>
        <v>Buy Stocks</v>
      </c>
      <c r="AQ1434" s="63" t="str">
        <f t="shared" si="248"/>
        <v/>
      </c>
      <c r="AR1434" s="63" t="str">
        <f t="shared" si="249"/>
        <v/>
      </c>
      <c r="AS1434" s="63" t="str">
        <f t="shared" si="250"/>
        <v/>
      </c>
      <c r="AT1434" s="78" t="str">
        <f t="shared" si="251"/>
        <v/>
      </c>
      <c r="AU1434" s="78" t="str">
        <f t="shared" si="252"/>
        <v/>
      </c>
      <c r="AV1434" s="64" t="str">
        <f ca="1">IFERROR(__xludf.DUMMYFUNCTION("IF(TRIM(AU1434)="""","""",AU1434/INDEX(FILTER(AT$3:AT1434,TRIM(AT$3:AT1434)&lt;&gt;""""),ROWS(FILTER(AT$3:AT1434,TRIM(AT$3:AT1434)&lt;&gt;"""")))-1)"),"")</f>
        <v/>
      </c>
      <c r="AW1434" s="65" t="e">
        <f t="shared" ca="1" si="244"/>
        <v>#VALUE!</v>
      </c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</row>
    <row r="1435" spans="1:68" ht="19" x14ac:dyDescent="0.25">
      <c r="A1435" s="5"/>
      <c r="B1435" s="5"/>
      <c r="C1435" s="5"/>
      <c r="D1435" s="5"/>
      <c r="E1435" s="5"/>
      <c r="F1435" s="5"/>
      <c r="G1435" s="5"/>
      <c r="H1435" s="6"/>
      <c r="I1435" s="5"/>
      <c r="J1435" s="88"/>
      <c r="K1435" s="88"/>
      <c r="L1435" s="88"/>
      <c r="M1435" s="88"/>
      <c r="N1435" s="88"/>
      <c r="O1435" s="88"/>
      <c r="P1435" s="88"/>
      <c r="Q1435" s="89"/>
      <c r="R1435" s="88"/>
      <c r="S1435" s="88"/>
      <c r="T1435" s="90"/>
      <c r="U1435" s="6"/>
      <c r="V1435" s="44">
        <v>46001</v>
      </c>
      <c r="W1435" s="45">
        <v>312.67</v>
      </c>
      <c r="X1435" s="91"/>
      <c r="Y1435" s="77"/>
      <c r="Z1435" s="5"/>
      <c r="AA1435" s="5"/>
      <c r="AB1435" s="5"/>
      <c r="AC1435" s="5"/>
      <c r="AD1435" s="5"/>
      <c r="AE1435" s="5"/>
      <c r="AF1435" s="5"/>
      <c r="AG1435" s="5"/>
      <c r="AH1435" s="6"/>
      <c r="AI1435" s="44">
        <v>46001</v>
      </c>
      <c r="AJ1435" s="53">
        <v>312.67</v>
      </c>
      <c r="AK1435" s="54">
        <f t="shared" si="242"/>
        <v>7.0535944344241042E-3</v>
      </c>
      <c r="AL1435" s="55">
        <f t="shared" si="245"/>
        <v>10.722707961489846</v>
      </c>
      <c r="AM1435" s="56">
        <v>25</v>
      </c>
      <c r="AN1435" s="57">
        <f t="shared" si="243"/>
        <v>14.277292038510154</v>
      </c>
      <c r="AO1435" s="76">
        <f t="shared" si="246"/>
        <v>8.8074452251897188</v>
      </c>
      <c r="AP1435" s="63" t="str">
        <f t="shared" si="247"/>
        <v>Buy Stocks</v>
      </c>
      <c r="AQ1435" s="63" t="str">
        <f t="shared" si="248"/>
        <v/>
      </c>
      <c r="AR1435" s="63" t="str">
        <f t="shared" si="249"/>
        <v/>
      </c>
      <c r="AS1435" s="63" t="str">
        <f t="shared" si="250"/>
        <v/>
      </c>
      <c r="AT1435" s="78" t="str">
        <f t="shared" si="251"/>
        <v/>
      </c>
      <c r="AU1435" s="78" t="str">
        <f t="shared" si="252"/>
        <v/>
      </c>
      <c r="AV1435" s="64" t="str">
        <f ca="1">IFERROR(__xludf.DUMMYFUNCTION("IF(TRIM(AU1435)="""","""",AU1435/INDEX(FILTER(AT$3:AT1435,TRIM(AT$3:AT1435)&lt;&gt;""""),ROWS(FILTER(AT$3:AT1435,TRIM(AT$3:AT1435)&lt;&gt;"""")))-1)"),"")</f>
        <v/>
      </c>
      <c r="AW1435" s="65" t="e">
        <f t="shared" ca="1" si="244"/>
        <v>#VALUE!</v>
      </c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</row>
    <row r="1436" spans="1:68" ht="19" x14ac:dyDescent="0.25">
      <c r="A1436" s="5"/>
      <c r="B1436" s="5"/>
      <c r="C1436" s="5"/>
      <c r="D1436" s="5"/>
      <c r="E1436" s="5"/>
      <c r="F1436" s="5"/>
      <c r="G1436" s="5"/>
      <c r="H1436" s="6"/>
      <c r="I1436" s="5"/>
      <c r="J1436" s="88"/>
      <c r="K1436" s="88"/>
      <c r="L1436" s="88"/>
      <c r="M1436" s="88"/>
      <c r="N1436" s="88"/>
      <c r="O1436" s="88"/>
      <c r="P1436" s="88"/>
      <c r="Q1436" s="89"/>
      <c r="R1436" s="88"/>
      <c r="S1436" s="88"/>
      <c r="T1436" s="90"/>
      <c r="U1436" s="6"/>
      <c r="V1436" s="44">
        <v>46002</v>
      </c>
      <c r="W1436" s="45">
        <v>310.74</v>
      </c>
      <c r="X1436" s="91"/>
      <c r="Y1436" s="77"/>
      <c r="Z1436" s="5"/>
      <c r="AA1436" s="5"/>
      <c r="AB1436" s="5"/>
      <c r="AC1436" s="5"/>
      <c r="AD1436" s="5"/>
      <c r="AE1436" s="5"/>
      <c r="AF1436" s="5"/>
      <c r="AG1436" s="5"/>
      <c r="AH1436" s="6"/>
      <c r="AI1436" s="44">
        <v>46002</v>
      </c>
      <c r="AJ1436" s="53">
        <v>310.74</v>
      </c>
      <c r="AK1436" s="54">
        <f t="shared" si="242"/>
        <v>-6.1726420827070694E-3</v>
      </c>
      <c r="AL1436" s="55">
        <f t="shared" si="245"/>
        <v>8.1624328309230378</v>
      </c>
      <c r="AM1436" s="56">
        <v>25</v>
      </c>
      <c r="AN1436" s="57">
        <f t="shared" si="243"/>
        <v>16.837567169076962</v>
      </c>
      <c r="AO1436" s="76">
        <f t="shared" si="246"/>
        <v>11.763352735123771</v>
      </c>
      <c r="AP1436" s="63" t="str">
        <f t="shared" si="247"/>
        <v>Buy Stocks</v>
      </c>
      <c r="AQ1436" s="63" t="str">
        <f t="shared" si="248"/>
        <v/>
      </c>
      <c r="AR1436" s="63" t="str">
        <f t="shared" si="249"/>
        <v/>
      </c>
      <c r="AS1436" s="63" t="str">
        <f t="shared" si="250"/>
        <v/>
      </c>
      <c r="AT1436" s="78" t="str">
        <f t="shared" si="251"/>
        <v/>
      </c>
      <c r="AU1436" s="78" t="str">
        <f t="shared" si="252"/>
        <v/>
      </c>
      <c r="AV1436" s="64" t="str">
        <f ca="1">IFERROR(__xludf.DUMMYFUNCTION("IF(TRIM(AU1436)="""","""",AU1436/INDEX(FILTER(AT$3:AT1436,TRIM(AT$3:AT1436)&lt;&gt;""""),ROWS(FILTER(AT$3:AT1436,TRIM(AT$3:AT1436)&lt;&gt;"""")))-1)"),"")</f>
        <v/>
      </c>
      <c r="AW1436" s="65" t="e">
        <f t="shared" ca="1" si="244"/>
        <v>#VALUE!</v>
      </c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</row>
    <row r="1437" spans="1:68" ht="19" x14ac:dyDescent="0.25">
      <c r="A1437" s="5"/>
      <c r="B1437" s="5"/>
      <c r="C1437" s="5"/>
      <c r="D1437" s="5"/>
      <c r="E1437" s="5"/>
      <c r="F1437" s="5"/>
      <c r="G1437" s="5"/>
      <c r="H1437" s="6"/>
      <c r="I1437" s="5"/>
      <c r="J1437" s="88"/>
      <c r="K1437" s="88"/>
      <c r="L1437" s="88"/>
      <c r="M1437" s="88"/>
      <c r="N1437" s="88"/>
      <c r="O1437" s="88"/>
      <c r="P1437" s="88"/>
      <c r="Q1437" s="89"/>
      <c r="R1437" s="88"/>
      <c r="S1437" s="88"/>
      <c r="T1437" s="90"/>
      <c r="U1437" s="6"/>
      <c r="V1437" s="44">
        <v>46003</v>
      </c>
      <c r="W1437" s="45">
        <v>309.24</v>
      </c>
      <c r="X1437" s="91"/>
      <c r="Y1437" s="77"/>
      <c r="Z1437" s="5"/>
      <c r="AA1437" s="5"/>
      <c r="AB1437" s="5"/>
      <c r="AC1437" s="5"/>
      <c r="AD1437" s="5"/>
      <c r="AE1437" s="5"/>
      <c r="AF1437" s="5"/>
      <c r="AG1437" s="5"/>
      <c r="AH1437" s="6"/>
      <c r="AI1437" s="44">
        <v>46003</v>
      </c>
      <c r="AJ1437" s="53">
        <v>309.24</v>
      </c>
      <c r="AK1437" s="54">
        <f t="shared" si="242"/>
        <v>-4.8271867155821324E-3</v>
      </c>
      <c r="AL1437" s="55">
        <f t="shared" si="245"/>
        <v>9.4375883468523742</v>
      </c>
      <c r="AM1437" s="56">
        <v>25</v>
      </c>
      <c r="AN1437" s="57">
        <f t="shared" si="243"/>
        <v>15.562411653147626</v>
      </c>
      <c r="AO1437" s="76">
        <f t="shared" si="246"/>
        <v>13.675464921108912</v>
      </c>
      <c r="AP1437" s="63" t="str">
        <f t="shared" si="247"/>
        <v>Buy Stocks</v>
      </c>
      <c r="AQ1437" s="63" t="str">
        <f t="shared" si="248"/>
        <v/>
      </c>
      <c r="AR1437" s="63" t="str">
        <f t="shared" si="249"/>
        <v/>
      </c>
      <c r="AS1437" s="63" t="str">
        <f t="shared" si="250"/>
        <v/>
      </c>
      <c r="AT1437" s="78" t="str">
        <f t="shared" si="251"/>
        <v/>
      </c>
      <c r="AU1437" s="78" t="str">
        <f t="shared" si="252"/>
        <v/>
      </c>
      <c r="AV1437" s="64" t="str">
        <f ca="1">IFERROR(__xludf.DUMMYFUNCTION("IF(TRIM(AU1437)="""","""",AU1437/INDEX(FILTER(AT$3:AT1437,TRIM(AT$3:AT1437)&lt;&gt;""""),ROWS(FILTER(AT$3:AT1437,TRIM(AT$3:AT1437)&lt;&gt;"""")))-1)"),"")</f>
        <v/>
      </c>
      <c r="AW1437" s="65" t="e">
        <f t="shared" ca="1" si="244"/>
        <v>#VALUE!</v>
      </c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</row>
    <row r="1438" spans="1:68" ht="19" x14ac:dyDescent="0.25">
      <c r="A1438" s="5"/>
      <c r="B1438" s="5"/>
      <c r="C1438" s="5"/>
      <c r="D1438" s="5"/>
      <c r="E1438" s="5"/>
      <c r="F1438" s="5"/>
      <c r="G1438" s="5"/>
      <c r="H1438" s="6"/>
      <c r="I1438" s="5"/>
      <c r="J1438" s="88"/>
      <c r="K1438" s="88"/>
      <c r="L1438" s="88"/>
      <c r="M1438" s="88"/>
      <c r="N1438" s="88"/>
      <c r="O1438" s="88"/>
      <c r="P1438" s="88"/>
      <c r="Q1438" s="89"/>
      <c r="R1438" s="88"/>
      <c r="S1438" s="88"/>
      <c r="T1438" s="90"/>
      <c r="U1438" s="6"/>
      <c r="V1438" s="44">
        <v>46006</v>
      </c>
      <c r="W1438" s="45">
        <v>308.66000000000003</v>
      </c>
      <c r="X1438" s="91"/>
      <c r="Y1438" s="77"/>
      <c r="Z1438" s="5"/>
      <c r="AA1438" s="5"/>
      <c r="AB1438" s="5"/>
      <c r="AC1438" s="5"/>
      <c r="AD1438" s="5"/>
      <c r="AE1438" s="5"/>
      <c r="AF1438" s="5"/>
      <c r="AG1438" s="5"/>
      <c r="AH1438" s="6"/>
      <c r="AI1438" s="44">
        <v>46006</v>
      </c>
      <c r="AJ1438" s="53">
        <v>308.66000000000003</v>
      </c>
      <c r="AK1438" s="54">
        <f t="shared" si="242"/>
        <v>-1.8755659035053496E-3</v>
      </c>
      <c r="AL1438" s="55">
        <f t="shared" si="245"/>
        <v>9.1133507364657138</v>
      </c>
      <c r="AM1438" s="56">
        <v>25</v>
      </c>
      <c r="AN1438" s="57">
        <f t="shared" si="243"/>
        <v>15.886649263534286</v>
      </c>
      <c r="AO1438" s="76">
        <f t="shared" si="246"/>
        <v>15.307486108014089</v>
      </c>
      <c r="AP1438" s="63" t="str">
        <f t="shared" si="247"/>
        <v>Buy Stocks</v>
      </c>
      <c r="AQ1438" s="63" t="str">
        <f t="shared" si="248"/>
        <v/>
      </c>
      <c r="AR1438" s="63" t="str">
        <f t="shared" si="249"/>
        <v/>
      </c>
      <c r="AS1438" s="63" t="str">
        <f t="shared" si="250"/>
        <v/>
      </c>
      <c r="AT1438" s="78" t="str">
        <f t="shared" si="251"/>
        <v/>
      </c>
      <c r="AU1438" s="78" t="str">
        <f t="shared" si="252"/>
        <v/>
      </c>
      <c r="AV1438" s="64" t="str">
        <f ca="1">IFERROR(__xludf.DUMMYFUNCTION("IF(TRIM(AU1438)="""","""",AU1438/INDEX(FILTER(AT$3:AT1438,TRIM(AT$3:AT1438)&lt;&gt;""""),ROWS(FILTER(AT$3:AT1438,TRIM(AT$3:AT1438)&lt;&gt;"""")))-1)"),"")</f>
        <v/>
      </c>
      <c r="AW1438" s="65" t="e">
        <f t="shared" ca="1" si="244"/>
        <v>#VALUE!</v>
      </c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</row>
    <row r="1439" spans="1:68" ht="19" x14ac:dyDescent="0.25">
      <c r="A1439" s="5"/>
      <c r="B1439" s="5"/>
      <c r="C1439" s="5"/>
      <c r="D1439" s="5"/>
      <c r="E1439" s="5"/>
      <c r="F1439" s="5"/>
      <c r="G1439" s="5"/>
      <c r="H1439" s="6"/>
      <c r="I1439" s="5"/>
      <c r="J1439" s="88"/>
      <c r="K1439" s="88"/>
      <c r="L1439" s="88"/>
      <c r="M1439" s="88"/>
      <c r="N1439" s="88"/>
      <c r="O1439" s="88"/>
      <c r="P1439" s="88"/>
      <c r="Q1439" s="89"/>
      <c r="R1439" s="88"/>
      <c r="S1439" s="88"/>
      <c r="T1439" s="90"/>
      <c r="U1439" s="6"/>
      <c r="V1439" s="44">
        <v>46007</v>
      </c>
      <c r="W1439" s="45">
        <v>303.18</v>
      </c>
      <c r="X1439" s="91"/>
      <c r="Y1439" s="77"/>
      <c r="Z1439" s="5"/>
      <c r="AA1439" s="5"/>
      <c r="AB1439" s="5"/>
      <c r="AC1439" s="5"/>
      <c r="AD1439" s="5"/>
      <c r="AE1439" s="5"/>
      <c r="AF1439" s="5"/>
      <c r="AG1439" s="5"/>
      <c r="AH1439" s="6"/>
      <c r="AI1439" s="44">
        <v>46007</v>
      </c>
      <c r="AJ1439" s="53">
        <v>303.18</v>
      </c>
      <c r="AK1439" s="54">
        <f t="shared" si="242"/>
        <v>-1.7754163156871727E-2</v>
      </c>
      <c r="AL1439" s="55">
        <f t="shared" si="245"/>
        <v>14.170149901284187</v>
      </c>
      <c r="AM1439" s="56">
        <v>25</v>
      </c>
      <c r="AN1439" s="57">
        <f t="shared" si="243"/>
        <v>10.829850098715813</v>
      </c>
      <c r="AO1439" s="76">
        <f t="shared" si="246"/>
        <v>14.678754044596968</v>
      </c>
      <c r="AP1439" s="63" t="str">
        <f t="shared" si="247"/>
        <v>Buy Stocks</v>
      </c>
      <c r="AQ1439" s="63" t="str">
        <f t="shared" si="248"/>
        <v/>
      </c>
      <c r="AR1439" s="63" t="str">
        <f t="shared" si="249"/>
        <v/>
      </c>
      <c r="AS1439" s="63" t="str">
        <f t="shared" si="250"/>
        <v/>
      </c>
      <c r="AT1439" s="78" t="str">
        <f t="shared" si="251"/>
        <v/>
      </c>
      <c r="AU1439" s="78" t="str">
        <f t="shared" si="252"/>
        <v/>
      </c>
      <c r="AV1439" s="64" t="str">
        <f ca="1">IFERROR(__xludf.DUMMYFUNCTION("IF(TRIM(AU1439)="""","""",AU1439/INDEX(FILTER(AT$3:AT1439,TRIM(AT$3:AT1439)&lt;&gt;""""),ROWS(FILTER(AT$3:AT1439,TRIM(AT$3:AT1439)&lt;&gt;"""")))-1)"),"")</f>
        <v/>
      </c>
      <c r="AW1439" s="65" t="e">
        <f t="shared" ca="1" si="244"/>
        <v>#VALUE!</v>
      </c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</row>
    <row r="1440" spans="1:68" ht="19" x14ac:dyDescent="0.25">
      <c r="A1440" s="5"/>
      <c r="B1440" s="5"/>
      <c r="C1440" s="5"/>
      <c r="D1440" s="5"/>
      <c r="E1440" s="5"/>
      <c r="F1440" s="5"/>
      <c r="G1440" s="5"/>
      <c r="H1440" s="6"/>
      <c r="I1440" s="5"/>
      <c r="J1440" s="88"/>
      <c r="K1440" s="88"/>
      <c r="L1440" s="88"/>
      <c r="M1440" s="88"/>
      <c r="N1440" s="88"/>
      <c r="O1440" s="88"/>
      <c r="P1440" s="88"/>
      <c r="Q1440" s="89"/>
      <c r="R1440" s="88"/>
      <c r="S1440" s="88"/>
      <c r="T1440" s="90"/>
      <c r="U1440" s="6"/>
      <c r="V1440" s="44">
        <v>46008</v>
      </c>
      <c r="W1440" s="45">
        <v>303.32</v>
      </c>
      <c r="X1440" s="91"/>
      <c r="Y1440" s="77"/>
      <c r="Z1440" s="5"/>
      <c r="AA1440" s="5"/>
      <c r="AB1440" s="5"/>
      <c r="AC1440" s="5"/>
      <c r="AD1440" s="5"/>
      <c r="AE1440" s="5"/>
      <c r="AF1440" s="5"/>
      <c r="AG1440" s="5"/>
      <c r="AH1440" s="6"/>
      <c r="AI1440" s="44">
        <v>46008</v>
      </c>
      <c r="AJ1440" s="53">
        <v>303.32</v>
      </c>
      <c r="AK1440" s="54">
        <f t="shared" si="242"/>
        <v>4.6177188468887742E-4</v>
      </c>
      <c r="AL1440" s="55">
        <f t="shared" si="245"/>
        <v>11.17788200101413</v>
      </c>
      <c r="AM1440" s="56">
        <v>25</v>
      </c>
      <c r="AN1440" s="57">
        <f t="shared" si="243"/>
        <v>13.82211799898587</v>
      </c>
      <c r="AO1440" s="76">
        <f t="shared" si="246"/>
        <v>14.587719236692113</v>
      </c>
      <c r="AP1440" s="63" t="str">
        <f t="shared" si="247"/>
        <v>Buy Stocks</v>
      </c>
      <c r="AQ1440" s="63" t="str">
        <f t="shared" si="248"/>
        <v/>
      </c>
      <c r="AR1440" s="63" t="str">
        <f t="shared" si="249"/>
        <v/>
      </c>
      <c r="AS1440" s="63" t="str">
        <f t="shared" si="250"/>
        <v/>
      </c>
      <c r="AT1440" s="78" t="str">
        <f t="shared" si="251"/>
        <v/>
      </c>
      <c r="AU1440" s="78" t="str">
        <f t="shared" si="252"/>
        <v/>
      </c>
      <c r="AV1440" s="64" t="str">
        <f ca="1">IFERROR(__xludf.DUMMYFUNCTION("IF(TRIM(AU1440)="""","""",AU1440/INDEX(FILTER(AT$3:AT1440,TRIM(AT$3:AT1440)&lt;&gt;""""),ROWS(FILTER(AT$3:AT1440,TRIM(AT$3:AT1440)&lt;&gt;"""")))-1)"),"")</f>
        <v/>
      </c>
      <c r="AW1440" s="65" t="e">
        <f t="shared" ca="1" si="244"/>
        <v>#VALUE!</v>
      </c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</row>
    <row r="1441" spans="1:68" ht="19" x14ac:dyDescent="0.25">
      <c r="A1441" s="5"/>
      <c r="B1441" s="5"/>
      <c r="C1441" s="5"/>
      <c r="D1441" s="5"/>
      <c r="E1441" s="5"/>
      <c r="F1441" s="5"/>
      <c r="G1441" s="5"/>
      <c r="H1441" s="6"/>
      <c r="I1441" s="5"/>
      <c r="J1441" s="88"/>
      <c r="K1441" s="88"/>
      <c r="L1441" s="88"/>
      <c r="M1441" s="88"/>
      <c r="N1441" s="88"/>
      <c r="O1441" s="88"/>
      <c r="P1441" s="88"/>
      <c r="Q1441" s="89"/>
      <c r="R1441" s="88"/>
      <c r="S1441" s="88"/>
      <c r="T1441" s="90"/>
      <c r="U1441" s="6"/>
      <c r="V1441" s="44">
        <v>46009</v>
      </c>
      <c r="W1441" s="45">
        <v>300.45</v>
      </c>
      <c r="X1441" s="91"/>
      <c r="Y1441" s="77"/>
      <c r="Z1441" s="5"/>
      <c r="AA1441" s="5"/>
      <c r="AB1441" s="5"/>
      <c r="AC1441" s="5"/>
      <c r="AD1441" s="5"/>
      <c r="AE1441" s="5"/>
      <c r="AF1441" s="5"/>
      <c r="AG1441" s="5"/>
      <c r="AH1441" s="6"/>
      <c r="AI1441" s="44">
        <v>46009</v>
      </c>
      <c r="AJ1441" s="53">
        <v>300.45</v>
      </c>
      <c r="AK1441" s="54">
        <f t="shared" si="242"/>
        <v>-9.4619543716207843E-3</v>
      </c>
      <c r="AL1441" s="55">
        <f t="shared" si="245"/>
        <v>11.444411473378759</v>
      </c>
      <c r="AM1441" s="56">
        <v>25</v>
      </c>
      <c r="AN1441" s="57">
        <f t="shared" si="243"/>
        <v>13.555588526621241</v>
      </c>
      <c r="AO1441" s="76">
        <f t="shared" si="246"/>
        <v>13.931323508200967</v>
      </c>
      <c r="AP1441" s="63" t="str">
        <f t="shared" si="247"/>
        <v>Buy Stocks</v>
      </c>
      <c r="AQ1441" s="63" t="str">
        <f t="shared" si="248"/>
        <v/>
      </c>
      <c r="AR1441" s="63" t="str">
        <f t="shared" si="249"/>
        <v/>
      </c>
      <c r="AS1441" s="63" t="str">
        <f t="shared" si="250"/>
        <v/>
      </c>
      <c r="AT1441" s="78" t="str">
        <f t="shared" si="251"/>
        <v/>
      </c>
      <c r="AU1441" s="78" t="str">
        <f t="shared" si="252"/>
        <v/>
      </c>
      <c r="AV1441" s="64" t="str">
        <f ca="1">IFERROR(__xludf.DUMMYFUNCTION("IF(TRIM(AU1441)="""","""",AU1441/INDEX(FILTER(AT$3:AT1441,TRIM(AT$3:AT1441)&lt;&gt;""""),ROWS(FILTER(AT$3:AT1441,TRIM(AT$3:AT1441)&lt;&gt;"""")))-1)"),"")</f>
        <v/>
      </c>
      <c r="AW1441" s="65" t="e">
        <f t="shared" ca="1" si="244"/>
        <v>#VALUE!</v>
      </c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</row>
    <row r="1442" spans="1:68" ht="19" x14ac:dyDescent="0.25">
      <c r="A1442" s="5"/>
      <c r="B1442" s="5"/>
      <c r="C1442" s="5"/>
      <c r="D1442" s="5"/>
      <c r="E1442" s="5"/>
      <c r="F1442" s="5"/>
      <c r="G1442" s="5"/>
      <c r="H1442" s="6"/>
      <c r="I1442" s="5"/>
      <c r="J1442" s="88"/>
      <c r="K1442" s="88"/>
      <c r="L1442" s="88"/>
      <c r="M1442" s="88"/>
      <c r="N1442" s="88"/>
      <c r="O1442" s="88"/>
      <c r="P1442" s="88"/>
      <c r="Q1442" s="89"/>
      <c r="R1442" s="88"/>
      <c r="S1442" s="88"/>
      <c r="T1442" s="90"/>
      <c r="U1442" s="6"/>
      <c r="V1442" s="44">
        <v>46010</v>
      </c>
      <c r="W1442" s="45">
        <v>300.98</v>
      </c>
      <c r="X1442" s="91"/>
      <c r="Y1442" s="77"/>
      <c r="Z1442" s="5"/>
      <c r="AA1442" s="5"/>
      <c r="AB1442" s="5"/>
      <c r="AC1442" s="5"/>
      <c r="AD1442" s="5"/>
      <c r="AE1442" s="5"/>
      <c r="AF1442" s="5"/>
      <c r="AG1442" s="5"/>
      <c r="AH1442" s="6"/>
      <c r="AI1442" s="44">
        <v>46010</v>
      </c>
      <c r="AJ1442" s="53">
        <v>300.98</v>
      </c>
      <c r="AK1442" s="54">
        <f t="shared" si="242"/>
        <v>1.7640206357132371E-3</v>
      </c>
      <c r="AL1442" s="55">
        <f t="shared" si="245"/>
        <v>12.97507784023809</v>
      </c>
      <c r="AM1442" s="56">
        <v>25</v>
      </c>
      <c r="AN1442" s="57">
        <f t="shared" si="243"/>
        <v>12.02492215976191</v>
      </c>
      <c r="AO1442" s="76">
        <f t="shared" si="246"/>
        <v>13.223825609523823</v>
      </c>
      <c r="AP1442" s="63" t="str">
        <f t="shared" si="247"/>
        <v>Buy Stocks</v>
      </c>
      <c r="AQ1442" s="63" t="str">
        <f t="shared" si="248"/>
        <v/>
      </c>
      <c r="AR1442" s="63" t="str">
        <f t="shared" si="249"/>
        <v/>
      </c>
      <c r="AS1442" s="63" t="str">
        <f t="shared" si="250"/>
        <v/>
      </c>
      <c r="AT1442" s="78" t="str">
        <f t="shared" si="251"/>
        <v/>
      </c>
      <c r="AU1442" s="78" t="str">
        <f t="shared" si="252"/>
        <v/>
      </c>
      <c r="AV1442" s="64" t="str">
        <f ca="1">IFERROR(__xludf.DUMMYFUNCTION("IF(TRIM(AU1442)="""","""",AU1442/INDEX(FILTER(AT$3:AT1442,TRIM(AT$3:AT1442)&lt;&gt;""""),ROWS(FILTER(AT$3:AT1442,TRIM(AT$3:AT1442)&lt;&gt;"""")))-1)"),"")</f>
        <v/>
      </c>
      <c r="AW1442" s="65" t="e">
        <f t="shared" ca="1" si="244"/>
        <v>#VALUE!</v>
      </c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</row>
    <row r="1443" spans="1:68" ht="19" x14ac:dyDescent="0.25">
      <c r="A1443" s="5"/>
      <c r="B1443" s="5"/>
      <c r="C1443" s="5"/>
      <c r="D1443" s="5"/>
      <c r="E1443" s="5"/>
      <c r="F1443" s="5"/>
      <c r="G1443" s="5"/>
      <c r="H1443" s="6"/>
      <c r="I1443" s="5"/>
      <c r="J1443" s="88"/>
      <c r="K1443" s="88"/>
      <c r="L1443" s="88"/>
      <c r="M1443" s="88"/>
      <c r="N1443" s="88"/>
      <c r="O1443" s="88"/>
      <c r="P1443" s="88"/>
      <c r="Q1443" s="89"/>
      <c r="R1443" s="88"/>
      <c r="S1443" s="88"/>
      <c r="T1443" s="90"/>
      <c r="U1443" s="6"/>
      <c r="V1443" s="44">
        <v>46013</v>
      </c>
      <c r="W1443" s="45">
        <v>302.79000000000002</v>
      </c>
      <c r="X1443" s="91"/>
      <c r="Y1443" s="77"/>
      <c r="Z1443" s="5"/>
      <c r="AA1443" s="5"/>
      <c r="AB1443" s="5"/>
      <c r="AC1443" s="5"/>
      <c r="AD1443" s="5"/>
      <c r="AE1443" s="5"/>
      <c r="AF1443" s="5"/>
      <c r="AG1443" s="5"/>
      <c r="AH1443" s="6"/>
      <c r="AI1443" s="44">
        <v>46013</v>
      </c>
      <c r="AJ1443" s="53">
        <v>302.79000000000002</v>
      </c>
      <c r="AK1443" s="54">
        <f t="shared" si="242"/>
        <v>6.0136886171837656E-3</v>
      </c>
      <c r="AL1443" s="55">
        <f t="shared" si="245"/>
        <v>15.31305495783084</v>
      </c>
      <c r="AM1443" s="56">
        <v>25</v>
      </c>
      <c r="AN1443" s="57">
        <f t="shared" si="243"/>
        <v>9.6869450421691603</v>
      </c>
      <c r="AO1443" s="76">
        <f t="shared" si="246"/>
        <v>11.983884765250798</v>
      </c>
      <c r="AP1443" s="63" t="str">
        <f t="shared" si="247"/>
        <v>Buy Stocks</v>
      </c>
      <c r="AQ1443" s="63" t="str">
        <f t="shared" si="248"/>
        <v/>
      </c>
      <c r="AR1443" s="63" t="str">
        <f t="shared" si="249"/>
        <v/>
      </c>
      <c r="AS1443" s="63" t="str">
        <f t="shared" si="250"/>
        <v/>
      </c>
      <c r="AT1443" s="78" t="str">
        <f t="shared" si="251"/>
        <v/>
      </c>
      <c r="AU1443" s="78" t="str">
        <f t="shared" si="252"/>
        <v/>
      </c>
      <c r="AV1443" s="64" t="str">
        <f ca="1">IFERROR(__xludf.DUMMYFUNCTION("IF(TRIM(AU1443)="""","""",AU1443/INDEX(FILTER(AT$3:AT1443,TRIM(AT$3:AT1443)&lt;&gt;""""),ROWS(FILTER(AT$3:AT1443,TRIM(AT$3:AT1443)&lt;&gt;"""")))-1)"),"")</f>
        <v/>
      </c>
      <c r="AW1443" s="65" t="e">
        <f t="shared" ca="1" si="244"/>
        <v>#VALUE!</v>
      </c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</row>
    <row r="1444" spans="1:68" ht="19" x14ac:dyDescent="0.25">
      <c r="A1444" s="5"/>
      <c r="B1444" s="5"/>
      <c r="C1444" s="5"/>
      <c r="D1444" s="5"/>
      <c r="E1444" s="5"/>
      <c r="F1444" s="5"/>
      <c r="G1444" s="5"/>
      <c r="H1444" s="6"/>
      <c r="I1444" s="5"/>
      <c r="J1444" s="88"/>
      <c r="K1444" s="88"/>
      <c r="L1444" s="88"/>
      <c r="M1444" s="88"/>
      <c r="N1444" s="88"/>
      <c r="O1444" s="88"/>
      <c r="P1444" s="88"/>
      <c r="Q1444" s="89"/>
      <c r="R1444" s="88"/>
      <c r="S1444" s="88"/>
      <c r="T1444" s="90"/>
      <c r="U1444" s="6"/>
      <c r="V1444" s="44">
        <v>46014</v>
      </c>
      <c r="W1444" s="45">
        <v>303.77999999999997</v>
      </c>
      <c r="X1444" s="91"/>
      <c r="Y1444" s="77"/>
      <c r="Z1444" s="5"/>
      <c r="AA1444" s="5"/>
      <c r="AB1444" s="5"/>
      <c r="AC1444" s="5"/>
      <c r="AD1444" s="5"/>
      <c r="AE1444" s="5"/>
      <c r="AF1444" s="5"/>
      <c r="AG1444" s="5"/>
      <c r="AH1444" s="6"/>
      <c r="AI1444" s="44">
        <v>46014</v>
      </c>
      <c r="AJ1444" s="53">
        <v>303.77999999999997</v>
      </c>
      <c r="AK1444" s="54">
        <f t="shared" si="242"/>
        <v>3.2695927870800556E-3</v>
      </c>
      <c r="AL1444" s="55">
        <f t="shared" si="245"/>
        <v>9.3535117648988635</v>
      </c>
      <c r="AM1444" s="56">
        <v>25</v>
      </c>
      <c r="AN1444" s="57">
        <f t="shared" si="243"/>
        <v>15.646488235101137</v>
      </c>
      <c r="AO1444" s="76">
        <f t="shared" si="246"/>
        <v>12.947212392527863</v>
      </c>
      <c r="AP1444" s="63" t="str">
        <f t="shared" si="247"/>
        <v>Buy Stocks</v>
      </c>
      <c r="AQ1444" s="63" t="str">
        <f t="shared" si="248"/>
        <v/>
      </c>
      <c r="AR1444" s="63" t="str">
        <f t="shared" si="249"/>
        <v/>
      </c>
      <c r="AS1444" s="63" t="str">
        <f t="shared" si="250"/>
        <v/>
      </c>
      <c r="AT1444" s="78" t="str">
        <f t="shared" si="251"/>
        <v/>
      </c>
      <c r="AU1444" s="78" t="str">
        <f t="shared" si="252"/>
        <v/>
      </c>
      <c r="AV1444" s="64" t="str">
        <f ca="1">IFERROR(__xludf.DUMMYFUNCTION("IF(TRIM(AU1444)="""","""",AU1444/INDEX(FILTER(AT$3:AT1444,TRIM(AT$3:AT1444)&lt;&gt;""""),ROWS(FILTER(AT$3:AT1444,TRIM(AT$3:AT1444)&lt;&gt;"""")))-1)"),"")</f>
        <v/>
      </c>
      <c r="AW1444" s="65" t="e">
        <f t="shared" ca="1" si="244"/>
        <v>#VALUE!</v>
      </c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</row>
    <row r="1445" spans="1:68" ht="19" x14ac:dyDescent="0.25">
      <c r="A1445" s="5"/>
      <c r="B1445" s="5"/>
      <c r="C1445" s="5"/>
      <c r="D1445" s="5"/>
      <c r="E1445" s="5"/>
      <c r="F1445" s="5"/>
      <c r="G1445" s="5"/>
      <c r="H1445" s="6"/>
      <c r="I1445" s="5"/>
      <c r="J1445" s="88"/>
      <c r="K1445" s="88"/>
      <c r="L1445" s="88"/>
      <c r="M1445" s="88"/>
      <c r="N1445" s="88"/>
      <c r="O1445" s="88"/>
      <c r="P1445" s="88"/>
      <c r="Q1445" s="89"/>
      <c r="R1445" s="88"/>
      <c r="S1445" s="88"/>
      <c r="T1445" s="90"/>
      <c r="U1445" s="6"/>
      <c r="V1445" s="44">
        <v>46015</v>
      </c>
      <c r="W1445" s="45">
        <v>304.56</v>
      </c>
      <c r="X1445" s="91"/>
      <c r="Y1445" s="77"/>
      <c r="Z1445" s="5"/>
      <c r="AA1445" s="5"/>
      <c r="AB1445" s="5"/>
      <c r="AC1445" s="5"/>
      <c r="AD1445" s="5"/>
      <c r="AE1445" s="5"/>
      <c r="AF1445" s="5"/>
      <c r="AG1445" s="5"/>
      <c r="AH1445" s="6"/>
      <c r="AI1445" s="44">
        <v>46015</v>
      </c>
      <c r="AJ1445" s="53">
        <v>304.56</v>
      </c>
      <c r="AK1445" s="54">
        <f t="shared" si="242"/>
        <v>2.5676476397393788E-3</v>
      </c>
      <c r="AL1445" s="55">
        <f t="shared" si="245"/>
        <v>9.4795663313167644</v>
      </c>
      <c r="AM1445" s="56">
        <v>25</v>
      </c>
      <c r="AN1445" s="57">
        <f t="shared" si="243"/>
        <v>15.520433668683236</v>
      </c>
      <c r="AO1445" s="76">
        <f t="shared" si="246"/>
        <v>13.286875526467336</v>
      </c>
      <c r="AP1445" s="63" t="str">
        <f t="shared" si="247"/>
        <v>Buy Stocks</v>
      </c>
      <c r="AQ1445" s="63" t="str">
        <f t="shared" si="248"/>
        <v/>
      </c>
      <c r="AR1445" s="63" t="str">
        <f t="shared" si="249"/>
        <v/>
      </c>
      <c r="AS1445" s="63" t="str">
        <f t="shared" si="250"/>
        <v/>
      </c>
      <c r="AT1445" s="78" t="str">
        <f t="shared" si="251"/>
        <v/>
      </c>
      <c r="AU1445" s="78" t="str">
        <f t="shared" si="252"/>
        <v/>
      </c>
      <c r="AV1445" s="64" t="str">
        <f ca="1">IFERROR(__xludf.DUMMYFUNCTION("IF(TRIM(AU1445)="""","""",AU1445/INDEX(FILTER(AT$3:AT1445,TRIM(AT$3:AT1445)&lt;&gt;""""),ROWS(FILTER(AT$3:AT1445,TRIM(AT$3:AT1445)&lt;&gt;"""")))-1)"),"")</f>
        <v/>
      </c>
      <c r="AW1445" s="65" t="e">
        <f t="shared" ca="1" si="244"/>
        <v>#VALUE!</v>
      </c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</row>
    <row r="1446" spans="1:68" ht="19" x14ac:dyDescent="0.25">
      <c r="A1446" s="5"/>
      <c r="B1446" s="5"/>
      <c r="C1446" s="5"/>
      <c r="D1446" s="5"/>
      <c r="E1446" s="5"/>
      <c r="F1446" s="5"/>
      <c r="G1446" s="5"/>
      <c r="H1446" s="6"/>
      <c r="I1446" s="5"/>
      <c r="J1446" s="88"/>
      <c r="K1446" s="88"/>
      <c r="L1446" s="88"/>
      <c r="M1446" s="88"/>
      <c r="N1446" s="88"/>
      <c r="O1446" s="88"/>
      <c r="P1446" s="88"/>
      <c r="Q1446" s="89"/>
      <c r="R1446" s="88"/>
      <c r="S1446" s="88"/>
      <c r="T1446" s="90"/>
      <c r="U1446" s="6"/>
      <c r="V1446" s="44">
        <v>46016</v>
      </c>
      <c r="W1446" s="45">
        <v>304.56</v>
      </c>
      <c r="X1446" s="91"/>
      <c r="Y1446" s="77"/>
      <c r="Z1446" s="5"/>
      <c r="AA1446" s="5"/>
      <c r="AB1446" s="5"/>
      <c r="AC1446" s="5"/>
      <c r="AD1446" s="5"/>
      <c r="AE1446" s="5"/>
      <c r="AF1446" s="5"/>
      <c r="AG1446" s="5"/>
      <c r="AH1446" s="6"/>
      <c r="AI1446" s="44">
        <v>46016</v>
      </c>
      <c r="AJ1446" s="53">
        <v>304.56</v>
      </c>
      <c r="AK1446" s="54">
        <f t="shared" si="242"/>
        <v>0</v>
      </c>
      <c r="AL1446" s="55">
        <f t="shared" si="245"/>
        <v>3.5037290158864662</v>
      </c>
      <c r="AM1446" s="56">
        <v>25</v>
      </c>
      <c r="AN1446" s="57">
        <f t="shared" si="243"/>
        <v>21.496270984113533</v>
      </c>
      <c r="AO1446" s="76">
        <f t="shared" si="246"/>
        <v>14.875012017965796</v>
      </c>
      <c r="AP1446" s="63" t="str">
        <f t="shared" si="247"/>
        <v>Buy Stocks</v>
      </c>
      <c r="AQ1446" s="63" t="str">
        <f t="shared" si="248"/>
        <v/>
      </c>
      <c r="AR1446" s="63" t="str">
        <f t="shared" si="249"/>
        <v/>
      </c>
      <c r="AS1446" s="63" t="str">
        <f t="shared" si="250"/>
        <v/>
      </c>
      <c r="AT1446" s="78" t="str">
        <f t="shared" si="251"/>
        <v/>
      </c>
      <c r="AU1446" s="78" t="str">
        <f t="shared" si="252"/>
        <v/>
      </c>
      <c r="AV1446" s="64" t="str">
        <f ca="1">IFERROR(__xludf.DUMMYFUNCTION("IF(TRIM(AU1446)="""","""",AU1446/INDEX(FILTER(AT$3:AT1446,TRIM(AT$3:AT1446)&lt;&gt;""""),ROWS(FILTER(AT$3:AT1446,TRIM(AT$3:AT1446)&lt;&gt;"""")))-1)"),"")</f>
        <v/>
      </c>
      <c r="AW1446" s="65" t="e">
        <f t="shared" ca="1" si="244"/>
        <v>#VALUE!</v>
      </c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</row>
    <row r="1447" spans="1:68" ht="19" x14ac:dyDescent="0.25">
      <c r="A1447" s="5"/>
      <c r="B1447" s="5"/>
      <c r="C1447" s="5"/>
      <c r="D1447" s="5"/>
      <c r="E1447" s="5"/>
      <c r="F1447" s="5"/>
      <c r="G1447" s="5"/>
      <c r="H1447" s="6"/>
      <c r="I1447" s="5"/>
      <c r="J1447" s="88"/>
      <c r="K1447" s="88"/>
      <c r="L1447" s="88"/>
      <c r="M1447" s="88"/>
      <c r="N1447" s="88"/>
      <c r="O1447" s="88"/>
      <c r="P1447" s="88"/>
      <c r="Q1447" s="89"/>
      <c r="R1447" s="88"/>
      <c r="S1447" s="88"/>
      <c r="T1447" s="90"/>
      <c r="U1447" s="6"/>
      <c r="V1447" s="44">
        <v>46017</v>
      </c>
      <c r="W1447" s="45">
        <v>305.08999999999997</v>
      </c>
      <c r="X1447" s="91"/>
      <c r="Y1447" s="77"/>
      <c r="Z1447" s="5"/>
      <c r="AA1447" s="5"/>
      <c r="AB1447" s="5"/>
      <c r="AC1447" s="5"/>
      <c r="AD1447" s="5"/>
      <c r="AE1447" s="5"/>
      <c r="AF1447" s="5"/>
      <c r="AG1447" s="5"/>
      <c r="AH1447" s="6"/>
      <c r="AI1447" s="44">
        <v>46017</v>
      </c>
      <c r="AJ1447" s="53">
        <v>305.08999999999997</v>
      </c>
      <c r="AK1447" s="54">
        <f t="shared" si="242"/>
        <v>1.7402153926975306E-3</v>
      </c>
      <c r="AL1447" s="55">
        <f t="shared" si="245"/>
        <v>3.5078720807405079</v>
      </c>
      <c r="AM1447" s="56">
        <v>25</v>
      </c>
      <c r="AN1447" s="57">
        <f t="shared" si="243"/>
        <v>21.492127919259492</v>
      </c>
      <c r="AO1447" s="76">
        <f t="shared" si="246"/>
        <v>16.76845316986531</v>
      </c>
      <c r="AP1447" s="63" t="str">
        <f t="shared" si="247"/>
        <v>Buy Stocks</v>
      </c>
      <c r="AQ1447" s="63" t="str">
        <f t="shared" si="248"/>
        <v/>
      </c>
      <c r="AR1447" s="63" t="str">
        <f t="shared" si="249"/>
        <v/>
      </c>
      <c r="AS1447" s="63" t="str">
        <f t="shared" si="250"/>
        <v/>
      </c>
      <c r="AT1447" s="78" t="str">
        <f t="shared" si="251"/>
        <v/>
      </c>
      <c r="AU1447" s="78" t="str">
        <f t="shared" si="252"/>
        <v/>
      </c>
      <c r="AV1447" s="64" t="str">
        <f ca="1">IFERROR(__xludf.DUMMYFUNCTION("IF(TRIM(AU1447)="""","""",AU1447/INDEX(FILTER(AT$3:AT1447,TRIM(AT$3:AT1447)&lt;&gt;""""),ROWS(FILTER(AT$3:AT1447,TRIM(AT$3:AT1447)&lt;&gt;"""")))-1)"),"")</f>
        <v/>
      </c>
      <c r="AW1447" s="65" t="e">
        <f t="shared" ca="1" si="244"/>
        <v>#VALUE!</v>
      </c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</row>
    <row r="1448" spans="1:68" ht="19" x14ac:dyDescent="0.25">
      <c r="A1448" s="5"/>
      <c r="B1448" s="5"/>
      <c r="C1448" s="5"/>
      <c r="D1448" s="5"/>
      <c r="E1448" s="5"/>
      <c r="F1448" s="5"/>
      <c r="G1448" s="5"/>
      <c r="H1448" s="6"/>
      <c r="I1448" s="5"/>
      <c r="J1448" s="88"/>
      <c r="K1448" s="88"/>
      <c r="L1448" s="88"/>
      <c r="M1448" s="88"/>
      <c r="N1448" s="88"/>
      <c r="O1448" s="88"/>
      <c r="P1448" s="88"/>
      <c r="Q1448" s="89"/>
      <c r="R1448" s="88"/>
      <c r="S1448" s="88"/>
      <c r="T1448" s="90"/>
      <c r="U1448" s="6"/>
      <c r="V1448" s="44">
        <v>46020</v>
      </c>
      <c r="W1448" s="45">
        <v>305.74</v>
      </c>
      <c r="X1448" s="91"/>
      <c r="Y1448" s="77"/>
      <c r="Z1448" s="5"/>
      <c r="AA1448" s="5"/>
      <c r="AB1448" s="5"/>
      <c r="AC1448" s="5"/>
      <c r="AD1448" s="5"/>
      <c r="AE1448" s="5"/>
      <c r="AF1448" s="5"/>
      <c r="AG1448" s="5"/>
      <c r="AH1448" s="6"/>
      <c r="AI1448" s="44">
        <v>46020</v>
      </c>
      <c r="AJ1448" s="53">
        <v>305.74</v>
      </c>
      <c r="AK1448" s="54">
        <f t="shared" si="242"/>
        <v>2.1305188632863015E-3</v>
      </c>
      <c r="AL1448" s="55">
        <f t="shared" si="245"/>
        <v>1.9444744797387141</v>
      </c>
      <c r="AM1448" s="56">
        <v>25</v>
      </c>
      <c r="AN1448" s="57">
        <f t="shared" si="243"/>
        <v>23.055525520261284</v>
      </c>
      <c r="AO1448" s="76">
        <f t="shared" si="246"/>
        <v>19.442169265483734</v>
      </c>
      <c r="AP1448" s="63" t="str">
        <f t="shared" si="247"/>
        <v>Buy Stocks</v>
      </c>
      <c r="AQ1448" s="63" t="str">
        <f t="shared" si="248"/>
        <v/>
      </c>
      <c r="AR1448" s="63" t="str">
        <f t="shared" si="249"/>
        <v/>
      </c>
      <c r="AS1448" s="63" t="str">
        <f t="shared" si="250"/>
        <v/>
      </c>
      <c r="AT1448" s="78" t="str">
        <f t="shared" si="251"/>
        <v/>
      </c>
      <c r="AU1448" s="78" t="str">
        <f t="shared" si="252"/>
        <v/>
      </c>
      <c r="AV1448" s="64" t="str">
        <f ca="1">IFERROR(__xludf.DUMMYFUNCTION("IF(TRIM(AU1448)="""","""",AU1448/INDEX(FILTER(AT$3:AT1448,TRIM(AT$3:AT1448)&lt;&gt;""""),ROWS(FILTER(AT$3:AT1448,TRIM(AT$3:AT1448)&lt;&gt;"""")))-1)"),"")</f>
        <v/>
      </c>
      <c r="AW1448" s="65" t="e">
        <f t="shared" ca="1" si="244"/>
        <v>#VALUE!</v>
      </c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</row>
    <row r="1449" spans="1:68" ht="19" x14ac:dyDescent="0.25">
      <c r="A1449" s="5"/>
      <c r="B1449" s="5"/>
      <c r="C1449" s="5"/>
      <c r="D1449" s="5"/>
      <c r="E1449" s="5"/>
      <c r="F1449" s="5"/>
      <c r="G1449" s="5"/>
      <c r="H1449" s="6"/>
      <c r="I1449" s="5"/>
      <c r="J1449" s="88"/>
      <c r="K1449" s="88"/>
      <c r="L1449" s="88"/>
      <c r="M1449" s="88"/>
      <c r="N1449" s="88"/>
      <c r="O1449" s="88"/>
      <c r="P1449" s="88"/>
      <c r="Q1449" s="89"/>
      <c r="R1449" s="88"/>
      <c r="S1449" s="88"/>
      <c r="T1449" s="90"/>
      <c r="U1449" s="6"/>
      <c r="V1449" s="44">
        <v>46021</v>
      </c>
      <c r="W1449" s="45">
        <v>302.05</v>
      </c>
      <c r="X1449" s="91"/>
      <c r="Y1449" s="77"/>
      <c r="Z1449" s="5"/>
      <c r="AA1449" s="5"/>
      <c r="AB1449" s="5"/>
      <c r="AC1449" s="5"/>
      <c r="AD1449" s="5"/>
      <c r="AE1449" s="5"/>
      <c r="AF1449" s="5"/>
      <c r="AG1449" s="5"/>
      <c r="AH1449" s="6"/>
      <c r="AI1449" s="44">
        <v>46021</v>
      </c>
      <c r="AJ1449" s="53">
        <v>302.05</v>
      </c>
      <c r="AK1449" s="54">
        <f t="shared" si="242"/>
        <v>-1.206907830182502E-2</v>
      </c>
      <c r="AL1449" s="55">
        <f t="shared" si="245"/>
        <v>9.8332927188726753</v>
      </c>
      <c r="AM1449" s="56">
        <v>25</v>
      </c>
      <c r="AN1449" s="57">
        <f t="shared" si="243"/>
        <v>15.166707281127325</v>
      </c>
      <c r="AO1449" s="76">
        <f t="shared" si="246"/>
        <v>19.346213074688976</v>
      </c>
      <c r="AP1449" s="63" t="str">
        <f t="shared" si="247"/>
        <v>Buy Stocks</v>
      </c>
      <c r="AQ1449" s="63" t="str">
        <f t="shared" si="248"/>
        <v/>
      </c>
      <c r="AR1449" s="63" t="str">
        <f t="shared" si="249"/>
        <v/>
      </c>
      <c r="AS1449" s="63" t="str">
        <f t="shared" si="250"/>
        <v/>
      </c>
      <c r="AT1449" s="78" t="str">
        <f t="shared" si="251"/>
        <v/>
      </c>
      <c r="AU1449" s="78" t="str">
        <f t="shared" si="252"/>
        <v/>
      </c>
      <c r="AV1449" s="64" t="str">
        <f ca="1">IFERROR(__xludf.DUMMYFUNCTION("IF(TRIM(AU1449)="""","""",AU1449/INDEX(FILTER(AT$3:AT1449,TRIM(AT$3:AT1449)&lt;&gt;""""),ROWS(FILTER(AT$3:AT1449,TRIM(AT$3:AT1449)&lt;&gt;"""")))-1)"),"")</f>
        <v/>
      </c>
      <c r="AW1449" s="65" t="e">
        <f t="shared" ca="1" si="244"/>
        <v>#VALUE!</v>
      </c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</row>
    <row r="1450" spans="1:68" ht="19" x14ac:dyDescent="0.25">
      <c r="A1450" s="5"/>
      <c r="B1450" s="5"/>
      <c r="C1450" s="5"/>
      <c r="D1450" s="5"/>
      <c r="E1450" s="5"/>
      <c r="F1450" s="5"/>
      <c r="G1450" s="5"/>
      <c r="H1450" s="6"/>
      <c r="I1450" s="5"/>
      <c r="J1450" s="88"/>
      <c r="K1450" s="88"/>
      <c r="L1450" s="88"/>
      <c r="M1450" s="88"/>
      <c r="N1450" s="88"/>
      <c r="O1450" s="88"/>
      <c r="P1450" s="88"/>
      <c r="Q1450" s="89"/>
      <c r="R1450" s="88"/>
      <c r="S1450" s="88"/>
      <c r="T1450" s="90"/>
      <c r="U1450" s="6"/>
      <c r="V1450" s="44">
        <v>46022</v>
      </c>
      <c r="W1450" s="45">
        <v>296.20999999999998</v>
      </c>
      <c r="X1450" s="91"/>
      <c r="Y1450" s="77"/>
      <c r="Z1450" s="5"/>
      <c r="AA1450" s="5"/>
      <c r="AB1450" s="5"/>
      <c r="AC1450" s="5"/>
      <c r="AD1450" s="5"/>
      <c r="AE1450" s="5"/>
      <c r="AF1450" s="5"/>
      <c r="AG1450" s="5"/>
      <c r="AH1450" s="6"/>
      <c r="AI1450" s="44">
        <v>46022</v>
      </c>
      <c r="AJ1450" s="53">
        <v>296.20999999999998</v>
      </c>
      <c r="AK1450" s="54">
        <f t="shared" si="242"/>
        <v>-1.9334547260387414E-2</v>
      </c>
      <c r="AL1450" s="55">
        <f t="shared" si="245"/>
        <v>15.379498341745535</v>
      </c>
      <c r="AM1450" s="56">
        <v>25</v>
      </c>
      <c r="AN1450" s="57">
        <f t="shared" si="243"/>
        <v>9.6205016582544651</v>
      </c>
      <c r="AO1450" s="76">
        <f t="shared" si="246"/>
        <v>18.166226672603223</v>
      </c>
      <c r="AP1450" s="63" t="str">
        <f t="shared" si="247"/>
        <v>Buy Stocks</v>
      </c>
      <c r="AQ1450" s="63" t="str">
        <f t="shared" si="248"/>
        <v/>
      </c>
      <c r="AR1450" s="63" t="str">
        <f t="shared" si="249"/>
        <v/>
      </c>
      <c r="AS1450" s="63" t="str">
        <f t="shared" si="250"/>
        <v/>
      </c>
      <c r="AT1450" s="78" t="str">
        <f t="shared" si="251"/>
        <v/>
      </c>
      <c r="AU1450" s="78" t="str">
        <f t="shared" si="252"/>
        <v/>
      </c>
      <c r="AV1450" s="64" t="str">
        <f ca="1">IFERROR(__xludf.DUMMYFUNCTION("IF(TRIM(AU1450)="""","""",AU1450/INDEX(FILTER(AT$3:AT1450,TRIM(AT$3:AT1450)&lt;&gt;""""),ROWS(FILTER(AT$3:AT1450,TRIM(AT$3:AT1450)&lt;&gt;"""")))-1)"),"")</f>
        <v/>
      </c>
      <c r="AW1450" s="65" t="e">
        <f t="shared" ca="1" si="244"/>
        <v>#VALUE!</v>
      </c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</row>
    <row r="1451" spans="1:68" ht="19" x14ac:dyDescent="0.25">
      <c r="A1451" s="5"/>
      <c r="B1451" s="5"/>
      <c r="C1451" s="5"/>
      <c r="D1451" s="5"/>
      <c r="E1451" s="5"/>
      <c r="F1451" s="5"/>
      <c r="G1451" s="5"/>
      <c r="H1451" s="6"/>
      <c r="I1451" s="5"/>
      <c r="J1451" s="88"/>
      <c r="K1451" s="88"/>
      <c r="L1451" s="88"/>
      <c r="M1451" s="88"/>
      <c r="N1451" s="88"/>
      <c r="O1451" s="88"/>
      <c r="P1451" s="88"/>
      <c r="Q1451" s="89"/>
      <c r="R1451" s="88"/>
      <c r="S1451" s="88"/>
      <c r="T1451" s="90"/>
      <c r="U1451" s="6"/>
      <c r="V1451" s="44">
        <v>46024</v>
      </c>
      <c r="W1451" s="45">
        <v>291.5</v>
      </c>
      <c r="X1451" s="91"/>
      <c r="Y1451" s="77"/>
      <c r="Z1451" s="5"/>
      <c r="AA1451" s="5"/>
      <c r="AB1451" s="5"/>
      <c r="AC1451" s="5"/>
      <c r="AD1451" s="5"/>
      <c r="AE1451" s="5"/>
      <c r="AF1451" s="5"/>
      <c r="AG1451" s="5"/>
      <c r="AH1451" s="6"/>
      <c r="AI1451" s="44">
        <v>46024</v>
      </c>
      <c r="AJ1451" s="53">
        <v>291.5</v>
      </c>
      <c r="AK1451" s="54">
        <f t="shared" si="242"/>
        <v>-1.5900881131629574E-2</v>
      </c>
      <c r="AL1451" s="55">
        <f t="shared" si="245"/>
        <v>15.925904347212558</v>
      </c>
      <c r="AM1451" s="56">
        <v>25</v>
      </c>
      <c r="AN1451" s="57">
        <f t="shared" si="243"/>
        <v>9.0740956527874417</v>
      </c>
      <c r="AO1451" s="76">
        <f t="shared" si="246"/>
        <v>15.681791606337999</v>
      </c>
      <c r="AP1451" s="63" t="str">
        <f t="shared" si="247"/>
        <v>Buy Stocks</v>
      </c>
      <c r="AQ1451" s="63" t="str">
        <f t="shared" si="248"/>
        <v/>
      </c>
      <c r="AR1451" s="63" t="str">
        <f t="shared" si="249"/>
        <v/>
      </c>
      <c r="AS1451" s="63" t="str">
        <f t="shared" si="250"/>
        <v/>
      </c>
      <c r="AT1451" s="78" t="str">
        <f t="shared" si="251"/>
        <v/>
      </c>
      <c r="AU1451" s="78" t="str">
        <f t="shared" si="252"/>
        <v/>
      </c>
      <c r="AV1451" s="64" t="str">
        <f ca="1">IFERROR(__xludf.DUMMYFUNCTION("IF(TRIM(AU1451)="""","""",AU1451/INDEX(FILTER(AT$3:AT1451,TRIM(AT$3:AT1451)&lt;&gt;""""),ROWS(FILTER(AT$3:AT1451,TRIM(AT$3:AT1451)&lt;&gt;"""")))-1)"),"")</f>
        <v/>
      </c>
      <c r="AW1451" s="65" t="e">
        <f t="shared" ca="1" si="244"/>
        <v>#VALUE!</v>
      </c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</row>
    <row r="1452" spans="1:68" ht="19" x14ac:dyDescent="0.25">
      <c r="A1452" s="5"/>
      <c r="B1452" s="5"/>
      <c r="C1452" s="5"/>
      <c r="D1452" s="5"/>
      <c r="E1452" s="5"/>
      <c r="F1452" s="5"/>
      <c r="G1452" s="5"/>
      <c r="H1452" s="6"/>
      <c r="I1452" s="5"/>
      <c r="J1452" s="88"/>
      <c r="K1452" s="88"/>
      <c r="L1452" s="88"/>
      <c r="M1452" s="88"/>
      <c r="N1452" s="88"/>
      <c r="O1452" s="88"/>
      <c r="P1452" s="88"/>
      <c r="Q1452" s="89"/>
      <c r="R1452" s="88"/>
      <c r="S1452" s="88"/>
      <c r="T1452" s="90"/>
      <c r="U1452" s="6"/>
      <c r="V1452" s="44">
        <v>46027</v>
      </c>
      <c r="W1452" s="45">
        <v>294.97000000000003</v>
      </c>
      <c r="X1452" s="91"/>
      <c r="Y1452" s="77"/>
      <c r="Z1452" s="5"/>
      <c r="AA1452" s="5"/>
      <c r="AB1452" s="5"/>
      <c r="AC1452" s="5"/>
      <c r="AD1452" s="5"/>
      <c r="AE1452" s="5"/>
      <c r="AF1452" s="5"/>
      <c r="AG1452" s="5"/>
      <c r="AH1452" s="6"/>
      <c r="AI1452" s="44">
        <v>46027</v>
      </c>
      <c r="AJ1452" s="53">
        <v>294.97000000000003</v>
      </c>
      <c r="AK1452" s="54">
        <f t="shared" si="242"/>
        <v>1.1903945111492398E-2</v>
      </c>
      <c r="AL1452" s="55">
        <f t="shared" si="245"/>
        <v>20.957796505833738</v>
      </c>
      <c r="AM1452" s="56">
        <v>25</v>
      </c>
      <c r="AN1452" s="57">
        <f t="shared" si="243"/>
        <v>4.0422034941662623</v>
      </c>
      <c r="AO1452" s="76">
        <f t="shared" si="246"/>
        <v>12.191806721319356</v>
      </c>
      <c r="AP1452" s="63" t="str">
        <f t="shared" si="247"/>
        <v>Buy Stocks</v>
      </c>
      <c r="AQ1452" s="63" t="str">
        <f t="shared" si="248"/>
        <v/>
      </c>
      <c r="AR1452" s="63" t="str">
        <f t="shared" si="249"/>
        <v/>
      </c>
      <c r="AS1452" s="63" t="str">
        <f t="shared" si="250"/>
        <v/>
      </c>
      <c r="AT1452" s="78" t="str">
        <f t="shared" si="251"/>
        <v/>
      </c>
      <c r="AU1452" s="78" t="str">
        <f t="shared" si="252"/>
        <v/>
      </c>
      <c r="AV1452" s="64" t="str">
        <f ca="1">IFERROR(__xludf.DUMMYFUNCTION("IF(TRIM(AU1452)="""","""",AU1452/INDEX(FILTER(AT$3:AT1452,TRIM(AT$3:AT1452)&lt;&gt;""""),ROWS(FILTER(AT$3:AT1452,TRIM(AT$3:AT1452)&lt;&gt;"""")))-1)"),"")</f>
        <v/>
      </c>
      <c r="AW1452" s="65" t="e">
        <f t="shared" ca="1" si="244"/>
        <v>#VALUE!</v>
      </c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</row>
    <row r="1453" spans="1:68" ht="19" x14ac:dyDescent="0.25">
      <c r="A1453" s="5"/>
      <c r="B1453" s="5"/>
      <c r="C1453" s="5"/>
      <c r="D1453" s="5"/>
      <c r="E1453" s="5"/>
      <c r="F1453" s="5"/>
      <c r="G1453" s="5"/>
      <c r="H1453" s="6"/>
      <c r="I1453" s="5"/>
      <c r="J1453" s="88"/>
      <c r="K1453" s="88"/>
      <c r="L1453" s="88"/>
      <c r="M1453" s="88"/>
      <c r="N1453" s="88"/>
      <c r="O1453" s="88"/>
      <c r="P1453" s="88"/>
      <c r="Q1453" s="89"/>
      <c r="R1453" s="88"/>
      <c r="S1453" s="88"/>
      <c r="T1453" s="90"/>
      <c r="U1453" s="6"/>
      <c r="V1453" s="44">
        <v>46028</v>
      </c>
      <c r="W1453" s="45">
        <v>302.47000000000003</v>
      </c>
      <c r="X1453" s="91"/>
      <c r="Y1453" s="77"/>
      <c r="Z1453" s="5"/>
      <c r="AA1453" s="5"/>
      <c r="AB1453" s="5"/>
      <c r="AC1453" s="5"/>
      <c r="AD1453" s="5"/>
      <c r="AE1453" s="5"/>
      <c r="AF1453" s="5"/>
      <c r="AG1453" s="5"/>
      <c r="AH1453" s="6"/>
      <c r="AI1453" s="44">
        <v>46028</v>
      </c>
      <c r="AJ1453" s="53">
        <v>302.47000000000003</v>
      </c>
      <c r="AK1453" s="54">
        <f t="shared" si="242"/>
        <v>2.5426314540461847E-2</v>
      </c>
      <c r="AL1453" s="55">
        <f t="shared" si="245"/>
        <v>31.154400635104405</v>
      </c>
      <c r="AM1453" s="56">
        <v>25</v>
      </c>
      <c r="AN1453" s="57">
        <f t="shared" si="243"/>
        <v>-6.1544006351044054</v>
      </c>
      <c r="AO1453" s="76">
        <f t="shared" si="246"/>
        <v>6.3498214902462173</v>
      </c>
      <c r="AP1453" s="63" t="str">
        <f t="shared" si="247"/>
        <v>Buy Stocks</v>
      </c>
      <c r="AQ1453" s="63" t="str">
        <f t="shared" si="248"/>
        <v/>
      </c>
      <c r="AR1453" s="63" t="str">
        <f t="shared" si="249"/>
        <v/>
      </c>
      <c r="AS1453" s="63" t="str">
        <f t="shared" si="250"/>
        <v/>
      </c>
      <c r="AT1453" s="78" t="str">
        <f t="shared" si="251"/>
        <v/>
      </c>
      <c r="AU1453" s="78" t="str">
        <f t="shared" si="252"/>
        <v/>
      </c>
      <c r="AV1453" s="64" t="str">
        <f ca="1">IFERROR(__xludf.DUMMYFUNCTION("IF(TRIM(AU1453)="""","""",AU1453/INDEX(FILTER(AT$3:AT1453,TRIM(AT$3:AT1453)&lt;&gt;""""),ROWS(FILTER(AT$3:AT1453,TRIM(AT$3:AT1453)&lt;&gt;"""")))-1)"),"")</f>
        <v/>
      </c>
      <c r="AW1453" s="65" t="e">
        <f t="shared" ca="1" si="244"/>
        <v>#VALUE!</v>
      </c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</row>
    <row r="1454" spans="1:68" ht="19" x14ac:dyDescent="0.25">
      <c r="A1454" s="5"/>
      <c r="B1454" s="5"/>
      <c r="C1454" s="5"/>
      <c r="D1454" s="5"/>
      <c r="E1454" s="5"/>
      <c r="F1454" s="5"/>
      <c r="G1454" s="5"/>
      <c r="H1454" s="6"/>
      <c r="I1454" s="5"/>
      <c r="J1454" s="88"/>
      <c r="K1454" s="88"/>
      <c r="L1454" s="88"/>
      <c r="M1454" s="88"/>
      <c r="N1454" s="88"/>
      <c r="O1454" s="88"/>
      <c r="P1454" s="88"/>
      <c r="Q1454" s="89"/>
      <c r="R1454" s="88"/>
      <c r="S1454" s="88"/>
      <c r="T1454" s="90"/>
      <c r="U1454" s="6"/>
      <c r="V1454" s="44">
        <v>46029</v>
      </c>
      <c r="W1454" s="45">
        <v>296.73</v>
      </c>
      <c r="X1454" s="91"/>
      <c r="Y1454" s="77"/>
      <c r="Z1454" s="5"/>
      <c r="AA1454" s="5"/>
      <c r="AB1454" s="5"/>
      <c r="AC1454" s="5"/>
      <c r="AD1454" s="5"/>
      <c r="AE1454" s="5"/>
      <c r="AF1454" s="5"/>
      <c r="AG1454" s="5"/>
      <c r="AH1454" s="6"/>
      <c r="AI1454" s="44">
        <v>46029</v>
      </c>
      <c r="AJ1454" s="53">
        <v>296.73</v>
      </c>
      <c r="AK1454" s="54">
        <f t="shared" si="242"/>
        <v>-1.8977088636889627E-2</v>
      </c>
      <c r="AL1454" s="55">
        <f t="shared" si="245"/>
        <v>32.89885849341502</v>
      </c>
      <c r="AM1454" s="56">
        <v>25</v>
      </c>
      <c r="AN1454" s="57">
        <f t="shared" si="243"/>
        <v>-7.8988584934150197</v>
      </c>
      <c r="AO1454" s="76">
        <f t="shared" si="246"/>
        <v>1.7367083353377488</v>
      </c>
      <c r="AP1454" s="63" t="str">
        <f t="shared" si="247"/>
        <v>Buy Stocks</v>
      </c>
      <c r="AQ1454" s="63" t="str">
        <f t="shared" si="248"/>
        <v/>
      </c>
      <c r="AR1454" s="63" t="str">
        <f t="shared" si="249"/>
        <v/>
      </c>
      <c r="AS1454" s="63" t="str">
        <f t="shared" si="250"/>
        <v/>
      </c>
      <c r="AT1454" s="78" t="str">
        <f t="shared" si="251"/>
        <v/>
      </c>
      <c r="AU1454" s="78" t="str">
        <f t="shared" si="252"/>
        <v/>
      </c>
      <c r="AV1454" s="64" t="str">
        <f ca="1">IFERROR(__xludf.DUMMYFUNCTION("IF(TRIM(AU1454)="""","""",AU1454/INDEX(FILTER(AT$3:AT1454,TRIM(AT$3:AT1454)&lt;&gt;""""),ROWS(FILTER(AT$3:AT1454,TRIM(AT$3:AT1454)&lt;&gt;"""")))-1)"),"")</f>
        <v/>
      </c>
      <c r="AW1454" s="65" t="e">
        <f t="shared" ca="1" si="244"/>
        <v>#VALUE!</v>
      </c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</row>
    <row r="1455" spans="1:68" ht="19" x14ac:dyDescent="0.25">
      <c r="A1455" s="5"/>
      <c r="B1455" s="5"/>
      <c r="C1455" s="5"/>
      <c r="D1455" s="5"/>
      <c r="E1455" s="5"/>
      <c r="F1455" s="5"/>
      <c r="G1455" s="5"/>
      <c r="H1455" s="6"/>
      <c r="I1455" s="5"/>
      <c r="J1455" s="88"/>
      <c r="K1455" s="88"/>
      <c r="L1455" s="88"/>
      <c r="M1455" s="88"/>
      <c r="N1455" s="88"/>
      <c r="O1455" s="88"/>
      <c r="P1455" s="88"/>
      <c r="Q1455" s="89"/>
      <c r="R1455" s="88"/>
      <c r="S1455" s="88"/>
      <c r="T1455" s="90"/>
      <c r="U1455" s="6"/>
      <c r="V1455" s="44">
        <v>46030</v>
      </c>
      <c r="W1455" s="45">
        <v>302.72000000000003</v>
      </c>
      <c r="X1455" s="91"/>
      <c r="Y1455" s="77"/>
      <c r="Z1455" s="5"/>
      <c r="AA1455" s="5"/>
      <c r="AB1455" s="5"/>
      <c r="AC1455" s="5"/>
      <c r="AD1455" s="5"/>
      <c r="AE1455" s="5"/>
      <c r="AF1455" s="5"/>
      <c r="AG1455" s="5"/>
      <c r="AH1455" s="6"/>
      <c r="AI1455" s="44">
        <v>46030</v>
      </c>
      <c r="AJ1455" s="53">
        <v>302.72000000000003</v>
      </c>
      <c r="AK1455" s="54">
        <f t="shared" si="242"/>
        <v>2.0186701715364075E-2</v>
      </c>
      <c r="AL1455" s="55">
        <f t="shared" si="245"/>
        <v>32.78544619666868</v>
      </c>
      <c r="AM1455" s="56">
        <v>25</v>
      </c>
      <c r="AN1455" s="57">
        <f t="shared" si="243"/>
        <v>-7.7854461966686799</v>
      </c>
      <c r="AO1455" s="76">
        <f t="shared" si="246"/>
        <v>-1.7444812356468802</v>
      </c>
      <c r="AP1455" s="63" t="str">
        <f t="shared" si="247"/>
        <v/>
      </c>
      <c r="AQ1455" s="63" t="str">
        <f t="shared" si="248"/>
        <v>Sell Stocks</v>
      </c>
      <c r="AR1455" s="63" t="str">
        <f t="shared" si="249"/>
        <v/>
      </c>
      <c r="AS1455" s="63" t="str">
        <f t="shared" si="250"/>
        <v>Sell Stocks</v>
      </c>
      <c r="AT1455" s="78" t="str">
        <f t="shared" si="251"/>
        <v/>
      </c>
      <c r="AU1455" s="77">
        <f t="shared" si="252"/>
        <v>302.72000000000003</v>
      </c>
      <c r="AV1455" s="64">
        <f ca="1">IFERROR(__xludf.DUMMYFUNCTION("IF(TRIM(AU1455)="""","""",AU1455/INDEX(FILTER(AT$3:AT1455,TRIM(AT$3:AT1455)&lt;&gt;""""),ROWS(FILTER(AT$3:AT1455,TRIM(AT$3:AT1455)&lt;&gt;"""")))-1)"),-0.00965093074230372)</f>
        <v>-9.6509307423037205E-3</v>
      </c>
      <c r="AW1455" s="65" t="e">
        <f t="shared" ca="1" si="244"/>
        <v>#VALUE!</v>
      </c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</row>
    <row r="1456" spans="1:68" ht="19" x14ac:dyDescent="0.25">
      <c r="A1456" s="5"/>
      <c r="B1456" s="5"/>
      <c r="C1456" s="5"/>
      <c r="D1456" s="5"/>
      <c r="E1456" s="5"/>
      <c r="F1456" s="5"/>
      <c r="G1456" s="5"/>
      <c r="H1456" s="6"/>
      <c r="I1456" s="5"/>
      <c r="J1456" s="88"/>
      <c r="K1456" s="88"/>
      <c r="L1456" s="88"/>
      <c r="M1456" s="88"/>
      <c r="N1456" s="88"/>
      <c r="O1456" s="88"/>
      <c r="P1456" s="88"/>
      <c r="Q1456" s="89"/>
      <c r="R1456" s="88"/>
      <c r="S1456" s="88"/>
      <c r="T1456" s="90"/>
      <c r="U1456" s="6"/>
      <c r="V1456" s="44">
        <v>46031</v>
      </c>
      <c r="W1456" s="45">
        <v>304.22000000000003</v>
      </c>
      <c r="X1456" s="91"/>
      <c r="Y1456" s="77"/>
      <c r="Z1456" s="5"/>
      <c r="AA1456" s="5"/>
      <c r="AB1456" s="5"/>
      <c r="AC1456" s="5"/>
      <c r="AD1456" s="5"/>
      <c r="AE1456" s="5"/>
      <c r="AF1456" s="5"/>
      <c r="AG1456" s="5"/>
      <c r="AH1456" s="6"/>
      <c r="AI1456" s="44">
        <v>46031</v>
      </c>
      <c r="AJ1456" s="53">
        <v>304.22000000000003</v>
      </c>
      <c r="AK1456" s="54">
        <f t="shared" si="242"/>
        <v>4.9550739957717749E-3</v>
      </c>
      <c r="AL1456" s="55">
        <f t="shared" si="245"/>
        <v>27.518642303946333</v>
      </c>
      <c r="AM1456" s="56">
        <v>25</v>
      </c>
      <c r="AN1456" s="57">
        <f t="shared" si="243"/>
        <v>-2.5186423039463328</v>
      </c>
      <c r="AO1456" s="76">
        <f t="shared" si="246"/>
        <v>-4.0630288269936354</v>
      </c>
      <c r="AP1456" s="63" t="str">
        <f t="shared" si="247"/>
        <v/>
      </c>
      <c r="AQ1456" s="63" t="str">
        <f t="shared" si="248"/>
        <v>Sell Stocks</v>
      </c>
      <c r="AR1456" s="63" t="str">
        <f t="shared" si="249"/>
        <v/>
      </c>
      <c r="AS1456" s="63" t="str">
        <f t="shared" si="250"/>
        <v/>
      </c>
      <c r="AT1456" s="78" t="str">
        <f t="shared" si="251"/>
        <v/>
      </c>
      <c r="AU1456" s="78" t="str">
        <f t="shared" si="252"/>
        <v/>
      </c>
      <c r="AV1456" s="64" t="str">
        <f ca="1">IFERROR(__xludf.DUMMYFUNCTION("IF(TRIM(AU1456)="""","""",AU1456/INDEX(FILTER(AT$3:AT1456,TRIM(AT$3:AT1456)&lt;&gt;""""),ROWS(FILTER(AT$3:AT1456,TRIM(AT$3:AT1456)&lt;&gt;"""")))-1)"),"")</f>
        <v/>
      </c>
      <c r="AW1456" s="65" t="e">
        <f t="shared" ca="1" si="244"/>
        <v>#VALUE!</v>
      </c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</row>
    <row r="1457" spans="1:68" ht="19" x14ac:dyDescent="0.25">
      <c r="A1457" s="5"/>
      <c r="B1457" s="5"/>
      <c r="C1457" s="5"/>
      <c r="D1457" s="5"/>
      <c r="E1457" s="5"/>
      <c r="F1457" s="5"/>
      <c r="G1457" s="5"/>
      <c r="H1457" s="6"/>
      <c r="I1457" s="5"/>
      <c r="J1457" s="88"/>
      <c r="K1457" s="88"/>
      <c r="L1457" s="88"/>
      <c r="M1457" s="88"/>
      <c r="N1457" s="88"/>
      <c r="O1457" s="88"/>
      <c r="P1457" s="88"/>
      <c r="Q1457" s="89"/>
      <c r="R1457" s="88"/>
      <c r="S1457" s="88"/>
      <c r="T1457" s="90"/>
      <c r="U1457" s="6"/>
      <c r="V1457" s="44">
        <v>46034</v>
      </c>
      <c r="W1457" s="45">
        <v>312.18</v>
      </c>
      <c r="X1457" s="91"/>
      <c r="Y1457" s="77"/>
      <c r="Z1457" s="5"/>
      <c r="AA1457" s="5"/>
      <c r="AB1457" s="5"/>
      <c r="AC1457" s="5"/>
      <c r="AD1457" s="5"/>
      <c r="AE1457" s="5"/>
      <c r="AF1457" s="5"/>
      <c r="AG1457" s="5"/>
      <c r="AH1457" s="6"/>
      <c r="AI1457" s="44">
        <v>46034</v>
      </c>
      <c r="AJ1457" s="53">
        <v>312.18</v>
      </c>
      <c r="AK1457" s="54">
        <f t="shared" si="242"/>
        <v>2.6165275129840238E-2</v>
      </c>
      <c r="AL1457" s="55">
        <f t="shared" si="245"/>
        <v>30.28816134232828</v>
      </c>
      <c r="AM1457" s="56">
        <v>25</v>
      </c>
      <c r="AN1457" s="57">
        <f t="shared" si="243"/>
        <v>-5.2881613423282801</v>
      </c>
      <c r="AO1457" s="76">
        <f t="shared" si="246"/>
        <v>-5.9291017942925439</v>
      </c>
      <c r="AP1457" s="63" t="str">
        <f t="shared" si="247"/>
        <v/>
      </c>
      <c r="AQ1457" s="63" t="str">
        <f t="shared" si="248"/>
        <v>Sell Stocks</v>
      </c>
      <c r="AR1457" s="63" t="str">
        <f t="shared" si="249"/>
        <v/>
      </c>
      <c r="AS1457" s="63" t="str">
        <f t="shared" si="250"/>
        <v/>
      </c>
      <c r="AT1457" s="78" t="str">
        <f t="shared" si="251"/>
        <v/>
      </c>
      <c r="AU1457" s="78" t="str">
        <f t="shared" si="252"/>
        <v/>
      </c>
      <c r="AV1457" s="64" t="str">
        <f ca="1">IFERROR(__xludf.DUMMYFUNCTION("IF(TRIM(AU1457)="""","""",AU1457/INDEX(FILTER(AT$3:AT1457,TRIM(AT$3:AT1457)&lt;&gt;""""),ROWS(FILTER(AT$3:AT1457,TRIM(AT$3:AT1457)&lt;&gt;"""")))-1)"),"")</f>
        <v/>
      </c>
      <c r="AW1457" s="65" t="e">
        <f t="shared" ca="1" si="244"/>
        <v>#VALUE!</v>
      </c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</row>
    <row r="1458" spans="1:68" ht="19" x14ac:dyDescent="0.25">
      <c r="A1458" s="5"/>
      <c r="B1458" s="5"/>
      <c r="C1458" s="5"/>
      <c r="D1458" s="5"/>
      <c r="E1458" s="5"/>
      <c r="F1458" s="5"/>
      <c r="G1458" s="5"/>
      <c r="H1458" s="6"/>
      <c r="I1458" s="5"/>
      <c r="J1458" s="88"/>
      <c r="K1458" s="88"/>
      <c r="L1458" s="88"/>
      <c r="M1458" s="88"/>
      <c r="N1458" s="88"/>
      <c r="O1458" s="88"/>
      <c r="P1458" s="88"/>
      <c r="Q1458" s="89"/>
      <c r="R1458" s="88"/>
      <c r="S1458" s="88"/>
      <c r="T1458" s="90"/>
      <c r="U1458" s="6"/>
      <c r="V1458" s="44">
        <v>46035</v>
      </c>
      <c r="W1458" s="45">
        <v>303.16000000000003</v>
      </c>
      <c r="X1458" s="91"/>
      <c r="Y1458" s="77"/>
      <c r="Z1458" s="5"/>
      <c r="AA1458" s="5"/>
      <c r="AB1458" s="5"/>
      <c r="AC1458" s="5"/>
      <c r="AD1458" s="5"/>
      <c r="AE1458" s="5"/>
      <c r="AF1458" s="5"/>
      <c r="AG1458" s="5"/>
      <c r="AH1458" s="6"/>
      <c r="AI1458" s="44">
        <v>46035</v>
      </c>
      <c r="AJ1458" s="53">
        <v>303.16000000000003</v>
      </c>
      <c r="AK1458" s="54">
        <f t="shared" si="242"/>
        <v>-2.8893587033121837E-2</v>
      </c>
      <c r="AL1458" s="55">
        <f t="shared" si="245"/>
        <v>38.142488740204058</v>
      </c>
      <c r="AM1458" s="56">
        <v>25</v>
      </c>
      <c r="AN1458" s="57">
        <f t="shared" si="243"/>
        <v>-13.142488740204058</v>
      </c>
      <c r="AO1458" s="76">
        <f t="shared" si="246"/>
        <v>-7.3267194153124731</v>
      </c>
      <c r="AP1458" s="63" t="str">
        <f t="shared" si="247"/>
        <v/>
      </c>
      <c r="AQ1458" s="63" t="str">
        <f t="shared" si="248"/>
        <v>Sell Stocks</v>
      </c>
      <c r="AR1458" s="63" t="str">
        <f t="shared" si="249"/>
        <v/>
      </c>
      <c r="AS1458" s="63" t="str">
        <f t="shared" si="250"/>
        <v/>
      </c>
      <c r="AT1458" s="78" t="str">
        <f t="shared" si="251"/>
        <v/>
      </c>
      <c r="AU1458" s="78" t="str">
        <f t="shared" si="252"/>
        <v/>
      </c>
      <c r="AV1458" s="64" t="str">
        <f ca="1">IFERROR(__xludf.DUMMYFUNCTION("IF(TRIM(AU1458)="""","""",AU1458/INDEX(FILTER(AT$3:AT1458,TRIM(AT$3:AT1458)&lt;&gt;""""),ROWS(FILTER(AT$3:AT1458,TRIM(AT$3:AT1458)&lt;&gt;"""")))-1)"),"")</f>
        <v/>
      </c>
      <c r="AW1458" s="65" t="e">
        <f t="shared" ca="1" si="244"/>
        <v>#VALUE!</v>
      </c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</row>
    <row r="1459" spans="1:68" ht="19" x14ac:dyDescent="0.25">
      <c r="A1459" s="5"/>
      <c r="B1459" s="5"/>
      <c r="C1459" s="5"/>
      <c r="D1459" s="5"/>
      <c r="E1459" s="5"/>
      <c r="F1459" s="5"/>
      <c r="G1459" s="5"/>
      <c r="H1459" s="6"/>
      <c r="I1459" s="5"/>
      <c r="J1459" s="88"/>
      <c r="K1459" s="88"/>
      <c r="L1459" s="88"/>
      <c r="M1459" s="88"/>
      <c r="N1459" s="88"/>
      <c r="O1459" s="88"/>
      <c r="P1459" s="88"/>
      <c r="Q1459" s="89"/>
      <c r="R1459" s="88"/>
      <c r="S1459" s="88"/>
      <c r="T1459" s="90"/>
      <c r="U1459" s="6"/>
      <c r="V1459" s="44">
        <v>46036</v>
      </c>
      <c r="W1459" s="45">
        <v>309.02999999999997</v>
      </c>
      <c r="X1459" s="91"/>
      <c r="Y1459" s="77"/>
      <c r="Z1459" s="5"/>
      <c r="AA1459" s="5"/>
      <c r="AB1459" s="5"/>
      <c r="AC1459" s="5"/>
      <c r="AD1459" s="5"/>
      <c r="AE1459" s="5"/>
      <c r="AF1459" s="5"/>
      <c r="AG1459" s="5"/>
      <c r="AH1459" s="6"/>
      <c r="AI1459" s="44">
        <v>46036</v>
      </c>
      <c r="AJ1459" s="53">
        <v>309.02999999999997</v>
      </c>
      <c r="AK1459" s="54">
        <f t="shared" si="242"/>
        <v>1.9362712758939082E-2</v>
      </c>
      <c r="AL1459" s="55">
        <f t="shared" si="245"/>
        <v>35.295189037368964</v>
      </c>
      <c r="AM1459" s="56">
        <v>25</v>
      </c>
      <c r="AN1459" s="57">
        <f t="shared" si="243"/>
        <v>-10.295189037368964</v>
      </c>
      <c r="AO1459" s="76">
        <f t="shared" si="246"/>
        <v>-7.8059855241032636</v>
      </c>
      <c r="AP1459" s="63" t="str">
        <f t="shared" si="247"/>
        <v/>
      </c>
      <c r="AQ1459" s="63" t="str">
        <f t="shared" si="248"/>
        <v>Sell Stocks</v>
      </c>
      <c r="AR1459" s="63" t="str">
        <f t="shared" si="249"/>
        <v/>
      </c>
      <c r="AS1459" s="63" t="str">
        <f t="shared" si="250"/>
        <v/>
      </c>
      <c r="AT1459" s="78" t="str">
        <f t="shared" si="251"/>
        <v/>
      </c>
      <c r="AU1459" s="78" t="str">
        <f t="shared" si="252"/>
        <v/>
      </c>
      <c r="AV1459" s="64" t="str">
        <f ca="1">IFERROR(__xludf.DUMMYFUNCTION("IF(TRIM(AU1459)="""","""",AU1459/INDEX(FILTER(AT$3:AT1459,TRIM(AT$3:AT1459)&lt;&gt;""""),ROWS(FILTER(AT$3:AT1459,TRIM(AT$3:AT1459)&lt;&gt;"""")))-1)"),"")</f>
        <v/>
      </c>
      <c r="AW1459" s="65" t="e">
        <f t="shared" ca="1" si="244"/>
        <v>#VALUE!</v>
      </c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</row>
    <row r="1460" spans="1:68" ht="19" x14ac:dyDescent="0.25">
      <c r="A1460" s="5"/>
      <c r="B1460" s="5"/>
      <c r="C1460" s="5"/>
      <c r="D1460" s="5"/>
      <c r="E1460" s="5"/>
      <c r="F1460" s="5"/>
      <c r="G1460" s="5"/>
      <c r="H1460" s="6"/>
      <c r="I1460" s="5"/>
      <c r="J1460" s="88"/>
      <c r="K1460" s="88"/>
      <c r="L1460" s="88"/>
      <c r="M1460" s="88"/>
      <c r="N1460" s="88"/>
      <c r="O1460" s="88"/>
      <c r="P1460" s="88"/>
      <c r="Q1460" s="89"/>
      <c r="R1460" s="88"/>
      <c r="S1460" s="88"/>
      <c r="T1460" s="90"/>
      <c r="U1460" s="6"/>
      <c r="V1460" s="44">
        <v>46037</v>
      </c>
      <c r="W1460" s="45">
        <v>297.95</v>
      </c>
      <c r="X1460" s="91"/>
      <c r="Y1460" s="77"/>
      <c r="Z1460" s="5"/>
      <c r="AA1460" s="5"/>
      <c r="AB1460" s="5"/>
      <c r="AC1460" s="5"/>
      <c r="AD1460" s="5"/>
      <c r="AE1460" s="5"/>
      <c r="AF1460" s="5"/>
      <c r="AG1460" s="5"/>
      <c r="AH1460" s="6"/>
      <c r="AI1460" s="44">
        <v>46037</v>
      </c>
      <c r="AJ1460" s="53">
        <v>297.95</v>
      </c>
      <c r="AK1460" s="54">
        <f t="shared" si="242"/>
        <v>-3.5854124195061954E-2</v>
      </c>
      <c r="AL1460" s="55">
        <f t="shared" si="245"/>
        <v>44.644852588020065</v>
      </c>
      <c r="AM1460" s="56">
        <v>25</v>
      </c>
      <c r="AN1460" s="57">
        <f t="shared" si="243"/>
        <v>-19.644852588020065</v>
      </c>
      <c r="AO1460" s="76">
        <f t="shared" si="246"/>
        <v>-10.17786680237354</v>
      </c>
      <c r="AP1460" s="63" t="str">
        <f t="shared" si="247"/>
        <v/>
      </c>
      <c r="AQ1460" s="63" t="str">
        <f t="shared" si="248"/>
        <v>Sell Stocks</v>
      </c>
      <c r="AR1460" s="63" t="str">
        <f t="shared" si="249"/>
        <v/>
      </c>
      <c r="AS1460" s="63" t="str">
        <f t="shared" si="250"/>
        <v/>
      </c>
      <c r="AT1460" s="78" t="str">
        <f t="shared" si="251"/>
        <v/>
      </c>
      <c r="AU1460" s="78" t="str">
        <f t="shared" si="252"/>
        <v/>
      </c>
      <c r="AV1460" s="64" t="str">
        <f ca="1">IFERROR(__xludf.DUMMYFUNCTION("IF(TRIM(AU1460)="""","""",AU1460/INDEX(FILTER(AT$3:AT1460,TRIM(AT$3:AT1460)&lt;&gt;""""),ROWS(FILTER(AT$3:AT1460,TRIM(AT$3:AT1460)&lt;&gt;"""")))-1)"),"")</f>
        <v/>
      </c>
      <c r="AW1460" s="65" t="e">
        <f t="shared" ca="1" si="244"/>
        <v>#VALUE!</v>
      </c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</row>
    <row r="1461" spans="1:68" ht="19" x14ac:dyDescent="0.25">
      <c r="A1461" s="5"/>
      <c r="B1461" s="5"/>
      <c r="C1461" s="5"/>
      <c r="D1461" s="5"/>
      <c r="E1461" s="5"/>
      <c r="F1461" s="5"/>
      <c r="G1461" s="5"/>
      <c r="H1461" s="6"/>
      <c r="I1461" s="5"/>
      <c r="J1461" s="88"/>
      <c r="K1461" s="88"/>
      <c r="L1461" s="88"/>
      <c r="M1461" s="88"/>
      <c r="N1461" s="88"/>
      <c r="O1461" s="88"/>
      <c r="P1461" s="88"/>
      <c r="Q1461" s="89"/>
      <c r="R1461" s="88"/>
      <c r="S1461" s="88"/>
      <c r="T1461" s="90"/>
      <c r="U1461" s="6"/>
      <c r="V1461" s="44">
        <v>46038</v>
      </c>
      <c r="W1461" s="45">
        <v>305.67</v>
      </c>
      <c r="X1461" s="91"/>
      <c r="Y1461" s="77"/>
      <c r="Z1461" s="5"/>
      <c r="AA1461" s="5"/>
      <c r="AB1461" s="5"/>
      <c r="AC1461" s="5"/>
      <c r="AD1461" s="5"/>
      <c r="AE1461" s="5"/>
      <c r="AF1461" s="5"/>
      <c r="AG1461" s="5"/>
      <c r="AH1461" s="6"/>
      <c r="AI1461" s="44">
        <v>46038</v>
      </c>
      <c r="AJ1461" s="53">
        <v>305.67</v>
      </c>
      <c r="AK1461" s="54">
        <f t="shared" si="242"/>
        <v>2.5910387648934385E-2</v>
      </c>
      <c r="AL1461" s="55">
        <f t="shared" si="245"/>
        <v>49.200021368088905</v>
      </c>
      <c r="AM1461" s="56">
        <v>25</v>
      </c>
      <c r="AN1461" s="57">
        <f t="shared" si="243"/>
        <v>-24.200021368088905</v>
      </c>
      <c r="AO1461" s="76">
        <f t="shared" si="246"/>
        <v>-14.514142615202053</v>
      </c>
      <c r="AP1461" s="63" t="str">
        <f t="shared" si="247"/>
        <v/>
      </c>
      <c r="AQ1461" s="63" t="str">
        <f t="shared" si="248"/>
        <v>Sell Stocks</v>
      </c>
      <c r="AR1461" s="63" t="str">
        <f t="shared" si="249"/>
        <v/>
      </c>
      <c r="AS1461" s="63" t="str">
        <f t="shared" si="250"/>
        <v/>
      </c>
      <c r="AT1461" s="78" t="str">
        <f t="shared" si="251"/>
        <v/>
      </c>
      <c r="AU1461" s="78" t="str">
        <f t="shared" si="252"/>
        <v/>
      </c>
      <c r="AV1461" s="64" t="str">
        <f ca="1">IFERROR(__xludf.DUMMYFUNCTION("IF(TRIM(AU1461)="""","""",AU1461/INDEX(FILTER(AT$3:AT1461,TRIM(AT$3:AT1461)&lt;&gt;""""),ROWS(FILTER(AT$3:AT1461,TRIM(AT$3:AT1461)&lt;&gt;"""")))-1)"),"")</f>
        <v/>
      </c>
      <c r="AW1461" s="65" t="e">
        <f t="shared" ca="1" si="244"/>
        <v>#VALUE!</v>
      </c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</row>
    <row r="1462" spans="1:68" ht="19" x14ac:dyDescent="0.25">
      <c r="A1462" s="5"/>
      <c r="B1462" s="5"/>
      <c r="C1462" s="5"/>
      <c r="D1462" s="5"/>
      <c r="E1462" s="5"/>
      <c r="F1462" s="5"/>
      <c r="G1462" s="5"/>
      <c r="H1462" s="6"/>
      <c r="I1462" s="5"/>
      <c r="J1462" s="88"/>
      <c r="K1462" s="88"/>
      <c r="L1462" s="88"/>
      <c r="M1462" s="88"/>
      <c r="N1462" s="88"/>
      <c r="O1462" s="88"/>
      <c r="P1462" s="88"/>
      <c r="Q1462" s="89"/>
      <c r="R1462" s="88"/>
      <c r="S1462" s="88"/>
      <c r="T1462" s="90"/>
      <c r="U1462" s="6"/>
      <c r="V1462" s="44">
        <v>46042</v>
      </c>
      <c r="W1462" s="45">
        <v>291.35000000000002</v>
      </c>
      <c r="X1462" s="91"/>
      <c r="Y1462" s="77"/>
      <c r="Z1462" s="5"/>
      <c r="AA1462" s="5"/>
      <c r="AB1462" s="5"/>
      <c r="AC1462" s="5"/>
      <c r="AD1462" s="5"/>
      <c r="AE1462" s="5"/>
      <c r="AF1462" s="5"/>
      <c r="AG1462" s="5"/>
      <c r="AH1462" s="6"/>
      <c r="AI1462" s="44">
        <v>46042</v>
      </c>
      <c r="AJ1462" s="53">
        <v>291.35000000000002</v>
      </c>
      <c r="AK1462" s="54">
        <f t="shared" si="242"/>
        <v>-4.6847907874505212E-2</v>
      </c>
      <c r="AL1462" s="55">
        <f t="shared" si="245"/>
        <v>53.1358194557098</v>
      </c>
      <c r="AM1462" s="56">
        <v>25</v>
      </c>
      <c r="AN1462" s="57">
        <f t="shared" si="243"/>
        <v>-28.1358194557098</v>
      </c>
      <c r="AO1462" s="76">
        <f t="shared" si="246"/>
        <v>-19.083674237878359</v>
      </c>
      <c r="AP1462" s="63" t="str">
        <f t="shared" si="247"/>
        <v/>
      </c>
      <c r="AQ1462" s="63" t="str">
        <f t="shared" si="248"/>
        <v>Sell Stocks</v>
      </c>
      <c r="AR1462" s="63" t="str">
        <f t="shared" si="249"/>
        <v/>
      </c>
      <c r="AS1462" s="63" t="str">
        <f t="shared" si="250"/>
        <v/>
      </c>
      <c r="AT1462" s="78" t="str">
        <f t="shared" si="251"/>
        <v/>
      </c>
      <c r="AU1462" s="78" t="str">
        <f t="shared" si="252"/>
        <v/>
      </c>
      <c r="AV1462" s="64" t="str">
        <f ca="1">IFERROR(__xludf.DUMMYFUNCTION("IF(TRIM(AU1462)="""","""",AU1462/INDEX(FILTER(AT$3:AT1462,TRIM(AT$3:AT1462)&lt;&gt;""""),ROWS(FILTER(AT$3:AT1462,TRIM(AT$3:AT1462)&lt;&gt;"""")))-1)"),"")</f>
        <v/>
      </c>
      <c r="AW1462" s="65" t="e">
        <f t="shared" ca="1" si="244"/>
        <v>#VALUE!</v>
      </c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</row>
    <row r="1463" spans="1:68" ht="19" x14ac:dyDescent="0.25">
      <c r="A1463" s="5"/>
      <c r="B1463" s="5"/>
      <c r="C1463" s="5"/>
      <c r="D1463" s="5"/>
      <c r="E1463" s="5"/>
      <c r="F1463" s="5"/>
      <c r="G1463" s="5"/>
      <c r="H1463" s="6"/>
      <c r="I1463" s="5"/>
      <c r="J1463" s="88"/>
      <c r="K1463" s="88"/>
      <c r="L1463" s="88"/>
      <c r="M1463" s="88"/>
      <c r="N1463" s="88"/>
      <c r="O1463" s="88"/>
      <c r="P1463" s="88"/>
      <c r="Q1463" s="89"/>
      <c r="R1463" s="88"/>
      <c r="S1463" s="88"/>
      <c r="T1463" s="90"/>
      <c r="U1463" s="6"/>
      <c r="V1463" s="44">
        <v>46043</v>
      </c>
      <c r="W1463" s="45">
        <v>297.54000000000002</v>
      </c>
      <c r="X1463" s="91"/>
      <c r="Y1463" s="77"/>
      <c r="Z1463" s="5"/>
      <c r="AA1463" s="5"/>
      <c r="AB1463" s="5"/>
      <c r="AC1463" s="5"/>
      <c r="AD1463" s="5"/>
      <c r="AE1463" s="5"/>
      <c r="AF1463" s="5"/>
      <c r="AG1463" s="5"/>
      <c r="AH1463" s="6"/>
      <c r="AI1463" s="44">
        <v>46043</v>
      </c>
      <c r="AJ1463" s="53">
        <v>297.54000000000002</v>
      </c>
      <c r="AK1463" s="54">
        <f t="shared" si="242"/>
        <v>2.1245924146215955E-2</v>
      </c>
      <c r="AL1463" s="55">
        <f t="shared" si="245"/>
        <v>55.705268068227845</v>
      </c>
      <c r="AM1463" s="56">
        <v>25</v>
      </c>
      <c r="AN1463" s="57">
        <f t="shared" si="243"/>
        <v>-30.705268068227845</v>
      </c>
      <c r="AO1463" s="76">
        <f t="shared" si="246"/>
        <v>-22.596230103483116</v>
      </c>
      <c r="AP1463" s="63" t="str">
        <f t="shared" si="247"/>
        <v/>
      </c>
      <c r="AQ1463" s="63" t="str">
        <f t="shared" si="248"/>
        <v>Sell Stocks</v>
      </c>
      <c r="AR1463" s="63" t="str">
        <f t="shared" si="249"/>
        <v/>
      </c>
      <c r="AS1463" s="63" t="str">
        <f t="shared" si="250"/>
        <v/>
      </c>
      <c r="AT1463" s="78" t="str">
        <f t="shared" si="251"/>
        <v/>
      </c>
      <c r="AU1463" s="78" t="str">
        <f t="shared" si="252"/>
        <v/>
      </c>
      <c r="AV1463" s="64" t="str">
        <f ca="1">IFERROR(__xludf.DUMMYFUNCTION("IF(TRIM(AU1463)="""","""",AU1463/INDEX(FILTER(AT$3:AT1463,TRIM(AT$3:AT1463)&lt;&gt;""""),ROWS(FILTER(AT$3:AT1463,TRIM(AT$3:AT1463)&lt;&gt;"""")))-1)"),"")</f>
        <v/>
      </c>
      <c r="AW1463" s="65" t="e">
        <f t="shared" ca="1" si="244"/>
        <v>#VALUE!</v>
      </c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</row>
    <row r="1464" spans="1:68" ht="19" x14ac:dyDescent="0.25">
      <c r="A1464" s="5"/>
      <c r="B1464" s="5"/>
      <c r="C1464" s="5"/>
      <c r="D1464" s="5"/>
      <c r="E1464" s="5"/>
      <c r="F1464" s="5"/>
      <c r="G1464" s="5"/>
      <c r="H1464" s="6"/>
      <c r="I1464" s="5"/>
      <c r="J1464" s="88"/>
      <c r="K1464" s="88"/>
      <c r="L1464" s="88"/>
      <c r="M1464" s="88"/>
      <c r="N1464" s="88"/>
      <c r="O1464" s="88"/>
      <c r="P1464" s="88"/>
      <c r="Q1464" s="89"/>
      <c r="R1464" s="88"/>
      <c r="S1464" s="88"/>
      <c r="T1464" s="90"/>
      <c r="U1464" s="6"/>
      <c r="V1464" s="44">
        <v>46044</v>
      </c>
      <c r="W1464" s="45">
        <v>294.67</v>
      </c>
      <c r="X1464" s="91"/>
      <c r="Y1464" s="77"/>
      <c r="Z1464" s="5"/>
      <c r="AA1464" s="5"/>
      <c r="AB1464" s="5"/>
      <c r="AC1464" s="5"/>
      <c r="AD1464" s="5"/>
      <c r="AE1464" s="5"/>
      <c r="AF1464" s="5"/>
      <c r="AG1464" s="5"/>
      <c r="AH1464" s="6"/>
      <c r="AI1464" s="44">
        <v>46044</v>
      </c>
      <c r="AJ1464" s="53">
        <v>294.67</v>
      </c>
      <c r="AK1464" s="54">
        <f t="shared" si="242"/>
        <v>-9.6457619143645035E-3</v>
      </c>
      <c r="AL1464" s="55">
        <f t="shared" si="245"/>
        <v>51.972765924001884</v>
      </c>
      <c r="AM1464" s="56">
        <v>25</v>
      </c>
      <c r="AN1464" s="57">
        <f t="shared" si="243"/>
        <v>-26.972765924001884</v>
      </c>
      <c r="AO1464" s="76">
        <f t="shared" si="246"/>
        <v>-25.931745480809703</v>
      </c>
      <c r="AP1464" s="63" t="str">
        <f t="shared" si="247"/>
        <v/>
      </c>
      <c r="AQ1464" s="63" t="str">
        <f t="shared" si="248"/>
        <v>Sell Stocks</v>
      </c>
      <c r="AR1464" s="63" t="str">
        <f t="shared" si="249"/>
        <v/>
      </c>
      <c r="AS1464" s="63" t="str">
        <f t="shared" si="250"/>
        <v/>
      </c>
      <c r="AT1464" s="78" t="str">
        <f t="shared" si="251"/>
        <v/>
      </c>
      <c r="AU1464" s="78" t="str">
        <f t="shared" si="252"/>
        <v/>
      </c>
      <c r="AV1464" s="64" t="str">
        <f ca="1">IFERROR(__xludf.DUMMYFUNCTION("IF(TRIM(AU1464)="""","""",AU1464/INDEX(FILTER(AT$3:AT1464,TRIM(AT$3:AT1464)&lt;&gt;""""),ROWS(FILTER(AT$3:AT1464,TRIM(AT$3:AT1464)&lt;&gt;"""")))-1)"),"")</f>
        <v/>
      </c>
      <c r="AW1464" s="65" t="e">
        <f t="shared" ca="1" si="244"/>
        <v>#VALUE!</v>
      </c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</row>
    <row r="1465" spans="1:68" ht="19" x14ac:dyDescent="0.25">
      <c r="A1465" s="5"/>
      <c r="B1465" s="5"/>
      <c r="C1465" s="5"/>
      <c r="D1465" s="5"/>
      <c r="E1465" s="5"/>
      <c r="F1465" s="5"/>
      <c r="G1465" s="5"/>
      <c r="H1465" s="6"/>
      <c r="I1465" s="5"/>
      <c r="J1465" s="88"/>
      <c r="K1465" s="88"/>
      <c r="L1465" s="88"/>
      <c r="M1465" s="88"/>
      <c r="N1465" s="88"/>
      <c r="O1465" s="88"/>
      <c r="P1465" s="88"/>
      <c r="Q1465" s="89"/>
      <c r="R1465" s="88"/>
      <c r="S1465" s="88"/>
      <c r="T1465" s="90"/>
      <c r="U1465" s="6"/>
      <c r="V1465" s="44">
        <v>46045</v>
      </c>
      <c r="W1465" s="45">
        <v>292.44</v>
      </c>
      <c r="X1465" s="91"/>
      <c r="Y1465" s="77"/>
      <c r="Z1465" s="5"/>
      <c r="AA1465" s="5"/>
      <c r="AB1465" s="5"/>
      <c r="AC1465" s="5"/>
      <c r="AD1465" s="5"/>
      <c r="AE1465" s="5"/>
      <c r="AF1465" s="5"/>
      <c r="AG1465" s="5"/>
      <c r="AH1465" s="6"/>
      <c r="AI1465" s="44">
        <v>46045</v>
      </c>
      <c r="AJ1465" s="53">
        <v>292.44</v>
      </c>
      <c r="AK1465" s="54">
        <f t="shared" si="242"/>
        <v>-7.5677876947094491E-3</v>
      </c>
      <c r="AL1465" s="55">
        <f t="shared" si="245"/>
        <v>46.353965923144429</v>
      </c>
      <c r="AM1465" s="56">
        <v>25</v>
      </c>
      <c r="AN1465" s="57">
        <f t="shared" si="243"/>
        <v>-21.353965923144429</v>
      </c>
      <c r="AO1465" s="76">
        <f t="shared" si="246"/>
        <v>-26.273568147834578</v>
      </c>
      <c r="AP1465" s="63" t="str">
        <f t="shared" si="247"/>
        <v/>
      </c>
      <c r="AQ1465" s="63" t="str">
        <f t="shared" si="248"/>
        <v>Sell Stocks</v>
      </c>
      <c r="AR1465" s="63" t="str">
        <f t="shared" si="249"/>
        <v/>
      </c>
      <c r="AS1465" s="63" t="str">
        <f t="shared" si="250"/>
        <v/>
      </c>
      <c r="AT1465" s="78" t="str">
        <f t="shared" si="251"/>
        <v/>
      </c>
      <c r="AU1465" s="78" t="str">
        <f t="shared" si="252"/>
        <v/>
      </c>
      <c r="AV1465" s="64" t="str">
        <f ca="1">IFERROR(__xludf.DUMMYFUNCTION("IF(TRIM(AU1465)="""","""",AU1465/INDEX(FILTER(AT$3:AT1465,TRIM(AT$3:AT1465)&lt;&gt;""""),ROWS(FILTER(AT$3:AT1465,TRIM(AT$3:AT1465)&lt;&gt;"""")))-1)"),"")</f>
        <v/>
      </c>
      <c r="AW1465" s="65" t="e">
        <f t="shared" ca="1" si="244"/>
        <v>#VALUE!</v>
      </c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</row>
    <row r="1466" spans="1:68" ht="19" x14ac:dyDescent="0.25">
      <c r="A1466" s="5"/>
      <c r="B1466" s="5"/>
      <c r="C1466" s="5"/>
      <c r="D1466" s="5"/>
      <c r="E1466" s="5"/>
      <c r="F1466" s="5"/>
      <c r="G1466" s="5"/>
      <c r="H1466" s="6"/>
      <c r="I1466" s="5"/>
      <c r="J1466" s="88"/>
      <c r="K1466" s="88"/>
      <c r="L1466" s="88"/>
      <c r="M1466" s="88"/>
      <c r="N1466" s="88"/>
      <c r="O1466" s="88"/>
      <c r="P1466" s="88"/>
      <c r="Q1466" s="89"/>
      <c r="R1466" s="88"/>
      <c r="S1466" s="88"/>
      <c r="T1466" s="90"/>
      <c r="U1466" s="6"/>
      <c r="V1466" s="44">
        <v>46048</v>
      </c>
      <c r="W1466" s="45">
        <v>296.33</v>
      </c>
      <c r="X1466" s="91"/>
      <c r="Y1466" s="77"/>
      <c r="Z1466" s="5"/>
      <c r="AA1466" s="5"/>
      <c r="AB1466" s="5"/>
      <c r="AC1466" s="5"/>
      <c r="AD1466" s="5"/>
      <c r="AE1466" s="5"/>
      <c r="AF1466" s="5"/>
      <c r="AG1466" s="5"/>
      <c r="AH1466" s="6"/>
      <c r="AI1466" s="44">
        <v>46048</v>
      </c>
      <c r="AJ1466" s="53">
        <v>296.33</v>
      </c>
      <c r="AK1466" s="54">
        <f t="shared" si="242"/>
        <v>1.3301873888660776E-2</v>
      </c>
      <c r="AL1466" s="55">
        <f t="shared" si="245"/>
        <v>41.993673488650408</v>
      </c>
      <c r="AM1466" s="56">
        <v>25</v>
      </c>
      <c r="AN1466" s="57">
        <f t="shared" si="243"/>
        <v>-16.993673488650408</v>
      </c>
      <c r="AO1466" s="76">
        <f t="shared" si="246"/>
        <v>-24.832298571946872</v>
      </c>
      <c r="AP1466" s="63" t="str">
        <f t="shared" si="247"/>
        <v/>
      </c>
      <c r="AQ1466" s="63" t="str">
        <f t="shared" si="248"/>
        <v>Sell Stocks</v>
      </c>
      <c r="AR1466" s="63" t="str">
        <f t="shared" si="249"/>
        <v/>
      </c>
      <c r="AS1466" s="63" t="str">
        <f t="shared" si="250"/>
        <v/>
      </c>
      <c r="AT1466" s="78" t="str">
        <f t="shared" si="251"/>
        <v/>
      </c>
      <c r="AU1466" s="78" t="str">
        <f t="shared" si="252"/>
        <v/>
      </c>
      <c r="AV1466" s="64" t="str">
        <f ca="1">IFERROR(__xludf.DUMMYFUNCTION("IF(TRIM(AU1466)="""","""",AU1466/INDEX(FILTER(AT$3:AT1466,TRIM(AT$3:AT1466)&lt;&gt;""""),ROWS(FILTER(AT$3:AT1466,TRIM(AT$3:AT1466)&lt;&gt;"""")))-1)"),"")</f>
        <v/>
      </c>
      <c r="AW1466" s="65" t="e">
        <f t="shared" ca="1" si="244"/>
        <v>#VALUE!</v>
      </c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</row>
    <row r="1467" spans="1:68" ht="19" x14ac:dyDescent="0.25">
      <c r="A1467" s="5"/>
      <c r="B1467" s="5"/>
      <c r="C1467" s="5"/>
      <c r="D1467" s="5"/>
      <c r="E1467" s="5"/>
      <c r="F1467" s="5"/>
      <c r="G1467" s="5"/>
      <c r="H1467" s="6"/>
      <c r="I1467" s="5"/>
      <c r="J1467" s="88"/>
      <c r="K1467" s="88"/>
      <c r="L1467" s="88"/>
      <c r="M1467" s="88"/>
      <c r="N1467" s="88"/>
      <c r="O1467" s="88"/>
      <c r="P1467" s="88"/>
      <c r="Q1467" s="89"/>
      <c r="R1467" s="88"/>
      <c r="S1467" s="88"/>
      <c r="T1467" s="90"/>
      <c r="U1467" s="6"/>
      <c r="V1467" s="44">
        <v>46049</v>
      </c>
      <c r="W1467" s="45">
        <v>293.86</v>
      </c>
      <c r="X1467" s="91"/>
      <c r="Y1467" s="77"/>
      <c r="Z1467" s="5"/>
      <c r="AA1467" s="5"/>
      <c r="AB1467" s="5"/>
      <c r="AC1467" s="5"/>
      <c r="AD1467" s="5"/>
      <c r="AE1467" s="5"/>
      <c r="AF1467" s="5"/>
      <c r="AG1467" s="5"/>
      <c r="AH1467" s="6"/>
      <c r="AI1467" s="44">
        <v>46049</v>
      </c>
      <c r="AJ1467" s="53">
        <v>293.86</v>
      </c>
      <c r="AK1467" s="54">
        <f t="shared" si="242"/>
        <v>-8.3353018594134465E-3</v>
      </c>
      <c r="AL1467" s="55">
        <f t="shared" si="245"/>
        <v>22.893472092225675</v>
      </c>
      <c r="AM1467" s="56">
        <v>25</v>
      </c>
      <c r="AN1467" s="57">
        <f t="shared" si="243"/>
        <v>2.1065279077743249</v>
      </c>
      <c r="AO1467" s="76">
        <f t="shared" si="246"/>
        <v>-18.783829099250049</v>
      </c>
      <c r="AP1467" s="63" t="str">
        <f t="shared" si="247"/>
        <v/>
      </c>
      <c r="AQ1467" s="63" t="str">
        <f t="shared" si="248"/>
        <v>Sell Stocks</v>
      </c>
      <c r="AR1467" s="63" t="str">
        <f t="shared" si="249"/>
        <v/>
      </c>
      <c r="AS1467" s="63" t="str">
        <f t="shared" si="250"/>
        <v/>
      </c>
      <c r="AT1467" s="78" t="str">
        <f t="shared" si="251"/>
        <v/>
      </c>
      <c r="AU1467" s="78" t="str">
        <f t="shared" si="252"/>
        <v/>
      </c>
      <c r="AV1467" s="64" t="str">
        <f ca="1">IFERROR(__xludf.DUMMYFUNCTION("IF(TRIM(AU1467)="""","""",AU1467/INDEX(FILTER(AT$3:AT1467,TRIM(AT$3:AT1467)&lt;&gt;""""),ROWS(FILTER(AT$3:AT1467,TRIM(AT$3:AT1467)&lt;&gt;"""")))-1)"),"")</f>
        <v/>
      </c>
      <c r="AW1467" s="65" t="e">
        <f t="shared" ca="1" si="244"/>
        <v>#VALUE!</v>
      </c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</row>
    <row r="1468" spans="1:68" ht="19" x14ac:dyDescent="0.25">
      <c r="A1468" s="5"/>
      <c r="B1468" s="5"/>
      <c r="C1468" s="5"/>
      <c r="D1468" s="5"/>
      <c r="E1468" s="5"/>
      <c r="F1468" s="5"/>
      <c r="G1468" s="5"/>
      <c r="H1468" s="6"/>
      <c r="I1468" s="5"/>
      <c r="J1468" s="88"/>
      <c r="K1468" s="88"/>
      <c r="L1468" s="88"/>
      <c r="M1468" s="88"/>
      <c r="N1468" s="88"/>
      <c r="O1468" s="88"/>
      <c r="P1468" s="88"/>
      <c r="Q1468" s="89"/>
      <c r="R1468" s="88"/>
      <c r="S1468" s="88"/>
      <c r="T1468" s="90"/>
      <c r="U1468" s="6"/>
      <c r="V1468" s="44">
        <v>46050</v>
      </c>
      <c r="W1468" s="45">
        <v>294.16000000000003</v>
      </c>
      <c r="X1468" s="91"/>
      <c r="Y1468" s="77"/>
      <c r="Z1468" s="5"/>
      <c r="AA1468" s="5"/>
      <c r="AB1468" s="5"/>
      <c r="AC1468" s="5"/>
      <c r="AD1468" s="5"/>
      <c r="AE1468" s="5"/>
      <c r="AF1468" s="5"/>
      <c r="AG1468" s="5"/>
      <c r="AH1468" s="6"/>
      <c r="AI1468" s="44">
        <v>46050</v>
      </c>
      <c r="AJ1468" s="53">
        <v>294.16000000000003</v>
      </c>
      <c r="AK1468" s="54">
        <f t="shared" si="242"/>
        <v>1.0208943034097917E-3</v>
      </c>
      <c r="AL1468" s="55">
        <f t="shared" si="245"/>
        <v>15.320472564832805</v>
      </c>
      <c r="AM1468" s="56">
        <v>25</v>
      </c>
      <c r="AN1468" s="57">
        <f t="shared" si="243"/>
        <v>9.6795274351671949</v>
      </c>
      <c r="AO1468" s="76">
        <f t="shared" si="246"/>
        <v>-10.70686999857104</v>
      </c>
      <c r="AP1468" s="63" t="str">
        <f t="shared" si="247"/>
        <v/>
      </c>
      <c r="AQ1468" s="63" t="str">
        <f t="shared" si="248"/>
        <v>Sell Stocks</v>
      </c>
      <c r="AR1468" s="63" t="str">
        <f t="shared" si="249"/>
        <v/>
      </c>
      <c r="AS1468" s="63" t="str">
        <f t="shared" si="250"/>
        <v/>
      </c>
      <c r="AT1468" s="78" t="str">
        <f t="shared" si="251"/>
        <v/>
      </c>
      <c r="AU1468" s="78" t="str">
        <f t="shared" si="252"/>
        <v/>
      </c>
      <c r="AV1468" s="64" t="str">
        <f ca="1">IFERROR(__xludf.DUMMYFUNCTION("IF(TRIM(AU1468)="""","""",AU1468/INDEX(FILTER(AT$3:AT1468,TRIM(AT$3:AT1468)&lt;&gt;""""),ROWS(FILTER(AT$3:AT1468,TRIM(AT$3:AT1468)&lt;&gt;"""")))-1)"),"")</f>
        <v/>
      </c>
      <c r="AW1468" s="65" t="e">
        <f t="shared" ca="1" si="244"/>
        <v>#VALUE!</v>
      </c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</row>
    <row r="1469" spans="1:68" ht="19" x14ac:dyDescent="0.25">
      <c r="A1469" s="5"/>
      <c r="B1469" s="5"/>
      <c r="C1469" s="5"/>
      <c r="D1469" s="5"/>
      <c r="E1469" s="5"/>
      <c r="F1469" s="5"/>
      <c r="G1469" s="5"/>
      <c r="H1469" s="6"/>
      <c r="I1469" s="5"/>
      <c r="J1469" s="88"/>
      <c r="K1469" s="88"/>
      <c r="L1469" s="88"/>
      <c r="M1469" s="88"/>
      <c r="N1469" s="88"/>
      <c r="O1469" s="88"/>
      <c r="P1469" s="88"/>
      <c r="Q1469" s="89"/>
      <c r="R1469" s="88"/>
      <c r="S1469" s="88"/>
      <c r="T1469" s="90"/>
      <c r="U1469" s="6"/>
      <c r="V1469" s="44">
        <v>46051</v>
      </c>
      <c r="W1469" s="45">
        <v>309.24</v>
      </c>
      <c r="X1469" s="91"/>
      <c r="Y1469" s="77"/>
      <c r="Z1469" s="5"/>
      <c r="AA1469" s="5"/>
      <c r="AB1469" s="5"/>
      <c r="AC1469" s="5"/>
      <c r="AD1469" s="5"/>
      <c r="AE1469" s="5"/>
      <c r="AF1469" s="5"/>
      <c r="AG1469" s="5"/>
      <c r="AH1469" s="6"/>
      <c r="AI1469" s="44">
        <v>46051</v>
      </c>
      <c r="AJ1469" s="53">
        <v>309.24</v>
      </c>
      <c r="AK1469" s="54">
        <f t="shared" si="242"/>
        <v>5.1264617895023123E-2</v>
      </c>
      <c r="AL1469" s="55">
        <f t="shared" si="245"/>
        <v>39.199797613783069</v>
      </c>
      <c r="AM1469" s="56">
        <v>25</v>
      </c>
      <c r="AN1469" s="57">
        <f t="shared" si="243"/>
        <v>-14.199797613783069</v>
      </c>
      <c r="AO1469" s="76">
        <f t="shared" si="246"/>
        <v>-8.1522763365272759</v>
      </c>
      <c r="AP1469" s="63" t="str">
        <f t="shared" si="247"/>
        <v/>
      </c>
      <c r="AQ1469" s="63" t="str">
        <f t="shared" si="248"/>
        <v>Sell Stocks</v>
      </c>
      <c r="AR1469" s="63" t="str">
        <f t="shared" si="249"/>
        <v/>
      </c>
      <c r="AS1469" s="63" t="str">
        <f t="shared" si="250"/>
        <v/>
      </c>
      <c r="AT1469" s="78" t="str">
        <f t="shared" si="251"/>
        <v/>
      </c>
      <c r="AU1469" s="78" t="str">
        <f t="shared" si="252"/>
        <v/>
      </c>
      <c r="AV1469" s="64" t="str">
        <f ca="1">IFERROR(__xludf.DUMMYFUNCTION("IF(TRIM(AU1469)="""","""",AU1469/INDEX(FILTER(AT$3:AT1469,TRIM(AT$3:AT1469)&lt;&gt;""""),ROWS(FILTER(AT$3:AT1469,TRIM(AT$3:AT1469)&lt;&gt;"""")))-1)"),"")</f>
        <v/>
      </c>
      <c r="AW1469" s="65" t="e">
        <f t="shared" ca="1" si="244"/>
        <v>#VALUE!</v>
      </c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</row>
    <row r="1470" spans="1:68" ht="19" x14ac:dyDescent="0.25">
      <c r="A1470" s="5"/>
      <c r="B1470" s="5"/>
      <c r="C1470" s="5"/>
      <c r="D1470" s="5"/>
      <c r="E1470" s="5"/>
      <c r="F1470" s="5"/>
      <c r="G1470" s="5"/>
      <c r="H1470" s="6"/>
      <c r="I1470" s="5"/>
      <c r="J1470" s="88"/>
      <c r="K1470" s="88"/>
      <c r="L1470" s="88"/>
      <c r="M1470" s="88"/>
      <c r="N1470" s="88"/>
      <c r="O1470" s="88"/>
      <c r="P1470" s="88"/>
      <c r="Q1470" s="89"/>
      <c r="R1470" s="88"/>
      <c r="S1470" s="88"/>
      <c r="T1470" s="90"/>
      <c r="U1470" s="6"/>
      <c r="V1470" s="44">
        <v>46052</v>
      </c>
      <c r="W1470" s="45">
        <v>306.7</v>
      </c>
      <c r="X1470" s="91"/>
      <c r="Y1470" s="77"/>
      <c r="Z1470" s="5"/>
      <c r="AA1470" s="5"/>
      <c r="AB1470" s="5"/>
      <c r="AC1470" s="5"/>
      <c r="AD1470" s="5"/>
      <c r="AE1470" s="5"/>
      <c r="AF1470" s="5"/>
      <c r="AG1470" s="5"/>
      <c r="AH1470" s="6"/>
      <c r="AI1470" s="44">
        <v>46052</v>
      </c>
      <c r="AJ1470" s="53">
        <v>306.7</v>
      </c>
      <c r="AK1470" s="54">
        <f t="shared" si="242"/>
        <v>-8.2136851636269714E-3</v>
      </c>
      <c r="AL1470" s="55">
        <f t="shared" si="245"/>
        <v>39.383755718930118</v>
      </c>
      <c r="AM1470" s="56">
        <v>25</v>
      </c>
      <c r="AN1470" s="57">
        <f t="shared" si="243"/>
        <v>-14.383755718930118</v>
      </c>
      <c r="AO1470" s="76">
        <f t="shared" si="246"/>
        <v>-6.7582342956844146</v>
      </c>
      <c r="AP1470" s="63" t="str">
        <f t="shared" si="247"/>
        <v/>
      </c>
      <c r="AQ1470" s="63" t="str">
        <f t="shared" si="248"/>
        <v>Sell Stocks</v>
      </c>
      <c r="AR1470" s="63" t="str">
        <f t="shared" si="249"/>
        <v/>
      </c>
      <c r="AS1470" s="63" t="str">
        <f t="shared" si="250"/>
        <v/>
      </c>
      <c r="AT1470" s="78" t="str">
        <f t="shared" si="251"/>
        <v/>
      </c>
      <c r="AU1470" s="78" t="str">
        <f t="shared" si="252"/>
        <v/>
      </c>
      <c r="AV1470" s="64" t="str">
        <f ca="1">IFERROR(__xludf.DUMMYFUNCTION("IF(TRIM(AU1470)="""","""",AU1470/INDEX(FILTER(AT$3:AT1470,TRIM(AT$3:AT1470)&lt;&gt;""""),ROWS(FILTER(AT$3:AT1470,TRIM(AT$3:AT1470)&lt;&gt;"""")))-1)"),"")</f>
        <v/>
      </c>
      <c r="AW1470" s="65" t="e">
        <f t="shared" ca="1" si="244"/>
        <v>#VALUE!</v>
      </c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</row>
    <row r="1471" spans="1:68" ht="19" x14ac:dyDescent="0.25">
      <c r="A1471" s="5"/>
      <c r="B1471" s="5"/>
      <c r="C1471" s="5"/>
      <c r="D1471" s="5"/>
      <c r="E1471" s="5"/>
      <c r="F1471" s="5"/>
      <c r="G1471" s="5"/>
      <c r="H1471" s="6"/>
      <c r="I1471" s="5"/>
      <c r="J1471" s="88"/>
      <c r="K1471" s="88"/>
      <c r="L1471" s="88"/>
      <c r="M1471" s="88"/>
      <c r="N1471" s="88"/>
      <c r="O1471" s="88"/>
      <c r="P1471" s="88"/>
      <c r="Q1471" s="89"/>
      <c r="R1471" s="88"/>
      <c r="S1471" s="88"/>
      <c r="T1471" s="90"/>
      <c r="U1471" s="6"/>
      <c r="V1471" s="44">
        <v>46055</v>
      </c>
      <c r="W1471" s="45">
        <v>314.73</v>
      </c>
      <c r="X1471" s="91"/>
      <c r="Y1471" s="77"/>
      <c r="Z1471" s="5"/>
      <c r="AA1471" s="5"/>
      <c r="AB1471" s="5"/>
      <c r="AC1471" s="5"/>
      <c r="AD1471" s="5"/>
      <c r="AE1471" s="5"/>
      <c r="AF1471" s="5"/>
      <c r="AG1471" s="5"/>
      <c r="AH1471" s="6"/>
      <c r="AI1471" s="44">
        <v>46055</v>
      </c>
      <c r="AJ1471" s="53">
        <v>314.73</v>
      </c>
      <c r="AK1471" s="54">
        <f t="shared" si="242"/>
        <v>2.6181936746005885E-2</v>
      </c>
      <c r="AL1471" s="55">
        <f t="shared" si="245"/>
        <v>41.126617436509363</v>
      </c>
      <c r="AM1471" s="56">
        <v>25</v>
      </c>
      <c r="AN1471" s="57">
        <f t="shared" si="243"/>
        <v>-16.126617436509363</v>
      </c>
      <c r="AO1471" s="76">
        <f t="shared" si="246"/>
        <v>-6.5848230852562066</v>
      </c>
      <c r="AP1471" s="63" t="str">
        <f t="shared" si="247"/>
        <v/>
      </c>
      <c r="AQ1471" s="63" t="str">
        <f t="shared" si="248"/>
        <v>Sell Stocks</v>
      </c>
      <c r="AR1471" s="63" t="str">
        <f t="shared" si="249"/>
        <v/>
      </c>
      <c r="AS1471" s="63" t="str">
        <f t="shared" si="250"/>
        <v/>
      </c>
      <c r="AT1471" s="78" t="str">
        <f t="shared" si="251"/>
        <v/>
      </c>
      <c r="AU1471" s="78" t="str">
        <f t="shared" si="252"/>
        <v/>
      </c>
      <c r="AV1471" s="64" t="str">
        <f ca="1">IFERROR(__xludf.DUMMYFUNCTION("IF(TRIM(AU1471)="""","""",AU1471/INDEX(FILTER(AT$3:AT1471,TRIM(AT$3:AT1471)&lt;&gt;""""),ROWS(FILTER(AT$3:AT1471,TRIM(AT$3:AT1471)&lt;&gt;"""")))-1)"),"")</f>
        <v/>
      </c>
      <c r="AW1471" s="65" t="e">
        <f t="shared" ca="1" si="244"/>
        <v>#VALUE!</v>
      </c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</row>
    <row r="1472" spans="1:68" ht="19" x14ac:dyDescent="0.25">
      <c r="A1472" s="5"/>
      <c r="B1472" s="5"/>
      <c r="C1472" s="5"/>
      <c r="D1472" s="5"/>
      <c r="E1472" s="5"/>
      <c r="F1472" s="5"/>
      <c r="G1472" s="5"/>
      <c r="H1472" s="6"/>
      <c r="I1472" s="5"/>
      <c r="J1472" s="88"/>
      <c r="K1472" s="88"/>
      <c r="L1472" s="88"/>
      <c r="M1472" s="88"/>
      <c r="N1472" s="88"/>
      <c r="O1472" s="88"/>
      <c r="P1472" s="88"/>
      <c r="Q1472" s="89"/>
      <c r="R1472" s="88"/>
      <c r="S1472" s="88"/>
      <c r="T1472" s="90"/>
      <c r="U1472" s="6"/>
      <c r="V1472" s="44">
        <v>46056</v>
      </c>
      <c r="W1472" s="45">
        <v>294.31</v>
      </c>
      <c r="X1472" s="91"/>
      <c r="Y1472" s="77"/>
      <c r="Z1472" s="5"/>
      <c r="AA1472" s="5"/>
      <c r="AB1472" s="5"/>
      <c r="AC1472" s="5"/>
      <c r="AD1472" s="5"/>
      <c r="AE1472" s="5"/>
      <c r="AF1472" s="5"/>
      <c r="AG1472" s="5"/>
      <c r="AH1472" s="6"/>
      <c r="AI1472" s="44">
        <v>46056</v>
      </c>
      <c r="AJ1472" s="53">
        <v>294.31</v>
      </c>
      <c r="AK1472" s="54">
        <f t="shared" si="242"/>
        <v>-6.4881009118927357E-2</v>
      </c>
      <c r="AL1472" s="55">
        <f t="shared" si="245"/>
        <v>69.130856102016196</v>
      </c>
      <c r="AM1472" s="56">
        <v>25</v>
      </c>
      <c r="AN1472" s="57">
        <f t="shared" si="243"/>
        <v>-44.130856102016196</v>
      </c>
      <c r="AO1472" s="76">
        <f t="shared" si="246"/>
        <v>-15.83229988721431</v>
      </c>
      <c r="AP1472" s="63" t="str">
        <f t="shared" si="247"/>
        <v/>
      </c>
      <c r="AQ1472" s="63" t="str">
        <f t="shared" si="248"/>
        <v>Sell Stocks</v>
      </c>
      <c r="AR1472" s="63" t="str">
        <f t="shared" si="249"/>
        <v/>
      </c>
      <c r="AS1472" s="63" t="str">
        <f t="shared" si="250"/>
        <v/>
      </c>
      <c r="AT1472" s="78" t="str">
        <f t="shared" si="251"/>
        <v/>
      </c>
      <c r="AU1472" s="78" t="str">
        <f t="shared" si="252"/>
        <v/>
      </c>
      <c r="AV1472" s="64" t="str">
        <f ca="1">IFERROR(__xludf.DUMMYFUNCTION("IF(TRIM(AU1472)="""","""",AU1472/INDEX(FILTER(AT$3:AT1472,TRIM(AT$3:AT1472)&lt;&gt;""""),ROWS(FILTER(AT$3:AT1472,TRIM(AT$3:AT1472)&lt;&gt;"""")))-1)"),"")</f>
        <v/>
      </c>
      <c r="AW1472" s="65" t="e">
        <f t="shared" ca="1" si="244"/>
        <v>#VALUE!</v>
      </c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</row>
    <row r="1473" spans="1:68" ht="19" x14ac:dyDescent="0.25">
      <c r="A1473" s="5"/>
      <c r="B1473" s="5"/>
      <c r="C1473" s="5"/>
      <c r="D1473" s="5"/>
      <c r="E1473" s="5"/>
      <c r="F1473" s="5"/>
      <c r="G1473" s="5"/>
      <c r="H1473" s="6"/>
      <c r="I1473" s="5"/>
      <c r="J1473" s="88"/>
      <c r="K1473" s="88"/>
      <c r="L1473" s="88"/>
      <c r="M1473" s="88"/>
      <c r="N1473" s="88"/>
      <c r="O1473" s="88"/>
      <c r="P1473" s="88"/>
      <c r="Q1473" s="89"/>
      <c r="R1473" s="88"/>
      <c r="S1473" s="88"/>
      <c r="T1473" s="90"/>
      <c r="U1473" s="6"/>
      <c r="V1473" s="44">
        <v>46057</v>
      </c>
      <c r="W1473" s="45">
        <v>289.05</v>
      </c>
      <c r="X1473" s="91"/>
      <c r="Y1473" s="77"/>
      <c r="Z1473" s="5"/>
      <c r="AA1473" s="5"/>
      <c r="AB1473" s="5"/>
      <c r="AC1473" s="5"/>
      <c r="AD1473" s="5"/>
      <c r="AE1473" s="5"/>
      <c r="AF1473" s="5"/>
      <c r="AG1473" s="5"/>
      <c r="AH1473" s="6"/>
      <c r="AI1473" s="44">
        <v>46057</v>
      </c>
      <c r="AJ1473" s="53">
        <v>289.05</v>
      </c>
      <c r="AK1473" s="54">
        <f t="shared" si="242"/>
        <v>-1.7872311508273508E-2</v>
      </c>
      <c r="AL1473" s="55">
        <f t="shared" si="245"/>
        <v>70.429092077404263</v>
      </c>
      <c r="AM1473" s="56">
        <v>25</v>
      </c>
      <c r="AN1473" s="57">
        <f t="shared" si="243"/>
        <v>-45.429092077404263</v>
      </c>
      <c r="AO1473" s="76">
        <f t="shared" si="246"/>
        <v>-26.854023789728604</v>
      </c>
      <c r="AP1473" s="63" t="str">
        <f t="shared" si="247"/>
        <v/>
      </c>
      <c r="AQ1473" s="63" t="str">
        <f t="shared" si="248"/>
        <v>Sell Stocks</v>
      </c>
      <c r="AR1473" s="63" t="str">
        <f t="shared" si="249"/>
        <v/>
      </c>
      <c r="AS1473" s="63" t="str">
        <f t="shared" si="250"/>
        <v/>
      </c>
      <c r="AT1473" s="78" t="str">
        <f t="shared" si="251"/>
        <v/>
      </c>
      <c r="AU1473" s="78" t="str">
        <f t="shared" si="252"/>
        <v/>
      </c>
      <c r="AV1473" s="64" t="str">
        <f ca="1">IFERROR(__xludf.DUMMYFUNCTION("IF(TRIM(AU1473)="""","""",AU1473/INDEX(FILTER(AT$3:AT1473,TRIM(AT$3:AT1473)&lt;&gt;""""),ROWS(FILTER(AT$3:AT1473,TRIM(AT$3:AT1473)&lt;&gt;"""")))-1)"),"")</f>
        <v/>
      </c>
      <c r="AW1473" s="65" t="e">
        <f t="shared" ca="1" si="244"/>
        <v>#VALUE!</v>
      </c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</row>
    <row r="1474" spans="1:68" ht="19" x14ac:dyDescent="0.25">
      <c r="A1474" s="5"/>
      <c r="B1474" s="5"/>
      <c r="C1474" s="5"/>
      <c r="D1474" s="5"/>
      <c r="E1474" s="5"/>
      <c r="F1474" s="5"/>
      <c r="G1474" s="5"/>
      <c r="H1474" s="6"/>
      <c r="I1474" s="5"/>
      <c r="J1474" s="88"/>
      <c r="K1474" s="88"/>
      <c r="L1474" s="88"/>
      <c r="M1474" s="88"/>
      <c r="N1474" s="88"/>
      <c r="O1474" s="88"/>
      <c r="P1474" s="88"/>
      <c r="Q1474" s="89"/>
      <c r="R1474" s="88"/>
      <c r="S1474" s="88"/>
      <c r="T1474" s="90"/>
      <c r="U1474" s="6"/>
      <c r="V1474" s="44">
        <v>46058</v>
      </c>
      <c r="W1474" s="45">
        <v>289.89</v>
      </c>
      <c r="X1474" s="91"/>
      <c r="Y1474" s="77"/>
      <c r="Z1474" s="5"/>
      <c r="AA1474" s="5"/>
      <c r="AB1474" s="5"/>
      <c r="AC1474" s="5"/>
      <c r="AD1474" s="5"/>
      <c r="AE1474" s="5"/>
      <c r="AF1474" s="5"/>
      <c r="AG1474" s="5"/>
      <c r="AH1474" s="6"/>
      <c r="AI1474" s="44">
        <v>46058</v>
      </c>
      <c r="AJ1474" s="53">
        <v>289.89</v>
      </c>
      <c r="AK1474" s="54">
        <f t="shared" si="242"/>
        <v>2.906071613907546E-3</v>
      </c>
      <c r="AL1474" s="55">
        <f t="shared" si="245"/>
        <v>53.389857523354898</v>
      </c>
      <c r="AM1474" s="56">
        <v>25</v>
      </c>
      <c r="AN1474" s="57">
        <f t="shared" si="243"/>
        <v>-28.389857523354898</v>
      </c>
      <c r="AO1474" s="76">
        <f t="shared" si="246"/>
        <v>-29.692035771642971</v>
      </c>
      <c r="AP1474" s="63" t="str">
        <f t="shared" si="247"/>
        <v/>
      </c>
      <c r="AQ1474" s="63" t="str">
        <f t="shared" si="248"/>
        <v>Sell Stocks</v>
      </c>
      <c r="AR1474" s="63" t="str">
        <f t="shared" si="249"/>
        <v/>
      </c>
      <c r="AS1474" s="63" t="str">
        <f t="shared" si="250"/>
        <v/>
      </c>
      <c r="AT1474" s="78" t="str">
        <f t="shared" si="251"/>
        <v/>
      </c>
      <c r="AU1474" s="78" t="str">
        <f t="shared" si="252"/>
        <v/>
      </c>
      <c r="AV1474" s="64" t="str">
        <f ca="1">IFERROR(__xludf.DUMMYFUNCTION("IF(TRIM(AU1474)="""","""",AU1474/INDEX(FILTER(AT$3:AT1474,TRIM(AT$3:AT1474)&lt;&gt;""""),ROWS(FILTER(AT$3:AT1474,TRIM(AT$3:AT1474)&lt;&gt;"""")))-1)"),"")</f>
        <v/>
      </c>
      <c r="AW1474" s="65" t="e">
        <f t="shared" ca="1" si="244"/>
        <v>#VALUE!</v>
      </c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</row>
    <row r="1475" spans="1:68" ht="19" x14ac:dyDescent="0.25">
      <c r="A1475" s="5"/>
      <c r="B1475" s="5"/>
      <c r="C1475" s="5"/>
      <c r="D1475" s="5"/>
      <c r="E1475" s="5"/>
      <c r="F1475" s="5"/>
      <c r="G1475" s="5"/>
      <c r="H1475" s="6"/>
      <c r="I1475" s="5"/>
      <c r="J1475" s="88"/>
      <c r="K1475" s="88"/>
      <c r="L1475" s="88"/>
      <c r="M1475" s="88"/>
      <c r="N1475" s="88"/>
      <c r="O1475" s="88"/>
      <c r="P1475" s="88"/>
      <c r="Q1475" s="89"/>
      <c r="R1475" s="88"/>
      <c r="S1475" s="88"/>
      <c r="T1475" s="90"/>
      <c r="U1475" s="6"/>
      <c r="V1475" s="44">
        <v>46059</v>
      </c>
      <c r="W1475" s="45">
        <v>298.93</v>
      </c>
      <c r="X1475" s="91"/>
      <c r="Y1475" s="77"/>
      <c r="Z1475" s="5"/>
      <c r="AA1475" s="5"/>
      <c r="AB1475" s="5"/>
      <c r="AC1475" s="5"/>
      <c r="AD1475" s="5"/>
      <c r="AE1475" s="5"/>
      <c r="AF1475" s="5"/>
      <c r="AG1475" s="5"/>
      <c r="AH1475" s="6"/>
      <c r="AI1475" s="44">
        <v>46059</v>
      </c>
      <c r="AJ1475" s="53">
        <v>298.93</v>
      </c>
      <c r="AK1475" s="54">
        <f t="shared" ref="AK1475:AK1538" si="253">AJ1475/AJ1474-1</f>
        <v>3.1184242298803122E-2</v>
      </c>
      <c r="AL1475" s="55">
        <f t="shared" si="245"/>
        <v>61.962869137731424</v>
      </c>
      <c r="AM1475" s="56">
        <v>25</v>
      </c>
      <c r="AN1475" s="57">
        <f t="shared" ref="AN1475:AN1538" si="254">AM1475-AL1475</f>
        <v>-36.962869137731424</v>
      </c>
      <c r="AO1475" s="76">
        <f t="shared" si="246"/>
        <v>-34.207858455403226</v>
      </c>
      <c r="AP1475" s="63" t="str">
        <f t="shared" si="247"/>
        <v/>
      </c>
      <c r="AQ1475" s="63" t="str">
        <f t="shared" si="248"/>
        <v>Sell Stocks</v>
      </c>
      <c r="AR1475" s="63" t="str">
        <f t="shared" si="249"/>
        <v/>
      </c>
      <c r="AS1475" s="63" t="str">
        <f t="shared" si="250"/>
        <v/>
      </c>
      <c r="AT1475" s="78" t="str">
        <f t="shared" si="251"/>
        <v/>
      </c>
      <c r="AU1475" s="78" t="str">
        <f t="shared" si="252"/>
        <v/>
      </c>
      <c r="AV1475" s="64" t="str">
        <f ca="1">IFERROR(__xludf.DUMMYFUNCTION("IF(TRIM(AU1475)="""","""",AU1475/INDEX(FILTER(AT$3:AT1475,TRIM(AT$3:AT1475)&lt;&gt;""""),ROWS(FILTER(AT$3:AT1475,TRIM(AT$3:AT1475)&lt;&gt;"""")))-1)"),"")</f>
        <v/>
      </c>
      <c r="AW1475" s="65" t="e">
        <f t="shared" ref="AW1475:AW1538" ca="1" si="255">AW1474*(1+AV1475)</f>
        <v>#VALUE!</v>
      </c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</row>
    <row r="1476" spans="1:68" ht="19" x14ac:dyDescent="0.25">
      <c r="A1476" s="5"/>
      <c r="B1476" s="5"/>
      <c r="C1476" s="5"/>
      <c r="D1476" s="5"/>
      <c r="E1476" s="5"/>
      <c r="F1476" s="5"/>
      <c r="G1476" s="5"/>
      <c r="H1476" s="6"/>
      <c r="I1476" s="5"/>
      <c r="J1476" s="88"/>
      <c r="K1476" s="88"/>
      <c r="L1476" s="88"/>
      <c r="M1476" s="88"/>
      <c r="N1476" s="88"/>
      <c r="O1476" s="88"/>
      <c r="P1476" s="88"/>
      <c r="Q1476" s="89"/>
      <c r="R1476" s="88"/>
      <c r="S1476" s="88"/>
      <c r="T1476" s="90"/>
      <c r="U1476" s="6"/>
      <c r="V1476" s="44">
        <v>46062</v>
      </c>
      <c r="W1476" s="45">
        <v>296.33999999999997</v>
      </c>
      <c r="X1476" s="91"/>
      <c r="Y1476" s="77"/>
      <c r="Z1476" s="5"/>
      <c r="AA1476" s="5"/>
      <c r="AB1476" s="5"/>
      <c r="AC1476" s="5"/>
      <c r="AD1476" s="5"/>
      <c r="AE1476" s="5"/>
      <c r="AF1476" s="5"/>
      <c r="AG1476" s="5"/>
      <c r="AH1476" s="6"/>
      <c r="AI1476" s="44">
        <v>46062</v>
      </c>
      <c r="AJ1476" s="53">
        <v>296.33999999999997</v>
      </c>
      <c r="AK1476" s="54">
        <f t="shared" si="253"/>
        <v>-8.6642357742616749E-3</v>
      </c>
      <c r="AL1476" s="55">
        <f t="shared" si="245"/>
        <v>55.717337664879032</v>
      </c>
      <c r="AM1476" s="56">
        <v>25</v>
      </c>
      <c r="AN1476" s="57">
        <f t="shared" si="254"/>
        <v>-30.717337664879032</v>
      </c>
      <c r="AO1476" s="76">
        <f t="shared" si="246"/>
        <v>-37.126002501077167</v>
      </c>
      <c r="AP1476" s="63" t="str">
        <f t="shared" si="247"/>
        <v/>
      </c>
      <c r="AQ1476" s="63" t="str">
        <f t="shared" si="248"/>
        <v>Sell Stocks</v>
      </c>
      <c r="AR1476" s="63" t="str">
        <f t="shared" si="249"/>
        <v/>
      </c>
      <c r="AS1476" s="63" t="str">
        <f t="shared" si="250"/>
        <v/>
      </c>
      <c r="AT1476" s="78" t="str">
        <f t="shared" si="251"/>
        <v/>
      </c>
      <c r="AU1476" s="78" t="str">
        <f t="shared" si="252"/>
        <v/>
      </c>
      <c r="AV1476" s="64" t="str">
        <f ca="1">IFERROR(__xludf.DUMMYFUNCTION("IF(TRIM(AU1476)="""","""",AU1476/INDEX(FILTER(AT$3:AT1476,TRIM(AT$3:AT1476)&lt;&gt;""""),ROWS(FILTER(AT$3:AT1476,TRIM(AT$3:AT1476)&lt;&gt;"""")))-1)"),"")</f>
        <v/>
      </c>
      <c r="AW1476" s="65" t="e">
        <f t="shared" ca="1" si="255"/>
        <v>#VALUE!</v>
      </c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</row>
    <row r="1477" spans="1:68" ht="19" x14ac:dyDescent="0.25">
      <c r="A1477" s="5"/>
      <c r="B1477" s="5"/>
      <c r="C1477" s="5"/>
      <c r="D1477" s="5"/>
      <c r="E1477" s="5"/>
      <c r="F1477" s="5"/>
      <c r="G1477" s="5"/>
      <c r="H1477" s="6"/>
      <c r="I1477" s="5"/>
      <c r="J1477" s="88"/>
      <c r="K1477" s="88"/>
      <c r="L1477" s="88"/>
      <c r="M1477" s="88"/>
      <c r="N1477" s="88"/>
      <c r="O1477" s="88"/>
      <c r="P1477" s="88"/>
      <c r="Q1477" s="89"/>
      <c r="R1477" s="88"/>
      <c r="S1477" s="88"/>
      <c r="T1477" s="90"/>
      <c r="U1477" s="6"/>
      <c r="V1477" s="44">
        <v>46063</v>
      </c>
      <c r="W1477" s="45">
        <v>291.76</v>
      </c>
      <c r="X1477" s="91"/>
      <c r="Y1477" s="77"/>
      <c r="Z1477" s="5"/>
      <c r="AA1477" s="5"/>
      <c r="AB1477" s="5"/>
      <c r="AC1477" s="5"/>
      <c r="AD1477" s="5"/>
      <c r="AE1477" s="5"/>
      <c r="AF1477" s="5"/>
      <c r="AG1477" s="5"/>
      <c r="AH1477" s="6"/>
      <c r="AI1477" s="44">
        <v>46063</v>
      </c>
      <c r="AJ1477" s="53">
        <v>291.76</v>
      </c>
      <c r="AK1477" s="54">
        <f t="shared" si="253"/>
        <v>-1.5455220354997579E-2</v>
      </c>
      <c r="AL1477" s="55">
        <f t="shared" si="245"/>
        <v>31.766551846069667</v>
      </c>
      <c r="AM1477" s="56">
        <v>25</v>
      </c>
      <c r="AN1477" s="57">
        <f t="shared" si="254"/>
        <v>-6.7665518460696674</v>
      </c>
      <c r="AO1477" s="76">
        <f t="shared" si="246"/>
        <v>-29.653141649887857</v>
      </c>
      <c r="AP1477" s="63" t="str">
        <f t="shared" si="247"/>
        <v/>
      </c>
      <c r="AQ1477" s="63" t="str">
        <f t="shared" si="248"/>
        <v>Sell Stocks</v>
      </c>
      <c r="AR1477" s="63" t="str">
        <f t="shared" si="249"/>
        <v/>
      </c>
      <c r="AS1477" s="63" t="str">
        <f t="shared" si="250"/>
        <v/>
      </c>
      <c r="AT1477" s="78" t="str">
        <f t="shared" si="251"/>
        <v/>
      </c>
      <c r="AU1477" s="78" t="str">
        <f t="shared" si="252"/>
        <v/>
      </c>
      <c r="AV1477" s="64" t="str">
        <f ca="1">IFERROR(__xludf.DUMMYFUNCTION("IF(TRIM(AU1477)="""","""",AU1477/INDEX(FILTER(AT$3:AT1477,TRIM(AT$3:AT1477)&lt;&gt;""""),ROWS(FILTER(AT$3:AT1477,TRIM(AT$3:AT1477)&lt;&gt;"""")))-1)"),"")</f>
        <v/>
      </c>
      <c r="AW1477" s="65" t="e">
        <f t="shared" ca="1" si="255"/>
        <v>#VALUE!</v>
      </c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</row>
    <row r="1478" spans="1:68" ht="19" x14ac:dyDescent="0.25">
      <c r="A1478" s="5"/>
      <c r="B1478" s="5"/>
      <c r="C1478" s="5"/>
      <c r="D1478" s="5"/>
      <c r="E1478" s="5"/>
      <c r="F1478" s="5"/>
      <c r="G1478" s="5"/>
      <c r="H1478" s="6"/>
      <c r="I1478" s="5"/>
      <c r="J1478" s="88"/>
      <c r="K1478" s="88"/>
      <c r="L1478" s="88"/>
      <c r="M1478" s="88"/>
      <c r="N1478" s="88"/>
      <c r="O1478" s="88"/>
      <c r="P1478" s="88"/>
      <c r="Q1478" s="89"/>
      <c r="R1478" s="88"/>
      <c r="S1478" s="88"/>
      <c r="T1478" s="90"/>
      <c r="U1478" s="6"/>
      <c r="V1478" s="44">
        <v>46064</v>
      </c>
      <c r="W1478" s="45">
        <v>272.81</v>
      </c>
      <c r="X1478" s="91"/>
      <c r="Y1478" s="77"/>
      <c r="Z1478" s="5"/>
      <c r="AA1478" s="5"/>
      <c r="AB1478" s="5"/>
      <c r="AC1478" s="5"/>
      <c r="AD1478" s="5"/>
      <c r="AE1478" s="5"/>
      <c r="AF1478" s="5"/>
      <c r="AG1478" s="5"/>
      <c r="AH1478" s="6"/>
      <c r="AI1478" s="44">
        <v>46064</v>
      </c>
      <c r="AJ1478" s="53">
        <v>272.81</v>
      </c>
      <c r="AK1478" s="54">
        <f t="shared" si="253"/>
        <v>-6.495064436523168E-2</v>
      </c>
      <c r="AL1478" s="55">
        <f t="shared" si="245"/>
        <v>55.611019487653415</v>
      </c>
      <c r="AM1478" s="56">
        <v>25</v>
      </c>
      <c r="AN1478" s="57">
        <f t="shared" si="254"/>
        <v>-30.611019487653415</v>
      </c>
      <c r="AO1478" s="76">
        <f t="shared" si="246"/>
        <v>-26.689527131937684</v>
      </c>
      <c r="AP1478" s="63" t="str">
        <f t="shared" si="247"/>
        <v/>
      </c>
      <c r="AQ1478" s="63" t="str">
        <f t="shared" si="248"/>
        <v>Sell Stocks</v>
      </c>
      <c r="AR1478" s="63" t="str">
        <f t="shared" si="249"/>
        <v/>
      </c>
      <c r="AS1478" s="63" t="str">
        <f t="shared" si="250"/>
        <v/>
      </c>
      <c r="AT1478" s="78" t="str">
        <f t="shared" si="251"/>
        <v/>
      </c>
      <c r="AU1478" s="78" t="str">
        <f t="shared" si="252"/>
        <v/>
      </c>
      <c r="AV1478" s="64" t="str">
        <f ca="1">IFERROR(__xludf.DUMMYFUNCTION("IF(TRIM(AU1478)="""","""",AU1478/INDEX(FILTER(AT$3:AT1478,TRIM(AT$3:AT1478)&lt;&gt;""""),ROWS(FILTER(AT$3:AT1478,TRIM(AT$3:AT1478)&lt;&gt;"""")))-1)"),"")</f>
        <v/>
      </c>
      <c r="AW1478" s="65" t="e">
        <f t="shared" ca="1" si="255"/>
        <v>#VALUE!</v>
      </c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</row>
    <row r="1479" spans="1:68" ht="19" x14ac:dyDescent="0.25">
      <c r="A1479" s="5"/>
      <c r="B1479" s="5"/>
      <c r="C1479" s="5"/>
      <c r="D1479" s="5"/>
      <c r="E1479" s="5"/>
      <c r="F1479" s="5"/>
      <c r="G1479" s="5"/>
      <c r="H1479" s="6"/>
      <c r="I1479" s="5"/>
      <c r="J1479" s="88"/>
      <c r="K1479" s="88"/>
      <c r="L1479" s="88"/>
      <c r="M1479" s="88"/>
      <c r="N1479" s="88"/>
      <c r="O1479" s="88"/>
      <c r="P1479" s="88"/>
      <c r="Q1479" s="89"/>
      <c r="R1479" s="88"/>
      <c r="S1479" s="88"/>
      <c r="T1479" s="90"/>
      <c r="U1479" s="6"/>
      <c r="V1479" s="44">
        <v>46065</v>
      </c>
      <c r="W1479" s="45">
        <v>259.52</v>
      </c>
      <c r="X1479" s="91"/>
      <c r="Y1479" s="77"/>
      <c r="Z1479" s="5"/>
      <c r="AA1479" s="5"/>
      <c r="AB1479" s="5"/>
      <c r="AC1479" s="5"/>
      <c r="AD1479" s="5"/>
      <c r="AE1479" s="5"/>
      <c r="AF1479" s="5"/>
      <c r="AG1479" s="5"/>
      <c r="AH1479" s="6"/>
      <c r="AI1479" s="44">
        <v>46065</v>
      </c>
      <c r="AJ1479" s="53">
        <v>259.52</v>
      </c>
      <c r="AK1479" s="54">
        <f t="shared" si="253"/>
        <v>-4.8715223049008549E-2</v>
      </c>
      <c r="AL1479" s="55">
        <f t="shared" ref="AL1479:AL1542" si="256">_xlfn.STDEV.S(AK1475:AK1479)*SQRT(252)*100</f>
        <v>59.425551995329059</v>
      </c>
      <c r="AM1479" s="56">
        <v>25</v>
      </c>
      <c r="AN1479" s="57">
        <f t="shared" si="254"/>
        <v>-34.425551995329059</v>
      </c>
      <c r="AO1479" s="76">
        <f t="shared" ref="AO1479:AO1542" si="257">AVERAGE(AN1475:AN1479)</f>
        <v>-27.896666026332515</v>
      </c>
      <c r="AP1479" s="63" t="str">
        <f t="shared" ref="AP1479:AP1542" si="258">IF(AO1479&gt;0,"Buy Stocks","")</f>
        <v/>
      </c>
      <c r="AQ1479" s="63" t="str">
        <f t="shared" ref="AQ1479:AQ1542" si="259">IF(AO1479&lt;0,"Sell Stocks","")</f>
        <v>Sell Stocks</v>
      </c>
      <c r="AR1479" s="63" t="str">
        <f t="shared" ref="AR1479:AR1542" si="260">IF(AND(AP1479="Buy Stocks",AP1478=""),"Buy Stocks","")</f>
        <v/>
      </c>
      <c r="AS1479" s="63" t="str">
        <f t="shared" ref="AS1479:AS1542" si="261">IF(AND(AQ1479="Sell Stocks",AQ1478=""),"Sell Stocks","")</f>
        <v/>
      </c>
      <c r="AT1479" s="78" t="str">
        <f t="shared" ref="AT1479:AT1542" si="262">IF(AR1479="Buy Stocks",AJ1479,"")</f>
        <v/>
      </c>
      <c r="AU1479" s="78" t="str">
        <f t="shared" ref="AU1479:AU1542" si="263">IF(AS1479="Sell Stocks",AJ1479,"")</f>
        <v/>
      </c>
      <c r="AV1479" s="64" t="str">
        <f ca="1">IFERROR(__xludf.DUMMYFUNCTION("IF(TRIM(AU1479)="""","""",AU1479/INDEX(FILTER(AT$3:AT1479,TRIM(AT$3:AT1479)&lt;&gt;""""),ROWS(FILTER(AT$3:AT1479,TRIM(AT$3:AT1479)&lt;&gt;"""")))-1)"),"")</f>
        <v/>
      </c>
      <c r="AW1479" s="65" t="e">
        <f t="shared" ca="1" si="255"/>
        <v>#VALUE!</v>
      </c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</row>
    <row r="1480" spans="1:68" ht="19" x14ac:dyDescent="0.25">
      <c r="A1480" s="5"/>
      <c r="B1480" s="5"/>
      <c r="C1480" s="5"/>
      <c r="D1480" s="5"/>
      <c r="E1480" s="5"/>
      <c r="F1480" s="5"/>
      <c r="G1480" s="5"/>
      <c r="H1480" s="6"/>
      <c r="I1480" s="5"/>
      <c r="J1480" s="88"/>
      <c r="K1480" s="88"/>
      <c r="L1480" s="88"/>
      <c r="M1480" s="88"/>
      <c r="N1480" s="88"/>
      <c r="O1480" s="88"/>
      <c r="P1480" s="88"/>
      <c r="Q1480" s="89"/>
      <c r="R1480" s="88"/>
      <c r="S1480" s="88"/>
      <c r="T1480" s="90"/>
      <c r="U1480" s="6"/>
      <c r="V1480" s="44">
        <v>46066</v>
      </c>
      <c r="W1480" s="45">
        <v>262.38</v>
      </c>
      <c r="X1480" s="91"/>
      <c r="Y1480" s="77"/>
      <c r="Z1480" s="5"/>
      <c r="AA1480" s="5"/>
      <c r="AB1480" s="5"/>
      <c r="AC1480" s="5"/>
      <c r="AD1480" s="5"/>
      <c r="AE1480" s="5"/>
      <c r="AF1480" s="5"/>
      <c r="AG1480" s="5"/>
      <c r="AH1480" s="6"/>
      <c r="AI1480" s="44">
        <v>46066</v>
      </c>
      <c r="AJ1480" s="53">
        <v>262.38</v>
      </c>
      <c r="AK1480" s="54">
        <f t="shared" si="253"/>
        <v>1.1020345252774399E-2</v>
      </c>
      <c r="AL1480" s="55">
        <f t="shared" si="256"/>
        <v>49.013864030837944</v>
      </c>
      <c r="AM1480" s="56">
        <v>25</v>
      </c>
      <c r="AN1480" s="57">
        <f t="shared" si="254"/>
        <v>-24.013864030837944</v>
      </c>
      <c r="AO1480" s="76">
        <f t="shared" si="257"/>
        <v>-25.306865004953824</v>
      </c>
      <c r="AP1480" s="63" t="str">
        <f t="shared" si="258"/>
        <v/>
      </c>
      <c r="AQ1480" s="63" t="str">
        <f t="shared" si="259"/>
        <v>Sell Stocks</v>
      </c>
      <c r="AR1480" s="63" t="str">
        <f t="shared" si="260"/>
        <v/>
      </c>
      <c r="AS1480" s="63" t="str">
        <f t="shared" si="261"/>
        <v/>
      </c>
      <c r="AT1480" s="78" t="str">
        <f t="shared" si="262"/>
        <v/>
      </c>
      <c r="AU1480" s="78" t="str">
        <f t="shared" si="263"/>
        <v/>
      </c>
      <c r="AV1480" s="64" t="str">
        <f ca="1">IFERROR(__xludf.DUMMYFUNCTION("IF(TRIM(AU1480)="""","""",AU1480/INDEX(FILTER(AT$3:AT1480,TRIM(AT$3:AT1480)&lt;&gt;""""),ROWS(FILTER(AT$3:AT1480,TRIM(AT$3:AT1480)&lt;&gt;"""")))-1)"),"")</f>
        <v/>
      </c>
      <c r="AW1480" s="65" t="e">
        <f t="shared" ca="1" si="255"/>
        <v>#VALUE!</v>
      </c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</row>
    <row r="1481" spans="1:68" ht="19" x14ac:dyDescent="0.25">
      <c r="A1481" s="5"/>
      <c r="B1481" s="5"/>
      <c r="C1481" s="5"/>
      <c r="D1481" s="5"/>
      <c r="E1481" s="5"/>
      <c r="F1481" s="5"/>
      <c r="G1481" s="5"/>
      <c r="H1481" s="6"/>
      <c r="I1481" s="5"/>
      <c r="J1481" s="88"/>
      <c r="K1481" s="88"/>
      <c r="L1481" s="88"/>
      <c r="M1481" s="88"/>
      <c r="N1481" s="88"/>
      <c r="O1481" s="88"/>
      <c r="P1481" s="88"/>
      <c r="Q1481" s="89"/>
      <c r="R1481" s="88"/>
      <c r="S1481" s="88"/>
      <c r="T1481" s="90"/>
      <c r="U1481" s="6"/>
      <c r="V1481" s="44">
        <v>46070</v>
      </c>
      <c r="W1481" s="45">
        <v>258.31</v>
      </c>
      <c r="X1481" s="91"/>
      <c r="Y1481" s="77"/>
      <c r="Z1481" s="5"/>
      <c r="AA1481" s="5"/>
      <c r="AB1481" s="5"/>
      <c r="AC1481" s="5"/>
      <c r="AD1481" s="5"/>
      <c r="AE1481" s="5"/>
      <c r="AF1481" s="5"/>
      <c r="AG1481" s="5"/>
      <c r="AH1481" s="6"/>
      <c r="AI1481" s="44">
        <v>46070</v>
      </c>
      <c r="AJ1481" s="53">
        <v>258.31</v>
      </c>
      <c r="AK1481" s="54">
        <f t="shared" si="253"/>
        <v>-1.5511853037579071E-2</v>
      </c>
      <c r="AL1481" s="55">
        <f t="shared" si="256"/>
        <v>47.770291761894349</v>
      </c>
      <c r="AM1481" s="56">
        <v>25</v>
      </c>
      <c r="AN1481" s="57">
        <f t="shared" si="254"/>
        <v>-22.770291761894349</v>
      </c>
      <c r="AO1481" s="76">
        <f t="shared" si="257"/>
        <v>-23.717455824356886</v>
      </c>
      <c r="AP1481" s="63" t="str">
        <f t="shared" si="258"/>
        <v/>
      </c>
      <c r="AQ1481" s="63" t="str">
        <f t="shared" si="259"/>
        <v>Sell Stocks</v>
      </c>
      <c r="AR1481" s="63" t="str">
        <f t="shared" si="260"/>
        <v/>
      </c>
      <c r="AS1481" s="63" t="str">
        <f t="shared" si="261"/>
        <v/>
      </c>
      <c r="AT1481" s="78" t="str">
        <f t="shared" si="262"/>
        <v/>
      </c>
      <c r="AU1481" s="78" t="str">
        <f t="shared" si="263"/>
        <v/>
      </c>
      <c r="AV1481" s="64" t="str">
        <f ca="1">IFERROR(__xludf.DUMMYFUNCTION("IF(TRIM(AU1481)="""","""",AU1481/INDEX(FILTER(AT$3:AT1481,TRIM(AT$3:AT1481)&lt;&gt;""""),ROWS(FILTER(AT$3:AT1481,TRIM(AT$3:AT1481)&lt;&gt;"""")))-1)"),"")</f>
        <v/>
      </c>
      <c r="AW1481" s="65" t="e">
        <f t="shared" ca="1" si="255"/>
        <v>#VALUE!</v>
      </c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</row>
    <row r="1482" spans="1:68" ht="19" x14ac:dyDescent="0.25">
      <c r="A1482" s="5"/>
      <c r="B1482" s="5"/>
      <c r="C1482" s="5"/>
      <c r="D1482" s="5"/>
      <c r="E1482" s="5"/>
      <c r="F1482" s="5"/>
      <c r="G1482" s="5"/>
      <c r="H1482" s="6"/>
      <c r="I1482" s="5"/>
      <c r="J1482" s="88"/>
      <c r="K1482" s="88"/>
      <c r="L1482" s="88"/>
      <c r="M1482" s="88"/>
      <c r="N1482" s="88"/>
      <c r="O1482" s="88"/>
      <c r="P1482" s="88"/>
      <c r="Q1482" s="89"/>
      <c r="R1482" s="88"/>
      <c r="S1482" s="88"/>
      <c r="T1482" s="90"/>
      <c r="U1482" s="6"/>
      <c r="V1482" s="44">
        <v>46071</v>
      </c>
      <c r="W1482" s="45">
        <v>260.79000000000002</v>
      </c>
      <c r="X1482" s="91"/>
      <c r="Y1482" s="77"/>
      <c r="Z1482" s="5"/>
      <c r="AA1482" s="5"/>
      <c r="AB1482" s="5"/>
      <c r="AC1482" s="5"/>
      <c r="AD1482" s="5"/>
      <c r="AE1482" s="5"/>
      <c r="AF1482" s="5"/>
      <c r="AG1482" s="5"/>
      <c r="AH1482" s="6"/>
      <c r="AI1482" s="44">
        <v>46071</v>
      </c>
      <c r="AJ1482" s="53">
        <v>260.79000000000002</v>
      </c>
      <c r="AK1482" s="54">
        <f t="shared" si="253"/>
        <v>9.6008671750997809E-3</v>
      </c>
      <c r="AL1482" s="55">
        <f t="shared" si="256"/>
        <v>54.351926739711367</v>
      </c>
      <c r="AM1482" s="56">
        <v>25</v>
      </c>
      <c r="AN1482" s="57">
        <f t="shared" si="254"/>
        <v>-29.351926739711367</v>
      </c>
      <c r="AO1482" s="76">
        <f t="shared" si="257"/>
        <v>-28.234530803085228</v>
      </c>
      <c r="AP1482" s="63" t="str">
        <f t="shared" si="258"/>
        <v/>
      </c>
      <c r="AQ1482" s="63" t="str">
        <f t="shared" si="259"/>
        <v>Sell Stocks</v>
      </c>
      <c r="AR1482" s="63" t="str">
        <f t="shared" si="260"/>
        <v/>
      </c>
      <c r="AS1482" s="63" t="str">
        <f t="shared" si="261"/>
        <v/>
      </c>
      <c r="AT1482" s="78" t="str">
        <f t="shared" si="262"/>
        <v/>
      </c>
      <c r="AU1482" s="78" t="str">
        <f t="shared" si="263"/>
        <v/>
      </c>
      <c r="AV1482" s="64" t="str">
        <f ca="1">IFERROR(__xludf.DUMMYFUNCTION("IF(TRIM(AU1482)="""","""",AU1482/INDEX(FILTER(AT$3:AT1482,TRIM(AT$3:AT1482)&lt;&gt;""""),ROWS(FILTER(AT$3:AT1482,TRIM(AT$3:AT1482)&lt;&gt;"""")))-1)"),"")</f>
        <v/>
      </c>
      <c r="AW1482" s="65" t="e">
        <f t="shared" ca="1" si="255"/>
        <v>#VALUE!</v>
      </c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</row>
    <row r="1483" spans="1:68" ht="19" x14ac:dyDescent="0.25">
      <c r="A1483" s="5"/>
      <c r="B1483" s="5"/>
      <c r="C1483" s="5"/>
      <c r="D1483" s="5"/>
      <c r="E1483" s="5"/>
      <c r="F1483" s="5"/>
      <c r="G1483" s="5"/>
      <c r="H1483" s="6"/>
      <c r="I1483" s="5"/>
      <c r="J1483" s="88"/>
      <c r="K1483" s="88"/>
      <c r="L1483" s="88"/>
      <c r="M1483" s="88"/>
      <c r="N1483" s="88"/>
      <c r="O1483" s="88"/>
      <c r="P1483" s="88"/>
      <c r="Q1483" s="89"/>
      <c r="R1483" s="88"/>
      <c r="S1483" s="88"/>
      <c r="T1483" s="90"/>
      <c r="U1483" s="6"/>
      <c r="V1483" s="44">
        <v>46072</v>
      </c>
      <c r="W1483" s="45">
        <v>256.27999999999997</v>
      </c>
      <c r="X1483" s="91"/>
      <c r="Y1483" s="77"/>
      <c r="Z1483" s="5"/>
      <c r="AA1483" s="5"/>
      <c r="AB1483" s="5"/>
      <c r="AC1483" s="5"/>
      <c r="AD1483" s="5"/>
      <c r="AE1483" s="5"/>
      <c r="AF1483" s="5"/>
      <c r="AG1483" s="5"/>
      <c r="AH1483" s="6"/>
      <c r="AI1483" s="44">
        <v>46072</v>
      </c>
      <c r="AJ1483" s="53">
        <v>256.27999999999997</v>
      </c>
      <c r="AK1483" s="54">
        <f t="shared" si="253"/>
        <v>-1.7293607883738016E-2</v>
      </c>
      <c r="AL1483" s="55">
        <f t="shared" si="256"/>
        <v>38.76058587478358</v>
      </c>
      <c r="AM1483" s="56">
        <v>25</v>
      </c>
      <c r="AN1483" s="57">
        <f t="shared" si="254"/>
        <v>-13.76058587478358</v>
      </c>
      <c r="AO1483" s="76">
        <f t="shared" si="257"/>
        <v>-24.864444080511259</v>
      </c>
      <c r="AP1483" s="63" t="str">
        <f t="shared" si="258"/>
        <v/>
      </c>
      <c r="AQ1483" s="63" t="str">
        <f t="shared" si="259"/>
        <v>Sell Stocks</v>
      </c>
      <c r="AR1483" s="63" t="str">
        <f t="shared" si="260"/>
        <v/>
      </c>
      <c r="AS1483" s="63" t="str">
        <f t="shared" si="261"/>
        <v/>
      </c>
      <c r="AT1483" s="78" t="str">
        <f t="shared" si="262"/>
        <v/>
      </c>
      <c r="AU1483" s="78" t="str">
        <f t="shared" si="263"/>
        <v/>
      </c>
      <c r="AV1483" s="64" t="str">
        <f ca="1">IFERROR(__xludf.DUMMYFUNCTION("IF(TRIM(AU1483)="""","""",AU1483/INDEX(FILTER(AT$3:AT1483,TRIM(AT$3:AT1483)&lt;&gt;""""),ROWS(FILTER(AT$3:AT1483,TRIM(AT$3:AT1483)&lt;&gt;"""")))-1)"),"")</f>
        <v/>
      </c>
      <c r="AW1483" s="65" t="e">
        <f t="shared" ca="1" si="255"/>
        <v>#VALUE!</v>
      </c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</row>
    <row r="1484" spans="1:68" ht="19" x14ac:dyDescent="0.25">
      <c r="A1484" s="5"/>
      <c r="B1484" s="5"/>
      <c r="C1484" s="5"/>
      <c r="D1484" s="5"/>
      <c r="E1484" s="5"/>
      <c r="F1484" s="5"/>
      <c r="G1484" s="5"/>
      <c r="H1484" s="6"/>
      <c r="I1484" s="5"/>
      <c r="J1484" s="88"/>
      <c r="K1484" s="88"/>
      <c r="L1484" s="88"/>
      <c r="M1484" s="88"/>
      <c r="N1484" s="88"/>
      <c r="O1484" s="88"/>
      <c r="P1484" s="88"/>
      <c r="Q1484" s="89"/>
      <c r="R1484" s="88"/>
      <c r="S1484" s="88"/>
      <c r="T1484" s="90"/>
      <c r="U1484" s="6"/>
      <c r="V1484" s="44">
        <v>46073</v>
      </c>
      <c r="W1484" s="45">
        <v>257.16000000000003</v>
      </c>
      <c r="X1484" s="91"/>
      <c r="Y1484" s="77"/>
      <c r="Z1484" s="5"/>
      <c r="AA1484" s="5"/>
      <c r="AB1484" s="5"/>
      <c r="AC1484" s="5"/>
      <c r="AD1484" s="5"/>
      <c r="AE1484" s="5"/>
      <c r="AF1484" s="5"/>
      <c r="AG1484" s="5"/>
      <c r="AH1484" s="6"/>
      <c r="AI1484" s="44">
        <v>46073</v>
      </c>
      <c r="AJ1484" s="53">
        <v>257.16000000000003</v>
      </c>
      <c r="AK1484" s="54">
        <f t="shared" si="253"/>
        <v>3.433744342125955E-3</v>
      </c>
      <c r="AL1484" s="55">
        <f t="shared" si="256"/>
        <v>21.733984815811016</v>
      </c>
      <c r="AM1484" s="56">
        <v>25</v>
      </c>
      <c r="AN1484" s="57">
        <f t="shared" si="254"/>
        <v>3.2660151841889835</v>
      </c>
      <c r="AO1484" s="76">
        <f t="shared" si="257"/>
        <v>-17.326130644607648</v>
      </c>
      <c r="AP1484" s="63" t="str">
        <f t="shared" si="258"/>
        <v/>
      </c>
      <c r="AQ1484" s="63" t="str">
        <f t="shared" si="259"/>
        <v>Sell Stocks</v>
      </c>
      <c r="AR1484" s="63" t="str">
        <f t="shared" si="260"/>
        <v/>
      </c>
      <c r="AS1484" s="63" t="str">
        <f t="shared" si="261"/>
        <v/>
      </c>
      <c r="AT1484" s="78" t="str">
        <f t="shared" si="262"/>
        <v/>
      </c>
      <c r="AU1484" s="78" t="str">
        <f t="shared" si="263"/>
        <v/>
      </c>
      <c r="AV1484" s="64" t="str">
        <f ca="1">IFERROR(__xludf.DUMMYFUNCTION("IF(TRIM(AU1484)="""","""",AU1484/INDEX(FILTER(AT$3:AT1484,TRIM(AT$3:AT1484)&lt;&gt;""""),ROWS(FILTER(AT$3:AT1484,TRIM(AT$3:AT1484)&lt;&gt;"""")))-1)"),"")</f>
        <v/>
      </c>
      <c r="AW1484" s="65" t="e">
        <f t="shared" ca="1" si="255"/>
        <v>#VALUE!</v>
      </c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</row>
    <row r="1485" spans="1:68" ht="19" x14ac:dyDescent="0.25">
      <c r="A1485" s="5"/>
      <c r="B1485" s="5"/>
      <c r="C1485" s="5"/>
      <c r="D1485" s="5"/>
      <c r="E1485" s="5"/>
      <c r="F1485" s="5"/>
      <c r="G1485" s="5"/>
      <c r="H1485" s="6"/>
      <c r="I1485" s="5"/>
      <c r="J1485" s="88"/>
      <c r="K1485" s="88"/>
      <c r="L1485" s="88"/>
      <c r="M1485" s="88"/>
      <c r="N1485" s="88"/>
      <c r="O1485" s="88"/>
      <c r="P1485" s="88"/>
      <c r="Q1485" s="89"/>
      <c r="R1485" s="88"/>
      <c r="S1485" s="88"/>
      <c r="T1485" s="90"/>
      <c r="U1485" s="6"/>
      <c r="V1485" s="44">
        <v>46076</v>
      </c>
      <c r="W1485" s="45">
        <v>223.35</v>
      </c>
      <c r="X1485" s="91"/>
      <c r="Y1485" s="77"/>
      <c r="Z1485" s="5"/>
      <c r="AA1485" s="5"/>
      <c r="AB1485" s="5"/>
      <c r="AC1485" s="5"/>
      <c r="AD1485" s="5"/>
      <c r="AE1485" s="5"/>
      <c r="AF1485" s="5"/>
      <c r="AG1485" s="5"/>
      <c r="AH1485" s="6"/>
      <c r="AI1485" s="44">
        <v>46076</v>
      </c>
      <c r="AJ1485" s="53">
        <v>223.35</v>
      </c>
      <c r="AK1485" s="54">
        <f t="shared" si="253"/>
        <v>-0.13147456836210925</v>
      </c>
      <c r="AL1485" s="55">
        <f t="shared" si="256"/>
        <v>91.723136395667225</v>
      </c>
      <c r="AM1485" s="56">
        <v>25</v>
      </c>
      <c r="AN1485" s="57">
        <f t="shared" si="254"/>
        <v>-66.723136395667225</v>
      </c>
      <c r="AO1485" s="76">
        <f t="shared" si="257"/>
        <v>-25.867985117573504</v>
      </c>
      <c r="AP1485" s="63" t="str">
        <f t="shared" si="258"/>
        <v/>
      </c>
      <c r="AQ1485" s="63" t="str">
        <f t="shared" si="259"/>
        <v>Sell Stocks</v>
      </c>
      <c r="AR1485" s="63" t="str">
        <f t="shared" si="260"/>
        <v/>
      </c>
      <c r="AS1485" s="63" t="str">
        <f t="shared" si="261"/>
        <v/>
      </c>
      <c r="AT1485" s="78" t="str">
        <f t="shared" si="262"/>
        <v/>
      </c>
      <c r="AU1485" s="78" t="str">
        <f t="shared" si="263"/>
        <v/>
      </c>
      <c r="AV1485" s="64" t="str">
        <f ca="1">IFERROR(__xludf.DUMMYFUNCTION("IF(TRIM(AU1485)="""","""",AU1485/INDEX(FILTER(AT$3:AT1485,TRIM(AT$3:AT1485)&lt;&gt;""""),ROWS(FILTER(AT$3:AT1485,TRIM(AT$3:AT1485)&lt;&gt;"""")))-1)"),"")</f>
        <v/>
      </c>
      <c r="AW1485" s="65" t="e">
        <f t="shared" ca="1" si="255"/>
        <v>#VALUE!</v>
      </c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</row>
    <row r="1486" spans="1:68" ht="19" x14ac:dyDescent="0.25">
      <c r="A1486" s="5"/>
      <c r="B1486" s="5"/>
      <c r="C1486" s="5"/>
      <c r="D1486" s="5"/>
      <c r="E1486" s="5"/>
      <c r="F1486" s="5"/>
      <c r="G1486" s="5"/>
      <c r="H1486" s="6"/>
      <c r="I1486" s="5"/>
      <c r="J1486" s="88"/>
      <c r="K1486" s="88"/>
      <c r="L1486" s="88"/>
      <c r="M1486" s="88"/>
      <c r="N1486" s="88"/>
      <c r="O1486" s="88"/>
      <c r="P1486" s="88"/>
      <c r="Q1486" s="89"/>
      <c r="R1486" s="88"/>
      <c r="S1486" s="88"/>
      <c r="T1486" s="90"/>
      <c r="U1486" s="6"/>
      <c r="V1486" s="44">
        <v>46077</v>
      </c>
      <c r="W1486" s="45">
        <v>229.32</v>
      </c>
      <c r="X1486" s="91"/>
      <c r="Y1486" s="77"/>
      <c r="Z1486" s="5"/>
      <c r="AA1486" s="5"/>
      <c r="AB1486" s="5"/>
      <c r="AC1486" s="5"/>
      <c r="AD1486" s="5"/>
      <c r="AE1486" s="5"/>
      <c r="AF1486" s="5"/>
      <c r="AG1486" s="5"/>
      <c r="AH1486" s="6"/>
      <c r="AI1486" s="44">
        <v>46077</v>
      </c>
      <c r="AJ1486" s="53">
        <v>229.32</v>
      </c>
      <c r="AK1486" s="54">
        <f t="shared" si="253"/>
        <v>2.6729348556078003E-2</v>
      </c>
      <c r="AL1486" s="55">
        <f t="shared" si="256"/>
        <v>100.48285262882517</v>
      </c>
      <c r="AM1486" s="56">
        <v>25</v>
      </c>
      <c r="AN1486" s="57">
        <f t="shared" si="254"/>
        <v>-75.482852628825171</v>
      </c>
      <c r="AO1486" s="76">
        <f t="shared" si="257"/>
        <v>-36.410497290959668</v>
      </c>
      <c r="AP1486" s="63" t="str">
        <f t="shared" si="258"/>
        <v/>
      </c>
      <c r="AQ1486" s="63" t="str">
        <f t="shared" si="259"/>
        <v>Sell Stocks</v>
      </c>
      <c r="AR1486" s="63" t="str">
        <f t="shared" si="260"/>
        <v/>
      </c>
      <c r="AS1486" s="63" t="str">
        <f t="shared" si="261"/>
        <v/>
      </c>
      <c r="AT1486" s="78" t="str">
        <f t="shared" si="262"/>
        <v/>
      </c>
      <c r="AU1486" s="78" t="str">
        <f t="shared" si="263"/>
        <v/>
      </c>
      <c r="AV1486" s="64" t="str">
        <f ca="1">IFERROR(__xludf.DUMMYFUNCTION("IF(TRIM(AU1486)="""","""",AU1486/INDEX(FILTER(AT$3:AT1486,TRIM(AT$3:AT1486)&lt;&gt;""""),ROWS(FILTER(AT$3:AT1486,TRIM(AT$3:AT1486)&lt;&gt;"""")))-1)"),"")</f>
        <v/>
      </c>
      <c r="AW1486" s="65" t="e">
        <f t="shared" ca="1" si="255"/>
        <v>#VALUE!</v>
      </c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</row>
    <row r="1487" spans="1:68" ht="19" x14ac:dyDescent="0.25">
      <c r="A1487" s="5"/>
      <c r="B1487" s="5"/>
      <c r="C1487" s="5"/>
      <c r="D1487" s="5"/>
      <c r="E1487" s="5"/>
      <c r="F1487" s="5"/>
      <c r="G1487" s="5"/>
      <c r="H1487" s="6"/>
      <c r="I1487" s="5"/>
      <c r="J1487" s="88"/>
      <c r="K1487" s="88"/>
      <c r="L1487" s="88"/>
      <c r="M1487" s="88"/>
      <c r="N1487" s="88"/>
      <c r="O1487" s="88"/>
      <c r="P1487" s="88"/>
      <c r="Q1487" s="89"/>
      <c r="R1487" s="88"/>
      <c r="S1487" s="88"/>
      <c r="T1487" s="90"/>
      <c r="U1487" s="6"/>
      <c r="V1487" s="44">
        <v>46078</v>
      </c>
      <c r="W1487" s="45">
        <v>237.54</v>
      </c>
      <c r="X1487" s="91"/>
      <c r="Y1487" s="77"/>
      <c r="Z1487" s="5"/>
      <c r="AA1487" s="5"/>
      <c r="AB1487" s="5"/>
      <c r="AC1487" s="5"/>
      <c r="AD1487" s="5"/>
      <c r="AE1487" s="5"/>
      <c r="AF1487" s="5"/>
      <c r="AG1487" s="5"/>
      <c r="AH1487" s="6"/>
      <c r="AI1487" s="44">
        <v>46078</v>
      </c>
      <c r="AJ1487" s="53">
        <v>237.54</v>
      </c>
      <c r="AK1487" s="54">
        <f t="shared" si="253"/>
        <v>3.5845107273678734E-2</v>
      </c>
      <c r="AL1487" s="55">
        <f t="shared" si="256"/>
        <v>107.15559927880697</v>
      </c>
      <c r="AM1487" s="56">
        <v>25</v>
      </c>
      <c r="AN1487" s="57">
        <f t="shared" si="254"/>
        <v>-82.155599278806974</v>
      </c>
      <c r="AO1487" s="76">
        <f t="shared" si="257"/>
        <v>-46.971231798778796</v>
      </c>
      <c r="AP1487" s="63" t="str">
        <f t="shared" si="258"/>
        <v/>
      </c>
      <c r="AQ1487" s="63" t="str">
        <f t="shared" si="259"/>
        <v>Sell Stocks</v>
      </c>
      <c r="AR1487" s="63" t="str">
        <f t="shared" si="260"/>
        <v/>
      </c>
      <c r="AS1487" s="63" t="str">
        <f t="shared" si="261"/>
        <v/>
      </c>
      <c r="AT1487" s="78" t="str">
        <f t="shared" si="262"/>
        <v/>
      </c>
      <c r="AU1487" s="78" t="str">
        <f t="shared" si="263"/>
        <v/>
      </c>
      <c r="AV1487" s="64" t="str">
        <f ca="1">IFERROR(__xludf.DUMMYFUNCTION("IF(TRIM(AU1487)="""","""",AU1487/INDEX(FILTER(AT$3:AT1487,TRIM(AT$3:AT1487)&lt;&gt;""""),ROWS(FILTER(AT$3:AT1487,TRIM(AT$3:AT1487)&lt;&gt;"""")))-1)"),"")</f>
        <v/>
      </c>
      <c r="AW1487" s="65" t="e">
        <f t="shared" ca="1" si="255"/>
        <v>#VALUE!</v>
      </c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</row>
    <row r="1488" spans="1:68" ht="19" x14ac:dyDescent="0.25">
      <c r="A1488" s="5"/>
      <c r="B1488" s="5"/>
      <c r="C1488" s="5"/>
      <c r="D1488" s="5"/>
      <c r="E1488" s="5"/>
      <c r="F1488" s="5"/>
      <c r="G1488" s="5"/>
      <c r="H1488" s="6"/>
      <c r="I1488" s="5"/>
      <c r="J1488" s="88"/>
      <c r="K1488" s="88"/>
      <c r="L1488" s="88"/>
      <c r="M1488" s="88"/>
      <c r="N1488" s="88"/>
      <c r="O1488" s="88"/>
      <c r="P1488" s="88"/>
      <c r="Q1488" s="89"/>
      <c r="R1488" s="88"/>
      <c r="S1488" s="88"/>
      <c r="T1488" s="90"/>
      <c r="U1488" s="6"/>
      <c r="V1488" s="44">
        <v>46079</v>
      </c>
      <c r="W1488" s="45">
        <v>242.01</v>
      </c>
      <c r="X1488" s="91"/>
      <c r="Y1488" s="77"/>
      <c r="Z1488" s="5"/>
      <c r="AA1488" s="5"/>
      <c r="AB1488" s="5"/>
      <c r="AC1488" s="5"/>
      <c r="AD1488" s="5"/>
      <c r="AE1488" s="5"/>
      <c r="AF1488" s="5"/>
      <c r="AG1488" s="5"/>
      <c r="AH1488" s="6"/>
      <c r="AI1488" s="44">
        <v>46079</v>
      </c>
      <c r="AJ1488" s="53">
        <v>242.01</v>
      </c>
      <c r="AK1488" s="54">
        <f t="shared" si="253"/>
        <v>1.881788330386458E-2</v>
      </c>
      <c r="AL1488" s="55">
        <f t="shared" si="256"/>
        <v>110.02642765393664</v>
      </c>
      <c r="AM1488" s="56">
        <v>25</v>
      </c>
      <c r="AN1488" s="57">
        <f t="shared" si="254"/>
        <v>-85.026427653936636</v>
      </c>
      <c r="AO1488" s="76">
        <f t="shared" si="257"/>
        <v>-61.224400154609405</v>
      </c>
      <c r="AP1488" s="63" t="str">
        <f t="shared" si="258"/>
        <v/>
      </c>
      <c r="AQ1488" s="63" t="str">
        <f t="shared" si="259"/>
        <v>Sell Stocks</v>
      </c>
      <c r="AR1488" s="63" t="str">
        <f t="shared" si="260"/>
        <v/>
      </c>
      <c r="AS1488" s="63" t="str">
        <f t="shared" si="261"/>
        <v/>
      </c>
      <c r="AT1488" s="78" t="str">
        <f t="shared" si="262"/>
        <v/>
      </c>
      <c r="AU1488" s="78" t="str">
        <f t="shared" si="263"/>
        <v/>
      </c>
      <c r="AV1488" s="64" t="str">
        <f ca="1">IFERROR(__xludf.DUMMYFUNCTION("IF(TRIM(AU1488)="""","""",AU1488/INDEX(FILTER(AT$3:AT1488,TRIM(AT$3:AT1488)&lt;&gt;""""),ROWS(FILTER(AT$3:AT1488,TRIM(AT$3:AT1488)&lt;&gt;"""")))-1)"),"")</f>
        <v/>
      </c>
      <c r="AW1488" s="65" t="e">
        <f t="shared" ca="1" si="255"/>
        <v>#VALUE!</v>
      </c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</row>
    <row r="1489" spans="1:68" ht="19" x14ac:dyDescent="0.25">
      <c r="A1489" s="5"/>
      <c r="B1489" s="5"/>
      <c r="C1489" s="5"/>
      <c r="D1489" s="5"/>
      <c r="E1489" s="5"/>
      <c r="F1489" s="5"/>
      <c r="G1489" s="5"/>
      <c r="H1489" s="6"/>
      <c r="I1489" s="5"/>
      <c r="J1489" s="88"/>
      <c r="K1489" s="88"/>
      <c r="L1489" s="88"/>
      <c r="M1489" s="88"/>
      <c r="N1489" s="88"/>
      <c r="O1489" s="88"/>
      <c r="P1489" s="88"/>
      <c r="Q1489" s="89"/>
      <c r="R1489" s="88"/>
      <c r="S1489" s="88"/>
      <c r="T1489" s="90"/>
      <c r="U1489" s="6"/>
      <c r="V1489" s="44">
        <v>46080</v>
      </c>
      <c r="W1489" s="45">
        <v>240.21</v>
      </c>
      <c r="X1489" s="91"/>
      <c r="Y1489" s="77"/>
      <c r="Z1489" s="5"/>
      <c r="AA1489" s="5"/>
      <c r="AB1489" s="5"/>
      <c r="AC1489" s="5"/>
      <c r="AD1489" s="5"/>
      <c r="AE1489" s="5"/>
      <c r="AF1489" s="5"/>
      <c r="AG1489" s="5"/>
      <c r="AH1489" s="6"/>
      <c r="AI1489" s="44">
        <v>46080</v>
      </c>
      <c r="AJ1489" s="53">
        <v>240.21</v>
      </c>
      <c r="AK1489" s="54">
        <f t="shared" si="253"/>
        <v>-7.43770918557074E-3</v>
      </c>
      <c r="AL1489" s="55">
        <f t="shared" si="256"/>
        <v>109.50135965666539</v>
      </c>
      <c r="AM1489" s="56">
        <v>25</v>
      </c>
      <c r="AN1489" s="57">
        <f t="shared" si="254"/>
        <v>-84.501359656665386</v>
      </c>
      <c r="AO1489" s="76">
        <f t="shared" si="257"/>
        <v>-78.777875122780273</v>
      </c>
      <c r="AP1489" s="63" t="str">
        <f t="shared" si="258"/>
        <v/>
      </c>
      <c r="AQ1489" s="63" t="str">
        <f t="shared" si="259"/>
        <v>Sell Stocks</v>
      </c>
      <c r="AR1489" s="63" t="str">
        <f t="shared" si="260"/>
        <v/>
      </c>
      <c r="AS1489" s="63" t="str">
        <f t="shared" si="261"/>
        <v/>
      </c>
      <c r="AT1489" s="78" t="str">
        <f t="shared" si="262"/>
        <v/>
      </c>
      <c r="AU1489" s="78" t="str">
        <f t="shared" si="263"/>
        <v/>
      </c>
      <c r="AV1489" s="64" t="str">
        <f ca="1">IFERROR(__xludf.DUMMYFUNCTION("IF(TRIM(AU1489)="""","""",AU1489/INDEX(FILTER(AT$3:AT1489,TRIM(AT$3:AT1489)&lt;&gt;""""),ROWS(FILTER(AT$3:AT1489,TRIM(AT$3:AT1489)&lt;&gt;"""")))-1)"),"")</f>
        <v/>
      </c>
      <c r="AW1489" s="65" t="e">
        <f t="shared" ca="1" si="255"/>
        <v>#VALUE!</v>
      </c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</row>
    <row r="1490" spans="1:68" ht="19" x14ac:dyDescent="0.25">
      <c r="A1490" s="5"/>
      <c r="B1490" s="5"/>
      <c r="C1490" s="5"/>
      <c r="D1490" s="5"/>
      <c r="E1490" s="5"/>
      <c r="F1490" s="5"/>
      <c r="G1490" s="5"/>
      <c r="H1490" s="6"/>
      <c r="I1490" s="5"/>
      <c r="J1490" s="88"/>
      <c r="K1490" s="88"/>
      <c r="L1490" s="88"/>
      <c r="M1490" s="88"/>
      <c r="N1490" s="88"/>
      <c r="O1490" s="88"/>
      <c r="P1490" s="88"/>
      <c r="Q1490" s="89"/>
      <c r="R1490" s="88"/>
      <c r="S1490" s="88"/>
      <c r="T1490" s="90"/>
      <c r="U1490" s="6"/>
      <c r="V1490" s="44">
        <v>46083</v>
      </c>
      <c r="W1490" s="45">
        <v>239.37</v>
      </c>
      <c r="X1490" s="91"/>
      <c r="Y1490" s="77"/>
      <c r="Z1490" s="5"/>
      <c r="AA1490" s="5"/>
      <c r="AB1490" s="5"/>
      <c r="AC1490" s="5"/>
      <c r="AD1490" s="5"/>
      <c r="AE1490" s="5"/>
      <c r="AF1490" s="5"/>
      <c r="AG1490" s="5"/>
      <c r="AH1490" s="6"/>
      <c r="AI1490" s="44">
        <v>46083</v>
      </c>
      <c r="AJ1490" s="53">
        <v>239.37</v>
      </c>
      <c r="AK1490" s="54">
        <f t="shared" si="253"/>
        <v>-3.4969401773448094E-3</v>
      </c>
      <c r="AL1490" s="55">
        <f t="shared" si="256"/>
        <v>29.995400564767401</v>
      </c>
      <c r="AM1490" s="56">
        <v>25</v>
      </c>
      <c r="AN1490" s="57">
        <f t="shared" si="254"/>
        <v>-4.9954005647674009</v>
      </c>
      <c r="AO1490" s="76">
        <f t="shared" si="257"/>
        <v>-66.432327956600318</v>
      </c>
      <c r="AP1490" s="63" t="str">
        <f t="shared" si="258"/>
        <v/>
      </c>
      <c r="AQ1490" s="63" t="str">
        <f t="shared" si="259"/>
        <v>Sell Stocks</v>
      </c>
      <c r="AR1490" s="63" t="str">
        <f t="shared" si="260"/>
        <v/>
      </c>
      <c r="AS1490" s="63" t="str">
        <f t="shared" si="261"/>
        <v/>
      </c>
      <c r="AT1490" s="78" t="str">
        <f t="shared" si="262"/>
        <v/>
      </c>
      <c r="AU1490" s="78" t="str">
        <f t="shared" si="263"/>
        <v/>
      </c>
      <c r="AV1490" s="64" t="str">
        <f ca="1">IFERROR(__xludf.DUMMYFUNCTION("IF(TRIM(AU1490)="""","""",AU1490/INDEX(FILTER(AT$3:AT1490,TRIM(AT$3:AT1490)&lt;&gt;""""),ROWS(FILTER(AT$3:AT1490,TRIM(AT$3:AT1490)&lt;&gt;"""")))-1)"),"")</f>
        <v/>
      </c>
      <c r="AW1490" s="65" t="e">
        <f t="shared" ca="1" si="255"/>
        <v>#VALUE!</v>
      </c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</row>
    <row r="1491" spans="1:68" ht="19" x14ac:dyDescent="0.25">
      <c r="A1491" s="5"/>
      <c r="B1491" s="5"/>
      <c r="C1491" s="5"/>
      <c r="D1491" s="5"/>
      <c r="E1491" s="5"/>
      <c r="F1491" s="5"/>
      <c r="G1491" s="5"/>
      <c r="H1491" s="6"/>
      <c r="I1491" s="5"/>
      <c r="J1491" s="88"/>
      <c r="K1491" s="88"/>
      <c r="L1491" s="88"/>
      <c r="M1491" s="88"/>
      <c r="N1491" s="88"/>
      <c r="O1491" s="88"/>
      <c r="P1491" s="88"/>
      <c r="Q1491" s="89"/>
      <c r="R1491" s="88"/>
      <c r="S1491" s="88"/>
      <c r="T1491" s="90"/>
      <c r="U1491" s="6"/>
      <c r="V1491" s="44">
        <v>46084</v>
      </c>
      <c r="W1491" s="45">
        <v>245.28</v>
      </c>
      <c r="X1491" s="91"/>
      <c r="Y1491" s="77"/>
      <c r="Z1491" s="5"/>
      <c r="AA1491" s="5"/>
      <c r="AB1491" s="5"/>
      <c r="AC1491" s="5"/>
      <c r="AD1491" s="5"/>
      <c r="AE1491" s="5"/>
      <c r="AF1491" s="5"/>
      <c r="AG1491" s="5"/>
      <c r="AH1491" s="6"/>
      <c r="AI1491" s="44">
        <v>46084</v>
      </c>
      <c r="AJ1491" s="53">
        <v>245.28</v>
      </c>
      <c r="AK1491" s="54">
        <f t="shared" si="253"/>
        <v>2.4689810753227182E-2</v>
      </c>
      <c r="AL1491" s="55">
        <f t="shared" si="256"/>
        <v>29.484634686793999</v>
      </c>
      <c r="AM1491" s="56">
        <v>25</v>
      </c>
      <c r="AN1491" s="57">
        <f t="shared" si="254"/>
        <v>-4.4846346867939992</v>
      </c>
      <c r="AO1491" s="76">
        <f t="shared" si="257"/>
        <v>-52.232684368194079</v>
      </c>
      <c r="AP1491" s="63" t="str">
        <f t="shared" si="258"/>
        <v/>
      </c>
      <c r="AQ1491" s="63" t="str">
        <f t="shared" si="259"/>
        <v>Sell Stocks</v>
      </c>
      <c r="AR1491" s="63" t="str">
        <f t="shared" si="260"/>
        <v/>
      </c>
      <c r="AS1491" s="63" t="str">
        <f t="shared" si="261"/>
        <v/>
      </c>
      <c r="AT1491" s="78" t="str">
        <f t="shared" si="262"/>
        <v/>
      </c>
      <c r="AU1491" s="78" t="str">
        <f t="shared" si="263"/>
        <v/>
      </c>
      <c r="AV1491" s="64" t="str">
        <f ca="1">IFERROR(__xludf.DUMMYFUNCTION("IF(TRIM(AU1491)="""","""",AU1491/INDEX(FILTER(AT$3:AT1491,TRIM(AT$3:AT1491)&lt;&gt;""""),ROWS(FILTER(AT$3:AT1491,TRIM(AT$3:AT1491)&lt;&gt;"""")))-1)"),"")</f>
        <v/>
      </c>
      <c r="AW1491" s="65" t="e">
        <f t="shared" ca="1" si="255"/>
        <v>#VALUE!</v>
      </c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</row>
    <row r="1492" spans="1:68" ht="19" x14ac:dyDescent="0.25">
      <c r="A1492" s="5"/>
      <c r="B1492" s="5"/>
      <c r="C1492" s="5"/>
      <c r="D1492" s="5"/>
      <c r="E1492" s="5"/>
      <c r="F1492" s="5"/>
      <c r="G1492" s="5"/>
      <c r="H1492" s="6"/>
      <c r="I1492" s="5"/>
      <c r="J1492" s="88"/>
      <c r="K1492" s="88"/>
      <c r="L1492" s="88"/>
      <c r="M1492" s="88"/>
      <c r="N1492" s="88"/>
      <c r="O1492" s="88"/>
      <c r="P1492" s="88"/>
      <c r="Q1492" s="89"/>
      <c r="R1492" s="88"/>
      <c r="S1492" s="88"/>
      <c r="T1492" s="90"/>
      <c r="U1492" s="6"/>
      <c r="V1492" s="44">
        <v>46085</v>
      </c>
      <c r="W1492" s="45">
        <v>250.06</v>
      </c>
      <c r="X1492" s="91"/>
      <c r="Y1492" s="77"/>
      <c r="Z1492" s="5"/>
      <c r="AA1492" s="5"/>
      <c r="AB1492" s="5"/>
      <c r="AC1492" s="5"/>
      <c r="AD1492" s="5"/>
      <c r="AE1492" s="5"/>
      <c r="AF1492" s="5"/>
      <c r="AG1492" s="5"/>
      <c r="AH1492" s="6"/>
      <c r="AI1492" s="44">
        <v>46085</v>
      </c>
      <c r="AJ1492" s="53">
        <v>250.06</v>
      </c>
      <c r="AK1492" s="54">
        <f t="shared" si="253"/>
        <v>1.9487932159165E-2</v>
      </c>
      <c r="AL1492" s="55">
        <f t="shared" si="256"/>
        <v>23.397511853861367</v>
      </c>
      <c r="AM1492" s="56">
        <v>25</v>
      </c>
      <c r="AN1492" s="57">
        <f t="shared" si="254"/>
        <v>1.6024881461386329</v>
      </c>
      <c r="AO1492" s="76">
        <f t="shared" si="257"/>
        <v>-35.481066883204967</v>
      </c>
      <c r="AP1492" s="63" t="str">
        <f t="shared" si="258"/>
        <v/>
      </c>
      <c r="AQ1492" s="63" t="str">
        <f t="shared" si="259"/>
        <v>Sell Stocks</v>
      </c>
      <c r="AR1492" s="63" t="str">
        <f t="shared" si="260"/>
        <v/>
      </c>
      <c r="AS1492" s="63" t="str">
        <f t="shared" si="261"/>
        <v/>
      </c>
      <c r="AT1492" s="78" t="str">
        <f t="shared" si="262"/>
        <v/>
      </c>
      <c r="AU1492" s="78" t="str">
        <f t="shared" si="263"/>
        <v/>
      </c>
      <c r="AV1492" s="64" t="str">
        <f ca="1">IFERROR(__xludf.DUMMYFUNCTION("IF(TRIM(AU1492)="""","""",AU1492/INDEX(FILTER(AT$3:AT1492,TRIM(AT$3:AT1492)&lt;&gt;""""),ROWS(FILTER(AT$3:AT1492,TRIM(AT$3:AT1492)&lt;&gt;"""")))-1)"),"")</f>
        <v/>
      </c>
      <c r="AW1492" s="65" t="e">
        <f t="shared" ca="1" si="255"/>
        <v>#VALUE!</v>
      </c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</row>
    <row r="1493" spans="1:68" ht="19" x14ac:dyDescent="0.25">
      <c r="A1493" s="5"/>
      <c r="B1493" s="5"/>
      <c r="C1493" s="5"/>
      <c r="D1493" s="5"/>
      <c r="E1493" s="5"/>
      <c r="F1493" s="5"/>
      <c r="G1493" s="5"/>
      <c r="H1493" s="6"/>
      <c r="I1493" s="5"/>
      <c r="J1493" s="88"/>
      <c r="K1493" s="88"/>
      <c r="L1493" s="88"/>
      <c r="M1493" s="88"/>
      <c r="N1493" s="88"/>
      <c r="O1493" s="88"/>
      <c r="P1493" s="88"/>
      <c r="Q1493" s="89"/>
      <c r="R1493" s="88"/>
      <c r="S1493" s="88"/>
      <c r="T1493" s="90"/>
      <c r="U1493" s="6"/>
      <c r="V1493" s="44">
        <v>46086</v>
      </c>
      <c r="W1493" s="45">
        <v>256.55</v>
      </c>
      <c r="X1493" s="91"/>
      <c r="Y1493" s="77"/>
      <c r="Z1493" s="5"/>
      <c r="AA1493" s="5"/>
      <c r="AB1493" s="5"/>
      <c r="AC1493" s="5"/>
      <c r="AD1493" s="5"/>
      <c r="AE1493" s="5"/>
      <c r="AF1493" s="5"/>
      <c r="AG1493" s="5"/>
      <c r="AH1493" s="6"/>
      <c r="AI1493" s="44">
        <v>46086</v>
      </c>
      <c r="AJ1493" s="53">
        <v>256.55</v>
      </c>
      <c r="AK1493" s="54">
        <f t="shared" si="253"/>
        <v>2.595377109493735E-2</v>
      </c>
      <c r="AL1493" s="55">
        <f t="shared" si="256"/>
        <v>25.469296606793073</v>
      </c>
      <c r="AM1493" s="56">
        <v>25</v>
      </c>
      <c r="AN1493" s="57">
        <f t="shared" si="254"/>
        <v>-0.46929660679307261</v>
      </c>
      <c r="AO1493" s="76">
        <f t="shared" si="257"/>
        <v>-18.569640673776245</v>
      </c>
      <c r="AP1493" s="63" t="str">
        <f t="shared" si="258"/>
        <v/>
      </c>
      <c r="AQ1493" s="63" t="str">
        <f t="shared" si="259"/>
        <v>Sell Stocks</v>
      </c>
      <c r="AR1493" s="63" t="str">
        <f t="shared" si="260"/>
        <v/>
      </c>
      <c r="AS1493" s="63" t="str">
        <f t="shared" si="261"/>
        <v/>
      </c>
      <c r="AT1493" s="78" t="str">
        <f t="shared" si="262"/>
        <v/>
      </c>
      <c r="AU1493" s="78" t="str">
        <f t="shared" si="263"/>
        <v/>
      </c>
      <c r="AV1493" s="64" t="str">
        <f ca="1">IFERROR(__xludf.DUMMYFUNCTION("IF(TRIM(AU1493)="""","""",AU1493/INDEX(FILTER(AT$3:AT1493,TRIM(AT$3:AT1493)&lt;&gt;""""),ROWS(FILTER(AT$3:AT1493,TRIM(AT$3:AT1493)&lt;&gt;"""")))-1)"),"")</f>
        <v/>
      </c>
      <c r="AW1493" s="65" t="e">
        <f t="shared" ca="1" si="255"/>
        <v>#VALUE!</v>
      </c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</row>
    <row r="1494" spans="1:68" ht="19" x14ac:dyDescent="0.25">
      <c r="A1494" s="5"/>
      <c r="B1494" s="5"/>
      <c r="C1494" s="5"/>
      <c r="D1494" s="5"/>
      <c r="E1494" s="5"/>
      <c r="F1494" s="5"/>
      <c r="G1494" s="5"/>
      <c r="H1494" s="6"/>
      <c r="I1494" s="5"/>
      <c r="J1494" s="88"/>
      <c r="K1494" s="88"/>
      <c r="L1494" s="88"/>
      <c r="M1494" s="88"/>
      <c r="N1494" s="88"/>
      <c r="O1494" s="88"/>
      <c r="P1494" s="88"/>
      <c r="Q1494" s="89"/>
      <c r="R1494" s="88"/>
      <c r="S1494" s="88"/>
      <c r="T1494" s="90"/>
      <c r="U1494" s="6"/>
      <c r="V1494" s="44">
        <v>46087</v>
      </c>
      <c r="W1494" s="45">
        <v>258.85000000000002</v>
      </c>
      <c r="X1494" s="91"/>
      <c r="Y1494" s="77"/>
      <c r="Z1494" s="5"/>
      <c r="AA1494" s="5"/>
      <c r="AB1494" s="5"/>
      <c r="AC1494" s="5"/>
      <c r="AD1494" s="5"/>
      <c r="AE1494" s="5"/>
      <c r="AF1494" s="5"/>
      <c r="AG1494" s="5"/>
      <c r="AH1494" s="6"/>
      <c r="AI1494" s="44">
        <v>46087</v>
      </c>
      <c r="AJ1494" s="53">
        <v>258.85000000000002</v>
      </c>
      <c r="AK1494" s="54">
        <f t="shared" si="253"/>
        <v>8.9651140128630402E-3</v>
      </c>
      <c r="AL1494" s="55">
        <f t="shared" si="256"/>
        <v>19.643762030004996</v>
      </c>
      <c r="AM1494" s="56">
        <v>25</v>
      </c>
      <c r="AN1494" s="57">
        <f t="shared" si="254"/>
        <v>5.3562379699950036</v>
      </c>
      <c r="AO1494" s="76">
        <f t="shared" si="257"/>
        <v>-0.59812114844416731</v>
      </c>
      <c r="AP1494" s="63" t="str">
        <f t="shared" si="258"/>
        <v/>
      </c>
      <c r="AQ1494" s="63" t="str">
        <f t="shared" si="259"/>
        <v>Sell Stocks</v>
      </c>
      <c r="AR1494" s="63" t="str">
        <f t="shared" si="260"/>
        <v/>
      </c>
      <c r="AS1494" s="63" t="str">
        <f t="shared" si="261"/>
        <v/>
      </c>
      <c r="AT1494" s="78" t="str">
        <f t="shared" si="262"/>
        <v/>
      </c>
      <c r="AU1494" s="78" t="str">
        <f t="shared" si="263"/>
        <v/>
      </c>
      <c r="AV1494" s="64" t="str">
        <f ca="1">IFERROR(__xludf.DUMMYFUNCTION("IF(TRIM(AU1494)="""","""",AU1494/INDEX(FILTER(AT$3:AT1494,TRIM(AT$3:AT1494)&lt;&gt;""""),ROWS(FILTER(AT$3:AT1494,TRIM(AT$3:AT1494)&lt;&gt;"""")))-1)"),"")</f>
        <v/>
      </c>
      <c r="AW1494" s="65" t="e">
        <f t="shared" ca="1" si="255"/>
        <v>#VALUE!</v>
      </c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</row>
    <row r="1495" spans="1:68" ht="19" x14ac:dyDescent="0.25">
      <c r="A1495" s="5"/>
      <c r="B1495" s="5"/>
      <c r="C1495" s="5"/>
      <c r="D1495" s="5"/>
      <c r="E1495" s="5"/>
      <c r="F1495" s="5"/>
      <c r="G1495" s="5"/>
      <c r="H1495" s="6"/>
      <c r="I1495" s="5"/>
      <c r="J1495" s="88"/>
      <c r="K1495" s="88"/>
      <c r="L1495" s="88"/>
      <c r="M1495" s="88"/>
      <c r="N1495" s="88"/>
      <c r="O1495" s="88"/>
      <c r="P1495" s="88"/>
      <c r="Q1495" s="89"/>
      <c r="R1495" s="88"/>
      <c r="S1495" s="88"/>
      <c r="T1495" s="90"/>
      <c r="U1495" s="6"/>
      <c r="V1495" s="44">
        <v>46090</v>
      </c>
      <c r="W1495" s="45">
        <v>253.33</v>
      </c>
      <c r="X1495" s="91"/>
      <c r="Y1495" s="77"/>
      <c r="Z1495" s="5"/>
      <c r="AA1495" s="5"/>
      <c r="AB1495" s="5"/>
      <c r="AC1495" s="5"/>
      <c r="AD1495" s="5"/>
      <c r="AE1495" s="5"/>
      <c r="AF1495" s="5"/>
      <c r="AG1495" s="5"/>
      <c r="AH1495" s="6"/>
      <c r="AI1495" s="44">
        <v>46090</v>
      </c>
      <c r="AJ1495" s="53">
        <v>253.33</v>
      </c>
      <c r="AK1495" s="54">
        <f t="shared" si="253"/>
        <v>-2.1325091751979941E-2</v>
      </c>
      <c r="AL1495" s="55">
        <f t="shared" si="256"/>
        <v>31.052696275663301</v>
      </c>
      <c r="AM1495" s="56">
        <v>25</v>
      </c>
      <c r="AN1495" s="57">
        <f t="shared" si="254"/>
        <v>-6.0526962756633012</v>
      </c>
      <c r="AO1495" s="76">
        <f t="shared" si="257"/>
        <v>-0.80958029062334735</v>
      </c>
      <c r="AP1495" s="63" t="str">
        <f t="shared" si="258"/>
        <v/>
      </c>
      <c r="AQ1495" s="63" t="str">
        <f t="shared" si="259"/>
        <v>Sell Stocks</v>
      </c>
      <c r="AR1495" s="63" t="str">
        <f t="shared" si="260"/>
        <v/>
      </c>
      <c r="AS1495" s="63" t="str">
        <f t="shared" si="261"/>
        <v/>
      </c>
      <c r="AT1495" s="78" t="str">
        <f t="shared" si="262"/>
        <v/>
      </c>
      <c r="AU1495" s="78" t="str">
        <f t="shared" si="263"/>
        <v/>
      </c>
      <c r="AV1495" s="64" t="str">
        <f ca="1">IFERROR(__xludf.DUMMYFUNCTION("IF(TRIM(AU1495)="""","""",AU1495/INDEX(FILTER(AT$3:AT1495,TRIM(AT$3:AT1495)&lt;&gt;""""),ROWS(FILTER(AT$3:AT1495,TRIM(AT$3:AT1495)&lt;&gt;"""")))-1)"),"")</f>
        <v/>
      </c>
      <c r="AW1495" s="65" t="e">
        <f t="shared" ca="1" si="255"/>
        <v>#VALUE!</v>
      </c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</row>
    <row r="1496" spans="1:68" ht="19" x14ac:dyDescent="0.25">
      <c r="A1496" s="5"/>
      <c r="B1496" s="5"/>
      <c r="C1496" s="5"/>
      <c r="D1496" s="5"/>
      <c r="E1496" s="5"/>
      <c r="F1496" s="5"/>
      <c r="G1496" s="5"/>
      <c r="H1496" s="6"/>
      <c r="I1496" s="5"/>
      <c r="J1496" s="88"/>
      <c r="K1496" s="88"/>
      <c r="L1496" s="88"/>
      <c r="M1496" s="88"/>
      <c r="N1496" s="88"/>
      <c r="O1496" s="88"/>
      <c r="P1496" s="88"/>
      <c r="Q1496" s="89"/>
      <c r="R1496" s="88"/>
      <c r="S1496" s="88"/>
      <c r="T1496" s="90"/>
      <c r="U1496" s="6"/>
      <c r="V1496" s="44">
        <v>46091</v>
      </c>
      <c r="W1496" s="45">
        <v>250.2</v>
      </c>
      <c r="X1496" s="91"/>
      <c r="Y1496" s="77"/>
      <c r="Z1496" s="5"/>
      <c r="AA1496" s="5"/>
      <c r="AB1496" s="5"/>
      <c r="AC1496" s="5"/>
      <c r="AD1496" s="5"/>
      <c r="AE1496" s="5"/>
      <c r="AF1496" s="5"/>
      <c r="AG1496" s="5"/>
      <c r="AH1496" s="6"/>
      <c r="AI1496" s="44">
        <v>46091</v>
      </c>
      <c r="AJ1496" s="53">
        <v>250.2</v>
      </c>
      <c r="AK1496" s="54">
        <f t="shared" si="253"/>
        <v>-1.2355425729286051E-2</v>
      </c>
      <c r="AL1496" s="55">
        <f t="shared" si="256"/>
        <v>32.292541662698326</v>
      </c>
      <c r="AM1496" s="56">
        <v>25</v>
      </c>
      <c r="AN1496" s="57">
        <f t="shared" si="254"/>
        <v>-7.2925416626983264</v>
      </c>
      <c r="AO1496" s="76">
        <f t="shared" si="257"/>
        <v>-1.3711616858042128</v>
      </c>
      <c r="AP1496" s="63" t="str">
        <f t="shared" si="258"/>
        <v/>
      </c>
      <c r="AQ1496" s="63" t="str">
        <f t="shared" si="259"/>
        <v>Sell Stocks</v>
      </c>
      <c r="AR1496" s="63" t="str">
        <f t="shared" si="260"/>
        <v/>
      </c>
      <c r="AS1496" s="63" t="str">
        <f t="shared" si="261"/>
        <v/>
      </c>
      <c r="AT1496" s="78" t="str">
        <f t="shared" si="262"/>
        <v/>
      </c>
      <c r="AU1496" s="78" t="str">
        <f t="shared" si="263"/>
        <v/>
      </c>
      <c r="AV1496" s="64" t="str">
        <f ca="1">IFERROR(__xludf.DUMMYFUNCTION("IF(TRIM(AU1496)="""","""",AU1496/INDEX(FILTER(AT$3:AT1496,TRIM(AT$3:AT1496)&lt;&gt;""""),ROWS(FILTER(AT$3:AT1496,TRIM(AT$3:AT1496)&lt;&gt;"""")))-1)"),"")</f>
        <v/>
      </c>
      <c r="AW1496" s="65" t="e">
        <f t="shared" ca="1" si="255"/>
        <v>#VALUE!</v>
      </c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</row>
    <row r="1497" spans="1:68" ht="19" x14ac:dyDescent="0.25">
      <c r="A1497" s="5"/>
      <c r="B1497" s="5"/>
      <c r="C1497" s="5"/>
      <c r="D1497" s="5"/>
      <c r="E1497" s="5"/>
      <c r="F1497" s="5"/>
      <c r="G1497" s="5"/>
      <c r="H1497" s="6"/>
      <c r="I1497" s="5"/>
      <c r="J1497" s="88"/>
      <c r="K1497" s="88"/>
      <c r="L1497" s="88"/>
      <c r="M1497" s="88"/>
      <c r="N1497" s="88"/>
      <c r="O1497" s="88"/>
      <c r="P1497" s="88"/>
      <c r="Q1497" s="89"/>
      <c r="R1497" s="88"/>
      <c r="S1497" s="88"/>
      <c r="T1497" s="90"/>
      <c r="U1497" s="6"/>
      <c r="V1497" s="44">
        <v>46092</v>
      </c>
      <c r="W1497" s="45">
        <v>248.87</v>
      </c>
      <c r="X1497" s="91"/>
      <c r="Y1497" s="77"/>
      <c r="Z1497" s="5"/>
      <c r="AA1497" s="5"/>
      <c r="AB1497" s="5"/>
      <c r="AC1497" s="5"/>
      <c r="AD1497" s="5"/>
      <c r="AE1497" s="5"/>
      <c r="AF1497" s="5"/>
      <c r="AG1497" s="5"/>
      <c r="AH1497" s="6"/>
      <c r="AI1497" s="44">
        <v>46092</v>
      </c>
      <c r="AJ1497" s="53">
        <v>248.87</v>
      </c>
      <c r="AK1497" s="54">
        <f t="shared" si="253"/>
        <v>-5.3157474020782969E-3</v>
      </c>
      <c r="AL1497" s="55">
        <f t="shared" si="256"/>
        <v>29.553027655643486</v>
      </c>
      <c r="AM1497" s="56">
        <v>25</v>
      </c>
      <c r="AN1497" s="57">
        <f t="shared" si="254"/>
        <v>-4.5530276556434863</v>
      </c>
      <c r="AO1497" s="76">
        <f t="shared" si="257"/>
        <v>-2.6022648461606366</v>
      </c>
      <c r="AP1497" s="63" t="str">
        <f t="shared" si="258"/>
        <v/>
      </c>
      <c r="AQ1497" s="63" t="str">
        <f t="shared" si="259"/>
        <v>Sell Stocks</v>
      </c>
      <c r="AR1497" s="63" t="str">
        <f t="shared" si="260"/>
        <v/>
      </c>
      <c r="AS1497" s="63" t="str">
        <f t="shared" si="261"/>
        <v/>
      </c>
      <c r="AT1497" s="78" t="str">
        <f t="shared" si="262"/>
        <v/>
      </c>
      <c r="AU1497" s="78" t="str">
        <f t="shared" si="263"/>
        <v/>
      </c>
      <c r="AV1497" s="64" t="str">
        <f ca="1">IFERROR(__xludf.DUMMYFUNCTION("IF(TRIM(AU1497)="""","""",AU1497/INDEX(FILTER(AT$3:AT1497,TRIM(AT$3:AT1497)&lt;&gt;""""),ROWS(FILTER(AT$3:AT1497,TRIM(AT$3:AT1497)&lt;&gt;"""")))-1)"),"")</f>
        <v/>
      </c>
      <c r="AW1497" s="65" t="e">
        <f t="shared" ca="1" si="255"/>
        <v>#VALUE!</v>
      </c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</row>
    <row r="1498" spans="1:68" ht="19" x14ac:dyDescent="0.25">
      <c r="A1498" s="5"/>
      <c r="B1498" s="5"/>
      <c r="C1498" s="5"/>
      <c r="D1498" s="5"/>
      <c r="E1498" s="5"/>
      <c r="F1498" s="5"/>
      <c r="G1498" s="5"/>
      <c r="H1498" s="6"/>
      <c r="I1498" s="5"/>
      <c r="J1498" s="88"/>
      <c r="K1498" s="88"/>
      <c r="L1498" s="88"/>
      <c r="M1498" s="88"/>
      <c r="N1498" s="88"/>
      <c r="O1498" s="88"/>
      <c r="P1498" s="88"/>
      <c r="Q1498" s="89"/>
      <c r="R1498" s="88"/>
      <c r="S1498" s="88"/>
      <c r="T1498" s="90"/>
      <c r="U1498" s="6"/>
      <c r="V1498" s="44">
        <v>46093</v>
      </c>
      <c r="W1498" s="45">
        <v>247.68</v>
      </c>
      <c r="X1498" s="91"/>
      <c r="Y1498" s="77"/>
      <c r="Z1498" s="5"/>
      <c r="AA1498" s="5"/>
      <c r="AB1498" s="5"/>
      <c r="AC1498" s="5"/>
      <c r="AD1498" s="5"/>
      <c r="AE1498" s="5"/>
      <c r="AF1498" s="5"/>
      <c r="AG1498" s="5"/>
      <c r="AH1498" s="6"/>
      <c r="AI1498" s="44">
        <v>46093</v>
      </c>
      <c r="AJ1498" s="53">
        <v>247.68</v>
      </c>
      <c r="AK1498" s="54">
        <f t="shared" si="253"/>
        <v>-4.7816128902640198E-3</v>
      </c>
      <c r="AL1498" s="55">
        <f t="shared" si="256"/>
        <v>17.686450281807513</v>
      </c>
      <c r="AM1498" s="56">
        <v>25</v>
      </c>
      <c r="AN1498" s="57">
        <f t="shared" si="254"/>
        <v>7.3135497181924869</v>
      </c>
      <c r="AO1498" s="76">
        <f t="shared" si="257"/>
        <v>-1.0456955811635247</v>
      </c>
      <c r="AP1498" s="63" t="str">
        <f t="shared" si="258"/>
        <v/>
      </c>
      <c r="AQ1498" s="63" t="str">
        <f t="shared" si="259"/>
        <v>Sell Stocks</v>
      </c>
      <c r="AR1498" s="63" t="str">
        <f t="shared" si="260"/>
        <v/>
      </c>
      <c r="AS1498" s="63" t="str">
        <f t="shared" si="261"/>
        <v/>
      </c>
      <c r="AT1498" s="78" t="str">
        <f t="shared" si="262"/>
        <v/>
      </c>
      <c r="AU1498" s="78" t="str">
        <f t="shared" si="263"/>
        <v/>
      </c>
      <c r="AV1498" s="64" t="str">
        <f ca="1">IFERROR(__xludf.DUMMYFUNCTION("IF(TRIM(AU1498)="""","""",AU1498/INDEX(FILTER(AT$3:AT1498,TRIM(AT$3:AT1498)&lt;&gt;""""),ROWS(FILTER(AT$3:AT1498,TRIM(AT$3:AT1498)&lt;&gt;"""")))-1)"),"")</f>
        <v/>
      </c>
      <c r="AW1498" s="65" t="e">
        <f t="shared" ca="1" si="255"/>
        <v>#VALUE!</v>
      </c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</row>
    <row r="1499" spans="1:68" ht="19" x14ac:dyDescent="0.25">
      <c r="A1499" s="5"/>
      <c r="B1499" s="5"/>
      <c r="C1499" s="5"/>
      <c r="D1499" s="5"/>
      <c r="E1499" s="5"/>
      <c r="F1499" s="5"/>
      <c r="G1499" s="5"/>
      <c r="H1499" s="6"/>
      <c r="I1499" s="5"/>
      <c r="J1499" s="88"/>
      <c r="K1499" s="88"/>
      <c r="L1499" s="88"/>
      <c r="M1499" s="88"/>
      <c r="N1499" s="88"/>
      <c r="O1499" s="88"/>
      <c r="P1499" s="88"/>
      <c r="Q1499" s="89"/>
      <c r="R1499" s="88"/>
      <c r="S1499" s="88"/>
      <c r="T1499" s="90"/>
      <c r="U1499" s="6"/>
      <c r="V1499" s="44">
        <v>46094</v>
      </c>
      <c r="W1499" s="45">
        <v>246.28</v>
      </c>
      <c r="X1499" s="91"/>
      <c r="Y1499" s="77"/>
      <c r="Z1499" s="5"/>
      <c r="AA1499" s="5"/>
      <c r="AB1499" s="5"/>
      <c r="AC1499" s="5"/>
      <c r="AD1499" s="5"/>
      <c r="AE1499" s="5"/>
      <c r="AF1499" s="5"/>
      <c r="AG1499" s="5"/>
      <c r="AH1499" s="6"/>
      <c r="AI1499" s="44">
        <v>46094</v>
      </c>
      <c r="AJ1499" s="53">
        <v>246.28</v>
      </c>
      <c r="AK1499" s="54">
        <f t="shared" si="253"/>
        <v>-5.6524547803618042E-3</v>
      </c>
      <c r="AL1499" s="55">
        <f t="shared" si="256"/>
        <v>11.275811815117359</v>
      </c>
      <c r="AM1499" s="56">
        <v>25</v>
      </c>
      <c r="AN1499" s="57">
        <f t="shared" si="254"/>
        <v>13.724188184882641</v>
      </c>
      <c r="AO1499" s="76">
        <f t="shared" si="257"/>
        <v>0.62789446181400277</v>
      </c>
      <c r="AP1499" s="63" t="str">
        <f t="shared" si="258"/>
        <v>Buy Stocks</v>
      </c>
      <c r="AQ1499" s="63" t="str">
        <f t="shared" si="259"/>
        <v/>
      </c>
      <c r="AR1499" s="63" t="str">
        <f t="shared" si="260"/>
        <v>Buy Stocks</v>
      </c>
      <c r="AS1499" s="63" t="str">
        <f t="shared" si="261"/>
        <v/>
      </c>
      <c r="AT1499" s="77">
        <f t="shared" si="262"/>
        <v>246.28</v>
      </c>
      <c r="AU1499" s="78" t="str">
        <f t="shared" si="263"/>
        <v/>
      </c>
      <c r="AV1499" s="64" t="str">
        <f ca="1">IFERROR(__xludf.DUMMYFUNCTION("IF(TRIM(AU1499)="""","""",AU1499/INDEX(FILTER(AT$3:AT1499,TRIM(AT$3:AT1499)&lt;&gt;""""),ROWS(FILTER(AT$3:AT1499,TRIM(AT$3:AT1499)&lt;&gt;"""")))-1)"),"")</f>
        <v/>
      </c>
      <c r="AW1499" s="65" t="e">
        <f t="shared" ca="1" si="255"/>
        <v>#VALUE!</v>
      </c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</row>
    <row r="1500" spans="1:68" ht="19" x14ac:dyDescent="0.25">
      <c r="A1500" s="5"/>
      <c r="B1500" s="5"/>
      <c r="C1500" s="5"/>
      <c r="D1500" s="5"/>
      <c r="E1500" s="5"/>
      <c r="F1500" s="5"/>
      <c r="G1500" s="5"/>
      <c r="H1500" s="6"/>
      <c r="I1500" s="5"/>
      <c r="J1500" s="88"/>
      <c r="K1500" s="88"/>
      <c r="L1500" s="88"/>
      <c r="M1500" s="88"/>
      <c r="N1500" s="88"/>
      <c r="O1500" s="88"/>
      <c r="P1500" s="88"/>
      <c r="Q1500" s="89"/>
      <c r="R1500" s="88"/>
      <c r="S1500" s="88"/>
      <c r="T1500" s="90"/>
      <c r="U1500" s="6"/>
      <c r="V1500" s="44">
        <v>46097</v>
      </c>
      <c r="W1500" s="45">
        <v>249.25</v>
      </c>
      <c r="X1500" s="91"/>
      <c r="Y1500" s="77"/>
      <c r="Z1500" s="5"/>
      <c r="AA1500" s="5"/>
      <c r="AB1500" s="5"/>
      <c r="AC1500" s="5"/>
      <c r="AD1500" s="5"/>
      <c r="AE1500" s="5"/>
      <c r="AF1500" s="5"/>
      <c r="AG1500" s="5"/>
      <c r="AH1500" s="6"/>
      <c r="AI1500" s="44">
        <v>46097</v>
      </c>
      <c r="AJ1500" s="53">
        <v>249.25</v>
      </c>
      <c r="AK1500" s="54">
        <f t="shared" si="253"/>
        <v>1.2059444534676E-2</v>
      </c>
      <c r="AL1500" s="55">
        <f t="shared" si="256"/>
        <v>14.411405746381925</v>
      </c>
      <c r="AM1500" s="56">
        <v>25</v>
      </c>
      <c r="AN1500" s="57">
        <f t="shared" si="254"/>
        <v>10.588594253618075</v>
      </c>
      <c r="AO1500" s="76">
        <f t="shared" si="257"/>
        <v>3.9561525676702778</v>
      </c>
      <c r="AP1500" s="63" t="str">
        <f t="shared" si="258"/>
        <v>Buy Stocks</v>
      </c>
      <c r="AQ1500" s="63" t="str">
        <f t="shared" si="259"/>
        <v/>
      </c>
      <c r="AR1500" s="63" t="str">
        <f t="shared" si="260"/>
        <v/>
      </c>
      <c r="AS1500" s="63" t="str">
        <f t="shared" si="261"/>
        <v/>
      </c>
      <c r="AT1500" s="78" t="str">
        <f t="shared" si="262"/>
        <v/>
      </c>
      <c r="AU1500" s="78" t="str">
        <f t="shared" si="263"/>
        <v/>
      </c>
      <c r="AV1500" s="64" t="str">
        <f ca="1">IFERROR(__xludf.DUMMYFUNCTION("IF(TRIM(AU1500)="""","""",AU1500/INDEX(FILTER(AT$3:AT1500,TRIM(AT$3:AT1500)&lt;&gt;""""),ROWS(FILTER(AT$3:AT1500,TRIM(AT$3:AT1500)&lt;&gt;"""")))-1)"),"")</f>
        <v/>
      </c>
      <c r="AW1500" s="65" t="e">
        <f t="shared" ca="1" si="255"/>
        <v>#VALUE!</v>
      </c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</row>
    <row r="1501" spans="1:68" ht="19" x14ac:dyDescent="0.25">
      <c r="A1501" s="5"/>
      <c r="B1501" s="5"/>
      <c r="C1501" s="5"/>
      <c r="D1501" s="5"/>
      <c r="E1501" s="5"/>
      <c r="F1501" s="5"/>
      <c r="G1501" s="5"/>
      <c r="H1501" s="6"/>
      <c r="I1501" s="5"/>
      <c r="J1501" s="88"/>
      <c r="K1501" s="88"/>
      <c r="L1501" s="88"/>
      <c r="M1501" s="88"/>
      <c r="N1501" s="88"/>
      <c r="O1501" s="88"/>
      <c r="P1501" s="88"/>
      <c r="Q1501" s="89"/>
      <c r="R1501" s="88"/>
      <c r="S1501" s="88"/>
      <c r="T1501" s="90"/>
      <c r="U1501" s="6"/>
      <c r="V1501" s="44">
        <v>46098</v>
      </c>
      <c r="W1501" s="45">
        <v>256.11</v>
      </c>
      <c r="X1501" s="91"/>
      <c r="Y1501" s="77"/>
      <c r="Z1501" s="5"/>
      <c r="AA1501" s="5"/>
      <c r="AB1501" s="5"/>
      <c r="AC1501" s="5"/>
      <c r="AD1501" s="5"/>
      <c r="AE1501" s="5"/>
      <c r="AF1501" s="5"/>
      <c r="AG1501" s="5"/>
      <c r="AH1501" s="6"/>
      <c r="AI1501" s="44">
        <v>46098</v>
      </c>
      <c r="AJ1501" s="53">
        <v>256.11</v>
      </c>
      <c r="AK1501" s="54">
        <f t="shared" si="253"/>
        <v>2.7522567703109457E-2</v>
      </c>
      <c r="AL1501" s="55">
        <f t="shared" si="256"/>
        <v>23.443784304435713</v>
      </c>
      <c r="AM1501" s="56">
        <v>25</v>
      </c>
      <c r="AN1501" s="57">
        <f t="shared" si="254"/>
        <v>1.556215695564287</v>
      </c>
      <c r="AO1501" s="76">
        <f t="shared" si="257"/>
        <v>5.7259040393228009</v>
      </c>
      <c r="AP1501" s="63" t="str">
        <f t="shared" si="258"/>
        <v>Buy Stocks</v>
      </c>
      <c r="AQ1501" s="63" t="str">
        <f t="shared" si="259"/>
        <v/>
      </c>
      <c r="AR1501" s="63" t="str">
        <f t="shared" si="260"/>
        <v/>
      </c>
      <c r="AS1501" s="63" t="str">
        <f t="shared" si="261"/>
        <v/>
      </c>
      <c r="AT1501" s="78" t="str">
        <f t="shared" si="262"/>
        <v/>
      </c>
      <c r="AU1501" s="78" t="str">
        <f t="shared" si="263"/>
        <v/>
      </c>
      <c r="AV1501" s="64" t="str">
        <f ca="1">IFERROR(__xludf.DUMMYFUNCTION("IF(TRIM(AU1501)="""","""",AU1501/INDEX(FILTER(AT$3:AT1501,TRIM(AT$3:AT1501)&lt;&gt;""""),ROWS(FILTER(AT$3:AT1501,TRIM(AT$3:AT1501)&lt;&gt;"""")))-1)"),"")</f>
        <v/>
      </c>
      <c r="AW1501" s="65" t="e">
        <f t="shared" ca="1" si="255"/>
        <v>#VALUE!</v>
      </c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</row>
    <row r="1502" spans="1:68" ht="19" x14ac:dyDescent="0.25">
      <c r="A1502" s="5"/>
      <c r="B1502" s="5"/>
      <c r="C1502" s="5"/>
      <c r="D1502" s="5"/>
      <c r="E1502" s="5"/>
      <c r="F1502" s="5"/>
      <c r="G1502" s="5"/>
      <c r="H1502" s="6"/>
      <c r="I1502" s="5"/>
      <c r="J1502" s="88"/>
      <c r="K1502" s="88"/>
      <c r="L1502" s="88"/>
      <c r="M1502" s="88"/>
      <c r="N1502" s="88"/>
      <c r="O1502" s="88"/>
      <c r="P1502" s="88"/>
      <c r="Q1502" s="89"/>
      <c r="R1502" s="88"/>
      <c r="S1502" s="88"/>
      <c r="T1502" s="90"/>
      <c r="U1502" s="6"/>
      <c r="V1502" s="44">
        <v>46099</v>
      </c>
      <c r="W1502" s="45">
        <v>251.6</v>
      </c>
      <c r="X1502" s="91"/>
      <c r="Y1502" s="77"/>
      <c r="Z1502" s="5"/>
      <c r="AA1502" s="5"/>
      <c r="AB1502" s="5"/>
      <c r="AC1502" s="5"/>
      <c r="AD1502" s="5"/>
      <c r="AE1502" s="5"/>
      <c r="AF1502" s="5"/>
      <c r="AG1502" s="5"/>
      <c r="AH1502" s="6"/>
      <c r="AI1502" s="44">
        <v>46099</v>
      </c>
      <c r="AJ1502" s="53">
        <v>251.6</v>
      </c>
      <c r="AK1502" s="54">
        <f t="shared" si="253"/>
        <v>-1.7609620866034237E-2</v>
      </c>
      <c r="AL1502" s="55">
        <f t="shared" si="256"/>
        <v>27.963568172998816</v>
      </c>
      <c r="AM1502" s="56">
        <v>25</v>
      </c>
      <c r="AN1502" s="57">
        <f t="shared" si="254"/>
        <v>-2.9635681729988157</v>
      </c>
      <c r="AO1502" s="76">
        <f t="shared" si="257"/>
        <v>6.0437959358517341</v>
      </c>
      <c r="AP1502" s="63" t="str">
        <f t="shared" si="258"/>
        <v>Buy Stocks</v>
      </c>
      <c r="AQ1502" s="63" t="str">
        <f t="shared" si="259"/>
        <v/>
      </c>
      <c r="AR1502" s="63" t="str">
        <f t="shared" si="260"/>
        <v/>
      </c>
      <c r="AS1502" s="63" t="str">
        <f t="shared" si="261"/>
        <v/>
      </c>
      <c r="AT1502" s="78" t="str">
        <f t="shared" si="262"/>
        <v/>
      </c>
      <c r="AU1502" s="78" t="str">
        <f t="shared" si="263"/>
        <v/>
      </c>
      <c r="AV1502" s="64" t="str">
        <f ca="1">IFERROR(__xludf.DUMMYFUNCTION("IF(TRIM(AU1502)="""","""",AU1502/INDEX(FILTER(AT$3:AT1502,TRIM(AT$3:AT1502)&lt;&gt;""""),ROWS(FILTER(AT$3:AT1502,TRIM(AT$3:AT1502)&lt;&gt;"""")))-1)"),"")</f>
        <v/>
      </c>
      <c r="AW1502" s="65" t="e">
        <f t="shared" ca="1" si="255"/>
        <v>#VALUE!</v>
      </c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</row>
    <row r="1503" spans="1:68" ht="19" x14ac:dyDescent="0.25">
      <c r="A1503" s="5"/>
      <c r="B1503" s="5"/>
      <c r="C1503" s="5"/>
      <c r="D1503" s="5"/>
      <c r="E1503" s="5"/>
      <c r="F1503" s="5"/>
      <c r="G1503" s="5"/>
      <c r="H1503" s="6"/>
      <c r="I1503" s="5"/>
      <c r="J1503" s="88"/>
      <c r="K1503" s="88"/>
      <c r="L1503" s="88"/>
      <c r="M1503" s="88"/>
      <c r="N1503" s="88"/>
      <c r="O1503" s="88"/>
      <c r="P1503" s="88"/>
      <c r="Q1503" s="89"/>
      <c r="R1503" s="88"/>
      <c r="S1503" s="88"/>
      <c r="T1503" s="90"/>
      <c r="U1503" s="6"/>
      <c r="V1503" s="44">
        <v>46100</v>
      </c>
      <c r="W1503" s="45">
        <v>250.37</v>
      </c>
      <c r="X1503" s="91"/>
      <c r="Y1503" s="77"/>
      <c r="Z1503" s="5"/>
      <c r="AA1503" s="5"/>
      <c r="AB1503" s="5"/>
      <c r="AC1503" s="5"/>
      <c r="AD1503" s="5"/>
      <c r="AE1503" s="5"/>
      <c r="AF1503" s="5"/>
      <c r="AG1503" s="5"/>
      <c r="AH1503" s="6"/>
      <c r="AI1503" s="44">
        <v>46100</v>
      </c>
      <c r="AJ1503" s="53">
        <v>250.37</v>
      </c>
      <c r="AK1503" s="54">
        <f t="shared" si="253"/>
        <v>-4.8887122416533257E-3</v>
      </c>
      <c r="AL1503" s="55">
        <f t="shared" si="256"/>
        <v>27.980771787925836</v>
      </c>
      <c r="AM1503" s="56">
        <v>25</v>
      </c>
      <c r="AN1503" s="57">
        <f t="shared" si="254"/>
        <v>-2.9807717879258355</v>
      </c>
      <c r="AO1503" s="76">
        <f t="shared" si="257"/>
        <v>3.9849316346280701</v>
      </c>
      <c r="AP1503" s="63" t="str">
        <f t="shared" si="258"/>
        <v>Buy Stocks</v>
      </c>
      <c r="AQ1503" s="63" t="str">
        <f t="shared" si="259"/>
        <v/>
      </c>
      <c r="AR1503" s="63" t="str">
        <f t="shared" si="260"/>
        <v/>
      </c>
      <c r="AS1503" s="63" t="str">
        <f t="shared" si="261"/>
        <v/>
      </c>
      <c r="AT1503" s="78" t="str">
        <f t="shared" si="262"/>
        <v/>
      </c>
      <c r="AU1503" s="78" t="str">
        <f t="shared" si="263"/>
        <v/>
      </c>
      <c r="AV1503" s="64" t="str">
        <f ca="1">IFERROR(__xludf.DUMMYFUNCTION("IF(TRIM(AU1503)="""","""",AU1503/INDEX(FILTER(AT$3:AT1503,TRIM(AT$3:AT1503)&lt;&gt;""""),ROWS(FILTER(AT$3:AT1503,TRIM(AT$3:AT1503)&lt;&gt;"""")))-1)"),"")</f>
        <v/>
      </c>
      <c r="AW1503" s="65" t="e">
        <f t="shared" ca="1" si="255"/>
        <v>#VALUE!</v>
      </c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</row>
    <row r="1504" spans="1:68" ht="19" x14ac:dyDescent="0.25">
      <c r="A1504" s="5"/>
      <c r="B1504" s="5"/>
      <c r="C1504" s="5"/>
      <c r="D1504" s="5"/>
      <c r="E1504" s="5"/>
      <c r="F1504" s="5"/>
      <c r="G1504" s="5"/>
      <c r="H1504" s="6"/>
      <c r="I1504" s="5"/>
      <c r="J1504" s="88"/>
      <c r="K1504" s="88"/>
      <c r="L1504" s="88"/>
      <c r="M1504" s="88"/>
      <c r="N1504" s="88"/>
      <c r="O1504" s="88"/>
      <c r="P1504" s="88"/>
      <c r="Q1504" s="89"/>
      <c r="R1504" s="88"/>
      <c r="S1504" s="88"/>
      <c r="T1504" s="90"/>
      <c r="U1504" s="6"/>
      <c r="V1504" s="44">
        <v>46101</v>
      </c>
      <c r="W1504" s="45">
        <v>241.77</v>
      </c>
      <c r="X1504" s="91"/>
      <c r="Y1504" s="77"/>
      <c r="Z1504" s="5"/>
      <c r="AA1504" s="5"/>
      <c r="AB1504" s="5"/>
      <c r="AC1504" s="5"/>
      <c r="AD1504" s="5"/>
      <c r="AE1504" s="5"/>
      <c r="AF1504" s="5"/>
      <c r="AG1504" s="5"/>
      <c r="AH1504" s="6"/>
      <c r="AI1504" s="44">
        <v>46101</v>
      </c>
      <c r="AJ1504" s="53">
        <v>241.77</v>
      </c>
      <c r="AK1504" s="54">
        <f t="shared" si="253"/>
        <v>-3.4349163238407088E-2</v>
      </c>
      <c r="AL1504" s="55">
        <f t="shared" si="256"/>
        <v>38.535885412968696</v>
      </c>
      <c r="AM1504" s="56">
        <v>25</v>
      </c>
      <c r="AN1504" s="57">
        <f t="shared" si="254"/>
        <v>-13.535885412968696</v>
      </c>
      <c r="AO1504" s="76">
        <f t="shared" si="257"/>
        <v>-1.4670830849421972</v>
      </c>
      <c r="AP1504" s="63" t="str">
        <f t="shared" si="258"/>
        <v/>
      </c>
      <c r="AQ1504" s="63" t="str">
        <f t="shared" si="259"/>
        <v>Sell Stocks</v>
      </c>
      <c r="AR1504" s="63" t="str">
        <f t="shared" si="260"/>
        <v/>
      </c>
      <c r="AS1504" s="63" t="str">
        <f t="shared" si="261"/>
        <v>Sell Stocks</v>
      </c>
      <c r="AT1504" s="78" t="str">
        <f t="shared" si="262"/>
        <v/>
      </c>
      <c r="AU1504" s="77">
        <f t="shared" si="263"/>
        <v>241.77</v>
      </c>
      <c r="AV1504" s="64">
        <f ca="1">IFERROR(__xludf.DUMMYFUNCTION("IF(TRIM(AU1504)="""","""",AU1504/INDEX(FILTER(AT$3:AT1504,TRIM(AT$3:AT1504)&lt;&gt;""""),ROWS(FILTER(AT$3:AT1504,TRIM(AT$3:AT1504)&lt;&gt;"""")))-1)"),-0.0183124898489523)</f>
        <v>-1.8312489848952299E-2</v>
      </c>
      <c r="AW1504" s="65" t="e">
        <f t="shared" ca="1" si="255"/>
        <v>#VALUE!</v>
      </c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</row>
    <row r="1505" spans="1:68" ht="19" x14ac:dyDescent="0.25">
      <c r="A1505" s="5"/>
      <c r="B1505" s="5"/>
      <c r="C1505" s="5"/>
      <c r="D1505" s="5"/>
      <c r="E1505" s="5"/>
      <c r="F1505" s="5"/>
      <c r="G1505" s="5"/>
      <c r="H1505" s="6"/>
      <c r="I1505" s="5"/>
      <c r="J1505" s="88"/>
      <c r="K1505" s="88"/>
      <c r="L1505" s="88"/>
      <c r="M1505" s="88"/>
      <c r="N1505" s="88"/>
      <c r="O1505" s="88"/>
      <c r="P1505" s="88"/>
      <c r="Q1505" s="89"/>
      <c r="R1505" s="88"/>
      <c r="S1505" s="88"/>
      <c r="T1505" s="90"/>
      <c r="U1505" s="6"/>
      <c r="V1505" s="44">
        <v>46104</v>
      </c>
      <c r="W1505" s="45">
        <v>248.44</v>
      </c>
      <c r="X1505" s="91"/>
      <c r="Y1505" s="77"/>
      <c r="Z1505" s="5"/>
      <c r="AA1505" s="5"/>
      <c r="AB1505" s="5"/>
      <c r="AC1505" s="5"/>
      <c r="AD1505" s="5"/>
      <c r="AE1505" s="5"/>
      <c r="AF1505" s="5"/>
      <c r="AG1505" s="5"/>
      <c r="AH1505" s="6"/>
      <c r="AI1505" s="44">
        <v>46104</v>
      </c>
      <c r="AJ1505" s="53">
        <v>248.44</v>
      </c>
      <c r="AK1505" s="54">
        <f t="shared" si="253"/>
        <v>2.7588203664639988E-2</v>
      </c>
      <c r="AL1505" s="55">
        <f t="shared" si="256"/>
        <v>43.704373545590599</v>
      </c>
      <c r="AM1505" s="56">
        <v>25</v>
      </c>
      <c r="AN1505" s="57">
        <f t="shared" si="254"/>
        <v>-18.704373545590599</v>
      </c>
      <c r="AO1505" s="76">
        <f t="shared" si="257"/>
        <v>-7.3256766447839308</v>
      </c>
      <c r="AP1505" s="63" t="str">
        <f t="shared" si="258"/>
        <v/>
      </c>
      <c r="AQ1505" s="63" t="str">
        <f t="shared" si="259"/>
        <v>Sell Stocks</v>
      </c>
      <c r="AR1505" s="63" t="str">
        <f t="shared" si="260"/>
        <v/>
      </c>
      <c r="AS1505" s="63" t="str">
        <f t="shared" si="261"/>
        <v/>
      </c>
      <c r="AT1505" s="78" t="str">
        <f t="shared" si="262"/>
        <v/>
      </c>
      <c r="AU1505" s="78" t="str">
        <f t="shared" si="263"/>
        <v/>
      </c>
      <c r="AV1505" s="64" t="str">
        <f ca="1">IFERROR(__xludf.DUMMYFUNCTION("IF(TRIM(AU1505)="""","""",AU1505/INDEX(FILTER(AT$3:AT1505,TRIM(AT$3:AT1505)&lt;&gt;""""),ROWS(FILTER(AT$3:AT1505,TRIM(AT$3:AT1505)&lt;&gt;"""")))-1)"),"")</f>
        <v/>
      </c>
      <c r="AW1505" s="65" t="e">
        <f t="shared" ca="1" si="255"/>
        <v>#VALUE!</v>
      </c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</row>
    <row r="1506" spans="1:68" ht="19" x14ac:dyDescent="0.25">
      <c r="A1506" s="5"/>
      <c r="B1506" s="5"/>
      <c r="C1506" s="5"/>
      <c r="D1506" s="5"/>
      <c r="E1506" s="5"/>
      <c r="F1506" s="5"/>
      <c r="G1506" s="5"/>
      <c r="H1506" s="6"/>
      <c r="I1506" s="5"/>
      <c r="J1506" s="88"/>
      <c r="K1506" s="88"/>
      <c r="L1506" s="88"/>
      <c r="M1506" s="88"/>
      <c r="N1506" s="88"/>
      <c r="O1506" s="88"/>
      <c r="P1506" s="88"/>
      <c r="Q1506" s="89"/>
      <c r="R1506" s="88"/>
      <c r="S1506" s="88"/>
      <c r="T1506" s="90"/>
      <c r="U1506" s="6"/>
      <c r="V1506" s="44">
        <v>46105</v>
      </c>
      <c r="W1506" s="45">
        <v>240.59</v>
      </c>
      <c r="X1506" s="91"/>
      <c r="Y1506" s="77"/>
      <c r="Z1506" s="5"/>
      <c r="AA1506" s="5"/>
      <c r="AB1506" s="5"/>
      <c r="AC1506" s="5"/>
      <c r="AD1506" s="5"/>
      <c r="AE1506" s="5"/>
      <c r="AF1506" s="5"/>
      <c r="AG1506" s="5"/>
      <c r="AH1506" s="6"/>
      <c r="AI1506" s="44">
        <v>46105</v>
      </c>
      <c r="AJ1506" s="53">
        <v>240.59</v>
      </c>
      <c r="AK1506" s="54">
        <f t="shared" si="253"/>
        <v>-3.1597166317823167E-2</v>
      </c>
      <c r="AL1506" s="55">
        <f t="shared" si="256"/>
        <v>39.944591792705452</v>
      </c>
      <c r="AM1506" s="56">
        <v>25</v>
      </c>
      <c r="AN1506" s="57">
        <f t="shared" si="254"/>
        <v>-14.944591792705452</v>
      </c>
      <c r="AO1506" s="76">
        <f t="shared" si="257"/>
        <v>-10.62583814243788</v>
      </c>
      <c r="AP1506" s="63" t="str">
        <f t="shared" si="258"/>
        <v/>
      </c>
      <c r="AQ1506" s="63" t="str">
        <f t="shared" si="259"/>
        <v>Sell Stocks</v>
      </c>
      <c r="AR1506" s="63" t="str">
        <f t="shared" si="260"/>
        <v/>
      </c>
      <c r="AS1506" s="63" t="str">
        <f t="shared" si="261"/>
        <v/>
      </c>
      <c r="AT1506" s="78" t="str">
        <f t="shared" si="262"/>
        <v/>
      </c>
      <c r="AU1506" s="78" t="str">
        <f t="shared" si="263"/>
        <v/>
      </c>
      <c r="AV1506" s="64" t="str">
        <f ca="1">IFERROR(__xludf.DUMMYFUNCTION("IF(TRIM(AU1506)="""","""",AU1506/INDEX(FILTER(AT$3:AT1506,TRIM(AT$3:AT1506)&lt;&gt;""""),ROWS(FILTER(AT$3:AT1506,TRIM(AT$3:AT1506)&lt;&gt;"""")))-1)"),"")</f>
        <v/>
      </c>
      <c r="AW1506" s="65" t="e">
        <f t="shared" ca="1" si="255"/>
        <v>#VALUE!</v>
      </c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</row>
    <row r="1507" spans="1:68" ht="19" x14ac:dyDescent="0.25">
      <c r="A1507" s="5"/>
      <c r="B1507" s="5"/>
      <c r="C1507" s="5"/>
      <c r="D1507" s="5"/>
      <c r="E1507" s="5"/>
      <c r="F1507" s="5"/>
      <c r="G1507" s="5"/>
      <c r="H1507" s="6"/>
      <c r="I1507" s="5"/>
      <c r="J1507" s="88"/>
      <c r="K1507" s="88"/>
      <c r="L1507" s="88"/>
      <c r="M1507" s="88"/>
      <c r="N1507" s="88"/>
      <c r="O1507" s="88"/>
      <c r="P1507" s="88"/>
      <c r="Q1507" s="89"/>
      <c r="R1507" s="88"/>
      <c r="S1507" s="88"/>
      <c r="T1507" s="90"/>
      <c r="U1507" s="6"/>
      <c r="V1507" s="44">
        <v>46106</v>
      </c>
      <c r="W1507" s="45">
        <v>241.39</v>
      </c>
      <c r="X1507" s="91"/>
      <c r="Y1507" s="77"/>
      <c r="Z1507" s="5"/>
      <c r="AA1507" s="5"/>
      <c r="AB1507" s="5"/>
      <c r="AC1507" s="5"/>
      <c r="AD1507" s="5"/>
      <c r="AE1507" s="5"/>
      <c r="AF1507" s="5"/>
      <c r="AG1507" s="5"/>
      <c r="AH1507" s="6"/>
      <c r="AI1507" s="44">
        <v>46106</v>
      </c>
      <c r="AJ1507" s="53">
        <v>241.39</v>
      </c>
      <c r="AK1507" s="54">
        <f t="shared" si="253"/>
        <v>3.3251589841638562E-3</v>
      </c>
      <c r="AL1507" s="55">
        <f t="shared" si="256"/>
        <v>40.902380099381048</v>
      </c>
      <c r="AM1507" s="56">
        <v>25</v>
      </c>
      <c r="AN1507" s="57">
        <f t="shared" si="254"/>
        <v>-15.902380099381048</v>
      </c>
      <c r="AO1507" s="76">
        <f t="shared" si="257"/>
        <v>-13.213600527714325</v>
      </c>
      <c r="AP1507" s="63" t="str">
        <f t="shared" si="258"/>
        <v/>
      </c>
      <c r="AQ1507" s="63" t="str">
        <f t="shared" si="259"/>
        <v>Sell Stocks</v>
      </c>
      <c r="AR1507" s="63" t="str">
        <f t="shared" si="260"/>
        <v/>
      </c>
      <c r="AS1507" s="63" t="str">
        <f t="shared" si="261"/>
        <v/>
      </c>
      <c r="AT1507" s="78" t="str">
        <f t="shared" si="262"/>
        <v/>
      </c>
      <c r="AU1507" s="78" t="str">
        <f t="shared" si="263"/>
        <v/>
      </c>
      <c r="AV1507" s="64" t="str">
        <f ca="1">IFERROR(__xludf.DUMMYFUNCTION("IF(TRIM(AU1507)="""","""",AU1507/INDEX(FILTER(AT$3:AT1507,TRIM(AT$3:AT1507)&lt;&gt;""""),ROWS(FILTER(AT$3:AT1507,TRIM(AT$3:AT1507)&lt;&gt;"""")))-1)"),"")</f>
        <v/>
      </c>
      <c r="AW1507" s="65" t="e">
        <f t="shared" ca="1" si="255"/>
        <v>#VALUE!</v>
      </c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</row>
    <row r="1508" spans="1:68" ht="19" x14ac:dyDescent="0.25">
      <c r="A1508" s="5"/>
      <c r="B1508" s="5"/>
      <c r="C1508" s="5"/>
      <c r="D1508" s="5"/>
      <c r="E1508" s="5"/>
      <c r="F1508" s="5"/>
      <c r="G1508" s="5"/>
      <c r="H1508" s="6"/>
      <c r="I1508" s="5"/>
      <c r="J1508" s="88"/>
      <c r="K1508" s="88"/>
      <c r="L1508" s="88"/>
      <c r="M1508" s="88"/>
      <c r="N1508" s="88"/>
      <c r="O1508" s="88"/>
      <c r="P1508" s="88"/>
      <c r="Q1508" s="89"/>
      <c r="R1508" s="88"/>
      <c r="S1508" s="88"/>
      <c r="T1508" s="90"/>
      <c r="U1508" s="6"/>
      <c r="V1508" s="44">
        <v>46107</v>
      </c>
      <c r="W1508" s="45">
        <v>241.67</v>
      </c>
      <c r="X1508" s="91"/>
      <c r="Y1508" s="77"/>
      <c r="Z1508" s="5"/>
      <c r="AA1508" s="5"/>
      <c r="AB1508" s="5"/>
      <c r="AC1508" s="5"/>
      <c r="AD1508" s="5"/>
      <c r="AE1508" s="5"/>
      <c r="AF1508" s="5"/>
      <c r="AG1508" s="5"/>
      <c r="AH1508" s="6"/>
      <c r="AI1508" s="44">
        <v>46107</v>
      </c>
      <c r="AJ1508" s="53">
        <v>241.67</v>
      </c>
      <c r="AK1508" s="54">
        <f t="shared" si="253"/>
        <v>1.1599486308464524E-3</v>
      </c>
      <c r="AL1508" s="55">
        <f t="shared" si="256"/>
        <v>41.413004087216009</v>
      </c>
      <c r="AM1508" s="56">
        <v>25</v>
      </c>
      <c r="AN1508" s="57">
        <f t="shared" si="254"/>
        <v>-16.413004087216009</v>
      </c>
      <c r="AO1508" s="76">
        <f t="shared" si="257"/>
        <v>-15.900046987572361</v>
      </c>
      <c r="AP1508" s="63" t="str">
        <f t="shared" si="258"/>
        <v/>
      </c>
      <c r="AQ1508" s="63" t="str">
        <f t="shared" si="259"/>
        <v>Sell Stocks</v>
      </c>
      <c r="AR1508" s="63" t="str">
        <f t="shared" si="260"/>
        <v/>
      </c>
      <c r="AS1508" s="63" t="str">
        <f t="shared" si="261"/>
        <v/>
      </c>
      <c r="AT1508" s="78" t="str">
        <f t="shared" si="262"/>
        <v/>
      </c>
      <c r="AU1508" s="78" t="str">
        <f t="shared" si="263"/>
        <v/>
      </c>
      <c r="AV1508" s="64" t="str">
        <f ca="1">IFERROR(__xludf.DUMMYFUNCTION("IF(TRIM(AU1508)="""","""",AU1508/INDEX(FILTER(AT$3:AT1508,TRIM(AT$3:AT1508)&lt;&gt;""""),ROWS(FILTER(AT$3:AT1508,TRIM(AT$3:AT1508)&lt;&gt;"""")))-1)"),"")</f>
        <v/>
      </c>
      <c r="AW1508" s="65" t="e">
        <f t="shared" ca="1" si="255"/>
        <v>#VALUE!</v>
      </c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</row>
    <row r="1509" spans="1:68" ht="19" x14ac:dyDescent="0.25">
      <c r="A1509" s="5"/>
      <c r="B1509" s="5"/>
      <c r="C1509" s="5"/>
      <c r="D1509" s="5"/>
      <c r="E1509" s="5"/>
      <c r="F1509" s="5"/>
      <c r="G1509" s="5"/>
      <c r="H1509" s="6"/>
      <c r="I1509" s="5"/>
      <c r="J1509" s="88"/>
      <c r="K1509" s="88"/>
      <c r="L1509" s="88"/>
      <c r="M1509" s="88"/>
      <c r="N1509" s="88"/>
      <c r="O1509" s="88"/>
      <c r="P1509" s="88"/>
      <c r="Q1509" s="89"/>
      <c r="R1509" s="88"/>
      <c r="S1509" s="88"/>
      <c r="T1509" s="90"/>
      <c r="U1509" s="6"/>
      <c r="V1509" s="44">
        <v>46108</v>
      </c>
      <c r="W1509" s="45">
        <v>236.34</v>
      </c>
      <c r="X1509" s="91"/>
      <c r="Y1509" s="77"/>
      <c r="Z1509" s="5"/>
      <c r="AA1509" s="5"/>
      <c r="AB1509" s="5"/>
      <c r="AC1509" s="5"/>
      <c r="AD1509" s="5"/>
      <c r="AE1509" s="5"/>
      <c r="AF1509" s="5"/>
      <c r="AG1509" s="5"/>
      <c r="AH1509" s="6"/>
      <c r="AI1509" s="44">
        <v>46108</v>
      </c>
      <c r="AJ1509" s="53">
        <v>236.34</v>
      </c>
      <c r="AK1509" s="54">
        <f t="shared" si="253"/>
        <v>-2.2054868208714273E-2</v>
      </c>
      <c r="AL1509" s="55">
        <f t="shared" si="256"/>
        <v>36.933237607657723</v>
      </c>
      <c r="AM1509" s="56">
        <v>25</v>
      </c>
      <c r="AN1509" s="57">
        <f t="shared" si="254"/>
        <v>-11.933237607657723</v>
      </c>
      <c r="AO1509" s="76">
        <f t="shared" si="257"/>
        <v>-15.579517426510165</v>
      </c>
      <c r="AP1509" s="63" t="str">
        <f t="shared" si="258"/>
        <v/>
      </c>
      <c r="AQ1509" s="63" t="str">
        <f t="shared" si="259"/>
        <v>Sell Stocks</v>
      </c>
      <c r="AR1509" s="63" t="str">
        <f t="shared" si="260"/>
        <v/>
      </c>
      <c r="AS1509" s="63" t="str">
        <f t="shared" si="261"/>
        <v/>
      </c>
      <c r="AT1509" s="78" t="str">
        <f t="shared" si="262"/>
        <v/>
      </c>
      <c r="AU1509" s="78" t="str">
        <f t="shared" si="263"/>
        <v/>
      </c>
      <c r="AV1509" s="64" t="str">
        <f ca="1">IFERROR(__xludf.DUMMYFUNCTION("IF(TRIM(AU1509)="""","""",AU1509/INDEX(FILTER(AT$3:AT1509,TRIM(AT$3:AT1509)&lt;&gt;""""),ROWS(FILTER(AT$3:AT1509,TRIM(AT$3:AT1509)&lt;&gt;"""")))-1)"),"")</f>
        <v/>
      </c>
      <c r="AW1509" s="65" t="e">
        <f t="shared" ca="1" si="255"/>
        <v>#VALUE!</v>
      </c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</row>
    <row r="1510" spans="1:68" ht="19" x14ac:dyDescent="0.25">
      <c r="A1510" s="5"/>
      <c r="B1510" s="5"/>
      <c r="C1510" s="5"/>
      <c r="D1510" s="5"/>
      <c r="E1510" s="5"/>
      <c r="F1510" s="5"/>
      <c r="G1510" s="5"/>
      <c r="H1510" s="6"/>
      <c r="I1510" s="5"/>
      <c r="J1510" s="88"/>
      <c r="K1510" s="88"/>
      <c r="L1510" s="88"/>
      <c r="M1510" s="88"/>
      <c r="N1510" s="88"/>
      <c r="O1510" s="88"/>
      <c r="P1510" s="88"/>
      <c r="Q1510" s="89"/>
      <c r="R1510" s="88"/>
      <c r="S1510" s="88"/>
      <c r="T1510" s="90"/>
      <c r="U1510" s="6"/>
      <c r="V1510" s="92"/>
      <c r="W1510" s="77"/>
      <c r="X1510" s="91"/>
      <c r="Y1510" s="77"/>
      <c r="Z1510" s="5"/>
      <c r="AA1510" s="5"/>
      <c r="AB1510" s="5"/>
      <c r="AC1510" s="5"/>
      <c r="AD1510" s="5"/>
      <c r="AE1510" s="5"/>
      <c r="AF1510" s="5"/>
      <c r="AG1510" s="5"/>
      <c r="AH1510" s="6"/>
      <c r="AI1510" s="92"/>
      <c r="AJ1510" s="93"/>
      <c r="AK1510" s="94"/>
      <c r="AL1510" s="95"/>
      <c r="AM1510" s="56"/>
      <c r="AN1510" s="57">
        <f t="shared" si="254"/>
        <v>0</v>
      </c>
      <c r="AO1510" s="76">
        <f t="shared" si="257"/>
        <v>-11.838642717392046</v>
      </c>
      <c r="AP1510" s="63" t="str">
        <f t="shared" si="258"/>
        <v/>
      </c>
      <c r="AQ1510" s="63" t="str">
        <f t="shared" si="259"/>
        <v>Sell Stocks</v>
      </c>
      <c r="AR1510" s="63" t="str">
        <f t="shared" si="260"/>
        <v/>
      </c>
      <c r="AS1510" s="63" t="str">
        <f t="shared" si="261"/>
        <v/>
      </c>
      <c r="AT1510" s="78" t="str">
        <f t="shared" si="262"/>
        <v/>
      </c>
      <c r="AU1510" s="78" t="str">
        <f t="shared" si="263"/>
        <v/>
      </c>
      <c r="AV1510" s="64" t="str">
        <f ca="1">IFERROR(__xludf.DUMMYFUNCTION("IF(TRIM(AU1510)="""","""",AU1510/INDEX(FILTER(AT$3:AT1510,TRIM(AT$3:AT1510)&lt;&gt;""""),ROWS(FILTER(AT$3:AT1510,TRIM(AT$3:AT1510)&lt;&gt;"""")))-1)"),"")</f>
        <v/>
      </c>
      <c r="AW1510" s="65" t="e">
        <f t="shared" ca="1" si="255"/>
        <v>#VALUE!</v>
      </c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</row>
    <row r="1511" spans="1:68" ht="19" x14ac:dyDescent="0.25">
      <c r="A1511" s="5"/>
      <c r="B1511" s="5"/>
      <c r="C1511" s="5"/>
      <c r="D1511" s="5"/>
      <c r="E1511" s="5"/>
      <c r="F1511" s="5"/>
      <c r="G1511" s="5"/>
      <c r="H1511" s="6"/>
      <c r="I1511" s="5"/>
      <c r="J1511" s="88"/>
      <c r="K1511" s="88"/>
      <c r="L1511" s="88"/>
      <c r="M1511" s="88"/>
      <c r="N1511" s="88"/>
      <c r="O1511" s="88"/>
      <c r="P1511" s="88"/>
      <c r="Q1511" s="89"/>
      <c r="R1511" s="88"/>
      <c r="S1511" s="88"/>
      <c r="T1511" s="90"/>
      <c r="U1511" s="6"/>
      <c r="V1511" s="92"/>
      <c r="W1511" s="77"/>
      <c r="X1511" s="91"/>
      <c r="Y1511" s="77"/>
      <c r="Z1511" s="5"/>
      <c r="AA1511" s="5"/>
      <c r="AB1511" s="5"/>
      <c r="AC1511" s="5"/>
      <c r="AD1511" s="5"/>
      <c r="AE1511" s="5"/>
      <c r="AF1511" s="5"/>
      <c r="AG1511" s="5"/>
      <c r="AH1511" s="6"/>
      <c r="AI1511" s="92"/>
      <c r="AJ1511" s="93"/>
      <c r="AK1511" s="94"/>
      <c r="AL1511" s="95"/>
      <c r="AM1511" s="56"/>
      <c r="AN1511" s="57">
        <f t="shared" si="254"/>
        <v>0</v>
      </c>
      <c r="AO1511" s="76">
        <f t="shared" si="257"/>
        <v>-8.8497243588509562</v>
      </c>
      <c r="AP1511" s="63" t="str">
        <f t="shared" si="258"/>
        <v/>
      </c>
      <c r="AQ1511" s="63" t="str">
        <f t="shared" si="259"/>
        <v>Sell Stocks</v>
      </c>
      <c r="AR1511" s="63" t="str">
        <f t="shared" si="260"/>
        <v/>
      </c>
      <c r="AS1511" s="63" t="str">
        <f t="shared" si="261"/>
        <v/>
      </c>
      <c r="AT1511" s="78" t="str">
        <f t="shared" si="262"/>
        <v/>
      </c>
      <c r="AU1511" s="78" t="str">
        <f t="shared" si="263"/>
        <v/>
      </c>
      <c r="AV1511" s="64" t="str">
        <f ca="1">IFERROR(__xludf.DUMMYFUNCTION("IF(TRIM(AU1511)="""","""",AU1511/INDEX(FILTER(AT$3:AT1511,TRIM(AT$3:AT1511)&lt;&gt;""""),ROWS(FILTER(AT$3:AT1511,TRIM(AT$3:AT1511)&lt;&gt;"""")))-1)"),"")</f>
        <v/>
      </c>
      <c r="AW1511" s="65" t="e">
        <f t="shared" ca="1" si="255"/>
        <v>#VALUE!</v>
      </c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</row>
    <row r="1512" spans="1:68" ht="19" x14ac:dyDescent="0.25">
      <c r="A1512" s="5"/>
      <c r="B1512" s="5"/>
      <c r="C1512" s="5"/>
      <c r="D1512" s="5"/>
      <c r="E1512" s="5"/>
      <c r="F1512" s="5"/>
      <c r="G1512" s="5"/>
      <c r="H1512" s="6"/>
      <c r="I1512" s="5"/>
      <c r="J1512" s="88"/>
      <c r="K1512" s="88"/>
      <c r="L1512" s="88"/>
      <c r="M1512" s="88"/>
      <c r="N1512" s="88"/>
      <c r="O1512" s="88"/>
      <c r="P1512" s="88"/>
      <c r="Q1512" s="89"/>
      <c r="R1512" s="88"/>
      <c r="S1512" s="88"/>
      <c r="T1512" s="90"/>
      <c r="U1512" s="6"/>
      <c r="V1512" s="92"/>
      <c r="W1512" s="77"/>
      <c r="X1512" s="91"/>
      <c r="Y1512" s="77"/>
      <c r="Z1512" s="5"/>
      <c r="AA1512" s="5"/>
      <c r="AB1512" s="5"/>
      <c r="AC1512" s="5"/>
      <c r="AD1512" s="5"/>
      <c r="AE1512" s="5"/>
      <c r="AF1512" s="5"/>
      <c r="AG1512" s="5"/>
      <c r="AH1512" s="6"/>
      <c r="AI1512" s="92"/>
      <c r="AJ1512" s="93"/>
      <c r="AK1512" s="94"/>
      <c r="AL1512" s="95"/>
      <c r="AM1512" s="56"/>
      <c r="AN1512" s="57">
        <f t="shared" si="254"/>
        <v>0</v>
      </c>
      <c r="AO1512" s="76">
        <f t="shared" si="257"/>
        <v>-5.6692483389747466</v>
      </c>
      <c r="AP1512" s="63" t="str">
        <f t="shared" si="258"/>
        <v/>
      </c>
      <c r="AQ1512" s="63" t="str">
        <f t="shared" si="259"/>
        <v>Sell Stocks</v>
      </c>
      <c r="AR1512" s="63" t="str">
        <f t="shared" si="260"/>
        <v/>
      </c>
      <c r="AS1512" s="63" t="str">
        <f t="shared" si="261"/>
        <v/>
      </c>
      <c r="AT1512" s="78" t="str">
        <f t="shared" si="262"/>
        <v/>
      </c>
      <c r="AU1512" s="78" t="str">
        <f t="shared" si="263"/>
        <v/>
      </c>
      <c r="AV1512" s="64" t="str">
        <f ca="1">IFERROR(__xludf.DUMMYFUNCTION("IF(TRIM(AU1512)="""","""",AU1512/INDEX(FILTER(AT$3:AT1512,TRIM(AT$3:AT1512)&lt;&gt;""""),ROWS(FILTER(AT$3:AT1512,TRIM(AT$3:AT1512)&lt;&gt;"""")))-1)"),"")</f>
        <v/>
      </c>
      <c r="AW1512" s="65" t="e">
        <f t="shared" ca="1" si="255"/>
        <v>#VALUE!</v>
      </c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</row>
    <row r="1513" spans="1:68" ht="19" x14ac:dyDescent="0.25">
      <c r="A1513" s="5"/>
      <c r="B1513" s="5"/>
      <c r="C1513" s="5"/>
      <c r="D1513" s="5"/>
      <c r="E1513" s="5"/>
      <c r="F1513" s="5"/>
      <c r="G1513" s="5"/>
      <c r="H1513" s="6"/>
      <c r="I1513" s="5"/>
      <c r="J1513" s="88"/>
      <c r="K1513" s="88"/>
      <c r="L1513" s="88"/>
      <c r="M1513" s="88"/>
      <c r="N1513" s="88"/>
      <c r="O1513" s="88"/>
      <c r="P1513" s="88"/>
      <c r="Q1513" s="89"/>
      <c r="R1513" s="88"/>
      <c r="S1513" s="88"/>
      <c r="T1513" s="90"/>
      <c r="U1513" s="6"/>
      <c r="V1513" s="92"/>
      <c r="W1513" s="77"/>
      <c r="X1513" s="91"/>
      <c r="Y1513" s="77"/>
      <c r="Z1513" s="5"/>
      <c r="AA1513" s="5"/>
      <c r="AB1513" s="5"/>
      <c r="AC1513" s="5"/>
      <c r="AD1513" s="5"/>
      <c r="AE1513" s="5"/>
      <c r="AF1513" s="5"/>
      <c r="AG1513" s="5"/>
      <c r="AH1513" s="6"/>
      <c r="AI1513" s="92"/>
      <c r="AJ1513" s="93"/>
      <c r="AK1513" s="94"/>
      <c r="AL1513" s="95"/>
      <c r="AM1513" s="56"/>
      <c r="AN1513" s="57">
        <f t="shared" si="254"/>
        <v>0</v>
      </c>
      <c r="AO1513" s="76">
        <f t="shared" si="257"/>
        <v>-2.3866475215315446</v>
      </c>
      <c r="AP1513" s="63" t="str">
        <f t="shared" si="258"/>
        <v/>
      </c>
      <c r="AQ1513" s="63" t="str">
        <f t="shared" si="259"/>
        <v>Sell Stocks</v>
      </c>
      <c r="AR1513" s="63" t="str">
        <f t="shared" si="260"/>
        <v/>
      </c>
      <c r="AS1513" s="63" t="str">
        <f t="shared" si="261"/>
        <v/>
      </c>
      <c r="AT1513" s="78" t="str">
        <f t="shared" si="262"/>
        <v/>
      </c>
      <c r="AU1513" s="78" t="str">
        <f t="shared" si="263"/>
        <v/>
      </c>
      <c r="AV1513" s="64" t="str">
        <f ca="1">IFERROR(__xludf.DUMMYFUNCTION("IF(TRIM(AU1513)="""","""",AU1513/INDEX(FILTER(AT$3:AT1513,TRIM(AT$3:AT1513)&lt;&gt;""""),ROWS(FILTER(AT$3:AT1513,TRIM(AT$3:AT1513)&lt;&gt;"""")))-1)"),"")</f>
        <v/>
      </c>
      <c r="AW1513" s="65" t="e">
        <f t="shared" ca="1" si="255"/>
        <v>#VALUE!</v>
      </c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</row>
    <row r="1514" spans="1:68" ht="19" x14ac:dyDescent="0.25">
      <c r="A1514" s="5"/>
      <c r="B1514" s="5"/>
      <c r="C1514" s="5"/>
      <c r="D1514" s="5"/>
      <c r="E1514" s="5"/>
      <c r="F1514" s="5"/>
      <c r="G1514" s="5"/>
      <c r="H1514" s="6"/>
      <c r="I1514" s="5"/>
      <c r="J1514" s="88"/>
      <c r="K1514" s="88"/>
      <c r="L1514" s="88"/>
      <c r="M1514" s="88"/>
      <c r="N1514" s="88"/>
      <c r="O1514" s="88"/>
      <c r="P1514" s="88"/>
      <c r="Q1514" s="89"/>
      <c r="R1514" s="88"/>
      <c r="S1514" s="88"/>
      <c r="T1514" s="90"/>
      <c r="U1514" s="6"/>
      <c r="V1514" s="92"/>
      <c r="W1514" s="77"/>
      <c r="X1514" s="91"/>
      <c r="Y1514" s="77"/>
      <c r="Z1514" s="5"/>
      <c r="AA1514" s="5"/>
      <c r="AB1514" s="5"/>
      <c r="AC1514" s="5"/>
      <c r="AD1514" s="5"/>
      <c r="AE1514" s="5"/>
      <c r="AF1514" s="5"/>
      <c r="AG1514" s="5"/>
      <c r="AH1514" s="6"/>
      <c r="AI1514" s="92"/>
      <c r="AJ1514" s="93"/>
      <c r="AK1514" s="94"/>
      <c r="AL1514" s="95"/>
      <c r="AM1514" s="56"/>
      <c r="AN1514" s="57">
        <f t="shared" si="254"/>
        <v>0</v>
      </c>
      <c r="AO1514" s="76">
        <f t="shared" si="257"/>
        <v>0</v>
      </c>
      <c r="AP1514" s="63" t="str">
        <f t="shared" si="258"/>
        <v/>
      </c>
      <c r="AQ1514" s="63" t="str">
        <f t="shared" si="259"/>
        <v/>
      </c>
      <c r="AR1514" s="63" t="str">
        <f t="shared" si="260"/>
        <v/>
      </c>
      <c r="AS1514" s="63" t="str">
        <f t="shared" si="261"/>
        <v/>
      </c>
      <c r="AT1514" s="78" t="str">
        <f t="shared" si="262"/>
        <v/>
      </c>
      <c r="AU1514" s="78" t="str">
        <f t="shared" si="263"/>
        <v/>
      </c>
      <c r="AV1514" s="64" t="str">
        <f ca="1">IFERROR(__xludf.DUMMYFUNCTION("IF(TRIM(AU1514)="""","""",AU1514/INDEX(FILTER(AT$3:AT1514,TRIM(AT$3:AT1514)&lt;&gt;""""),ROWS(FILTER(AT$3:AT1514,TRIM(AT$3:AT1514)&lt;&gt;"""")))-1)"),"")</f>
        <v/>
      </c>
      <c r="AW1514" s="65" t="e">
        <f t="shared" ca="1" si="255"/>
        <v>#VALUE!</v>
      </c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</row>
    <row r="1515" spans="1:68" ht="19" x14ac:dyDescent="0.25">
      <c r="A1515" s="5"/>
      <c r="B1515" s="5"/>
      <c r="C1515" s="5"/>
      <c r="D1515" s="5"/>
      <c r="E1515" s="5"/>
      <c r="F1515" s="5"/>
      <c r="G1515" s="5"/>
      <c r="H1515" s="6"/>
      <c r="I1515" s="5"/>
      <c r="J1515" s="88"/>
      <c r="K1515" s="88"/>
      <c r="L1515" s="88"/>
      <c r="M1515" s="88"/>
      <c r="N1515" s="88"/>
      <c r="O1515" s="88"/>
      <c r="P1515" s="88"/>
      <c r="Q1515" s="89"/>
      <c r="R1515" s="88"/>
      <c r="S1515" s="88"/>
      <c r="T1515" s="90"/>
      <c r="U1515" s="6"/>
      <c r="V1515" s="92"/>
      <c r="W1515" s="77"/>
      <c r="X1515" s="91"/>
      <c r="Y1515" s="77"/>
      <c r="Z1515" s="5"/>
      <c r="AA1515" s="5"/>
      <c r="AB1515" s="5"/>
      <c r="AC1515" s="5"/>
      <c r="AD1515" s="5"/>
      <c r="AE1515" s="5"/>
      <c r="AF1515" s="5"/>
      <c r="AG1515" s="5"/>
      <c r="AH1515" s="6"/>
      <c r="AI1515" s="92"/>
      <c r="AJ1515" s="93"/>
      <c r="AK1515" s="94"/>
      <c r="AL1515" s="95"/>
      <c r="AM1515" s="56"/>
      <c r="AN1515" s="57">
        <f t="shared" si="254"/>
        <v>0</v>
      </c>
      <c r="AO1515" s="76">
        <f t="shared" si="257"/>
        <v>0</v>
      </c>
      <c r="AP1515" s="63" t="str">
        <f t="shared" si="258"/>
        <v/>
      </c>
      <c r="AQ1515" s="63" t="str">
        <f t="shared" si="259"/>
        <v/>
      </c>
      <c r="AR1515" s="63" t="str">
        <f t="shared" si="260"/>
        <v/>
      </c>
      <c r="AS1515" s="63" t="str">
        <f t="shared" si="261"/>
        <v/>
      </c>
      <c r="AT1515" s="78" t="str">
        <f t="shared" si="262"/>
        <v/>
      </c>
      <c r="AU1515" s="78" t="str">
        <f t="shared" si="263"/>
        <v/>
      </c>
      <c r="AV1515" s="64" t="str">
        <f ca="1">IFERROR(__xludf.DUMMYFUNCTION("IF(TRIM(AU1515)="""","""",AU1515/INDEX(FILTER(AT$3:AT1515,TRIM(AT$3:AT1515)&lt;&gt;""""),ROWS(FILTER(AT$3:AT1515,TRIM(AT$3:AT1515)&lt;&gt;"""")))-1)"),"")</f>
        <v/>
      </c>
      <c r="AW1515" s="65" t="e">
        <f t="shared" ca="1" si="255"/>
        <v>#VALUE!</v>
      </c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</row>
    <row r="1516" spans="1:68" ht="19" x14ac:dyDescent="0.25">
      <c r="A1516" s="5"/>
      <c r="B1516" s="5"/>
      <c r="C1516" s="5"/>
      <c r="D1516" s="5"/>
      <c r="E1516" s="5"/>
      <c r="F1516" s="5"/>
      <c r="G1516" s="5"/>
      <c r="H1516" s="6"/>
      <c r="I1516" s="5"/>
      <c r="J1516" s="88"/>
      <c r="K1516" s="88"/>
      <c r="L1516" s="88"/>
      <c r="M1516" s="88"/>
      <c r="N1516" s="88"/>
      <c r="O1516" s="88"/>
      <c r="P1516" s="88"/>
      <c r="Q1516" s="89"/>
      <c r="R1516" s="88"/>
      <c r="S1516" s="88"/>
      <c r="T1516" s="90"/>
      <c r="U1516" s="6"/>
      <c r="V1516" s="92"/>
      <c r="W1516" s="77"/>
      <c r="X1516" s="91"/>
      <c r="Y1516" s="77"/>
      <c r="Z1516" s="5"/>
      <c r="AA1516" s="5"/>
      <c r="AB1516" s="5"/>
      <c r="AC1516" s="5"/>
      <c r="AD1516" s="5"/>
      <c r="AE1516" s="5"/>
      <c r="AF1516" s="5"/>
      <c r="AG1516" s="5"/>
      <c r="AH1516" s="6"/>
      <c r="AI1516" s="92"/>
      <c r="AJ1516" s="93"/>
      <c r="AK1516" s="94"/>
      <c r="AL1516" s="95"/>
      <c r="AM1516" s="56"/>
      <c r="AN1516" s="57">
        <f t="shared" si="254"/>
        <v>0</v>
      </c>
      <c r="AO1516" s="76">
        <f t="shared" si="257"/>
        <v>0</v>
      </c>
      <c r="AP1516" s="63" t="str">
        <f t="shared" si="258"/>
        <v/>
      </c>
      <c r="AQ1516" s="63" t="str">
        <f t="shared" si="259"/>
        <v/>
      </c>
      <c r="AR1516" s="63" t="str">
        <f t="shared" si="260"/>
        <v/>
      </c>
      <c r="AS1516" s="63" t="str">
        <f t="shared" si="261"/>
        <v/>
      </c>
      <c r="AT1516" s="78" t="str">
        <f t="shared" si="262"/>
        <v/>
      </c>
      <c r="AU1516" s="78" t="str">
        <f t="shared" si="263"/>
        <v/>
      </c>
      <c r="AV1516" s="64" t="str">
        <f ca="1">IFERROR(__xludf.DUMMYFUNCTION("IF(TRIM(AU1516)="""","""",AU1516/INDEX(FILTER(AT$3:AT1516,TRIM(AT$3:AT1516)&lt;&gt;""""),ROWS(FILTER(AT$3:AT1516,TRIM(AT$3:AT1516)&lt;&gt;"""")))-1)"),"")</f>
        <v/>
      </c>
      <c r="AW1516" s="65" t="e">
        <f t="shared" ca="1" si="255"/>
        <v>#VALUE!</v>
      </c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</row>
    <row r="1517" spans="1:68" ht="19" x14ac:dyDescent="0.25">
      <c r="A1517" s="5"/>
      <c r="B1517" s="5"/>
      <c r="C1517" s="5"/>
      <c r="D1517" s="5"/>
      <c r="E1517" s="5"/>
      <c r="F1517" s="5"/>
      <c r="G1517" s="5"/>
      <c r="H1517" s="6"/>
      <c r="I1517" s="5"/>
      <c r="J1517" s="88"/>
      <c r="K1517" s="88"/>
      <c r="L1517" s="88"/>
      <c r="M1517" s="88"/>
      <c r="N1517" s="88"/>
      <c r="O1517" s="88"/>
      <c r="P1517" s="88"/>
      <c r="Q1517" s="89"/>
      <c r="R1517" s="88"/>
      <c r="S1517" s="88"/>
      <c r="T1517" s="90"/>
      <c r="U1517" s="6"/>
      <c r="V1517" s="92"/>
      <c r="W1517" s="77"/>
      <c r="X1517" s="91"/>
      <c r="Y1517" s="77"/>
      <c r="Z1517" s="5"/>
      <c r="AA1517" s="5"/>
      <c r="AB1517" s="5"/>
      <c r="AC1517" s="5"/>
      <c r="AD1517" s="5"/>
      <c r="AE1517" s="5"/>
      <c r="AF1517" s="5"/>
      <c r="AG1517" s="5"/>
      <c r="AH1517" s="6"/>
      <c r="AI1517" s="92"/>
      <c r="AJ1517" s="93"/>
      <c r="AK1517" s="94"/>
      <c r="AL1517" s="95"/>
      <c r="AM1517" s="56"/>
      <c r="AN1517" s="57">
        <f t="shared" si="254"/>
        <v>0</v>
      </c>
      <c r="AO1517" s="76">
        <f t="shared" si="257"/>
        <v>0</v>
      </c>
      <c r="AP1517" s="63" t="str">
        <f t="shared" si="258"/>
        <v/>
      </c>
      <c r="AQ1517" s="63" t="str">
        <f t="shared" si="259"/>
        <v/>
      </c>
      <c r="AR1517" s="63" t="str">
        <f t="shared" si="260"/>
        <v/>
      </c>
      <c r="AS1517" s="63" t="str">
        <f t="shared" si="261"/>
        <v/>
      </c>
      <c r="AT1517" s="78" t="str">
        <f t="shared" si="262"/>
        <v/>
      </c>
      <c r="AU1517" s="78" t="str">
        <f t="shared" si="263"/>
        <v/>
      </c>
      <c r="AV1517" s="64" t="str">
        <f ca="1">IFERROR(__xludf.DUMMYFUNCTION("IF(TRIM(AU1517)="""","""",AU1517/INDEX(FILTER(AT$3:AT1517,TRIM(AT$3:AT1517)&lt;&gt;""""),ROWS(FILTER(AT$3:AT1517,TRIM(AT$3:AT1517)&lt;&gt;"""")))-1)"),"")</f>
        <v/>
      </c>
      <c r="AW1517" s="65" t="e">
        <f t="shared" ca="1" si="255"/>
        <v>#VALUE!</v>
      </c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</row>
    <row r="1518" spans="1:68" ht="19" x14ac:dyDescent="0.25">
      <c r="A1518" s="5"/>
      <c r="B1518" s="5"/>
      <c r="C1518" s="5"/>
      <c r="D1518" s="5"/>
      <c r="E1518" s="5"/>
      <c r="F1518" s="5"/>
      <c r="G1518" s="5"/>
      <c r="H1518" s="6"/>
      <c r="I1518" s="5"/>
      <c r="J1518" s="88"/>
      <c r="K1518" s="88"/>
      <c r="L1518" s="88"/>
      <c r="M1518" s="88"/>
      <c r="N1518" s="88"/>
      <c r="O1518" s="88"/>
      <c r="P1518" s="88"/>
      <c r="Q1518" s="89"/>
      <c r="R1518" s="88"/>
      <c r="S1518" s="88"/>
      <c r="T1518" s="90"/>
      <c r="U1518" s="6"/>
      <c r="V1518" s="92"/>
      <c r="W1518" s="77"/>
      <c r="X1518" s="91"/>
      <c r="Y1518" s="77"/>
      <c r="Z1518" s="5"/>
      <c r="AA1518" s="5"/>
      <c r="AB1518" s="5"/>
      <c r="AC1518" s="5"/>
      <c r="AD1518" s="5"/>
      <c r="AE1518" s="5"/>
      <c r="AF1518" s="5"/>
      <c r="AG1518" s="5"/>
      <c r="AH1518" s="6"/>
      <c r="AI1518" s="92"/>
      <c r="AJ1518" s="93"/>
      <c r="AK1518" s="94"/>
      <c r="AL1518" s="95"/>
      <c r="AM1518" s="56"/>
      <c r="AN1518" s="57">
        <f t="shared" si="254"/>
        <v>0</v>
      </c>
      <c r="AO1518" s="76">
        <f t="shared" si="257"/>
        <v>0</v>
      </c>
      <c r="AP1518" s="63" t="str">
        <f t="shared" si="258"/>
        <v/>
      </c>
      <c r="AQ1518" s="63" t="str">
        <f t="shared" si="259"/>
        <v/>
      </c>
      <c r="AR1518" s="63" t="str">
        <f t="shared" si="260"/>
        <v/>
      </c>
      <c r="AS1518" s="63" t="str">
        <f t="shared" si="261"/>
        <v/>
      </c>
      <c r="AT1518" s="78" t="str">
        <f t="shared" si="262"/>
        <v/>
      </c>
      <c r="AU1518" s="78" t="str">
        <f t="shared" si="263"/>
        <v/>
      </c>
      <c r="AV1518" s="64" t="str">
        <f ca="1">IFERROR(__xludf.DUMMYFUNCTION("IF(TRIM(AU1518)="""","""",AU1518/INDEX(FILTER(AT$3:AT1518,TRIM(AT$3:AT1518)&lt;&gt;""""),ROWS(FILTER(AT$3:AT1518,TRIM(AT$3:AT1518)&lt;&gt;"""")))-1)"),"")</f>
        <v/>
      </c>
      <c r="AW1518" s="65" t="e">
        <f t="shared" ca="1" si="255"/>
        <v>#VALUE!</v>
      </c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</row>
    <row r="1519" spans="1:68" ht="19" x14ac:dyDescent="0.25">
      <c r="A1519" s="5"/>
      <c r="B1519" s="5"/>
      <c r="C1519" s="5"/>
      <c r="D1519" s="5"/>
      <c r="E1519" s="5"/>
      <c r="F1519" s="5"/>
      <c r="G1519" s="5"/>
      <c r="H1519" s="6"/>
      <c r="I1519" s="5"/>
      <c r="J1519" s="88"/>
      <c r="K1519" s="88"/>
      <c r="L1519" s="88"/>
      <c r="M1519" s="88"/>
      <c r="N1519" s="88"/>
      <c r="O1519" s="88"/>
      <c r="P1519" s="88"/>
      <c r="Q1519" s="89"/>
      <c r="R1519" s="88"/>
      <c r="S1519" s="88"/>
      <c r="T1519" s="90"/>
      <c r="U1519" s="6"/>
      <c r="V1519" s="92"/>
      <c r="W1519" s="77"/>
      <c r="X1519" s="91"/>
      <c r="Y1519" s="77"/>
      <c r="Z1519" s="5"/>
      <c r="AA1519" s="5"/>
      <c r="AB1519" s="5"/>
      <c r="AC1519" s="5"/>
      <c r="AD1519" s="5"/>
      <c r="AE1519" s="5"/>
      <c r="AF1519" s="5"/>
      <c r="AG1519" s="5"/>
      <c r="AH1519" s="6"/>
      <c r="AI1519" s="92"/>
      <c r="AJ1519" s="93"/>
      <c r="AK1519" s="94"/>
      <c r="AL1519" s="95"/>
      <c r="AM1519" s="56"/>
      <c r="AN1519" s="57">
        <f t="shared" si="254"/>
        <v>0</v>
      </c>
      <c r="AO1519" s="76">
        <f t="shared" si="257"/>
        <v>0</v>
      </c>
      <c r="AP1519" s="63" t="str">
        <f t="shared" si="258"/>
        <v/>
      </c>
      <c r="AQ1519" s="63" t="str">
        <f t="shared" si="259"/>
        <v/>
      </c>
      <c r="AR1519" s="63" t="str">
        <f t="shared" si="260"/>
        <v/>
      </c>
      <c r="AS1519" s="63" t="str">
        <f t="shared" si="261"/>
        <v/>
      </c>
      <c r="AT1519" s="78" t="str">
        <f t="shared" si="262"/>
        <v/>
      </c>
      <c r="AU1519" s="78" t="str">
        <f t="shared" si="263"/>
        <v/>
      </c>
      <c r="AV1519" s="64" t="str">
        <f ca="1">IFERROR(__xludf.DUMMYFUNCTION("IF(TRIM(AU1519)="""","""",AU1519/INDEX(FILTER(AT$3:AT1519,TRIM(AT$3:AT1519)&lt;&gt;""""),ROWS(FILTER(AT$3:AT1519,TRIM(AT$3:AT1519)&lt;&gt;"""")))-1)"),"")</f>
        <v/>
      </c>
      <c r="AW1519" s="65" t="e">
        <f t="shared" ca="1" si="255"/>
        <v>#VALUE!</v>
      </c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</row>
    <row r="1520" spans="1:68" ht="19" x14ac:dyDescent="0.25">
      <c r="A1520" s="5"/>
      <c r="B1520" s="5"/>
      <c r="C1520" s="5"/>
      <c r="D1520" s="5"/>
      <c r="E1520" s="5"/>
      <c r="F1520" s="5"/>
      <c r="G1520" s="5"/>
      <c r="H1520" s="6"/>
      <c r="I1520" s="5"/>
      <c r="J1520" s="88"/>
      <c r="K1520" s="88"/>
      <c r="L1520" s="88"/>
      <c r="M1520" s="88"/>
      <c r="N1520" s="88"/>
      <c r="O1520" s="88"/>
      <c r="P1520" s="88"/>
      <c r="Q1520" s="89"/>
      <c r="R1520" s="88"/>
      <c r="S1520" s="88"/>
      <c r="T1520" s="90"/>
      <c r="U1520" s="6"/>
      <c r="V1520" s="92"/>
      <c r="W1520" s="77"/>
      <c r="X1520" s="91"/>
      <c r="Y1520" s="77"/>
      <c r="Z1520" s="5"/>
      <c r="AA1520" s="5"/>
      <c r="AB1520" s="5"/>
      <c r="AC1520" s="5"/>
      <c r="AD1520" s="5"/>
      <c r="AE1520" s="5"/>
      <c r="AF1520" s="5"/>
      <c r="AG1520" s="5"/>
      <c r="AH1520" s="6"/>
      <c r="AI1520" s="92"/>
      <c r="AJ1520" s="93"/>
      <c r="AK1520" s="94"/>
      <c r="AL1520" s="95"/>
      <c r="AM1520" s="56"/>
      <c r="AN1520" s="57">
        <f t="shared" si="254"/>
        <v>0</v>
      </c>
      <c r="AO1520" s="76">
        <f t="shared" si="257"/>
        <v>0</v>
      </c>
      <c r="AP1520" s="63" t="str">
        <f t="shared" si="258"/>
        <v/>
      </c>
      <c r="AQ1520" s="63" t="str">
        <f t="shared" si="259"/>
        <v/>
      </c>
      <c r="AR1520" s="63" t="str">
        <f t="shared" si="260"/>
        <v/>
      </c>
      <c r="AS1520" s="63" t="str">
        <f t="shared" si="261"/>
        <v/>
      </c>
      <c r="AT1520" s="78" t="str">
        <f t="shared" si="262"/>
        <v/>
      </c>
      <c r="AU1520" s="78" t="str">
        <f t="shared" si="263"/>
        <v/>
      </c>
      <c r="AV1520" s="64" t="str">
        <f ca="1">IFERROR(__xludf.DUMMYFUNCTION("IF(TRIM(AU1520)="""","""",AU1520/INDEX(FILTER(AT$3:AT1520,TRIM(AT$3:AT1520)&lt;&gt;""""),ROWS(FILTER(AT$3:AT1520,TRIM(AT$3:AT1520)&lt;&gt;"""")))-1)"),"")</f>
        <v/>
      </c>
      <c r="AW1520" s="65" t="e">
        <f t="shared" ca="1" si="255"/>
        <v>#VALUE!</v>
      </c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</row>
    <row r="1521" spans="1:68" ht="19" x14ac:dyDescent="0.25">
      <c r="A1521" s="5"/>
      <c r="B1521" s="5"/>
      <c r="C1521" s="5"/>
      <c r="D1521" s="5"/>
      <c r="E1521" s="5"/>
      <c r="F1521" s="5"/>
      <c r="G1521" s="5"/>
      <c r="H1521" s="6"/>
      <c r="I1521" s="5"/>
      <c r="J1521" s="88"/>
      <c r="K1521" s="88"/>
      <c r="L1521" s="88"/>
      <c r="M1521" s="88"/>
      <c r="N1521" s="88"/>
      <c r="O1521" s="88"/>
      <c r="P1521" s="88"/>
      <c r="Q1521" s="89"/>
      <c r="R1521" s="88"/>
      <c r="S1521" s="88"/>
      <c r="T1521" s="90"/>
      <c r="U1521" s="6"/>
      <c r="V1521" s="92"/>
      <c r="W1521" s="77"/>
      <c r="X1521" s="91"/>
      <c r="Y1521" s="77"/>
      <c r="Z1521" s="5"/>
      <c r="AA1521" s="5"/>
      <c r="AB1521" s="5"/>
      <c r="AC1521" s="5"/>
      <c r="AD1521" s="5"/>
      <c r="AE1521" s="5"/>
      <c r="AF1521" s="5"/>
      <c r="AG1521" s="5"/>
      <c r="AH1521" s="6"/>
      <c r="AI1521" s="92"/>
      <c r="AJ1521" s="93"/>
      <c r="AK1521" s="94"/>
      <c r="AL1521" s="95"/>
      <c r="AM1521" s="56"/>
      <c r="AN1521" s="57">
        <f t="shared" si="254"/>
        <v>0</v>
      </c>
      <c r="AO1521" s="76">
        <f t="shared" si="257"/>
        <v>0</v>
      </c>
      <c r="AP1521" s="63" t="str">
        <f t="shared" si="258"/>
        <v/>
      </c>
      <c r="AQ1521" s="63" t="str">
        <f t="shared" si="259"/>
        <v/>
      </c>
      <c r="AR1521" s="63" t="str">
        <f t="shared" si="260"/>
        <v/>
      </c>
      <c r="AS1521" s="63" t="str">
        <f t="shared" si="261"/>
        <v/>
      </c>
      <c r="AT1521" s="78" t="str">
        <f t="shared" si="262"/>
        <v/>
      </c>
      <c r="AU1521" s="78" t="str">
        <f t="shared" si="263"/>
        <v/>
      </c>
      <c r="AV1521" s="64" t="str">
        <f ca="1">IFERROR(__xludf.DUMMYFUNCTION("IF(TRIM(AU1521)="""","""",AU1521/INDEX(FILTER(AT$3:AT1521,TRIM(AT$3:AT1521)&lt;&gt;""""),ROWS(FILTER(AT$3:AT1521,TRIM(AT$3:AT1521)&lt;&gt;"""")))-1)"),"")</f>
        <v/>
      </c>
      <c r="AW1521" s="65" t="e">
        <f t="shared" ca="1" si="255"/>
        <v>#VALUE!</v>
      </c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</row>
    <row r="1522" spans="1:68" ht="19" x14ac:dyDescent="0.25">
      <c r="A1522" s="5"/>
      <c r="B1522" s="5"/>
      <c r="C1522" s="5"/>
      <c r="D1522" s="5"/>
      <c r="E1522" s="5"/>
      <c r="F1522" s="5"/>
      <c r="G1522" s="5"/>
      <c r="H1522" s="6"/>
      <c r="I1522" s="5"/>
      <c r="J1522" s="88"/>
      <c r="K1522" s="88"/>
      <c r="L1522" s="88"/>
      <c r="M1522" s="88"/>
      <c r="N1522" s="88"/>
      <c r="O1522" s="88"/>
      <c r="P1522" s="88"/>
      <c r="Q1522" s="89"/>
      <c r="R1522" s="88"/>
      <c r="S1522" s="88"/>
      <c r="T1522" s="90"/>
      <c r="U1522" s="6"/>
      <c r="V1522" s="92"/>
      <c r="W1522" s="77"/>
      <c r="X1522" s="91"/>
      <c r="Y1522" s="77"/>
      <c r="Z1522" s="5"/>
      <c r="AA1522" s="5"/>
      <c r="AB1522" s="5"/>
      <c r="AC1522" s="5"/>
      <c r="AD1522" s="5"/>
      <c r="AE1522" s="5"/>
      <c r="AF1522" s="5"/>
      <c r="AG1522" s="5"/>
      <c r="AH1522" s="6"/>
      <c r="AI1522" s="92"/>
      <c r="AJ1522" s="93"/>
      <c r="AK1522" s="94"/>
      <c r="AL1522" s="95"/>
      <c r="AM1522" s="56"/>
      <c r="AN1522" s="57">
        <f t="shared" si="254"/>
        <v>0</v>
      </c>
      <c r="AO1522" s="76">
        <f t="shared" si="257"/>
        <v>0</v>
      </c>
      <c r="AP1522" s="63" t="str">
        <f t="shared" si="258"/>
        <v/>
      </c>
      <c r="AQ1522" s="63" t="str">
        <f t="shared" si="259"/>
        <v/>
      </c>
      <c r="AR1522" s="63" t="str">
        <f t="shared" si="260"/>
        <v/>
      </c>
      <c r="AS1522" s="63" t="str">
        <f t="shared" si="261"/>
        <v/>
      </c>
      <c r="AT1522" s="78" t="str">
        <f t="shared" si="262"/>
        <v/>
      </c>
      <c r="AU1522" s="78" t="str">
        <f t="shared" si="263"/>
        <v/>
      </c>
      <c r="AV1522" s="64" t="str">
        <f ca="1">IFERROR(__xludf.DUMMYFUNCTION("IF(TRIM(AU1522)="""","""",AU1522/INDEX(FILTER(AT$3:AT1522,TRIM(AT$3:AT1522)&lt;&gt;""""),ROWS(FILTER(AT$3:AT1522,TRIM(AT$3:AT1522)&lt;&gt;"""")))-1)"),"")</f>
        <v/>
      </c>
      <c r="AW1522" s="65" t="e">
        <f t="shared" ca="1" si="255"/>
        <v>#VALUE!</v>
      </c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</row>
    <row r="1523" spans="1:68" ht="19" x14ac:dyDescent="0.25">
      <c r="A1523" s="5"/>
      <c r="B1523" s="5"/>
      <c r="C1523" s="5"/>
      <c r="D1523" s="5"/>
      <c r="E1523" s="5"/>
      <c r="F1523" s="5"/>
      <c r="G1523" s="5"/>
      <c r="H1523" s="6"/>
      <c r="I1523" s="5"/>
      <c r="J1523" s="88"/>
      <c r="K1523" s="88"/>
      <c r="L1523" s="88"/>
      <c r="M1523" s="88"/>
      <c r="N1523" s="88"/>
      <c r="O1523" s="88"/>
      <c r="P1523" s="88"/>
      <c r="Q1523" s="89"/>
      <c r="R1523" s="88"/>
      <c r="S1523" s="88"/>
      <c r="T1523" s="90"/>
      <c r="U1523" s="6"/>
      <c r="V1523" s="92"/>
      <c r="W1523" s="77"/>
      <c r="X1523" s="91"/>
      <c r="Y1523" s="77"/>
      <c r="Z1523" s="5"/>
      <c r="AA1523" s="5"/>
      <c r="AB1523" s="5"/>
      <c r="AC1523" s="5"/>
      <c r="AD1523" s="5"/>
      <c r="AE1523" s="5"/>
      <c r="AF1523" s="5"/>
      <c r="AG1523" s="5"/>
      <c r="AH1523" s="6"/>
      <c r="AI1523" s="92"/>
      <c r="AJ1523" s="93"/>
      <c r="AK1523" s="94"/>
      <c r="AL1523" s="95"/>
      <c r="AM1523" s="56"/>
      <c r="AN1523" s="57">
        <f t="shared" si="254"/>
        <v>0</v>
      </c>
      <c r="AO1523" s="76">
        <f t="shared" si="257"/>
        <v>0</v>
      </c>
      <c r="AP1523" s="63" t="str">
        <f t="shared" si="258"/>
        <v/>
      </c>
      <c r="AQ1523" s="63" t="str">
        <f t="shared" si="259"/>
        <v/>
      </c>
      <c r="AR1523" s="63" t="str">
        <f t="shared" si="260"/>
        <v/>
      </c>
      <c r="AS1523" s="63" t="str">
        <f t="shared" si="261"/>
        <v/>
      </c>
      <c r="AT1523" s="78" t="str">
        <f t="shared" si="262"/>
        <v/>
      </c>
      <c r="AU1523" s="78" t="str">
        <f t="shared" si="263"/>
        <v/>
      </c>
      <c r="AV1523" s="64" t="str">
        <f ca="1">IFERROR(__xludf.DUMMYFUNCTION("IF(TRIM(AU1523)="""","""",AU1523/INDEX(FILTER(AT$3:AT1523,TRIM(AT$3:AT1523)&lt;&gt;""""),ROWS(FILTER(AT$3:AT1523,TRIM(AT$3:AT1523)&lt;&gt;"""")))-1)"),"")</f>
        <v/>
      </c>
      <c r="AW1523" s="65" t="e">
        <f t="shared" ca="1" si="255"/>
        <v>#VALUE!</v>
      </c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</row>
    <row r="1524" spans="1:68" ht="19" x14ac:dyDescent="0.25">
      <c r="A1524" s="5"/>
      <c r="B1524" s="5"/>
      <c r="C1524" s="5"/>
      <c r="D1524" s="5"/>
      <c r="E1524" s="5"/>
      <c r="F1524" s="5"/>
      <c r="G1524" s="5"/>
      <c r="H1524" s="6"/>
      <c r="I1524" s="5"/>
      <c r="J1524" s="88"/>
      <c r="K1524" s="88"/>
      <c r="L1524" s="88"/>
      <c r="M1524" s="88"/>
      <c r="N1524" s="88"/>
      <c r="O1524" s="88"/>
      <c r="P1524" s="88"/>
      <c r="Q1524" s="89"/>
      <c r="R1524" s="88"/>
      <c r="S1524" s="88"/>
      <c r="T1524" s="90"/>
      <c r="U1524" s="6"/>
      <c r="V1524" s="92"/>
      <c r="W1524" s="77"/>
      <c r="X1524" s="91"/>
      <c r="Y1524" s="77"/>
      <c r="Z1524" s="5"/>
      <c r="AA1524" s="5"/>
      <c r="AB1524" s="5"/>
      <c r="AC1524" s="5"/>
      <c r="AD1524" s="5"/>
      <c r="AE1524" s="5"/>
      <c r="AF1524" s="5"/>
      <c r="AG1524" s="5"/>
      <c r="AH1524" s="6"/>
      <c r="AI1524" s="92"/>
      <c r="AJ1524" s="93"/>
      <c r="AK1524" s="94"/>
      <c r="AL1524" s="95"/>
      <c r="AM1524" s="56"/>
      <c r="AN1524" s="57">
        <f t="shared" si="254"/>
        <v>0</v>
      </c>
      <c r="AO1524" s="76">
        <f t="shared" si="257"/>
        <v>0</v>
      </c>
      <c r="AP1524" s="63" t="str">
        <f t="shared" si="258"/>
        <v/>
      </c>
      <c r="AQ1524" s="63" t="str">
        <f t="shared" si="259"/>
        <v/>
      </c>
      <c r="AR1524" s="63" t="str">
        <f t="shared" si="260"/>
        <v/>
      </c>
      <c r="AS1524" s="63" t="str">
        <f t="shared" si="261"/>
        <v/>
      </c>
      <c r="AT1524" s="78" t="str">
        <f t="shared" si="262"/>
        <v/>
      </c>
      <c r="AU1524" s="78" t="str">
        <f t="shared" si="263"/>
        <v/>
      </c>
      <c r="AV1524" s="64" t="str">
        <f ca="1">IFERROR(__xludf.DUMMYFUNCTION("IF(TRIM(AU1524)="""","""",AU1524/INDEX(FILTER(AT$3:AT1524,TRIM(AT$3:AT1524)&lt;&gt;""""),ROWS(FILTER(AT$3:AT1524,TRIM(AT$3:AT1524)&lt;&gt;"""")))-1)"),"")</f>
        <v/>
      </c>
      <c r="AW1524" s="65" t="e">
        <f t="shared" ca="1" si="255"/>
        <v>#VALUE!</v>
      </c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</row>
    <row r="1525" spans="1:68" ht="19" x14ac:dyDescent="0.25">
      <c r="A1525" s="5"/>
      <c r="B1525" s="5"/>
      <c r="C1525" s="5"/>
      <c r="D1525" s="5"/>
      <c r="E1525" s="5"/>
      <c r="F1525" s="5"/>
      <c r="G1525" s="5"/>
      <c r="H1525" s="6"/>
      <c r="I1525" s="5"/>
      <c r="J1525" s="88"/>
      <c r="K1525" s="88"/>
      <c r="L1525" s="88"/>
      <c r="M1525" s="88"/>
      <c r="N1525" s="88"/>
      <c r="O1525" s="88"/>
      <c r="P1525" s="88"/>
      <c r="Q1525" s="89"/>
      <c r="R1525" s="88"/>
      <c r="S1525" s="88"/>
      <c r="T1525" s="90"/>
      <c r="U1525" s="6"/>
      <c r="V1525" s="92"/>
      <c r="W1525" s="77"/>
      <c r="X1525" s="91"/>
      <c r="Y1525" s="77"/>
      <c r="Z1525" s="5"/>
      <c r="AA1525" s="5"/>
      <c r="AB1525" s="5"/>
      <c r="AC1525" s="5"/>
      <c r="AD1525" s="5"/>
      <c r="AE1525" s="5"/>
      <c r="AF1525" s="5"/>
      <c r="AG1525" s="5"/>
      <c r="AH1525" s="6"/>
      <c r="AI1525" s="92"/>
      <c r="AJ1525" s="93"/>
      <c r="AK1525" s="94"/>
      <c r="AL1525" s="95"/>
      <c r="AM1525" s="56"/>
      <c r="AN1525" s="57">
        <f t="shared" si="254"/>
        <v>0</v>
      </c>
      <c r="AO1525" s="76">
        <f t="shared" si="257"/>
        <v>0</v>
      </c>
      <c r="AP1525" s="63" t="str">
        <f t="shared" si="258"/>
        <v/>
      </c>
      <c r="AQ1525" s="63" t="str">
        <f t="shared" si="259"/>
        <v/>
      </c>
      <c r="AR1525" s="63" t="str">
        <f t="shared" si="260"/>
        <v/>
      </c>
      <c r="AS1525" s="63" t="str">
        <f t="shared" si="261"/>
        <v/>
      </c>
      <c r="AT1525" s="78" t="str">
        <f t="shared" si="262"/>
        <v/>
      </c>
      <c r="AU1525" s="78" t="str">
        <f t="shared" si="263"/>
        <v/>
      </c>
      <c r="AV1525" s="64" t="str">
        <f ca="1">IFERROR(__xludf.DUMMYFUNCTION("IF(TRIM(AU1525)="""","""",AU1525/INDEX(FILTER(AT$3:AT1525,TRIM(AT$3:AT1525)&lt;&gt;""""),ROWS(FILTER(AT$3:AT1525,TRIM(AT$3:AT1525)&lt;&gt;"""")))-1)"),"")</f>
        <v/>
      </c>
      <c r="AW1525" s="65" t="e">
        <f t="shared" ca="1" si="255"/>
        <v>#VALUE!</v>
      </c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</row>
    <row r="1526" spans="1:68" ht="19" x14ac:dyDescent="0.25">
      <c r="A1526" s="5"/>
      <c r="B1526" s="5"/>
      <c r="C1526" s="5"/>
      <c r="D1526" s="5"/>
      <c r="E1526" s="5"/>
      <c r="F1526" s="5"/>
      <c r="G1526" s="5"/>
      <c r="H1526" s="6"/>
      <c r="I1526" s="5"/>
      <c r="J1526" s="88"/>
      <c r="K1526" s="88"/>
      <c r="L1526" s="88"/>
      <c r="M1526" s="88"/>
      <c r="N1526" s="88"/>
      <c r="O1526" s="88"/>
      <c r="P1526" s="88"/>
      <c r="Q1526" s="89"/>
      <c r="R1526" s="88"/>
      <c r="S1526" s="88"/>
      <c r="T1526" s="90"/>
      <c r="U1526" s="6"/>
      <c r="V1526" s="92"/>
      <c r="W1526" s="77"/>
      <c r="X1526" s="91"/>
      <c r="Y1526" s="77"/>
      <c r="Z1526" s="5"/>
      <c r="AA1526" s="5"/>
      <c r="AB1526" s="5"/>
      <c r="AC1526" s="5"/>
      <c r="AD1526" s="5"/>
      <c r="AE1526" s="5"/>
      <c r="AF1526" s="5"/>
      <c r="AG1526" s="5"/>
      <c r="AH1526" s="6"/>
      <c r="AI1526" s="92"/>
      <c r="AJ1526" s="93"/>
      <c r="AK1526" s="94"/>
      <c r="AL1526" s="95"/>
      <c r="AM1526" s="56"/>
      <c r="AN1526" s="57">
        <f t="shared" si="254"/>
        <v>0</v>
      </c>
      <c r="AO1526" s="76">
        <f t="shared" si="257"/>
        <v>0</v>
      </c>
      <c r="AP1526" s="63" t="str">
        <f t="shared" si="258"/>
        <v/>
      </c>
      <c r="AQ1526" s="63" t="str">
        <f t="shared" si="259"/>
        <v/>
      </c>
      <c r="AR1526" s="63" t="str">
        <f t="shared" si="260"/>
        <v/>
      </c>
      <c r="AS1526" s="63" t="str">
        <f t="shared" si="261"/>
        <v/>
      </c>
      <c r="AT1526" s="78" t="str">
        <f t="shared" si="262"/>
        <v/>
      </c>
      <c r="AU1526" s="78" t="str">
        <f t="shared" si="263"/>
        <v/>
      </c>
      <c r="AV1526" s="64" t="str">
        <f ca="1">IFERROR(__xludf.DUMMYFUNCTION("IF(TRIM(AU1526)="""","""",AU1526/INDEX(FILTER(AT$3:AT1526,TRIM(AT$3:AT1526)&lt;&gt;""""),ROWS(FILTER(AT$3:AT1526,TRIM(AT$3:AT1526)&lt;&gt;"""")))-1)"),"")</f>
        <v/>
      </c>
      <c r="AW1526" s="65" t="e">
        <f t="shared" ca="1" si="255"/>
        <v>#VALUE!</v>
      </c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</row>
    <row r="1527" spans="1:68" ht="19" x14ac:dyDescent="0.25">
      <c r="A1527" s="5"/>
      <c r="B1527" s="5"/>
      <c r="C1527" s="5"/>
      <c r="D1527" s="5"/>
      <c r="E1527" s="5"/>
      <c r="F1527" s="5"/>
      <c r="G1527" s="5"/>
      <c r="H1527" s="6"/>
      <c r="I1527" s="5"/>
      <c r="J1527" s="88"/>
      <c r="K1527" s="88"/>
      <c r="L1527" s="88"/>
      <c r="M1527" s="88"/>
      <c r="N1527" s="88"/>
      <c r="O1527" s="88"/>
      <c r="P1527" s="88"/>
      <c r="Q1527" s="89"/>
      <c r="R1527" s="88"/>
      <c r="S1527" s="88"/>
      <c r="T1527" s="90"/>
      <c r="U1527" s="6"/>
      <c r="V1527" s="92"/>
      <c r="W1527" s="77"/>
      <c r="X1527" s="91"/>
      <c r="Y1527" s="77"/>
      <c r="Z1527" s="5"/>
      <c r="AA1527" s="5"/>
      <c r="AB1527" s="5"/>
      <c r="AC1527" s="5"/>
      <c r="AD1527" s="5"/>
      <c r="AE1527" s="5"/>
      <c r="AF1527" s="5"/>
      <c r="AG1527" s="5"/>
      <c r="AH1527" s="6"/>
      <c r="AI1527" s="92"/>
      <c r="AJ1527" s="93"/>
      <c r="AK1527" s="94"/>
      <c r="AL1527" s="95"/>
      <c r="AM1527" s="56"/>
      <c r="AN1527" s="57">
        <f t="shared" si="254"/>
        <v>0</v>
      </c>
      <c r="AO1527" s="76">
        <f t="shared" si="257"/>
        <v>0</v>
      </c>
      <c r="AP1527" s="63" t="str">
        <f t="shared" si="258"/>
        <v/>
      </c>
      <c r="AQ1527" s="63" t="str">
        <f t="shared" si="259"/>
        <v/>
      </c>
      <c r="AR1527" s="63" t="str">
        <f t="shared" si="260"/>
        <v/>
      </c>
      <c r="AS1527" s="63" t="str">
        <f t="shared" si="261"/>
        <v/>
      </c>
      <c r="AT1527" s="78" t="str">
        <f t="shared" si="262"/>
        <v/>
      </c>
      <c r="AU1527" s="78" t="str">
        <f t="shared" si="263"/>
        <v/>
      </c>
      <c r="AV1527" s="64" t="str">
        <f ca="1">IFERROR(__xludf.DUMMYFUNCTION("IF(TRIM(AU1527)="""","""",AU1527/INDEX(FILTER(AT$3:AT1527,TRIM(AT$3:AT1527)&lt;&gt;""""),ROWS(FILTER(AT$3:AT1527,TRIM(AT$3:AT1527)&lt;&gt;"""")))-1)"),"")</f>
        <v/>
      </c>
      <c r="AW1527" s="65" t="e">
        <f t="shared" ca="1" si="255"/>
        <v>#VALUE!</v>
      </c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</row>
    <row r="1528" spans="1:68" ht="19" x14ac:dyDescent="0.25">
      <c r="A1528" s="5"/>
      <c r="B1528" s="5"/>
      <c r="C1528" s="5"/>
      <c r="D1528" s="5"/>
      <c r="E1528" s="5"/>
      <c r="F1528" s="5"/>
      <c r="G1528" s="5"/>
      <c r="H1528" s="6"/>
      <c r="I1528" s="5"/>
      <c r="J1528" s="88"/>
      <c r="K1528" s="88"/>
      <c r="L1528" s="88"/>
      <c r="M1528" s="88"/>
      <c r="N1528" s="88"/>
      <c r="O1528" s="88"/>
      <c r="P1528" s="88"/>
      <c r="Q1528" s="89"/>
      <c r="R1528" s="88"/>
      <c r="S1528" s="88"/>
      <c r="T1528" s="90"/>
      <c r="U1528" s="6"/>
      <c r="V1528" s="92"/>
      <c r="W1528" s="77"/>
      <c r="X1528" s="91"/>
      <c r="Y1528" s="77"/>
      <c r="Z1528" s="5"/>
      <c r="AA1528" s="5"/>
      <c r="AB1528" s="5"/>
      <c r="AC1528" s="5"/>
      <c r="AD1528" s="5"/>
      <c r="AE1528" s="5"/>
      <c r="AF1528" s="5"/>
      <c r="AG1528" s="5"/>
      <c r="AH1528" s="6"/>
      <c r="AI1528" s="92"/>
      <c r="AJ1528" s="93"/>
      <c r="AK1528" s="94"/>
      <c r="AL1528" s="95"/>
      <c r="AM1528" s="56"/>
      <c r="AN1528" s="57">
        <f t="shared" si="254"/>
        <v>0</v>
      </c>
      <c r="AO1528" s="76">
        <f t="shared" si="257"/>
        <v>0</v>
      </c>
      <c r="AP1528" s="63" t="str">
        <f t="shared" si="258"/>
        <v/>
      </c>
      <c r="AQ1528" s="63" t="str">
        <f t="shared" si="259"/>
        <v/>
      </c>
      <c r="AR1528" s="63" t="str">
        <f t="shared" si="260"/>
        <v/>
      </c>
      <c r="AS1528" s="63" t="str">
        <f t="shared" si="261"/>
        <v/>
      </c>
      <c r="AT1528" s="78" t="str">
        <f t="shared" si="262"/>
        <v/>
      </c>
      <c r="AU1528" s="78" t="str">
        <f t="shared" si="263"/>
        <v/>
      </c>
      <c r="AV1528" s="64" t="str">
        <f ca="1">IFERROR(__xludf.DUMMYFUNCTION("IF(TRIM(AU1528)="""","""",AU1528/INDEX(FILTER(AT$3:AT1528,TRIM(AT$3:AT1528)&lt;&gt;""""),ROWS(FILTER(AT$3:AT1528,TRIM(AT$3:AT1528)&lt;&gt;"""")))-1)"),"")</f>
        <v/>
      </c>
      <c r="AW1528" s="65" t="e">
        <f t="shared" ca="1" si="255"/>
        <v>#VALUE!</v>
      </c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</row>
    <row r="1529" spans="1:68" ht="19" x14ac:dyDescent="0.25">
      <c r="A1529" s="5"/>
      <c r="B1529" s="5"/>
      <c r="C1529" s="5"/>
      <c r="D1529" s="5"/>
      <c r="E1529" s="5"/>
      <c r="F1529" s="5"/>
      <c r="G1529" s="5"/>
      <c r="H1529" s="6"/>
      <c r="I1529" s="5"/>
      <c r="J1529" s="88"/>
      <c r="K1529" s="88"/>
      <c r="L1529" s="88"/>
      <c r="M1529" s="88"/>
      <c r="N1529" s="88"/>
      <c r="O1529" s="88"/>
      <c r="P1529" s="88"/>
      <c r="Q1529" s="89"/>
      <c r="R1529" s="88"/>
      <c r="S1529" s="88"/>
      <c r="T1529" s="90"/>
      <c r="U1529" s="6"/>
      <c r="V1529" s="92"/>
      <c r="W1529" s="77"/>
      <c r="X1529" s="91"/>
      <c r="Y1529" s="77"/>
      <c r="Z1529" s="5"/>
      <c r="AA1529" s="5"/>
      <c r="AB1529" s="5"/>
      <c r="AC1529" s="5"/>
      <c r="AD1529" s="5"/>
      <c r="AE1529" s="5"/>
      <c r="AF1529" s="5"/>
      <c r="AG1529" s="5"/>
      <c r="AH1529" s="6"/>
      <c r="AI1529" s="92"/>
      <c r="AJ1529" s="93"/>
      <c r="AK1529" s="94"/>
      <c r="AL1529" s="95"/>
      <c r="AM1529" s="56"/>
      <c r="AN1529" s="57">
        <f t="shared" si="254"/>
        <v>0</v>
      </c>
      <c r="AO1529" s="76">
        <f t="shared" si="257"/>
        <v>0</v>
      </c>
      <c r="AP1529" s="63" t="str">
        <f t="shared" si="258"/>
        <v/>
      </c>
      <c r="AQ1529" s="63" t="str">
        <f t="shared" si="259"/>
        <v/>
      </c>
      <c r="AR1529" s="63" t="str">
        <f t="shared" si="260"/>
        <v/>
      </c>
      <c r="AS1529" s="63" t="str">
        <f t="shared" si="261"/>
        <v/>
      </c>
      <c r="AT1529" s="78" t="str">
        <f t="shared" si="262"/>
        <v/>
      </c>
      <c r="AU1529" s="78" t="str">
        <f t="shared" si="263"/>
        <v/>
      </c>
      <c r="AV1529" s="64" t="str">
        <f ca="1">IFERROR(__xludf.DUMMYFUNCTION("IF(TRIM(AU1529)="""","""",AU1529/INDEX(FILTER(AT$3:AT1529,TRIM(AT$3:AT1529)&lt;&gt;""""),ROWS(FILTER(AT$3:AT1529,TRIM(AT$3:AT1529)&lt;&gt;"""")))-1)"),"")</f>
        <v/>
      </c>
      <c r="AW1529" s="65" t="e">
        <f t="shared" ca="1" si="255"/>
        <v>#VALUE!</v>
      </c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</row>
    <row r="1530" spans="1:68" ht="19" x14ac:dyDescent="0.25">
      <c r="A1530" s="5"/>
      <c r="B1530" s="5"/>
      <c r="C1530" s="5"/>
      <c r="D1530" s="5"/>
      <c r="E1530" s="5"/>
      <c r="F1530" s="5"/>
      <c r="G1530" s="5"/>
      <c r="H1530" s="6"/>
      <c r="I1530" s="5"/>
      <c r="J1530" s="88"/>
      <c r="K1530" s="88"/>
      <c r="L1530" s="88"/>
      <c r="M1530" s="88"/>
      <c r="N1530" s="88"/>
      <c r="O1530" s="88"/>
      <c r="P1530" s="88"/>
      <c r="Q1530" s="89"/>
      <c r="R1530" s="88"/>
      <c r="S1530" s="88"/>
      <c r="T1530" s="90"/>
      <c r="U1530" s="6"/>
      <c r="V1530" s="92"/>
      <c r="W1530" s="77"/>
      <c r="X1530" s="91"/>
      <c r="Y1530" s="77"/>
      <c r="Z1530" s="5"/>
      <c r="AA1530" s="5"/>
      <c r="AB1530" s="5"/>
      <c r="AC1530" s="5"/>
      <c r="AD1530" s="5"/>
      <c r="AE1530" s="5"/>
      <c r="AF1530" s="5"/>
      <c r="AG1530" s="5"/>
      <c r="AH1530" s="6"/>
      <c r="AI1530" s="92"/>
      <c r="AJ1530" s="93"/>
      <c r="AK1530" s="94"/>
      <c r="AL1530" s="95"/>
      <c r="AM1530" s="56"/>
      <c r="AN1530" s="57">
        <f t="shared" si="254"/>
        <v>0</v>
      </c>
      <c r="AO1530" s="76">
        <f t="shared" si="257"/>
        <v>0</v>
      </c>
      <c r="AP1530" s="63" t="str">
        <f t="shared" si="258"/>
        <v/>
      </c>
      <c r="AQ1530" s="63" t="str">
        <f t="shared" si="259"/>
        <v/>
      </c>
      <c r="AR1530" s="63" t="str">
        <f t="shared" si="260"/>
        <v/>
      </c>
      <c r="AS1530" s="63" t="str">
        <f t="shared" si="261"/>
        <v/>
      </c>
      <c r="AT1530" s="78" t="str">
        <f t="shared" si="262"/>
        <v/>
      </c>
      <c r="AU1530" s="78" t="str">
        <f t="shared" si="263"/>
        <v/>
      </c>
      <c r="AV1530" s="64" t="str">
        <f ca="1">IFERROR(__xludf.DUMMYFUNCTION("IF(TRIM(AU1530)="""","""",AU1530/INDEX(FILTER(AT$3:AT1530,TRIM(AT$3:AT1530)&lt;&gt;""""),ROWS(FILTER(AT$3:AT1530,TRIM(AT$3:AT1530)&lt;&gt;"""")))-1)"),"")</f>
        <v/>
      </c>
      <c r="AW1530" s="65" t="e">
        <f t="shared" ca="1" si="255"/>
        <v>#VALUE!</v>
      </c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</row>
    <row r="1531" spans="1:68" ht="19" x14ac:dyDescent="0.25">
      <c r="A1531" s="5"/>
      <c r="B1531" s="5"/>
      <c r="C1531" s="5"/>
      <c r="D1531" s="5"/>
      <c r="E1531" s="5"/>
      <c r="F1531" s="5"/>
      <c r="G1531" s="5"/>
      <c r="H1531" s="6"/>
      <c r="I1531" s="5"/>
      <c r="J1531" s="88"/>
      <c r="K1531" s="88"/>
      <c r="L1531" s="88"/>
      <c r="M1531" s="88"/>
      <c r="N1531" s="88"/>
      <c r="O1531" s="88"/>
      <c r="P1531" s="88"/>
      <c r="Q1531" s="89"/>
      <c r="R1531" s="88"/>
      <c r="S1531" s="88"/>
      <c r="T1531" s="90"/>
      <c r="U1531" s="6"/>
      <c r="V1531" s="92"/>
      <c r="W1531" s="77"/>
      <c r="X1531" s="91"/>
      <c r="Y1531" s="77"/>
      <c r="Z1531" s="5"/>
      <c r="AA1531" s="5"/>
      <c r="AB1531" s="5"/>
      <c r="AC1531" s="5"/>
      <c r="AD1531" s="5"/>
      <c r="AE1531" s="5"/>
      <c r="AF1531" s="5"/>
      <c r="AG1531" s="5"/>
      <c r="AH1531" s="6"/>
      <c r="AI1531" s="92"/>
      <c r="AJ1531" s="93"/>
      <c r="AK1531" s="94"/>
      <c r="AL1531" s="95"/>
      <c r="AM1531" s="56"/>
      <c r="AN1531" s="57">
        <f t="shared" si="254"/>
        <v>0</v>
      </c>
      <c r="AO1531" s="76">
        <f t="shared" si="257"/>
        <v>0</v>
      </c>
      <c r="AP1531" s="63" t="str">
        <f t="shared" si="258"/>
        <v/>
      </c>
      <c r="AQ1531" s="63" t="str">
        <f t="shared" si="259"/>
        <v/>
      </c>
      <c r="AR1531" s="63" t="str">
        <f t="shared" si="260"/>
        <v/>
      </c>
      <c r="AS1531" s="63" t="str">
        <f t="shared" si="261"/>
        <v/>
      </c>
      <c r="AT1531" s="78" t="str">
        <f t="shared" si="262"/>
        <v/>
      </c>
      <c r="AU1531" s="78" t="str">
        <f t="shared" si="263"/>
        <v/>
      </c>
      <c r="AV1531" s="64" t="str">
        <f ca="1">IFERROR(__xludf.DUMMYFUNCTION("IF(TRIM(AU1531)="""","""",AU1531/INDEX(FILTER(AT$3:AT1531,TRIM(AT$3:AT1531)&lt;&gt;""""),ROWS(FILTER(AT$3:AT1531,TRIM(AT$3:AT1531)&lt;&gt;"""")))-1)"),"")</f>
        <v/>
      </c>
      <c r="AW1531" s="65" t="e">
        <f t="shared" ca="1" si="255"/>
        <v>#VALUE!</v>
      </c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</row>
    <row r="1532" spans="1:68" ht="19" x14ac:dyDescent="0.25">
      <c r="A1532" s="5"/>
      <c r="B1532" s="5"/>
      <c r="C1532" s="5"/>
      <c r="D1532" s="5"/>
      <c r="E1532" s="5"/>
      <c r="F1532" s="5"/>
      <c r="G1532" s="5"/>
      <c r="H1532" s="6"/>
      <c r="I1532" s="5"/>
      <c r="J1532" s="88"/>
      <c r="K1532" s="88"/>
      <c r="L1532" s="88"/>
      <c r="M1532" s="88"/>
      <c r="N1532" s="88"/>
      <c r="O1532" s="88"/>
      <c r="P1532" s="88"/>
      <c r="Q1532" s="89"/>
      <c r="R1532" s="88"/>
      <c r="S1532" s="88"/>
      <c r="T1532" s="90"/>
      <c r="U1532" s="6"/>
      <c r="V1532" s="92"/>
      <c r="W1532" s="77"/>
      <c r="X1532" s="91"/>
      <c r="Y1532" s="77"/>
      <c r="Z1532" s="5"/>
      <c r="AA1532" s="5"/>
      <c r="AB1532" s="5"/>
      <c r="AC1532" s="5"/>
      <c r="AD1532" s="5"/>
      <c r="AE1532" s="5"/>
      <c r="AF1532" s="5"/>
      <c r="AG1532" s="5"/>
      <c r="AH1532" s="6"/>
      <c r="AI1532" s="92"/>
      <c r="AJ1532" s="93"/>
      <c r="AK1532" s="94"/>
      <c r="AL1532" s="95"/>
      <c r="AM1532" s="56"/>
      <c r="AN1532" s="57">
        <f t="shared" si="254"/>
        <v>0</v>
      </c>
      <c r="AO1532" s="76">
        <f t="shared" si="257"/>
        <v>0</v>
      </c>
      <c r="AP1532" s="63" t="str">
        <f t="shared" si="258"/>
        <v/>
      </c>
      <c r="AQ1532" s="63" t="str">
        <f t="shared" si="259"/>
        <v/>
      </c>
      <c r="AR1532" s="63" t="str">
        <f t="shared" si="260"/>
        <v/>
      </c>
      <c r="AS1532" s="63" t="str">
        <f t="shared" si="261"/>
        <v/>
      </c>
      <c r="AT1532" s="78" t="str">
        <f t="shared" si="262"/>
        <v/>
      </c>
      <c r="AU1532" s="78" t="str">
        <f t="shared" si="263"/>
        <v/>
      </c>
      <c r="AV1532" s="64" t="str">
        <f ca="1">IFERROR(__xludf.DUMMYFUNCTION("IF(TRIM(AU1532)="""","""",AU1532/INDEX(FILTER(AT$3:AT1532,TRIM(AT$3:AT1532)&lt;&gt;""""),ROWS(FILTER(AT$3:AT1532,TRIM(AT$3:AT1532)&lt;&gt;"""")))-1)"),"")</f>
        <v/>
      </c>
      <c r="AW1532" s="65" t="e">
        <f t="shared" ca="1" si="255"/>
        <v>#VALUE!</v>
      </c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</row>
    <row r="1533" spans="1:68" ht="19" x14ac:dyDescent="0.25">
      <c r="A1533" s="5"/>
      <c r="B1533" s="5"/>
      <c r="C1533" s="5"/>
      <c r="D1533" s="5"/>
      <c r="E1533" s="5"/>
      <c r="F1533" s="5"/>
      <c r="G1533" s="5"/>
      <c r="H1533" s="6"/>
      <c r="I1533" s="5"/>
      <c r="J1533" s="88"/>
      <c r="K1533" s="88"/>
      <c r="L1533" s="88"/>
      <c r="M1533" s="88"/>
      <c r="N1533" s="88"/>
      <c r="O1533" s="88"/>
      <c r="P1533" s="88"/>
      <c r="Q1533" s="89"/>
      <c r="R1533" s="88"/>
      <c r="S1533" s="88"/>
      <c r="T1533" s="90"/>
      <c r="U1533" s="6"/>
      <c r="V1533" s="92"/>
      <c r="W1533" s="77"/>
      <c r="X1533" s="91"/>
      <c r="Y1533" s="77"/>
      <c r="Z1533" s="5"/>
      <c r="AA1533" s="5"/>
      <c r="AB1533" s="5"/>
      <c r="AC1533" s="5"/>
      <c r="AD1533" s="5"/>
      <c r="AE1533" s="5"/>
      <c r="AF1533" s="5"/>
      <c r="AG1533" s="5"/>
      <c r="AH1533" s="6"/>
      <c r="AI1533" s="92"/>
      <c r="AJ1533" s="93"/>
      <c r="AK1533" s="94"/>
      <c r="AL1533" s="95"/>
      <c r="AM1533" s="56"/>
      <c r="AN1533" s="57">
        <f t="shared" si="254"/>
        <v>0</v>
      </c>
      <c r="AO1533" s="76">
        <f t="shared" si="257"/>
        <v>0</v>
      </c>
      <c r="AP1533" s="63" t="str">
        <f t="shared" si="258"/>
        <v/>
      </c>
      <c r="AQ1533" s="63" t="str">
        <f t="shared" si="259"/>
        <v/>
      </c>
      <c r="AR1533" s="63" t="str">
        <f t="shared" si="260"/>
        <v/>
      </c>
      <c r="AS1533" s="63" t="str">
        <f t="shared" si="261"/>
        <v/>
      </c>
      <c r="AT1533" s="78" t="str">
        <f t="shared" si="262"/>
        <v/>
      </c>
      <c r="AU1533" s="78" t="str">
        <f t="shared" si="263"/>
        <v/>
      </c>
      <c r="AV1533" s="64" t="str">
        <f ca="1">IFERROR(__xludf.DUMMYFUNCTION("IF(TRIM(AU1533)="""","""",AU1533/INDEX(FILTER(AT$3:AT1533,TRIM(AT$3:AT1533)&lt;&gt;""""),ROWS(FILTER(AT$3:AT1533,TRIM(AT$3:AT1533)&lt;&gt;"""")))-1)"),"")</f>
        <v/>
      </c>
      <c r="AW1533" s="65" t="e">
        <f t="shared" ca="1" si="255"/>
        <v>#VALUE!</v>
      </c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</row>
    <row r="1534" spans="1:68" ht="19" x14ac:dyDescent="0.25">
      <c r="A1534" s="5"/>
      <c r="B1534" s="5"/>
      <c r="C1534" s="5"/>
      <c r="D1534" s="5"/>
      <c r="E1534" s="5"/>
      <c r="F1534" s="5"/>
      <c r="G1534" s="5"/>
      <c r="H1534" s="6"/>
      <c r="I1534" s="5"/>
      <c r="J1534" s="88"/>
      <c r="K1534" s="88"/>
      <c r="L1534" s="88"/>
      <c r="M1534" s="88"/>
      <c r="N1534" s="88"/>
      <c r="O1534" s="88"/>
      <c r="P1534" s="88"/>
      <c r="Q1534" s="89"/>
      <c r="R1534" s="88"/>
      <c r="S1534" s="88"/>
      <c r="T1534" s="90"/>
      <c r="U1534" s="6"/>
      <c r="V1534" s="92"/>
      <c r="W1534" s="77"/>
      <c r="X1534" s="91"/>
      <c r="Y1534" s="77"/>
      <c r="Z1534" s="5"/>
      <c r="AA1534" s="5"/>
      <c r="AB1534" s="5"/>
      <c r="AC1534" s="5"/>
      <c r="AD1534" s="5"/>
      <c r="AE1534" s="5"/>
      <c r="AF1534" s="5"/>
      <c r="AG1534" s="5"/>
      <c r="AH1534" s="6"/>
      <c r="AI1534" s="92"/>
      <c r="AJ1534" s="93"/>
      <c r="AK1534" s="94"/>
      <c r="AL1534" s="95"/>
      <c r="AM1534" s="56"/>
      <c r="AN1534" s="57">
        <f t="shared" si="254"/>
        <v>0</v>
      </c>
      <c r="AO1534" s="76">
        <f t="shared" si="257"/>
        <v>0</v>
      </c>
      <c r="AP1534" s="63" t="str">
        <f t="shared" si="258"/>
        <v/>
      </c>
      <c r="AQ1534" s="63" t="str">
        <f t="shared" si="259"/>
        <v/>
      </c>
      <c r="AR1534" s="63" t="str">
        <f t="shared" si="260"/>
        <v/>
      </c>
      <c r="AS1534" s="63" t="str">
        <f t="shared" si="261"/>
        <v/>
      </c>
      <c r="AT1534" s="78" t="str">
        <f t="shared" si="262"/>
        <v/>
      </c>
      <c r="AU1534" s="78" t="str">
        <f t="shared" si="263"/>
        <v/>
      </c>
      <c r="AV1534" s="64" t="str">
        <f ca="1">IFERROR(__xludf.DUMMYFUNCTION("IF(TRIM(AU1534)="""","""",AU1534/INDEX(FILTER(AT$3:AT1534,TRIM(AT$3:AT1534)&lt;&gt;""""),ROWS(FILTER(AT$3:AT1534,TRIM(AT$3:AT1534)&lt;&gt;"""")))-1)"),"")</f>
        <v/>
      </c>
      <c r="AW1534" s="65" t="e">
        <f t="shared" ca="1" si="255"/>
        <v>#VALUE!</v>
      </c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</row>
    <row r="1535" spans="1:68" ht="19" x14ac:dyDescent="0.25">
      <c r="A1535" s="5"/>
      <c r="B1535" s="5"/>
      <c r="C1535" s="5"/>
      <c r="D1535" s="5"/>
      <c r="E1535" s="5"/>
      <c r="F1535" s="5"/>
      <c r="G1535" s="5"/>
      <c r="H1535" s="6"/>
      <c r="I1535" s="5"/>
      <c r="J1535" s="88"/>
      <c r="K1535" s="88"/>
      <c r="L1535" s="88"/>
      <c r="M1535" s="88"/>
      <c r="N1535" s="88"/>
      <c r="O1535" s="88"/>
      <c r="P1535" s="88"/>
      <c r="Q1535" s="89"/>
      <c r="R1535" s="88"/>
      <c r="S1535" s="88"/>
      <c r="T1535" s="90"/>
      <c r="U1535" s="6"/>
      <c r="V1535" s="92"/>
      <c r="W1535" s="77"/>
      <c r="X1535" s="91"/>
      <c r="Y1535" s="77"/>
      <c r="Z1535" s="5"/>
      <c r="AA1535" s="5"/>
      <c r="AB1535" s="5"/>
      <c r="AC1535" s="5"/>
      <c r="AD1535" s="5"/>
      <c r="AE1535" s="5"/>
      <c r="AF1535" s="5"/>
      <c r="AG1535" s="5"/>
      <c r="AH1535" s="6"/>
      <c r="AI1535" s="92"/>
      <c r="AJ1535" s="93"/>
      <c r="AK1535" s="94"/>
      <c r="AL1535" s="95"/>
      <c r="AM1535" s="56"/>
      <c r="AN1535" s="57">
        <f t="shared" si="254"/>
        <v>0</v>
      </c>
      <c r="AO1535" s="76">
        <f t="shared" si="257"/>
        <v>0</v>
      </c>
      <c r="AP1535" s="63" t="str">
        <f t="shared" si="258"/>
        <v/>
      </c>
      <c r="AQ1535" s="63" t="str">
        <f t="shared" si="259"/>
        <v/>
      </c>
      <c r="AR1535" s="63" t="str">
        <f t="shared" si="260"/>
        <v/>
      </c>
      <c r="AS1535" s="63" t="str">
        <f t="shared" si="261"/>
        <v/>
      </c>
      <c r="AT1535" s="78" t="str">
        <f t="shared" si="262"/>
        <v/>
      </c>
      <c r="AU1535" s="78" t="str">
        <f t="shared" si="263"/>
        <v/>
      </c>
      <c r="AV1535" s="64" t="str">
        <f ca="1">IFERROR(__xludf.DUMMYFUNCTION("IF(TRIM(AU1535)="""","""",AU1535/INDEX(FILTER(AT$3:AT1535,TRIM(AT$3:AT1535)&lt;&gt;""""),ROWS(FILTER(AT$3:AT1535,TRIM(AT$3:AT1535)&lt;&gt;"""")))-1)"),"")</f>
        <v/>
      </c>
      <c r="AW1535" s="65" t="e">
        <f t="shared" ca="1" si="255"/>
        <v>#VALUE!</v>
      </c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</row>
    <row r="1536" spans="1:68" ht="19" x14ac:dyDescent="0.25">
      <c r="A1536" s="5"/>
      <c r="B1536" s="5"/>
      <c r="C1536" s="5"/>
      <c r="D1536" s="5"/>
      <c r="E1536" s="5"/>
      <c r="F1536" s="5"/>
      <c r="G1536" s="5"/>
      <c r="H1536" s="6"/>
      <c r="I1536" s="5"/>
      <c r="J1536" s="88"/>
      <c r="K1536" s="88"/>
      <c r="L1536" s="88"/>
      <c r="M1536" s="88"/>
      <c r="N1536" s="88"/>
      <c r="O1536" s="88"/>
      <c r="P1536" s="88"/>
      <c r="Q1536" s="89"/>
      <c r="R1536" s="88"/>
      <c r="S1536" s="88"/>
      <c r="T1536" s="90"/>
      <c r="U1536" s="6"/>
      <c r="V1536" s="92"/>
      <c r="W1536" s="77"/>
      <c r="X1536" s="91"/>
      <c r="Y1536" s="77"/>
      <c r="Z1536" s="5"/>
      <c r="AA1536" s="5"/>
      <c r="AB1536" s="5"/>
      <c r="AC1536" s="5"/>
      <c r="AD1536" s="5"/>
      <c r="AE1536" s="5"/>
      <c r="AF1536" s="5"/>
      <c r="AG1536" s="5"/>
      <c r="AH1536" s="6"/>
      <c r="AI1536" s="92"/>
      <c r="AJ1536" s="93"/>
      <c r="AK1536" s="94"/>
      <c r="AL1536" s="95"/>
      <c r="AM1536" s="56"/>
      <c r="AN1536" s="57">
        <f t="shared" si="254"/>
        <v>0</v>
      </c>
      <c r="AO1536" s="76">
        <f t="shared" si="257"/>
        <v>0</v>
      </c>
      <c r="AP1536" s="63" t="str">
        <f t="shared" si="258"/>
        <v/>
      </c>
      <c r="AQ1536" s="63" t="str">
        <f t="shared" si="259"/>
        <v/>
      </c>
      <c r="AR1536" s="63" t="str">
        <f t="shared" si="260"/>
        <v/>
      </c>
      <c r="AS1536" s="63" t="str">
        <f t="shared" si="261"/>
        <v/>
      </c>
      <c r="AT1536" s="78" t="str">
        <f t="shared" si="262"/>
        <v/>
      </c>
      <c r="AU1536" s="78" t="str">
        <f t="shared" si="263"/>
        <v/>
      </c>
      <c r="AV1536" s="64" t="str">
        <f ca="1">IFERROR(__xludf.DUMMYFUNCTION("IF(TRIM(AU1536)="""","""",AU1536/INDEX(FILTER(AT$3:AT1536,TRIM(AT$3:AT1536)&lt;&gt;""""),ROWS(FILTER(AT$3:AT1536,TRIM(AT$3:AT1536)&lt;&gt;"""")))-1)"),"")</f>
        <v/>
      </c>
      <c r="AW1536" s="65" t="e">
        <f t="shared" ca="1" si="255"/>
        <v>#VALUE!</v>
      </c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</row>
    <row r="1537" spans="1:68" ht="19" x14ac:dyDescent="0.25">
      <c r="A1537" s="5"/>
      <c r="B1537" s="5"/>
      <c r="C1537" s="5"/>
      <c r="D1537" s="5"/>
      <c r="E1537" s="5"/>
      <c r="F1537" s="5"/>
      <c r="G1537" s="5"/>
      <c r="H1537" s="6"/>
      <c r="I1537" s="5"/>
      <c r="J1537" s="88"/>
      <c r="K1537" s="88"/>
      <c r="L1537" s="88"/>
      <c r="M1537" s="88"/>
      <c r="N1537" s="88"/>
      <c r="O1537" s="88"/>
      <c r="P1537" s="88"/>
      <c r="Q1537" s="89"/>
      <c r="R1537" s="88"/>
      <c r="S1537" s="88"/>
      <c r="T1537" s="90"/>
      <c r="U1537" s="6"/>
      <c r="V1537" s="92"/>
      <c r="W1537" s="77"/>
      <c r="X1537" s="91"/>
      <c r="Y1537" s="77"/>
      <c r="Z1537" s="5"/>
      <c r="AA1537" s="5"/>
      <c r="AB1537" s="5"/>
      <c r="AC1537" s="5"/>
      <c r="AD1537" s="5"/>
      <c r="AE1537" s="5"/>
      <c r="AF1537" s="5"/>
      <c r="AG1537" s="5"/>
      <c r="AH1537" s="6"/>
      <c r="AI1537" s="92"/>
      <c r="AJ1537" s="93"/>
      <c r="AK1537" s="94"/>
      <c r="AL1537" s="95"/>
      <c r="AM1537" s="56"/>
      <c r="AN1537" s="57">
        <f t="shared" si="254"/>
        <v>0</v>
      </c>
      <c r="AO1537" s="76">
        <f t="shared" si="257"/>
        <v>0</v>
      </c>
      <c r="AP1537" s="63" t="str">
        <f t="shared" si="258"/>
        <v/>
      </c>
      <c r="AQ1537" s="63" t="str">
        <f t="shared" si="259"/>
        <v/>
      </c>
      <c r="AR1537" s="63" t="str">
        <f t="shared" si="260"/>
        <v/>
      </c>
      <c r="AS1537" s="63" t="str">
        <f t="shared" si="261"/>
        <v/>
      </c>
      <c r="AT1537" s="78" t="str">
        <f t="shared" si="262"/>
        <v/>
      </c>
      <c r="AU1537" s="78" t="str">
        <f t="shared" si="263"/>
        <v/>
      </c>
      <c r="AV1537" s="64" t="str">
        <f ca="1">IFERROR(__xludf.DUMMYFUNCTION("IF(TRIM(AU1537)="""","""",AU1537/INDEX(FILTER(AT$3:AT1537,TRIM(AT$3:AT1537)&lt;&gt;""""),ROWS(FILTER(AT$3:AT1537,TRIM(AT$3:AT1537)&lt;&gt;"""")))-1)"),"")</f>
        <v/>
      </c>
      <c r="AW1537" s="65" t="e">
        <f t="shared" ca="1" si="255"/>
        <v>#VALUE!</v>
      </c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</row>
    <row r="1538" spans="1:68" ht="19" x14ac:dyDescent="0.25">
      <c r="A1538" s="5"/>
      <c r="B1538" s="5"/>
      <c r="C1538" s="5"/>
      <c r="D1538" s="5"/>
      <c r="E1538" s="5"/>
      <c r="F1538" s="5"/>
      <c r="G1538" s="5"/>
      <c r="H1538" s="6"/>
      <c r="I1538" s="5"/>
      <c r="J1538" s="88"/>
      <c r="K1538" s="88"/>
      <c r="L1538" s="88"/>
      <c r="M1538" s="88"/>
      <c r="N1538" s="88"/>
      <c r="O1538" s="88"/>
      <c r="P1538" s="88"/>
      <c r="Q1538" s="89"/>
      <c r="R1538" s="88"/>
      <c r="S1538" s="88"/>
      <c r="T1538" s="90"/>
      <c r="U1538" s="6"/>
      <c r="V1538" s="92"/>
      <c r="W1538" s="77"/>
      <c r="X1538" s="91"/>
      <c r="Y1538" s="77"/>
      <c r="Z1538" s="5"/>
      <c r="AA1538" s="5"/>
      <c r="AB1538" s="5"/>
      <c r="AC1538" s="5"/>
      <c r="AD1538" s="5"/>
      <c r="AE1538" s="5"/>
      <c r="AF1538" s="5"/>
      <c r="AG1538" s="5"/>
      <c r="AH1538" s="6"/>
      <c r="AI1538" s="92"/>
      <c r="AJ1538" s="93"/>
      <c r="AK1538" s="94"/>
      <c r="AL1538" s="95"/>
      <c r="AM1538" s="56"/>
      <c r="AN1538" s="57">
        <f t="shared" si="254"/>
        <v>0</v>
      </c>
      <c r="AO1538" s="76">
        <f t="shared" si="257"/>
        <v>0</v>
      </c>
      <c r="AP1538" s="63" t="str">
        <f t="shared" si="258"/>
        <v/>
      </c>
      <c r="AQ1538" s="63" t="str">
        <f t="shared" si="259"/>
        <v/>
      </c>
      <c r="AR1538" s="63" t="str">
        <f t="shared" si="260"/>
        <v/>
      </c>
      <c r="AS1538" s="63" t="str">
        <f t="shared" si="261"/>
        <v/>
      </c>
      <c r="AT1538" s="78" t="str">
        <f t="shared" si="262"/>
        <v/>
      </c>
      <c r="AU1538" s="78" t="str">
        <f t="shared" si="263"/>
        <v/>
      </c>
      <c r="AV1538" s="64" t="str">
        <f ca="1">IFERROR(__xludf.DUMMYFUNCTION("IF(TRIM(AU1538)="""","""",AU1538/INDEX(FILTER(AT$3:AT1538,TRIM(AT$3:AT1538)&lt;&gt;""""),ROWS(FILTER(AT$3:AT1538,TRIM(AT$3:AT1538)&lt;&gt;"""")))-1)"),"")</f>
        <v/>
      </c>
      <c r="AW1538" s="65" t="e">
        <f t="shared" ca="1" si="255"/>
        <v>#VALUE!</v>
      </c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</row>
    <row r="1539" spans="1:68" ht="19" x14ac:dyDescent="0.25">
      <c r="A1539" s="5"/>
      <c r="B1539" s="5"/>
      <c r="C1539" s="5"/>
      <c r="D1539" s="5"/>
      <c r="E1539" s="5"/>
      <c r="F1539" s="5"/>
      <c r="G1539" s="5"/>
      <c r="H1539" s="6"/>
      <c r="I1539" s="5"/>
      <c r="J1539" s="88"/>
      <c r="K1539" s="88"/>
      <c r="L1539" s="88"/>
      <c r="M1539" s="88"/>
      <c r="N1539" s="88"/>
      <c r="O1539" s="88"/>
      <c r="P1539" s="88"/>
      <c r="Q1539" s="89"/>
      <c r="R1539" s="88"/>
      <c r="S1539" s="88"/>
      <c r="T1539" s="90"/>
      <c r="U1539" s="6"/>
      <c r="V1539" s="92"/>
      <c r="W1539" s="77"/>
      <c r="X1539" s="91"/>
      <c r="Y1539" s="77"/>
      <c r="Z1539" s="5"/>
      <c r="AA1539" s="5"/>
      <c r="AB1539" s="5"/>
      <c r="AC1539" s="5"/>
      <c r="AD1539" s="5"/>
      <c r="AE1539" s="5"/>
      <c r="AF1539" s="5"/>
      <c r="AG1539" s="5"/>
      <c r="AH1539" s="6"/>
      <c r="AI1539" s="92"/>
      <c r="AJ1539" s="93"/>
      <c r="AK1539" s="94"/>
      <c r="AL1539" s="95"/>
      <c r="AM1539" s="56"/>
      <c r="AN1539" s="57">
        <f t="shared" ref="AN1539:AN1602" si="264">AM1539-AL1539</f>
        <v>0</v>
      </c>
      <c r="AO1539" s="76">
        <f t="shared" si="257"/>
        <v>0</v>
      </c>
      <c r="AP1539" s="63" t="str">
        <f t="shared" si="258"/>
        <v/>
      </c>
      <c r="AQ1539" s="63" t="str">
        <f t="shared" si="259"/>
        <v/>
      </c>
      <c r="AR1539" s="63" t="str">
        <f t="shared" si="260"/>
        <v/>
      </c>
      <c r="AS1539" s="63" t="str">
        <f t="shared" si="261"/>
        <v/>
      </c>
      <c r="AT1539" s="78" t="str">
        <f t="shared" si="262"/>
        <v/>
      </c>
      <c r="AU1539" s="78" t="str">
        <f t="shared" si="263"/>
        <v/>
      </c>
      <c r="AV1539" s="64" t="str">
        <f ca="1">IFERROR(__xludf.DUMMYFUNCTION("IF(TRIM(AU1539)="""","""",AU1539/INDEX(FILTER(AT$3:AT1539,TRIM(AT$3:AT1539)&lt;&gt;""""),ROWS(FILTER(AT$3:AT1539,TRIM(AT$3:AT1539)&lt;&gt;"""")))-1)"),"")</f>
        <v/>
      </c>
      <c r="AW1539" s="65" t="e">
        <f t="shared" ref="AW1539:AW1602" ca="1" si="265">AW1538*(1+AV1539)</f>
        <v>#VALUE!</v>
      </c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</row>
    <row r="1540" spans="1:68" ht="19" x14ac:dyDescent="0.25">
      <c r="A1540" s="5"/>
      <c r="B1540" s="5"/>
      <c r="C1540" s="5"/>
      <c r="D1540" s="5"/>
      <c r="E1540" s="5"/>
      <c r="F1540" s="5"/>
      <c r="G1540" s="5"/>
      <c r="H1540" s="6"/>
      <c r="I1540" s="5"/>
      <c r="J1540" s="88"/>
      <c r="K1540" s="88"/>
      <c r="L1540" s="88"/>
      <c r="M1540" s="88"/>
      <c r="N1540" s="88"/>
      <c r="O1540" s="88"/>
      <c r="P1540" s="88"/>
      <c r="Q1540" s="89"/>
      <c r="R1540" s="88"/>
      <c r="S1540" s="88"/>
      <c r="T1540" s="90"/>
      <c r="U1540" s="6"/>
      <c r="V1540" s="92"/>
      <c r="W1540" s="77"/>
      <c r="X1540" s="91"/>
      <c r="Y1540" s="77"/>
      <c r="Z1540" s="5"/>
      <c r="AA1540" s="5"/>
      <c r="AB1540" s="5"/>
      <c r="AC1540" s="5"/>
      <c r="AD1540" s="5"/>
      <c r="AE1540" s="5"/>
      <c r="AF1540" s="5"/>
      <c r="AG1540" s="5"/>
      <c r="AH1540" s="6"/>
      <c r="AI1540" s="92"/>
      <c r="AJ1540" s="93"/>
      <c r="AK1540" s="94"/>
      <c r="AL1540" s="95"/>
      <c r="AM1540" s="56"/>
      <c r="AN1540" s="57">
        <f t="shared" si="264"/>
        <v>0</v>
      </c>
      <c r="AO1540" s="76">
        <f t="shared" si="257"/>
        <v>0</v>
      </c>
      <c r="AP1540" s="63" t="str">
        <f t="shared" si="258"/>
        <v/>
      </c>
      <c r="AQ1540" s="63" t="str">
        <f t="shared" si="259"/>
        <v/>
      </c>
      <c r="AR1540" s="63" t="str">
        <f t="shared" si="260"/>
        <v/>
      </c>
      <c r="AS1540" s="63" t="str">
        <f t="shared" si="261"/>
        <v/>
      </c>
      <c r="AT1540" s="78" t="str">
        <f t="shared" si="262"/>
        <v/>
      </c>
      <c r="AU1540" s="78" t="str">
        <f t="shared" si="263"/>
        <v/>
      </c>
      <c r="AV1540" s="64" t="str">
        <f ca="1">IFERROR(__xludf.DUMMYFUNCTION("IF(TRIM(AU1540)="""","""",AU1540/INDEX(FILTER(AT$3:AT1540,TRIM(AT$3:AT1540)&lt;&gt;""""),ROWS(FILTER(AT$3:AT1540,TRIM(AT$3:AT1540)&lt;&gt;"""")))-1)"),"")</f>
        <v/>
      </c>
      <c r="AW1540" s="65" t="e">
        <f t="shared" ca="1" si="265"/>
        <v>#VALUE!</v>
      </c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</row>
    <row r="1541" spans="1:68" ht="19" x14ac:dyDescent="0.25">
      <c r="A1541" s="5"/>
      <c r="B1541" s="5"/>
      <c r="C1541" s="5"/>
      <c r="D1541" s="5"/>
      <c r="E1541" s="5"/>
      <c r="F1541" s="5"/>
      <c r="G1541" s="5"/>
      <c r="H1541" s="6"/>
      <c r="I1541" s="5"/>
      <c r="J1541" s="88"/>
      <c r="K1541" s="88"/>
      <c r="L1541" s="88"/>
      <c r="M1541" s="88"/>
      <c r="N1541" s="88"/>
      <c r="O1541" s="88"/>
      <c r="P1541" s="88"/>
      <c r="Q1541" s="89"/>
      <c r="R1541" s="88"/>
      <c r="S1541" s="88"/>
      <c r="T1541" s="90"/>
      <c r="U1541" s="6"/>
      <c r="V1541" s="92"/>
      <c r="W1541" s="77"/>
      <c r="X1541" s="91"/>
      <c r="Y1541" s="77"/>
      <c r="Z1541" s="5"/>
      <c r="AA1541" s="5"/>
      <c r="AB1541" s="5"/>
      <c r="AC1541" s="5"/>
      <c r="AD1541" s="5"/>
      <c r="AE1541" s="5"/>
      <c r="AF1541" s="5"/>
      <c r="AG1541" s="5"/>
      <c r="AH1541" s="6"/>
      <c r="AI1541" s="92"/>
      <c r="AJ1541" s="93"/>
      <c r="AK1541" s="94"/>
      <c r="AL1541" s="95"/>
      <c r="AM1541" s="56"/>
      <c r="AN1541" s="57">
        <f t="shared" si="264"/>
        <v>0</v>
      </c>
      <c r="AO1541" s="76">
        <f t="shared" si="257"/>
        <v>0</v>
      </c>
      <c r="AP1541" s="63" t="str">
        <f t="shared" si="258"/>
        <v/>
      </c>
      <c r="AQ1541" s="63" t="str">
        <f t="shared" si="259"/>
        <v/>
      </c>
      <c r="AR1541" s="63" t="str">
        <f t="shared" si="260"/>
        <v/>
      </c>
      <c r="AS1541" s="63" t="str">
        <f t="shared" si="261"/>
        <v/>
      </c>
      <c r="AT1541" s="78" t="str">
        <f t="shared" si="262"/>
        <v/>
      </c>
      <c r="AU1541" s="78" t="str">
        <f t="shared" si="263"/>
        <v/>
      </c>
      <c r="AV1541" s="64" t="str">
        <f ca="1">IFERROR(__xludf.DUMMYFUNCTION("IF(TRIM(AU1541)="""","""",AU1541/INDEX(FILTER(AT$3:AT1541,TRIM(AT$3:AT1541)&lt;&gt;""""),ROWS(FILTER(AT$3:AT1541,TRIM(AT$3:AT1541)&lt;&gt;"""")))-1)"),"")</f>
        <v/>
      </c>
      <c r="AW1541" s="65" t="e">
        <f t="shared" ca="1" si="265"/>
        <v>#VALUE!</v>
      </c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</row>
    <row r="1542" spans="1:68" ht="19" x14ac:dyDescent="0.25">
      <c r="A1542" s="5"/>
      <c r="B1542" s="5"/>
      <c r="C1542" s="5"/>
      <c r="D1542" s="5"/>
      <c r="E1542" s="5"/>
      <c r="F1542" s="5"/>
      <c r="G1542" s="5"/>
      <c r="H1542" s="6"/>
      <c r="I1542" s="5"/>
      <c r="J1542" s="88"/>
      <c r="K1542" s="88"/>
      <c r="L1542" s="88"/>
      <c r="M1542" s="88"/>
      <c r="N1542" s="88"/>
      <c r="O1542" s="88"/>
      <c r="P1542" s="88"/>
      <c r="Q1542" s="89"/>
      <c r="R1542" s="88"/>
      <c r="S1542" s="88"/>
      <c r="T1542" s="90"/>
      <c r="U1542" s="6"/>
      <c r="V1542" s="92"/>
      <c r="W1542" s="77"/>
      <c r="X1542" s="91"/>
      <c r="Y1542" s="77"/>
      <c r="Z1542" s="5"/>
      <c r="AA1542" s="5"/>
      <c r="AB1542" s="5"/>
      <c r="AC1542" s="5"/>
      <c r="AD1542" s="5"/>
      <c r="AE1542" s="5"/>
      <c r="AF1542" s="5"/>
      <c r="AG1542" s="5"/>
      <c r="AH1542" s="6"/>
      <c r="AI1542" s="92"/>
      <c r="AJ1542" s="93"/>
      <c r="AK1542" s="94"/>
      <c r="AL1542" s="95"/>
      <c r="AM1542" s="56"/>
      <c r="AN1542" s="57">
        <f t="shared" si="264"/>
        <v>0</v>
      </c>
      <c r="AO1542" s="76">
        <f t="shared" si="257"/>
        <v>0</v>
      </c>
      <c r="AP1542" s="63" t="str">
        <f t="shared" si="258"/>
        <v/>
      </c>
      <c r="AQ1542" s="63" t="str">
        <f t="shared" si="259"/>
        <v/>
      </c>
      <c r="AR1542" s="63" t="str">
        <f t="shared" si="260"/>
        <v/>
      </c>
      <c r="AS1542" s="63" t="str">
        <f t="shared" si="261"/>
        <v/>
      </c>
      <c r="AT1542" s="78" t="str">
        <f t="shared" si="262"/>
        <v/>
      </c>
      <c r="AU1542" s="78" t="str">
        <f t="shared" si="263"/>
        <v/>
      </c>
      <c r="AV1542" s="64" t="str">
        <f ca="1">IFERROR(__xludf.DUMMYFUNCTION("IF(TRIM(AU1542)="""","""",AU1542/INDEX(FILTER(AT$3:AT1542,TRIM(AT$3:AT1542)&lt;&gt;""""),ROWS(FILTER(AT$3:AT1542,TRIM(AT$3:AT1542)&lt;&gt;"""")))-1)"),"")</f>
        <v/>
      </c>
      <c r="AW1542" s="65" t="e">
        <f t="shared" ca="1" si="265"/>
        <v>#VALUE!</v>
      </c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</row>
    <row r="1543" spans="1:68" ht="19" x14ac:dyDescent="0.25">
      <c r="A1543" s="5"/>
      <c r="B1543" s="5"/>
      <c r="C1543" s="5"/>
      <c r="D1543" s="5"/>
      <c r="E1543" s="5"/>
      <c r="F1543" s="5"/>
      <c r="G1543" s="5"/>
      <c r="H1543" s="6"/>
      <c r="I1543" s="5"/>
      <c r="J1543" s="88"/>
      <c r="K1543" s="88"/>
      <c r="L1543" s="88"/>
      <c r="M1543" s="88"/>
      <c r="N1543" s="88"/>
      <c r="O1543" s="88"/>
      <c r="P1543" s="88"/>
      <c r="Q1543" s="89"/>
      <c r="R1543" s="88"/>
      <c r="S1543" s="88"/>
      <c r="T1543" s="90"/>
      <c r="U1543" s="6"/>
      <c r="V1543" s="92"/>
      <c r="W1543" s="77"/>
      <c r="X1543" s="91"/>
      <c r="Y1543" s="77"/>
      <c r="Z1543" s="5"/>
      <c r="AA1543" s="5"/>
      <c r="AB1543" s="5"/>
      <c r="AC1543" s="5"/>
      <c r="AD1543" s="5"/>
      <c r="AE1543" s="5"/>
      <c r="AF1543" s="5"/>
      <c r="AG1543" s="5"/>
      <c r="AH1543" s="6"/>
      <c r="AI1543" s="92"/>
      <c r="AJ1543" s="93"/>
      <c r="AK1543" s="94"/>
      <c r="AL1543" s="95"/>
      <c r="AM1543" s="56"/>
      <c r="AN1543" s="57">
        <f t="shared" si="264"/>
        <v>0</v>
      </c>
      <c r="AO1543" s="76">
        <f t="shared" ref="AO1543:AO1606" si="266">AVERAGE(AN1539:AN1543)</f>
        <v>0</v>
      </c>
      <c r="AP1543" s="63" t="str">
        <f t="shared" ref="AP1543:AP1606" si="267">IF(AO1543&gt;0,"Buy Stocks","")</f>
        <v/>
      </c>
      <c r="AQ1543" s="63" t="str">
        <f t="shared" ref="AQ1543:AQ1606" si="268">IF(AO1543&lt;0,"Sell Stocks","")</f>
        <v/>
      </c>
      <c r="AR1543" s="63" t="str">
        <f t="shared" ref="AR1543:AR1606" si="269">IF(AND(AP1543="Buy Stocks",AP1542=""),"Buy Stocks","")</f>
        <v/>
      </c>
      <c r="AS1543" s="63" t="str">
        <f t="shared" ref="AS1543:AS1606" si="270">IF(AND(AQ1543="Sell Stocks",AQ1542=""),"Sell Stocks","")</f>
        <v/>
      </c>
      <c r="AT1543" s="78" t="str">
        <f t="shared" ref="AT1543:AT1606" si="271">IF(AR1543="Buy Stocks",AJ1543,"")</f>
        <v/>
      </c>
      <c r="AU1543" s="78" t="str">
        <f t="shared" ref="AU1543:AU1606" si="272">IF(AS1543="Sell Stocks",AJ1543,"")</f>
        <v/>
      </c>
      <c r="AV1543" s="64" t="str">
        <f ca="1">IFERROR(__xludf.DUMMYFUNCTION("IF(TRIM(AU1543)="""","""",AU1543/INDEX(FILTER(AT$3:AT1543,TRIM(AT$3:AT1543)&lt;&gt;""""),ROWS(FILTER(AT$3:AT1543,TRIM(AT$3:AT1543)&lt;&gt;"""")))-1)"),"")</f>
        <v/>
      </c>
      <c r="AW1543" s="65" t="e">
        <f t="shared" ca="1" si="265"/>
        <v>#VALUE!</v>
      </c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</row>
    <row r="1544" spans="1:68" ht="19" x14ac:dyDescent="0.25">
      <c r="A1544" s="5"/>
      <c r="B1544" s="5"/>
      <c r="C1544" s="5"/>
      <c r="D1544" s="5"/>
      <c r="E1544" s="5"/>
      <c r="F1544" s="5"/>
      <c r="G1544" s="5"/>
      <c r="H1544" s="6"/>
      <c r="I1544" s="5"/>
      <c r="J1544" s="88"/>
      <c r="K1544" s="88"/>
      <c r="L1544" s="88"/>
      <c r="M1544" s="88"/>
      <c r="N1544" s="88"/>
      <c r="O1544" s="88"/>
      <c r="P1544" s="88"/>
      <c r="Q1544" s="89"/>
      <c r="R1544" s="88"/>
      <c r="S1544" s="88"/>
      <c r="T1544" s="90"/>
      <c r="U1544" s="6"/>
      <c r="V1544" s="92"/>
      <c r="W1544" s="77"/>
      <c r="X1544" s="91"/>
      <c r="Y1544" s="77"/>
      <c r="Z1544" s="5"/>
      <c r="AA1544" s="5"/>
      <c r="AB1544" s="5"/>
      <c r="AC1544" s="5"/>
      <c r="AD1544" s="5"/>
      <c r="AE1544" s="5"/>
      <c r="AF1544" s="5"/>
      <c r="AG1544" s="5"/>
      <c r="AH1544" s="6"/>
      <c r="AI1544" s="92"/>
      <c r="AJ1544" s="93"/>
      <c r="AK1544" s="94"/>
      <c r="AL1544" s="95"/>
      <c r="AM1544" s="56"/>
      <c r="AN1544" s="57">
        <f t="shared" si="264"/>
        <v>0</v>
      </c>
      <c r="AO1544" s="76">
        <f t="shared" si="266"/>
        <v>0</v>
      </c>
      <c r="AP1544" s="63" t="str">
        <f t="shared" si="267"/>
        <v/>
      </c>
      <c r="AQ1544" s="63" t="str">
        <f t="shared" si="268"/>
        <v/>
      </c>
      <c r="AR1544" s="63" t="str">
        <f t="shared" si="269"/>
        <v/>
      </c>
      <c r="AS1544" s="63" t="str">
        <f t="shared" si="270"/>
        <v/>
      </c>
      <c r="AT1544" s="78" t="str">
        <f t="shared" si="271"/>
        <v/>
      </c>
      <c r="AU1544" s="78" t="str">
        <f t="shared" si="272"/>
        <v/>
      </c>
      <c r="AV1544" s="64" t="str">
        <f ca="1">IFERROR(__xludf.DUMMYFUNCTION("IF(TRIM(AU1544)="""","""",AU1544/INDEX(FILTER(AT$3:AT1544,TRIM(AT$3:AT1544)&lt;&gt;""""),ROWS(FILTER(AT$3:AT1544,TRIM(AT$3:AT1544)&lt;&gt;"""")))-1)"),"")</f>
        <v/>
      </c>
      <c r="AW1544" s="65" t="e">
        <f t="shared" ca="1" si="265"/>
        <v>#VALUE!</v>
      </c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</row>
    <row r="1545" spans="1:68" ht="19" x14ac:dyDescent="0.25">
      <c r="A1545" s="5"/>
      <c r="B1545" s="5"/>
      <c r="C1545" s="5"/>
      <c r="D1545" s="5"/>
      <c r="E1545" s="5"/>
      <c r="F1545" s="5"/>
      <c r="G1545" s="5"/>
      <c r="H1545" s="6"/>
      <c r="I1545" s="5"/>
      <c r="J1545" s="88"/>
      <c r="K1545" s="88"/>
      <c r="L1545" s="88"/>
      <c r="M1545" s="88"/>
      <c r="N1545" s="88"/>
      <c r="O1545" s="88"/>
      <c r="P1545" s="88"/>
      <c r="Q1545" s="89"/>
      <c r="R1545" s="88"/>
      <c r="S1545" s="88"/>
      <c r="T1545" s="90"/>
      <c r="U1545" s="6"/>
      <c r="V1545" s="92"/>
      <c r="W1545" s="77"/>
      <c r="X1545" s="91"/>
      <c r="Y1545" s="77"/>
      <c r="Z1545" s="5"/>
      <c r="AA1545" s="5"/>
      <c r="AB1545" s="5"/>
      <c r="AC1545" s="5"/>
      <c r="AD1545" s="5"/>
      <c r="AE1545" s="5"/>
      <c r="AF1545" s="5"/>
      <c r="AG1545" s="5"/>
      <c r="AH1545" s="6"/>
      <c r="AI1545" s="92"/>
      <c r="AJ1545" s="93"/>
      <c r="AK1545" s="94"/>
      <c r="AL1545" s="95"/>
      <c r="AM1545" s="56"/>
      <c r="AN1545" s="57">
        <f t="shared" si="264"/>
        <v>0</v>
      </c>
      <c r="AO1545" s="76">
        <f t="shared" si="266"/>
        <v>0</v>
      </c>
      <c r="AP1545" s="63" t="str">
        <f t="shared" si="267"/>
        <v/>
      </c>
      <c r="AQ1545" s="63" t="str">
        <f t="shared" si="268"/>
        <v/>
      </c>
      <c r="AR1545" s="63" t="str">
        <f t="shared" si="269"/>
        <v/>
      </c>
      <c r="AS1545" s="63" t="str">
        <f t="shared" si="270"/>
        <v/>
      </c>
      <c r="AT1545" s="78" t="str">
        <f t="shared" si="271"/>
        <v/>
      </c>
      <c r="AU1545" s="78" t="str">
        <f t="shared" si="272"/>
        <v/>
      </c>
      <c r="AV1545" s="64" t="str">
        <f ca="1">IFERROR(__xludf.DUMMYFUNCTION("IF(TRIM(AU1545)="""","""",AU1545/INDEX(FILTER(AT$3:AT1545,TRIM(AT$3:AT1545)&lt;&gt;""""),ROWS(FILTER(AT$3:AT1545,TRIM(AT$3:AT1545)&lt;&gt;"""")))-1)"),"")</f>
        <v/>
      </c>
      <c r="AW1545" s="65" t="e">
        <f t="shared" ca="1" si="265"/>
        <v>#VALUE!</v>
      </c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</row>
    <row r="1546" spans="1:68" ht="19" x14ac:dyDescent="0.25">
      <c r="A1546" s="5"/>
      <c r="B1546" s="5"/>
      <c r="C1546" s="5"/>
      <c r="D1546" s="5"/>
      <c r="E1546" s="5"/>
      <c r="F1546" s="5"/>
      <c r="G1546" s="5"/>
      <c r="H1546" s="6"/>
      <c r="I1546" s="5"/>
      <c r="J1546" s="88"/>
      <c r="K1546" s="88"/>
      <c r="L1546" s="88"/>
      <c r="M1546" s="88"/>
      <c r="N1546" s="88"/>
      <c r="O1546" s="88"/>
      <c r="P1546" s="88"/>
      <c r="Q1546" s="89"/>
      <c r="R1546" s="88"/>
      <c r="S1546" s="88"/>
      <c r="T1546" s="90"/>
      <c r="U1546" s="6"/>
      <c r="V1546" s="92"/>
      <c r="W1546" s="77"/>
      <c r="X1546" s="91"/>
      <c r="Y1546" s="77"/>
      <c r="Z1546" s="5"/>
      <c r="AA1546" s="5"/>
      <c r="AB1546" s="5"/>
      <c r="AC1546" s="5"/>
      <c r="AD1546" s="5"/>
      <c r="AE1546" s="5"/>
      <c r="AF1546" s="5"/>
      <c r="AG1546" s="5"/>
      <c r="AH1546" s="6"/>
      <c r="AI1546" s="92"/>
      <c r="AJ1546" s="93"/>
      <c r="AK1546" s="94"/>
      <c r="AL1546" s="95"/>
      <c r="AM1546" s="56"/>
      <c r="AN1546" s="57">
        <f t="shared" si="264"/>
        <v>0</v>
      </c>
      <c r="AO1546" s="76">
        <f t="shared" si="266"/>
        <v>0</v>
      </c>
      <c r="AP1546" s="63" t="str">
        <f t="shared" si="267"/>
        <v/>
      </c>
      <c r="AQ1546" s="63" t="str">
        <f t="shared" si="268"/>
        <v/>
      </c>
      <c r="AR1546" s="63" t="str">
        <f t="shared" si="269"/>
        <v/>
      </c>
      <c r="AS1546" s="63" t="str">
        <f t="shared" si="270"/>
        <v/>
      </c>
      <c r="AT1546" s="78" t="str">
        <f t="shared" si="271"/>
        <v/>
      </c>
      <c r="AU1546" s="78" t="str">
        <f t="shared" si="272"/>
        <v/>
      </c>
      <c r="AV1546" s="64" t="str">
        <f ca="1">IFERROR(__xludf.DUMMYFUNCTION("IF(TRIM(AU1546)="""","""",AU1546/INDEX(FILTER(AT$3:AT1546,TRIM(AT$3:AT1546)&lt;&gt;""""),ROWS(FILTER(AT$3:AT1546,TRIM(AT$3:AT1546)&lt;&gt;"""")))-1)"),"")</f>
        <v/>
      </c>
      <c r="AW1546" s="65" t="e">
        <f t="shared" ca="1" si="265"/>
        <v>#VALUE!</v>
      </c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</row>
    <row r="1547" spans="1:68" ht="19" x14ac:dyDescent="0.25">
      <c r="A1547" s="5"/>
      <c r="B1547" s="5"/>
      <c r="C1547" s="5"/>
      <c r="D1547" s="5"/>
      <c r="E1547" s="5"/>
      <c r="F1547" s="5"/>
      <c r="G1547" s="5"/>
      <c r="H1547" s="6"/>
      <c r="I1547" s="5"/>
      <c r="J1547" s="88"/>
      <c r="K1547" s="88"/>
      <c r="L1547" s="88"/>
      <c r="M1547" s="88"/>
      <c r="N1547" s="88"/>
      <c r="O1547" s="88"/>
      <c r="P1547" s="88"/>
      <c r="Q1547" s="89"/>
      <c r="R1547" s="88"/>
      <c r="S1547" s="88"/>
      <c r="T1547" s="90"/>
      <c r="U1547" s="6"/>
      <c r="V1547" s="92"/>
      <c r="W1547" s="77"/>
      <c r="X1547" s="91"/>
      <c r="Y1547" s="77"/>
      <c r="Z1547" s="5"/>
      <c r="AA1547" s="5"/>
      <c r="AB1547" s="5"/>
      <c r="AC1547" s="5"/>
      <c r="AD1547" s="5"/>
      <c r="AE1547" s="5"/>
      <c r="AF1547" s="5"/>
      <c r="AG1547" s="5"/>
      <c r="AH1547" s="6"/>
      <c r="AI1547" s="92"/>
      <c r="AJ1547" s="93"/>
      <c r="AK1547" s="94"/>
      <c r="AL1547" s="95"/>
      <c r="AM1547" s="56"/>
      <c r="AN1547" s="57">
        <f t="shared" si="264"/>
        <v>0</v>
      </c>
      <c r="AO1547" s="76">
        <f t="shared" si="266"/>
        <v>0</v>
      </c>
      <c r="AP1547" s="63" t="str">
        <f t="shared" si="267"/>
        <v/>
      </c>
      <c r="AQ1547" s="63" t="str">
        <f t="shared" si="268"/>
        <v/>
      </c>
      <c r="AR1547" s="63" t="str">
        <f t="shared" si="269"/>
        <v/>
      </c>
      <c r="AS1547" s="63" t="str">
        <f t="shared" si="270"/>
        <v/>
      </c>
      <c r="AT1547" s="78" t="str">
        <f t="shared" si="271"/>
        <v/>
      </c>
      <c r="AU1547" s="78" t="str">
        <f t="shared" si="272"/>
        <v/>
      </c>
      <c r="AV1547" s="64" t="str">
        <f ca="1">IFERROR(__xludf.DUMMYFUNCTION("IF(TRIM(AU1547)="""","""",AU1547/INDEX(FILTER(AT$3:AT1547,TRIM(AT$3:AT1547)&lt;&gt;""""),ROWS(FILTER(AT$3:AT1547,TRIM(AT$3:AT1547)&lt;&gt;"""")))-1)"),"")</f>
        <v/>
      </c>
      <c r="AW1547" s="65" t="e">
        <f t="shared" ca="1" si="265"/>
        <v>#VALUE!</v>
      </c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</row>
    <row r="1548" spans="1:68" ht="19" x14ac:dyDescent="0.25">
      <c r="A1548" s="5"/>
      <c r="B1548" s="5"/>
      <c r="C1548" s="5"/>
      <c r="D1548" s="5"/>
      <c r="E1548" s="5"/>
      <c r="F1548" s="5"/>
      <c r="G1548" s="5"/>
      <c r="H1548" s="6"/>
      <c r="I1548" s="5"/>
      <c r="J1548" s="88"/>
      <c r="K1548" s="88"/>
      <c r="L1548" s="88"/>
      <c r="M1548" s="88"/>
      <c r="N1548" s="88"/>
      <c r="O1548" s="88"/>
      <c r="P1548" s="88"/>
      <c r="Q1548" s="89"/>
      <c r="R1548" s="88"/>
      <c r="S1548" s="88"/>
      <c r="T1548" s="90"/>
      <c r="U1548" s="6"/>
      <c r="V1548" s="92"/>
      <c r="W1548" s="77"/>
      <c r="X1548" s="91"/>
      <c r="Y1548" s="77"/>
      <c r="Z1548" s="5"/>
      <c r="AA1548" s="5"/>
      <c r="AB1548" s="5"/>
      <c r="AC1548" s="5"/>
      <c r="AD1548" s="5"/>
      <c r="AE1548" s="5"/>
      <c r="AF1548" s="5"/>
      <c r="AG1548" s="5"/>
      <c r="AH1548" s="6"/>
      <c r="AI1548" s="92"/>
      <c r="AJ1548" s="93"/>
      <c r="AK1548" s="94"/>
      <c r="AL1548" s="95"/>
      <c r="AM1548" s="56"/>
      <c r="AN1548" s="57">
        <f t="shared" si="264"/>
        <v>0</v>
      </c>
      <c r="AO1548" s="76">
        <f t="shared" si="266"/>
        <v>0</v>
      </c>
      <c r="AP1548" s="63" t="str">
        <f t="shared" si="267"/>
        <v/>
      </c>
      <c r="AQ1548" s="63" t="str">
        <f t="shared" si="268"/>
        <v/>
      </c>
      <c r="AR1548" s="63" t="str">
        <f t="shared" si="269"/>
        <v/>
      </c>
      <c r="AS1548" s="63" t="str">
        <f t="shared" si="270"/>
        <v/>
      </c>
      <c r="AT1548" s="78" t="str">
        <f t="shared" si="271"/>
        <v/>
      </c>
      <c r="AU1548" s="78" t="str">
        <f t="shared" si="272"/>
        <v/>
      </c>
      <c r="AV1548" s="64" t="str">
        <f ca="1">IFERROR(__xludf.DUMMYFUNCTION("IF(TRIM(AU1548)="""","""",AU1548/INDEX(FILTER(AT$3:AT1548,TRIM(AT$3:AT1548)&lt;&gt;""""),ROWS(FILTER(AT$3:AT1548,TRIM(AT$3:AT1548)&lt;&gt;"""")))-1)"),"")</f>
        <v/>
      </c>
      <c r="AW1548" s="65" t="e">
        <f t="shared" ca="1" si="265"/>
        <v>#VALUE!</v>
      </c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</row>
    <row r="1549" spans="1:68" ht="19" x14ac:dyDescent="0.25">
      <c r="A1549" s="5"/>
      <c r="B1549" s="5"/>
      <c r="C1549" s="5"/>
      <c r="D1549" s="5"/>
      <c r="E1549" s="5"/>
      <c r="F1549" s="5"/>
      <c r="G1549" s="5"/>
      <c r="H1549" s="6"/>
      <c r="I1549" s="5"/>
      <c r="J1549" s="88"/>
      <c r="K1549" s="88"/>
      <c r="L1549" s="88"/>
      <c r="M1549" s="88"/>
      <c r="N1549" s="88"/>
      <c r="O1549" s="88"/>
      <c r="P1549" s="88"/>
      <c r="Q1549" s="89"/>
      <c r="R1549" s="88"/>
      <c r="S1549" s="88"/>
      <c r="T1549" s="90"/>
      <c r="U1549" s="6"/>
      <c r="V1549" s="92"/>
      <c r="W1549" s="77"/>
      <c r="X1549" s="91"/>
      <c r="Y1549" s="77"/>
      <c r="Z1549" s="5"/>
      <c r="AA1549" s="5"/>
      <c r="AB1549" s="5"/>
      <c r="AC1549" s="5"/>
      <c r="AD1549" s="5"/>
      <c r="AE1549" s="5"/>
      <c r="AF1549" s="5"/>
      <c r="AG1549" s="5"/>
      <c r="AH1549" s="6"/>
      <c r="AI1549" s="92"/>
      <c r="AJ1549" s="93"/>
      <c r="AK1549" s="94"/>
      <c r="AL1549" s="95"/>
      <c r="AM1549" s="56"/>
      <c r="AN1549" s="57">
        <f t="shared" si="264"/>
        <v>0</v>
      </c>
      <c r="AO1549" s="76">
        <f t="shared" si="266"/>
        <v>0</v>
      </c>
      <c r="AP1549" s="63" t="str">
        <f t="shared" si="267"/>
        <v/>
      </c>
      <c r="AQ1549" s="63" t="str">
        <f t="shared" si="268"/>
        <v/>
      </c>
      <c r="AR1549" s="63" t="str">
        <f t="shared" si="269"/>
        <v/>
      </c>
      <c r="AS1549" s="63" t="str">
        <f t="shared" si="270"/>
        <v/>
      </c>
      <c r="AT1549" s="78" t="str">
        <f t="shared" si="271"/>
        <v/>
      </c>
      <c r="AU1549" s="78" t="str">
        <f t="shared" si="272"/>
        <v/>
      </c>
      <c r="AV1549" s="64" t="str">
        <f ca="1">IFERROR(__xludf.DUMMYFUNCTION("IF(TRIM(AU1549)="""","""",AU1549/INDEX(FILTER(AT$3:AT1549,TRIM(AT$3:AT1549)&lt;&gt;""""),ROWS(FILTER(AT$3:AT1549,TRIM(AT$3:AT1549)&lt;&gt;"""")))-1)"),"")</f>
        <v/>
      </c>
      <c r="AW1549" s="65" t="e">
        <f t="shared" ca="1" si="265"/>
        <v>#VALUE!</v>
      </c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</row>
    <row r="1550" spans="1:68" ht="19" x14ac:dyDescent="0.25">
      <c r="A1550" s="5"/>
      <c r="B1550" s="5"/>
      <c r="C1550" s="5"/>
      <c r="D1550" s="5"/>
      <c r="E1550" s="5"/>
      <c r="F1550" s="5"/>
      <c r="G1550" s="5"/>
      <c r="H1550" s="6"/>
      <c r="I1550" s="5"/>
      <c r="J1550" s="88"/>
      <c r="K1550" s="88"/>
      <c r="L1550" s="88"/>
      <c r="M1550" s="88"/>
      <c r="N1550" s="88"/>
      <c r="O1550" s="88"/>
      <c r="P1550" s="88"/>
      <c r="Q1550" s="89"/>
      <c r="R1550" s="88"/>
      <c r="S1550" s="88"/>
      <c r="T1550" s="90"/>
      <c r="U1550" s="6"/>
      <c r="V1550" s="92"/>
      <c r="W1550" s="77"/>
      <c r="X1550" s="91"/>
      <c r="Y1550" s="77"/>
      <c r="Z1550" s="5"/>
      <c r="AA1550" s="5"/>
      <c r="AB1550" s="5"/>
      <c r="AC1550" s="5"/>
      <c r="AD1550" s="5"/>
      <c r="AE1550" s="5"/>
      <c r="AF1550" s="5"/>
      <c r="AG1550" s="5"/>
      <c r="AH1550" s="6"/>
      <c r="AI1550" s="92"/>
      <c r="AJ1550" s="93"/>
      <c r="AK1550" s="94"/>
      <c r="AL1550" s="95"/>
      <c r="AM1550" s="56"/>
      <c r="AN1550" s="57">
        <f t="shared" si="264"/>
        <v>0</v>
      </c>
      <c r="AO1550" s="76">
        <f t="shared" si="266"/>
        <v>0</v>
      </c>
      <c r="AP1550" s="63" t="str">
        <f t="shared" si="267"/>
        <v/>
      </c>
      <c r="AQ1550" s="63" t="str">
        <f t="shared" si="268"/>
        <v/>
      </c>
      <c r="AR1550" s="63" t="str">
        <f t="shared" si="269"/>
        <v/>
      </c>
      <c r="AS1550" s="63" t="str">
        <f t="shared" si="270"/>
        <v/>
      </c>
      <c r="AT1550" s="78" t="str">
        <f t="shared" si="271"/>
        <v/>
      </c>
      <c r="AU1550" s="78" t="str">
        <f t="shared" si="272"/>
        <v/>
      </c>
      <c r="AV1550" s="64" t="str">
        <f ca="1">IFERROR(__xludf.DUMMYFUNCTION("IF(TRIM(AU1550)="""","""",AU1550/INDEX(FILTER(AT$3:AT1550,TRIM(AT$3:AT1550)&lt;&gt;""""),ROWS(FILTER(AT$3:AT1550,TRIM(AT$3:AT1550)&lt;&gt;"""")))-1)"),"")</f>
        <v/>
      </c>
      <c r="AW1550" s="65" t="e">
        <f t="shared" ca="1" si="265"/>
        <v>#VALUE!</v>
      </c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</row>
    <row r="1551" spans="1:68" ht="19" x14ac:dyDescent="0.25">
      <c r="A1551" s="5"/>
      <c r="B1551" s="5"/>
      <c r="C1551" s="5"/>
      <c r="D1551" s="5"/>
      <c r="E1551" s="5"/>
      <c r="F1551" s="5"/>
      <c r="G1551" s="5"/>
      <c r="H1551" s="6"/>
      <c r="I1551" s="5"/>
      <c r="J1551" s="88"/>
      <c r="K1551" s="88"/>
      <c r="L1551" s="88"/>
      <c r="M1551" s="88"/>
      <c r="N1551" s="88"/>
      <c r="O1551" s="88"/>
      <c r="P1551" s="88"/>
      <c r="Q1551" s="89"/>
      <c r="R1551" s="88"/>
      <c r="S1551" s="88"/>
      <c r="T1551" s="90"/>
      <c r="U1551" s="6"/>
      <c r="V1551" s="92"/>
      <c r="W1551" s="77"/>
      <c r="X1551" s="91"/>
      <c r="Y1551" s="77"/>
      <c r="Z1551" s="5"/>
      <c r="AA1551" s="5"/>
      <c r="AB1551" s="5"/>
      <c r="AC1551" s="5"/>
      <c r="AD1551" s="5"/>
      <c r="AE1551" s="5"/>
      <c r="AF1551" s="5"/>
      <c r="AG1551" s="5"/>
      <c r="AH1551" s="6"/>
      <c r="AI1551" s="92"/>
      <c r="AJ1551" s="93"/>
      <c r="AK1551" s="94"/>
      <c r="AL1551" s="95"/>
      <c r="AM1551" s="56"/>
      <c r="AN1551" s="57">
        <f t="shared" si="264"/>
        <v>0</v>
      </c>
      <c r="AO1551" s="76">
        <f t="shared" si="266"/>
        <v>0</v>
      </c>
      <c r="AP1551" s="63" t="str">
        <f t="shared" si="267"/>
        <v/>
      </c>
      <c r="AQ1551" s="63" t="str">
        <f t="shared" si="268"/>
        <v/>
      </c>
      <c r="AR1551" s="63" t="str">
        <f t="shared" si="269"/>
        <v/>
      </c>
      <c r="AS1551" s="63" t="str">
        <f t="shared" si="270"/>
        <v/>
      </c>
      <c r="AT1551" s="78" t="str">
        <f t="shared" si="271"/>
        <v/>
      </c>
      <c r="AU1551" s="78" t="str">
        <f t="shared" si="272"/>
        <v/>
      </c>
      <c r="AV1551" s="64" t="str">
        <f ca="1">IFERROR(__xludf.DUMMYFUNCTION("IF(TRIM(AU1551)="""","""",AU1551/INDEX(FILTER(AT$3:AT1551,TRIM(AT$3:AT1551)&lt;&gt;""""),ROWS(FILTER(AT$3:AT1551,TRIM(AT$3:AT1551)&lt;&gt;"""")))-1)"),"")</f>
        <v/>
      </c>
      <c r="AW1551" s="65" t="e">
        <f t="shared" ca="1" si="265"/>
        <v>#VALUE!</v>
      </c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</row>
    <row r="1552" spans="1:68" ht="19" x14ac:dyDescent="0.25">
      <c r="A1552" s="5"/>
      <c r="B1552" s="5"/>
      <c r="C1552" s="5"/>
      <c r="D1552" s="5"/>
      <c r="E1552" s="5"/>
      <c r="F1552" s="5"/>
      <c r="G1552" s="5"/>
      <c r="H1552" s="6"/>
      <c r="I1552" s="5"/>
      <c r="J1552" s="88"/>
      <c r="K1552" s="88"/>
      <c r="L1552" s="88"/>
      <c r="M1552" s="88"/>
      <c r="N1552" s="88"/>
      <c r="O1552" s="88"/>
      <c r="P1552" s="88"/>
      <c r="Q1552" s="89"/>
      <c r="R1552" s="88"/>
      <c r="S1552" s="88"/>
      <c r="T1552" s="90"/>
      <c r="U1552" s="6"/>
      <c r="V1552" s="92"/>
      <c r="W1552" s="77"/>
      <c r="X1552" s="91"/>
      <c r="Y1552" s="77"/>
      <c r="Z1552" s="5"/>
      <c r="AA1552" s="5"/>
      <c r="AB1552" s="5"/>
      <c r="AC1552" s="5"/>
      <c r="AD1552" s="5"/>
      <c r="AE1552" s="5"/>
      <c r="AF1552" s="5"/>
      <c r="AG1552" s="5"/>
      <c r="AH1552" s="6"/>
      <c r="AI1552" s="92"/>
      <c r="AJ1552" s="93"/>
      <c r="AK1552" s="94"/>
      <c r="AL1552" s="95"/>
      <c r="AM1552" s="56"/>
      <c r="AN1552" s="57">
        <f t="shared" si="264"/>
        <v>0</v>
      </c>
      <c r="AO1552" s="76">
        <f t="shared" si="266"/>
        <v>0</v>
      </c>
      <c r="AP1552" s="63" t="str">
        <f t="shared" si="267"/>
        <v/>
      </c>
      <c r="AQ1552" s="63" t="str">
        <f t="shared" si="268"/>
        <v/>
      </c>
      <c r="AR1552" s="63" t="str">
        <f t="shared" si="269"/>
        <v/>
      </c>
      <c r="AS1552" s="63" t="str">
        <f t="shared" si="270"/>
        <v/>
      </c>
      <c r="AT1552" s="78" t="str">
        <f t="shared" si="271"/>
        <v/>
      </c>
      <c r="AU1552" s="78" t="str">
        <f t="shared" si="272"/>
        <v/>
      </c>
      <c r="AV1552" s="64" t="str">
        <f ca="1">IFERROR(__xludf.DUMMYFUNCTION("IF(TRIM(AU1552)="""","""",AU1552/INDEX(FILTER(AT$3:AT1552,TRIM(AT$3:AT1552)&lt;&gt;""""),ROWS(FILTER(AT$3:AT1552,TRIM(AT$3:AT1552)&lt;&gt;"""")))-1)"),"")</f>
        <v/>
      </c>
      <c r="AW1552" s="65" t="e">
        <f t="shared" ca="1" si="265"/>
        <v>#VALUE!</v>
      </c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</row>
    <row r="1553" spans="1:68" ht="19" x14ac:dyDescent="0.25">
      <c r="A1553" s="5"/>
      <c r="B1553" s="5"/>
      <c r="C1553" s="5"/>
      <c r="D1553" s="5"/>
      <c r="E1553" s="5"/>
      <c r="F1553" s="5"/>
      <c r="G1553" s="5"/>
      <c r="H1553" s="6"/>
      <c r="I1553" s="5"/>
      <c r="J1553" s="88"/>
      <c r="K1553" s="88"/>
      <c r="L1553" s="88"/>
      <c r="M1553" s="88"/>
      <c r="N1553" s="88"/>
      <c r="O1553" s="88"/>
      <c r="P1553" s="88"/>
      <c r="Q1553" s="89"/>
      <c r="R1553" s="88"/>
      <c r="S1553" s="88"/>
      <c r="T1553" s="90"/>
      <c r="U1553" s="6"/>
      <c r="V1553" s="92"/>
      <c r="W1553" s="77"/>
      <c r="X1553" s="91"/>
      <c r="Y1553" s="77"/>
      <c r="Z1553" s="5"/>
      <c r="AA1553" s="5"/>
      <c r="AB1553" s="5"/>
      <c r="AC1553" s="5"/>
      <c r="AD1553" s="5"/>
      <c r="AE1553" s="5"/>
      <c r="AF1553" s="5"/>
      <c r="AG1553" s="5"/>
      <c r="AH1553" s="6"/>
      <c r="AI1553" s="92"/>
      <c r="AJ1553" s="93"/>
      <c r="AK1553" s="94"/>
      <c r="AL1553" s="95"/>
      <c r="AM1553" s="56"/>
      <c r="AN1553" s="57">
        <f t="shared" si="264"/>
        <v>0</v>
      </c>
      <c r="AO1553" s="76">
        <f t="shared" si="266"/>
        <v>0</v>
      </c>
      <c r="AP1553" s="63" t="str">
        <f t="shared" si="267"/>
        <v/>
      </c>
      <c r="AQ1553" s="63" t="str">
        <f t="shared" si="268"/>
        <v/>
      </c>
      <c r="AR1553" s="63" t="str">
        <f t="shared" si="269"/>
        <v/>
      </c>
      <c r="AS1553" s="63" t="str">
        <f t="shared" si="270"/>
        <v/>
      </c>
      <c r="AT1553" s="78" t="str">
        <f t="shared" si="271"/>
        <v/>
      </c>
      <c r="AU1553" s="78" t="str">
        <f t="shared" si="272"/>
        <v/>
      </c>
      <c r="AV1553" s="64" t="str">
        <f ca="1">IFERROR(__xludf.DUMMYFUNCTION("IF(TRIM(AU1553)="""","""",AU1553/INDEX(FILTER(AT$3:AT1553,TRIM(AT$3:AT1553)&lt;&gt;""""),ROWS(FILTER(AT$3:AT1553,TRIM(AT$3:AT1553)&lt;&gt;"""")))-1)"),"")</f>
        <v/>
      </c>
      <c r="AW1553" s="65" t="e">
        <f t="shared" ca="1" si="265"/>
        <v>#VALUE!</v>
      </c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</row>
    <row r="1554" spans="1:68" ht="19" x14ac:dyDescent="0.25">
      <c r="A1554" s="5"/>
      <c r="B1554" s="5"/>
      <c r="C1554" s="5"/>
      <c r="D1554" s="5"/>
      <c r="E1554" s="5"/>
      <c r="F1554" s="5"/>
      <c r="G1554" s="5"/>
      <c r="H1554" s="6"/>
      <c r="I1554" s="5"/>
      <c r="J1554" s="88"/>
      <c r="K1554" s="88"/>
      <c r="L1554" s="88"/>
      <c r="M1554" s="88"/>
      <c r="N1554" s="88"/>
      <c r="O1554" s="88"/>
      <c r="P1554" s="88"/>
      <c r="Q1554" s="89"/>
      <c r="R1554" s="88"/>
      <c r="S1554" s="88"/>
      <c r="T1554" s="90"/>
      <c r="U1554" s="6"/>
      <c r="V1554" s="92"/>
      <c r="W1554" s="77"/>
      <c r="X1554" s="91"/>
      <c r="Y1554" s="77"/>
      <c r="Z1554" s="5"/>
      <c r="AA1554" s="5"/>
      <c r="AB1554" s="5"/>
      <c r="AC1554" s="5"/>
      <c r="AD1554" s="5"/>
      <c r="AE1554" s="5"/>
      <c r="AF1554" s="5"/>
      <c r="AG1554" s="5"/>
      <c r="AH1554" s="6"/>
      <c r="AI1554" s="92"/>
      <c r="AJ1554" s="93"/>
      <c r="AK1554" s="94"/>
      <c r="AL1554" s="95"/>
      <c r="AM1554" s="56"/>
      <c r="AN1554" s="57">
        <f t="shared" si="264"/>
        <v>0</v>
      </c>
      <c r="AO1554" s="76">
        <f t="shared" si="266"/>
        <v>0</v>
      </c>
      <c r="AP1554" s="63" t="str">
        <f t="shared" si="267"/>
        <v/>
      </c>
      <c r="AQ1554" s="63" t="str">
        <f t="shared" si="268"/>
        <v/>
      </c>
      <c r="AR1554" s="63" t="str">
        <f t="shared" si="269"/>
        <v/>
      </c>
      <c r="AS1554" s="63" t="str">
        <f t="shared" si="270"/>
        <v/>
      </c>
      <c r="AT1554" s="78" t="str">
        <f t="shared" si="271"/>
        <v/>
      </c>
      <c r="AU1554" s="78" t="str">
        <f t="shared" si="272"/>
        <v/>
      </c>
      <c r="AV1554" s="64" t="str">
        <f ca="1">IFERROR(__xludf.DUMMYFUNCTION("IF(TRIM(AU1554)="""","""",AU1554/INDEX(FILTER(AT$3:AT1554,TRIM(AT$3:AT1554)&lt;&gt;""""),ROWS(FILTER(AT$3:AT1554,TRIM(AT$3:AT1554)&lt;&gt;"""")))-1)"),"")</f>
        <v/>
      </c>
      <c r="AW1554" s="65" t="e">
        <f t="shared" ca="1" si="265"/>
        <v>#VALUE!</v>
      </c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</row>
    <row r="1555" spans="1:68" ht="19" x14ac:dyDescent="0.25">
      <c r="A1555" s="5"/>
      <c r="B1555" s="5"/>
      <c r="C1555" s="5"/>
      <c r="D1555" s="5"/>
      <c r="E1555" s="5"/>
      <c r="F1555" s="5"/>
      <c r="G1555" s="5"/>
      <c r="H1555" s="6"/>
      <c r="I1555" s="5"/>
      <c r="J1555" s="88"/>
      <c r="K1555" s="88"/>
      <c r="L1555" s="88"/>
      <c r="M1555" s="88"/>
      <c r="N1555" s="88"/>
      <c r="O1555" s="88"/>
      <c r="P1555" s="88"/>
      <c r="Q1555" s="89"/>
      <c r="R1555" s="88"/>
      <c r="S1555" s="88"/>
      <c r="T1555" s="90"/>
      <c r="U1555" s="6"/>
      <c r="V1555" s="92"/>
      <c r="W1555" s="77"/>
      <c r="X1555" s="91"/>
      <c r="Y1555" s="77"/>
      <c r="Z1555" s="5"/>
      <c r="AA1555" s="5"/>
      <c r="AB1555" s="5"/>
      <c r="AC1555" s="5"/>
      <c r="AD1555" s="5"/>
      <c r="AE1555" s="5"/>
      <c r="AF1555" s="5"/>
      <c r="AG1555" s="5"/>
      <c r="AH1555" s="6"/>
      <c r="AI1555" s="92"/>
      <c r="AJ1555" s="93"/>
      <c r="AK1555" s="94"/>
      <c r="AL1555" s="95"/>
      <c r="AM1555" s="56"/>
      <c r="AN1555" s="57">
        <f t="shared" si="264"/>
        <v>0</v>
      </c>
      <c r="AO1555" s="76">
        <f t="shared" si="266"/>
        <v>0</v>
      </c>
      <c r="AP1555" s="63" t="str">
        <f t="shared" si="267"/>
        <v/>
      </c>
      <c r="AQ1555" s="63" t="str">
        <f t="shared" si="268"/>
        <v/>
      </c>
      <c r="AR1555" s="63" t="str">
        <f t="shared" si="269"/>
        <v/>
      </c>
      <c r="AS1555" s="63" t="str">
        <f t="shared" si="270"/>
        <v/>
      </c>
      <c r="AT1555" s="78" t="str">
        <f t="shared" si="271"/>
        <v/>
      </c>
      <c r="AU1555" s="78" t="str">
        <f t="shared" si="272"/>
        <v/>
      </c>
      <c r="AV1555" s="64" t="str">
        <f ca="1">IFERROR(__xludf.DUMMYFUNCTION("IF(TRIM(AU1555)="""","""",AU1555/INDEX(FILTER(AT$3:AT1555,TRIM(AT$3:AT1555)&lt;&gt;""""),ROWS(FILTER(AT$3:AT1555,TRIM(AT$3:AT1555)&lt;&gt;"""")))-1)"),"")</f>
        <v/>
      </c>
      <c r="AW1555" s="65" t="e">
        <f t="shared" ca="1" si="265"/>
        <v>#VALUE!</v>
      </c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</row>
    <row r="1556" spans="1:68" ht="19" x14ac:dyDescent="0.25">
      <c r="A1556" s="5"/>
      <c r="B1556" s="5"/>
      <c r="C1556" s="5"/>
      <c r="D1556" s="5"/>
      <c r="E1556" s="5"/>
      <c r="F1556" s="5"/>
      <c r="G1556" s="5"/>
      <c r="H1556" s="6"/>
      <c r="I1556" s="5"/>
      <c r="J1556" s="88"/>
      <c r="K1556" s="88"/>
      <c r="L1556" s="88"/>
      <c r="M1556" s="88"/>
      <c r="N1556" s="88"/>
      <c r="O1556" s="88"/>
      <c r="P1556" s="88"/>
      <c r="Q1556" s="89"/>
      <c r="R1556" s="88"/>
      <c r="S1556" s="88"/>
      <c r="T1556" s="90"/>
      <c r="U1556" s="6"/>
      <c r="V1556" s="92"/>
      <c r="W1556" s="77"/>
      <c r="X1556" s="91"/>
      <c r="Y1556" s="77"/>
      <c r="Z1556" s="5"/>
      <c r="AA1556" s="5"/>
      <c r="AB1556" s="5"/>
      <c r="AC1556" s="5"/>
      <c r="AD1556" s="5"/>
      <c r="AE1556" s="5"/>
      <c r="AF1556" s="5"/>
      <c r="AG1556" s="5"/>
      <c r="AH1556" s="6"/>
      <c r="AI1556" s="92"/>
      <c r="AJ1556" s="93"/>
      <c r="AK1556" s="94"/>
      <c r="AL1556" s="95"/>
      <c r="AM1556" s="56"/>
      <c r="AN1556" s="57">
        <f t="shared" si="264"/>
        <v>0</v>
      </c>
      <c r="AO1556" s="76">
        <f t="shared" si="266"/>
        <v>0</v>
      </c>
      <c r="AP1556" s="63" t="str">
        <f t="shared" si="267"/>
        <v/>
      </c>
      <c r="AQ1556" s="63" t="str">
        <f t="shared" si="268"/>
        <v/>
      </c>
      <c r="AR1556" s="63" t="str">
        <f t="shared" si="269"/>
        <v/>
      </c>
      <c r="AS1556" s="63" t="str">
        <f t="shared" si="270"/>
        <v/>
      </c>
      <c r="AT1556" s="78" t="str">
        <f t="shared" si="271"/>
        <v/>
      </c>
      <c r="AU1556" s="78" t="str">
        <f t="shared" si="272"/>
        <v/>
      </c>
      <c r="AV1556" s="64" t="str">
        <f ca="1">IFERROR(__xludf.DUMMYFUNCTION("IF(TRIM(AU1556)="""","""",AU1556/INDEX(FILTER(AT$3:AT1556,TRIM(AT$3:AT1556)&lt;&gt;""""),ROWS(FILTER(AT$3:AT1556,TRIM(AT$3:AT1556)&lt;&gt;"""")))-1)"),"")</f>
        <v/>
      </c>
      <c r="AW1556" s="65" t="e">
        <f t="shared" ca="1" si="265"/>
        <v>#VALUE!</v>
      </c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</row>
    <row r="1557" spans="1:68" ht="19" x14ac:dyDescent="0.25">
      <c r="A1557" s="5"/>
      <c r="B1557" s="5"/>
      <c r="C1557" s="5"/>
      <c r="D1557" s="5"/>
      <c r="E1557" s="5"/>
      <c r="F1557" s="5"/>
      <c r="G1557" s="5"/>
      <c r="H1557" s="6"/>
      <c r="I1557" s="5"/>
      <c r="J1557" s="88"/>
      <c r="K1557" s="88"/>
      <c r="L1557" s="88"/>
      <c r="M1557" s="88"/>
      <c r="N1557" s="88"/>
      <c r="O1557" s="88"/>
      <c r="P1557" s="88"/>
      <c r="Q1557" s="89"/>
      <c r="R1557" s="88"/>
      <c r="S1557" s="88"/>
      <c r="T1557" s="90"/>
      <c r="U1557" s="6"/>
      <c r="V1557" s="96"/>
      <c r="W1557" s="77"/>
      <c r="X1557" s="91"/>
      <c r="Y1557" s="77"/>
      <c r="Z1557" s="5"/>
      <c r="AA1557" s="5"/>
      <c r="AB1557" s="5"/>
      <c r="AC1557" s="5"/>
      <c r="AD1557" s="5"/>
      <c r="AE1557" s="5"/>
      <c r="AF1557" s="5"/>
      <c r="AG1557" s="5"/>
      <c r="AH1557" s="6"/>
      <c r="AI1557" s="96"/>
      <c r="AJ1557" s="93"/>
      <c r="AK1557" s="94"/>
      <c r="AL1557" s="95"/>
      <c r="AM1557" s="56"/>
      <c r="AN1557" s="57">
        <f t="shared" si="264"/>
        <v>0</v>
      </c>
      <c r="AO1557" s="76">
        <f t="shared" si="266"/>
        <v>0</v>
      </c>
      <c r="AP1557" s="63" t="str">
        <f t="shared" si="267"/>
        <v/>
      </c>
      <c r="AQ1557" s="63" t="str">
        <f t="shared" si="268"/>
        <v/>
      </c>
      <c r="AR1557" s="63" t="str">
        <f t="shared" si="269"/>
        <v/>
      </c>
      <c r="AS1557" s="63" t="str">
        <f t="shared" si="270"/>
        <v/>
      </c>
      <c r="AT1557" s="78" t="str">
        <f t="shared" si="271"/>
        <v/>
      </c>
      <c r="AU1557" s="78" t="str">
        <f t="shared" si="272"/>
        <v/>
      </c>
      <c r="AV1557" s="64" t="str">
        <f ca="1">IFERROR(__xludf.DUMMYFUNCTION("IF(TRIM(AU1557)="""","""",AU1557/INDEX(FILTER(AT$3:AT1557,TRIM(AT$3:AT1557)&lt;&gt;""""),ROWS(FILTER(AT$3:AT1557,TRIM(AT$3:AT1557)&lt;&gt;"""")))-1)"),"")</f>
        <v/>
      </c>
      <c r="AW1557" s="65" t="e">
        <f t="shared" ca="1" si="265"/>
        <v>#VALUE!</v>
      </c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</row>
    <row r="1558" spans="1:68" ht="19" x14ac:dyDescent="0.25">
      <c r="A1558" s="5"/>
      <c r="B1558" s="5"/>
      <c r="C1558" s="5"/>
      <c r="D1558" s="5"/>
      <c r="E1558" s="5"/>
      <c r="F1558" s="5"/>
      <c r="G1558" s="5"/>
      <c r="H1558" s="6"/>
      <c r="I1558" s="5"/>
      <c r="J1558" s="88"/>
      <c r="K1558" s="88"/>
      <c r="L1558" s="88"/>
      <c r="M1558" s="88"/>
      <c r="N1558" s="88"/>
      <c r="O1558" s="88"/>
      <c r="P1558" s="88"/>
      <c r="Q1558" s="89"/>
      <c r="R1558" s="88"/>
      <c r="S1558" s="88"/>
      <c r="T1558" s="90"/>
      <c r="U1558" s="6"/>
      <c r="V1558" s="96"/>
      <c r="W1558" s="77"/>
      <c r="X1558" s="91"/>
      <c r="Y1558" s="77"/>
      <c r="Z1558" s="5"/>
      <c r="AA1558" s="5"/>
      <c r="AB1558" s="5"/>
      <c r="AC1558" s="5"/>
      <c r="AD1558" s="5"/>
      <c r="AE1558" s="5"/>
      <c r="AF1558" s="5"/>
      <c r="AG1558" s="5"/>
      <c r="AH1558" s="6"/>
      <c r="AI1558" s="96"/>
      <c r="AJ1558" s="93"/>
      <c r="AK1558" s="94"/>
      <c r="AL1558" s="95"/>
      <c r="AM1558" s="56"/>
      <c r="AN1558" s="57">
        <f t="shared" si="264"/>
        <v>0</v>
      </c>
      <c r="AO1558" s="76">
        <f t="shared" si="266"/>
        <v>0</v>
      </c>
      <c r="AP1558" s="63" t="str">
        <f t="shared" si="267"/>
        <v/>
      </c>
      <c r="AQ1558" s="63" t="str">
        <f t="shared" si="268"/>
        <v/>
      </c>
      <c r="AR1558" s="63" t="str">
        <f t="shared" si="269"/>
        <v/>
      </c>
      <c r="AS1558" s="63" t="str">
        <f t="shared" si="270"/>
        <v/>
      </c>
      <c r="AT1558" s="78" t="str">
        <f t="shared" si="271"/>
        <v/>
      </c>
      <c r="AU1558" s="78" t="str">
        <f t="shared" si="272"/>
        <v/>
      </c>
      <c r="AV1558" s="64" t="str">
        <f ca="1">IFERROR(__xludf.DUMMYFUNCTION("IF(TRIM(AU1558)="""","""",AU1558/INDEX(FILTER(AT$3:AT1558,TRIM(AT$3:AT1558)&lt;&gt;""""),ROWS(FILTER(AT$3:AT1558,TRIM(AT$3:AT1558)&lt;&gt;"""")))-1)"),"")</f>
        <v/>
      </c>
      <c r="AW1558" s="65" t="e">
        <f t="shared" ca="1" si="265"/>
        <v>#VALUE!</v>
      </c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</row>
    <row r="1559" spans="1:68" ht="19" x14ac:dyDescent="0.25">
      <c r="A1559" s="5"/>
      <c r="B1559" s="5"/>
      <c r="C1559" s="5"/>
      <c r="D1559" s="5"/>
      <c r="E1559" s="5"/>
      <c r="F1559" s="5"/>
      <c r="G1559" s="5"/>
      <c r="H1559" s="6"/>
      <c r="I1559" s="5"/>
      <c r="J1559" s="88"/>
      <c r="K1559" s="88"/>
      <c r="L1559" s="88"/>
      <c r="M1559" s="88"/>
      <c r="N1559" s="88"/>
      <c r="O1559" s="88"/>
      <c r="P1559" s="88"/>
      <c r="Q1559" s="89"/>
      <c r="R1559" s="88"/>
      <c r="S1559" s="88"/>
      <c r="T1559" s="90"/>
      <c r="U1559" s="6"/>
      <c r="V1559" s="96"/>
      <c r="W1559" s="77"/>
      <c r="X1559" s="91"/>
      <c r="Y1559" s="77"/>
      <c r="Z1559" s="5"/>
      <c r="AA1559" s="5"/>
      <c r="AB1559" s="5"/>
      <c r="AC1559" s="5"/>
      <c r="AD1559" s="5"/>
      <c r="AE1559" s="5"/>
      <c r="AF1559" s="5"/>
      <c r="AG1559" s="5"/>
      <c r="AH1559" s="6"/>
      <c r="AI1559" s="96"/>
      <c r="AJ1559" s="93"/>
      <c r="AK1559" s="94"/>
      <c r="AL1559" s="95"/>
      <c r="AM1559" s="56"/>
      <c r="AN1559" s="57">
        <f t="shared" si="264"/>
        <v>0</v>
      </c>
      <c r="AO1559" s="76">
        <f t="shared" si="266"/>
        <v>0</v>
      </c>
      <c r="AP1559" s="63" t="str">
        <f t="shared" si="267"/>
        <v/>
      </c>
      <c r="AQ1559" s="63" t="str">
        <f t="shared" si="268"/>
        <v/>
      </c>
      <c r="AR1559" s="63" t="str">
        <f t="shared" si="269"/>
        <v/>
      </c>
      <c r="AS1559" s="63" t="str">
        <f t="shared" si="270"/>
        <v/>
      </c>
      <c r="AT1559" s="78" t="str">
        <f t="shared" si="271"/>
        <v/>
      </c>
      <c r="AU1559" s="78" t="str">
        <f t="shared" si="272"/>
        <v/>
      </c>
      <c r="AV1559" s="64" t="str">
        <f ca="1">IFERROR(__xludf.DUMMYFUNCTION("IF(TRIM(AU1559)="""","""",AU1559/INDEX(FILTER(AT$3:AT1559,TRIM(AT$3:AT1559)&lt;&gt;""""),ROWS(FILTER(AT$3:AT1559,TRIM(AT$3:AT1559)&lt;&gt;"""")))-1)"),"")</f>
        <v/>
      </c>
      <c r="AW1559" s="65" t="e">
        <f t="shared" ca="1" si="265"/>
        <v>#VALUE!</v>
      </c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</row>
    <row r="1560" spans="1:68" ht="19" x14ac:dyDescent="0.25">
      <c r="A1560" s="5"/>
      <c r="B1560" s="5"/>
      <c r="C1560" s="5"/>
      <c r="D1560" s="5"/>
      <c r="E1560" s="5"/>
      <c r="F1560" s="5"/>
      <c r="G1560" s="5"/>
      <c r="H1560" s="6"/>
      <c r="I1560" s="5"/>
      <c r="J1560" s="88"/>
      <c r="K1560" s="88"/>
      <c r="L1560" s="88"/>
      <c r="M1560" s="88"/>
      <c r="N1560" s="88"/>
      <c r="O1560" s="88"/>
      <c r="P1560" s="88"/>
      <c r="Q1560" s="89"/>
      <c r="R1560" s="88"/>
      <c r="S1560" s="88"/>
      <c r="T1560" s="90"/>
      <c r="U1560" s="6"/>
      <c r="V1560" s="96"/>
      <c r="W1560" s="77"/>
      <c r="X1560" s="91"/>
      <c r="Y1560" s="77"/>
      <c r="Z1560" s="5"/>
      <c r="AA1560" s="5"/>
      <c r="AB1560" s="5"/>
      <c r="AC1560" s="5"/>
      <c r="AD1560" s="5"/>
      <c r="AE1560" s="5"/>
      <c r="AF1560" s="5"/>
      <c r="AG1560" s="5"/>
      <c r="AH1560" s="6"/>
      <c r="AI1560" s="96"/>
      <c r="AJ1560" s="93"/>
      <c r="AK1560" s="94"/>
      <c r="AL1560" s="95"/>
      <c r="AM1560" s="56"/>
      <c r="AN1560" s="57">
        <f t="shared" si="264"/>
        <v>0</v>
      </c>
      <c r="AO1560" s="76">
        <f t="shared" si="266"/>
        <v>0</v>
      </c>
      <c r="AP1560" s="63" t="str">
        <f t="shared" si="267"/>
        <v/>
      </c>
      <c r="AQ1560" s="63" t="str">
        <f t="shared" si="268"/>
        <v/>
      </c>
      <c r="AR1560" s="63" t="str">
        <f t="shared" si="269"/>
        <v/>
      </c>
      <c r="AS1560" s="63" t="str">
        <f t="shared" si="270"/>
        <v/>
      </c>
      <c r="AT1560" s="78" t="str">
        <f t="shared" si="271"/>
        <v/>
      </c>
      <c r="AU1560" s="78" t="str">
        <f t="shared" si="272"/>
        <v/>
      </c>
      <c r="AV1560" s="64" t="str">
        <f ca="1">IFERROR(__xludf.DUMMYFUNCTION("IF(TRIM(AU1560)="""","""",AU1560/INDEX(FILTER(AT$3:AT1560,TRIM(AT$3:AT1560)&lt;&gt;""""),ROWS(FILTER(AT$3:AT1560,TRIM(AT$3:AT1560)&lt;&gt;"""")))-1)"),"")</f>
        <v/>
      </c>
      <c r="AW1560" s="65" t="e">
        <f t="shared" ca="1" si="265"/>
        <v>#VALUE!</v>
      </c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</row>
    <row r="1561" spans="1:68" ht="19" x14ac:dyDescent="0.25">
      <c r="A1561" s="5"/>
      <c r="B1561" s="5"/>
      <c r="C1561" s="5"/>
      <c r="D1561" s="5"/>
      <c r="E1561" s="5"/>
      <c r="F1561" s="5"/>
      <c r="G1561" s="5"/>
      <c r="H1561" s="6"/>
      <c r="I1561" s="5"/>
      <c r="J1561" s="88"/>
      <c r="K1561" s="88"/>
      <c r="L1561" s="88"/>
      <c r="M1561" s="88"/>
      <c r="N1561" s="88"/>
      <c r="O1561" s="88"/>
      <c r="P1561" s="88"/>
      <c r="Q1561" s="89"/>
      <c r="R1561" s="88"/>
      <c r="S1561" s="88"/>
      <c r="T1561" s="90"/>
      <c r="U1561" s="6"/>
      <c r="V1561" s="96"/>
      <c r="W1561" s="77"/>
      <c r="X1561" s="91"/>
      <c r="Y1561" s="77"/>
      <c r="Z1561" s="5"/>
      <c r="AA1561" s="5"/>
      <c r="AB1561" s="5"/>
      <c r="AC1561" s="5"/>
      <c r="AD1561" s="5"/>
      <c r="AE1561" s="5"/>
      <c r="AF1561" s="5"/>
      <c r="AG1561" s="5"/>
      <c r="AH1561" s="6"/>
      <c r="AI1561" s="96"/>
      <c r="AJ1561" s="93"/>
      <c r="AK1561" s="94"/>
      <c r="AL1561" s="95"/>
      <c r="AM1561" s="56"/>
      <c r="AN1561" s="57">
        <f t="shared" si="264"/>
        <v>0</v>
      </c>
      <c r="AO1561" s="76">
        <f t="shared" si="266"/>
        <v>0</v>
      </c>
      <c r="AP1561" s="63" t="str">
        <f t="shared" si="267"/>
        <v/>
      </c>
      <c r="AQ1561" s="63" t="str">
        <f t="shared" si="268"/>
        <v/>
      </c>
      <c r="AR1561" s="63" t="str">
        <f t="shared" si="269"/>
        <v/>
      </c>
      <c r="AS1561" s="63" t="str">
        <f t="shared" si="270"/>
        <v/>
      </c>
      <c r="AT1561" s="78" t="str">
        <f t="shared" si="271"/>
        <v/>
      </c>
      <c r="AU1561" s="78" t="str">
        <f t="shared" si="272"/>
        <v/>
      </c>
      <c r="AV1561" s="64" t="str">
        <f ca="1">IFERROR(__xludf.DUMMYFUNCTION("IF(TRIM(AU1561)="""","""",AU1561/INDEX(FILTER(AT$3:AT1561,TRIM(AT$3:AT1561)&lt;&gt;""""),ROWS(FILTER(AT$3:AT1561,TRIM(AT$3:AT1561)&lt;&gt;"""")))-1)"),"")</f>
        <v/>
      </c>
      <c r="AW1561" s="65" t="e">
        <f t="shared" ca="1" si="265"/>
        <v>#VALUE!</v>
      </c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</row>
    <row r="1562" spans="1:68" ht="19" x14ac:dyDescent="0.25">
      <c r="A1562" s="5"/>
      <c r="B1562" s="5"/>
      <c r="C1562" s="5"/>
      <c r="D1562" s="5"/>
      <c r="E1562" s="5"/>
      <c r="F1562" s="5"/>
      <c r="G1562" s="5"/>
      <c r="H1562" s="6"/>
      <c r="I1562" s="5"/>
      <c r="J1562" s="88"/>
      <c r="K1562" s="88"/>
      <c r="L1562" s="88"/>
      <c r="M1562" s="88"/>
      <c r="N1562" s="88"/>
      <c r="O1562" s="88"/>
      <c r="P1562" s="88"/>
      <c r="Q1562" s="89"/>
      <c r="R1562" s="88"/>
      <c r="S1562" s="88"/>
      <c r="T1562" s="90"/>
      <c r="U1562" s="6"/>
      <c r="V1562" s="96"/>
      <c r="W1562" s="77"/>
      <c r="X1562" s="91"/>
      <c r="Y1562" s="77"/>
      <c r="Z1562" s="5"/>
      <c r="AA1562" s="5"/>
      <c r="AB1562" s="5"/>
      <c r="AC1562" s="5"/>
      <c r="AD1562" s="5"/>
      <c r="AE1562" s="5"/>
      <c r="AF1562" s="5"/>
      <c r="AG1562" s="5"/>
      <c r="AH1562" s="6"/>
      <c r="AI1562" s="96"/>
      <c r="AJ1562" s="93"/>
      <c r="AK1562" s="94"/>
      <c r="AL1562" s="95"/>
      <c r="AM1562" s="56"/>
      <c r="AN1562" s="57">
        <f t="shared" si="264"/>
        <v>0</v>
      </c>
      <c r="AO1562" s="76">
        <f t="shared" si="266"/>
        <v>0</v>
      </c>
      <c r="AP1562" s="63" t="str">
        <f t="shared" si="267"/>
        <v/>
      </c>
      <c r="AQ1562" s="63" t="str">
        <f t="shared" si="268"/>
        <v/>
      </c>
      <c r="AR1562" s="63" t="str">
        <f t="shared" si="269"/>
        <v/>
      </c>
      <c r="AS1562" s="63" t="str">
        <f t="shared" si="270"/>
        <v/>
      </c>
      <c r="AT1562" s="78" t="str">
        <f t="shared" si="271"/>
        <v/>
      </c>
      <c r="AU1562" s="78" t="str">
        <f t="shared" si="272"/>
        <v/>
      </c>
      <c r="AV1562" s="64" t="str">
        <f ca="1">IFERROR(__xludf.DUMMYFUNCTION("IF(TRIM(AU1562)="""","""",AU1562/INDEX(FILTER(AT$3:AT1562,TRIM(AT$3:AT1562)&lt;&gt;""""),ROWS(FILTER(AT$3:AT1562,TRIM(AT$3:AT1562)&lt;&gt;"""")))-1)"),"")</f>
        <v/>
      </c>
      <c r="AW1562" s="65" t="e">
        <f t="shared" ca="1" si="265"/>
        <v>#VALUE!</v>
      </c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</row>
    <row r="1563" spans="1:68" ht="19" x14ac:dyDescent="0.25">
      <c r="A1563" s="5"/>
      <c r="B1563" s="5"/>
      <c r="C1563" s="5"/>
      <c r="D1563" s="5"/>
      <c r="E1563" s="5"/>
      <c r="F1563" s="5"/>
      <c r="G1563" s="5"/>
      <c r="H1563" s="6"/>
      <c r="I1563" s="5"/>
      <c r="J1563" s="88"/>
      <c r="K1563" s="88"/>
      <c r="L1563" s="88"/>
      <c r="M1563" s="88"/>
      <c r="N1563" s="88"/>
      <c r="O1563" s="88"/>
      <c r="P1563" s="88"/>
      <c r="Q1563" s="89"/>
      <c r="R1563" s="88"/>
      <c r="S1563" s="88"/>
      <c r="T1563" s="90"/>
      <c r="U1563" s="6"/>
      <c r="V1563" s="96"/>
      <c r="W1563" s="77"/>
      <c r="X1563" s="91"/>
      <c r="Y1563" s="77"/>
      <c r="Z1563" s="5"/>
      <c r="AA1563" s="5"/>
      <c r="AB1563" s="5"/>
      <c r="AC1563" s="5"/>
      <c r="AD1563" s="5"/>
      <c r="AE1563" s="5"/>
      <c r="AF1563" s="5"/>
      <c r="AG1563" s="5"/>
      <c r="AH1563" s="6"/>
      <c r="AI1563" s="96"/>
      <c r="AJ1563" s="93"/>
      <c r="AK1563" s="94"/>
      <c r="AL1563" s="95"/>
      <c r="AM1563" s="56"/>
      <c r="AN1563" s="57">
        <f t="shared" si="264"/>
        <v>0</v>
      </c>
      <c r="AO1563" s="76">
        <f t="shared" si="266"/>
        <v>0</v>
      </c>
      <c r="AP1563" s="63" t="str">
        <f t="shared" si="267"/>
        <v/>
      </c>
      <c r="AQ1563" s="63" t="str">
        <f t="shared" si="268"/>
        <v/>
      </c>
      <c r="AR1563" s="63" t="str">
        <f t="shared" si="269"/>
        <v/>
      </c>
      <c r="AS1563" s="63" t="str">
        <f t="shared" si="270"/>
        <v/>
      </c>
      <c r="AT1563" s="78" t="str">
        <f t="shared" si="271"/>
        <v/>
      </c>
      <c r="AU1563" s="78" t="str">
        <f t="shared" si="272"/>
        <v/>
      </c>
      <c r="AV1563" s="64" t="str">
        <f ca="1">IFERROR(__xludf.DUMMYFUNCTION("IF(TRIM(AU1563)="""","""",AU1563/INDEX(FILTER(AT$3:AT1563,TRIM(AT$3:AT1563)&lt;&gt;""""),ROWS(FILTER(AT$3:AT1563,TRIM(AT$3:AT1563)&lt;&gt;"""")))-1)"),"")</f>
        <v/>
      </c>
      <c r="AW1563" s="65" t="e">
        <f t="shared" ca="1" si="265"/>
        <v>#VALUE!</v>
      </c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</row>
    <row r="1564" spans="1:68" ht="19" x14ac:dyDescent="0.25">
      <c r="A1564" s="5"/>
      <c r="B1564" s="5"/>
      <c r="C1564" s="5"/>
      <c r="D1564" s="5"/>
      <c r="E1564" s="5"/>
      <c r="F1564" s="5"/>
      <c r="G1564" s="5"/>
      <c r="H1564" s="6"/>
      <c r="I1564" s="5"/>
      <c r="J1564" s="88"/>
      <c r="K1564" s="88"/>
      <c r="L1564" s="88"/>
      <c r="M1564" s="88"/>
      <c r="N1564" s="88"/>
      <c r="O1564" s="88"/>
      <c r="P1564" s="88"/>
      <c r="Q1564" s="89"/>
      <c r="R1564" s="88"/>
      <c r="S1564" s="88"/>
      <c r="T1564" s="90"/>
      <c r="U1564" s="6"/>
      <c r="V1564" s="96"/>
      <c r="W1564" s="77"/>
      <c r="X1564" s="91"/>
      <c r="Y1564" s="77"/>
      <c r="Z1564" s="5"/>
      <c r="AA1564" s="5"/>
      <c r="AB1564" s="5"/>
      <c r="AC1564" s="5"/>
      <c r="AD1564" s="5"/>
      <c r="AE1564" s="5"/>
      <c r="AF1564" s="5"/>
      <c r="AG1564" s="5"/>
      <c r="AH1564" s="6"/>
      <c r="AI1564" s="96"/>
      <c r="AJ1564" s="93"/>
      <c r="AK1564" s="94"/>
      <c r="AL1564" s="95"/>
      <c r="AM1564" s="56"/>
      <c r="AN1564" s="57">
        <f t="shared" si="264"/>
        <v>0</v>
      </c>
      <c r="AO1564" s="76">
        <f t="shared" si="266"/>
        <v>0</v>
      </c>
      <c r="AP1564" s="63" t="str">
        <f t="shared" si="267"/>
        <v/>
      </c>
      <c r="AQ1564" s="63" t="str">
        <f t="shared" si="268"/>
        <v/>
      </c>
      <c r="AR1564" s="63" t="str">
        <f t="shared" si="269"/>
        <v/>
      </c>
      <c r="AS1564" s="63" t="str">
        <f t="shared" si="270"/>
        <v/>
      </c>
      <c r="AT1564" s="78" t="str">
        <f t="shared" si="271"/>
        <v/>
      </c>
      <c r="AU1564" s="78" t="str">
        <f t="shared" si="272"/>
        <v/>
      </c>
      <c r="AV1564" s="64" t="str">
        <f ca="1">IFERROR(__xludf.DUMMYFUNCTION("IF(TRIM(AU1564)="""","""",AU1564/INDEX(FILTER(AT$3:AT1564,TRIM(AT$3:AT1564)&lt;&gt;""""),ROWS(FILTER(AT$3:AT1564,TRIM(AT$3:AT1564)&lt;&gt;"""")))-1)"),"")</f>
        <v/>
      </c>
      <c r="AW1564" s="65" t="e">
        <f t="shared" ca="1" si="265"/>
        <v>#VALUE!</v>
      </c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</row>
    <row r="1565" spans="1:68" ht="19" x14ac:dyDescent="0.25">
      <c r="A1565" s="5"/>
      <c r="B1565" s="5"/>
      <c r="C1565" s="5"/>
      <c r="D1565" s="5"/>
      <c r="E1565" s="5"/>
      <c r="F1565" s="5"/>
      <c r="G1565" s="5"/>
      <c r="H1565" s="6"/>
      <c r="I1565" s="5"/>
      <c r="J1565" s="88"/>
      <c r="K1565" s="88"/>
      <c r="L1565" s="88"/>
      <c r="M1565" s="88"/>
      <c r="N1565" s="88"/>
      <c r="O1565" s="88"/>
      <c r="P1565" s="88"/>
      <c r="Q1565" s="89"/>
      <c r="R1565" s="88"/>
      <c r="S1565" s="88"/>
      <c r="T1565" s="90"/>
      <c r="U1565" s="6"/>
      <c r="V1565" s="96"/>
      <c r="W1565" s="77"/>
      <c r="X1565" s="91"/>
      <c r="Y1565" s="77"/>
      <c r="Z1565" s="5"/>
      <c r="AA1565" s="5"/>
      <c r="AB1565" s="5"/>
      <c r="AC1565" s="5"/>
      <c r="AD1565" s="5"/>
      <c r="AE1565" s="5"/>
      <c r="AF1565" s="5"/>
      <c r="AG1565" s="5"/>
      <c r="AH1565" s="6"/>
      <c r="AI1565" s="96"/>
      <c r="AJ1565" s="93"/>
      <c r="AK1565" s="94"/>
      <c r="AL1565" s="95"/>
      <c r="AM1565" s="56"/>
      <c r="AN1565" s="57">
        <f t="shared" si="264"/>
        <v>0</v>
      </c>
      <c r="AO1565" s="76">
        <f t="shared" si="266"/>
        <v>0</v>
      </c>
      <c r="AP1565" s="63" t="str">
        <f t="shared" si="267"/>
        <v/>
      </c>
      <c r="AQ1565" s="63" t="str">
        <f t="shared" si="268"/>
        <v/>
      </c>
      <c r="AR1565" s="63" t="str">
        <f t="shared" si="269"/>
        <v/>
      </c>
      <c r="AS1565" s="63" t="str">
        <f t="shared" si="270"/>
        <v/>
      </c>
      <c r="AT1565" s="78" t="str">
        <f t="shared" si="271"/>
        <v/>
      </c>
      <c r="AU1565" s="78" t="str">
        <f t="shared" si="272"/>
        <v/>
      </c>
      <c r="AV1565" s="64" t="str">
        <f ca="1">IFERROR(__xludf.DUMMYFUNCTION("IF(TRIM(AU1565)="""","""",AU1565/INDEX(FILTER(AT$3:AT1565,TRIM(AT$3:AT1565)&lt;&gt;""""),ROWS(FILTER(AT$3:AT1565,TRIM(AT$3:AT1565)&lt;&gt;"""")))-1)"),"")</f>
        <v/>
      </c>
      <c r="AW1565" s="65" t="e">
        <f t="shared" ca="1" si="265"/>
        <v>#VALUE!</v>
      </c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</row>
    <row r="1566" spans="1:68" ht="19" x14ac:dyDescent="0.25">
      <c r="A1566" s="5"/>
      <c r="B1566" s="5"/>
      <c r="C1566" s="5"/>
      <c r="D1566" s="5"/>
      <c r="E1566" s="5"/>
      <c r="F1566" s="5"/>
      <c r="G1566" s="5"/>
      <c r="H1566" s="6"/>
      <c r="I1566" s="5"/>
      <c r="J1566" s="88"/>
      <c r="K1566" s="88"/>
      <c r="L1566" s="88"/>
      <c r="M1566" s="88"/>
      <c r="N1566" s="88"/>
      <c r="O1566" s="88"/>
      <c r="P1566" s="88"/>
      <c r="Q1566" s="89"/>
      <c r="R1566" s="88"/>
      <c r="S1566" s="88"/>
      <c r="T1566" s="90"/>
      <c r="U1566" s="6"/>
      <c r="V1566" s="96"/>
      <c r="W1566" s="77"/>
      <c r="X1566" s="91"/>
      <c r="Y1566" s="77"/>
      <c r="Z1566" s="5"/>
      <c r="AA1566" s="5"/>
      <c r="AB1566" s="5"/>
      <c r="AC1566" s="5"/>
      <c r="AD1566" s="5"/>
      <c r="AE1566" s="5"/>
      <c r="AF1566" s="5"/>
      <c r="AG1566" s="5"/>
      <c r="AH1566" s="6"/>
      <c r="AI1566" s="96"/>
      <c r="AJ1566" s="93"/>
      <c r="AK1566" s="94"/>
      <c r="AL1566" s="95"/>
      <c r="AM1566" s="56"/>
      <c r="AN1566" s="57">
        <f t="shared" si="264"/>
        <v>0</v>
      </c>
      <c r="AO1566" s="76">
        <f t="shared" si="266"/>
        <v>0</v>
      </c>
      <c r="AP1566" s="63" t="str">
        <f t="shared" si="267"/>
        <v/>
      </c>
      <c r="AQ1566" s="63" t="str">
        <f t="shared" si="268"/>
        <v/>
      </c>
      <c r="AR1566" s="63" t="str">
        <f t="shared" si="269"/>
        <v/>
      </c>
      <c r="AS1566" s="63" t="str">
        <f t="shared" si="270"/>
        <v/>
      </c>
      <c r="AT1566" s="78" t="str">
        <f t="shared" si="271"/>
        <v/>
      </c>
      <c r="AU1566" s="78" t="str">
        <f t="shared" si="272"/>
        <v/>
      </c>
      <c r="AV1566" s="64" t="str">
        <f ca="1">IFERROR(__xludf.DUMMYFUNCTION("IF(TRIM(AU1566)="""","""",AU1566/INDEX(FILTER(AT$3:AT1566,TRIM(AT$3:AT1566)&lt;&gt;""""),ROWS(FILTER(AT$3:AT1566,TRIM(AT$3:AT1566)&lt;&gt;"""")))-1)"),"")</f>
        <v/>
      </c>
      <c r="AW1566" s="65" t="e">
        <f t="shared" ca="1" si="265"/>
        <v>#VALUE!</v>
      </c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</row>
    <row r="1567" spans="1:68" ht="19" x14ac:dyDescent="0.25">
      <c r="A1567" s="5"/>
      <c r="B1567" s="5"/>
      <c r="C1567" s="5"/>
      <c r="D1567" s="5"/>
      <c r="E1567" s="5"/>
      <c r="F1567" s="5"/>
      <c r="G1567" s="5"/>
      <c r="H1567" s="6"/>
      <c r="I1567" s="5"/>
      <c r="J1567" s="88"/>
      <c r="K1567" s="88"/>
      <c r="L1567" s="88"/>
      <c r="M1567" s="88"/>
      <c r="N1567" s="88"/>
      <c r="O1567" s="88"/>
      <c r="P1567" s="88"/>
      <c r="Q1567" s="89"/>
      <c r="R1567" s="88"/>
      <c r="S1567" s="88"/>
      <c r="T1567" s="90"/>
      <c r="U1567" s="6"/>
      <c r="V1567" s="96"/>
      <c r="W1567" s="77"/>
      <c r="X1567" s="91"/>
      <c r="Y1567" s="77"/>
      <c r="Z1567" s="5"/>
      <c r="AA1567" s="5"/>
      <c r="AB1567" s="5"/>
      <c r="AC1567" s="5"/>
      <c r="AD1567" s="5"/>
      <c r="AE1567" s="5"/>
      <c r="AF1567" s="5"/>
      <c r="AG1567" s="5"/>
      <c r="AH1567" s="6"/>
      <c r="AI1567" s="96"/>
      <c r="AJ1567" s="93"/>
      <c r="AK1567" s="94"/>
      <c r="AL1567" s="95"/>
      <c r="AM1567" s="56"/>
      <c r="AN1567" s="57">
        <f t="shared" si="264"/>
        <v>0</v>
      </c>
      <c r="AO1567" s="76">
        <f t="shared" si="266"/>
        <v>0</v>
      </c>
      <c r="AP1567" s="63" t="str">
        <f t="shared" si="267"/>
        <v/>
      </c>
      <c r="AQ1567" s="63" t="str">
        <f t="shared" si="268"/>
        <v/>
      </c>
      <c r="AR1567" s="63" t="str">
        <f t="shared" si="269"/>
        <v/>
      </c>
      <c r="AS1567" s="63" t="str">
        <f t="shared" si="270"/>
        <v/>
      </c>
      <c r="AT1567" s="78" t="str">
        <f t="shared" si="271"/>
        <v/>
      </c>
      <c r="AU1567" s="78" t="str">
        <f t="shared" si="272"/>
        <v/>
      </c>
      <c r="AV1567" s="64" t="str">
        <f ca="1">IFERROR(__xludf.DUMMYFUNCTION("IF(TRIM(AU1567)="""","""",AU1567/INDEX(FILTER(AT$3:AT1567,TRIM(AT$3:AT1567)&lt;&gt;""""),ROWS(FILTER(AT$3:AT1567,TRIM(AT$3:AT1567)&lt;&gt;"""")))-1)"),"")</f>
        <v/>
      </c>
      <c r="AW1567" s="65" t="e">
        <f t="shared" ca="1" si="265"/>
        <v>#VALUE!</v>
      </c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</row>
    <row r="1568" spans="1:68" ht="19" x14ac:dyDescent="0.25">
      <c r="A1568" s="5"/>
      <c r="B1568" s="5"/>
      <c r="C1568" s="5"/>
      <c r="D1568" s="5"/>
      <c r="E1568" s="5"/>
      <c r="F1568" s="5"/>
      <c r="G1568" s="5"/>
      <c r="H1568" s="6"/>
      <c r="I1568" s="5"/>
      <c r="J1568" s="88"/>
      <c r="K1568" s="88"/>
      <c r="L1568" s="88"/>
      <c r="M1568" s="88"/>
      <c r="N1568" s="88"/>
      <c r="O1568" s="88"/>
      <c r="P1568" s="88"/>
      <c r="Q1568" s="89"/>
      <c r="R1568" s="88"/>
      <c r="S1568" s="88"/>
      <c r="T1568" s="90"/>
      <c r="U1568" s="6"/>
      <c r="V1568" s="96"/>
      <c r="W1568" s="77"/>
      <c r="X1568" s="91"/>
      <c r="Y1568" s="77"/>
      <c r="Z1568" s="5"/>
      <c r="AA1568" s="5"/>
      <c r="AB1568" s="5"/>
      <c r="AC1568" s="5"/>
      <c r="AD1568" s="5"/>
      <c r="AE1568" s="5"/>
      <c r="AF1568" s="5"/>
      <c r="AG1568" s="5"/>
      <c r="AH1568" s="6"/>
      <c r="AI1568" s="96"/>
      <c r="AJ1568" s="93"/>
      <c r="AK1568" s="94"/>
      <c r="AL1568" s="95"/>
      <c r="AM1568" s="56"/>
      <c r="AN1568" s="57">
        <f t="shared" si="264"/>
        <v>0</v>
      </c>
      <c r="AO1568" s="76">
        <f t="shared" si="266"/>
        <v>0</v>
      </c>
      <c r="AP1568" s="63" t="str">
        <f t="shared" si="267"/>
        <v/>
      </c>
      <c r="AQ1568" s="63" t="str">
        <f t="shared" si="268"/>
        <v/>
      </c>
      <c r="AR1568" s="63" t="str">
        <f t="shared" si="269"/>
        <v/>
      </c>
      <c r="AS1568" s="63" t="str">
        <f t="shared" si="270"/>
        <v/>
      </c>
      <c r="AT1568" s="78" t="str">
        <f t="shared" si="271"/>
        <v/>
      </c>
      <c r="AU1568" s="78" t="str">
        <f t="shared" si="272"/>
        <v/>
      </c>
      <c r="AV1568" s="64" t="str">
        <f ca="1">IFERROR(__xludf.DUMMYFUNCTION("IF(TRIM(AU1568)="""","""",AU1568/INDEX(FILTER(AT$3:AT1568,TRIM(AT$3:AT1568)&lt;&gt;""""),ROWS(FILTER(AT$3:AT1568,TRIM(AT$3:AT1568)&lt;&gt;"""")))-1)"),"")</f>
        <v/>
      </c>
      <c r="AW1568" s="65" t="e">
        <f t="shared" ca="1" si="265"/>
        <v>#VALUE!</v>
      </c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</row>
    <row r="1569" spans="1:68" ht="19" x14ac:dyDescent="0.25">
      <c r="A1569" s="5"/>
      <c r="B1569" s="5"/>
      <c r="C1569" s="5"/>
      <c r="D1569" s="5"/>
      <c r="E1569" s="5"/>
      <c r="F1569" s="5"/>
      <c r="G1569" s="5"/>
      <c r="H1569" s="6"/>
      <c r="I1569" s="5"/>
      <c r="J1569" s="88"/>
      <c r="K1569" s="88"/>
      <c r="L1569" s="88"/>
      <c r="M1569" s="88"/>
      <c r="N1569" s="88"/>
      <c r="O1569" s="88"/>
      <c r="P1569" s="88"/>
      <c r="Q1569" s="89"/>
      <c r="R1569" s="88"/>
      <c r="S1569" s="88"/>
      <c r="T1569" s="90"/>
      <c r="U1569" s="6"/>
      <c r="V1569" s="96"/>
      <c r="W1569" s="77"/>
      <c r="X1569" s="91"/>
      <c r="Y1569" s="77"/>
      <c r="Z1569" s="5"/>
      <c r="AA1569" s="5"/>
      <c r="AB1569" s="5"/>
      <c r="AC1569" s="5"/>
      <c r="AD1569" s="5"/>
      <c r="AE1569" s="5"/>
      <c r="AF1569" s="5"/>
      <c r="AG1569" s="5"/>
      <c r="AH1569" s="6"/>
      <c r="AI1569" s="96"/>
      <c r="AJ1569" s="93"/>
      <c r="AK1569" s="94"/>
      <c r="AL1569" s="95"/>
      <c r="AM1569" s="56"/>
      <c r="AN1569" s="57">
        <f t="shared" si="264"/>
        <v>0</v>
      </c>
      <c r="AO1569" s="76">
        <f t="shared" si="266"/>
        <v>0</v>
      </c>
      <c r="AP1569" s="63" t="str">
        <f t="shared" si="267"/>
        <v/>
      </c>
      <c r="AQ1569" s="63" t="str">
        <f t="shared" si="268"/>
        <v/>
      </c>
      <c r="AR1569" s="63" t="str">
        <f t="shared" si="269"/>
        <v/>
      </c>
      <c r="AS1569" s="63" t="str">
        <f t="shared" si="270"/>
        <v/>
      </c>
      <c r="AT1569" s="78" t="str">
        <f t="shared" si="271"/>
        <v/>
      </c>
      <c r="AU1569" s="78" t="str">
        <f t="shared" si="272"/>
        <v/>
      </c>
      <c r="AV1569" s="64" t="str">
        <f ca="1">IFERROR(__xludf.DUMMYFUNCTION("IF(TRIM(AU1569)="""","""",AU1569/INDEX(FILTER(AT$3:AT1569,TRIM(AT$3:AT1569)&lt;&gt;""""),ROWS(FILTER(AT$3:AT1569,TRIM(AT$3:AT1569)&lt;&gt;"""")))-1)"),"")</f>
        <v/>
      </c>
      <c r="AW1569" s="65" t="e">
        <f t="shared" ca="1" si="265"/>
        <v>#VALUE!</v>
      </c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</row>
    <row r="1570" spans="1:68" ht="19" x14ac:dyDescent="0.25">
      <c r="A1570" s="5"/>
      <c r="B1570" s="5"/>
      <c r="C1570" s="5"/>
      <c r="D1570" s="5"/>
      <c r="E1570" s="5"/>
      <c r="F1570" s="5"/>
      <c r="G1570" s="5"/>
      <c r="H1570" s="6"/>
      <c r="I1570" s="5"/>
      <c r="J1570" s="88"/>
      <c r="K1570" s="88"/>
      <c r="L1570" s="88"/>
      <c r="M1570" s="88"/>
      <c r="N1570" s="88"/>
      <c r="O1570" s="88"/>
      <c r="P1570" s="88"/>
      <c r="Q1570" s="89"/>
      <c r="R1570" s="88"/>
      <c r="S1570" s="88"/>
      <c r="T1570" s="90"/>
      <c r="U1570" s="6"/>
      <c r="V1570" s="96"/>
      <c r="W1570" s="77"/>
      <c r="X1570" s="91"/>
      <c r="Y1570" s="77"/>
      <c r="Z1570" s="5"/>
      <c r="AA1570" s="5"/>
      <c r="AB1570" s="5"/>
      <c r="AC1570" s="5"/>
      <c r="AD1570" s="5"/>
      <c r="AE1570" s="5"/>
      <c r="AF1570" s="5"/>
      <c r="AG1570" s="5"/>
      <c r="AH1570" s="6"/>
      <c r="AI1570" s="96"/>
      <c r="AJ1570" s="93"/>
      <c r="AK1570" s="94"/>
      <c r="AL1570" s="95"/>
      <c r="AM1570" s="56"/>
      <c r="AN1570" s="57">
        <f t="shared" si="264"/>
        <v>0</v>
      </c>
      <c r="AO1570" s="76">
        <f t="shared" si="266"/>
        <v>0</v>
      </c>
      <c r="AP1570" s="63" t="str">
        <f t="shared" si="267"/>
        <v/>
      </c>
      <c r="AQ1570" s="63" t="str">
        <f t="shared" si="268"/>
        <v/>
      </c>
      <c r="AR1570" s="63" t="str">
        <f t="shared" si="269"/>
        <v/>
      </c>
      <c r="AS1570" s="63" t="str">
        <f t="shared" si="270"/>
        <v/>
      </c>
      <c r="AT1570" s="78" t="str">
        <f t="shared" si="271"/>
        <v/>
      </c>
      <c r="AU1570" s="78" t="str">
        <f t="shared" si="272"/>
        <v/>
      </c>
      <c r="AV1570" s="64" t="str">
        <f ca="1">IFERROR(__xludf.DUMMYFUNCTION("IF(TRIM(AU1570)="""","""",AU1570/INDEX(FILTER(AT$3:AT1570,TRIM(AT$3:AT1570)&lt;&gt;""""),ROWS(FILTER(AT$3:AT1570,TRIM(AT$3:AT1570)&lt;&gt;"""")))-1)"),"")</f>
        <v/>
      </c>
      <c r="AW1570" s="65" t="e">
        <f t="shared" ca="1" si="265"/>
        <v>#VALUE!</v>
      </c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</row>
    <row r="1571" spans="1:68" ht="19" x14ac:dyDescent="0.25">
      <c r="A1571" s="5"/>
      <c r="B1571" s="5"/>
      <c r="C1571" s="5"/>
      <c r="D1571" s="5"/>
      <c r="E1571" s="5"/>
      <c r="F1571" s="5"/>
      <c r="G1571" s="5"/>
      <c r="H1571" s="6"/>
      <c r="I1571" s="5"/>
      <c r="J1571" s="88"/>
      <c r="K1571" s="88"/>
      <c r="L1571" s="88"/>
      <c r="M1571" s="88"/>
      <c r="N1571" s="88"/>
      <c r="O1571" s="88"/>
      <c r="P1571" s="88"/>
      <c r="Q1571" s="89"/>
      <c r="R1571" s="88"/>
      <c r="S1571" s="88"/>
      <c r="T1571" s="90"/>
      <c r="U1571" s="6"/>
      <c r="V1571" s="96"/>
      <c r="W1571" s="77"/>
      <c r="X1571" s="91"/>
      <c r="Y1571" s="77"/>
      <c r="Z1571" s="5"/>
      <c r="AA1571" s="5"/>
      <c r="AB1571" s="5"/>
      <c r="AC1571" s="5"/>
      <c r="AD1571" s="5"/>
      <c r="AE1571" s="5"/>
      <c r="AF1571" s="5"/>
      <c r="AG1571" s="5"/>
      <c r="AH1571" s="6"/>
      <c r="AI1571" s="96"/>
      <c r="AJ1571" s="93"/>
      <c r="AK1571" s="94"/>
      <c r="AL1571" s="95"/>
      <c r="AM1571" s="56"/>
      <c r="AN1571" s="57">
        <f t="shared" si="264"/>
        <v>0</v>
      </c>
      <c r="AO1571" s="76">
        <f t="shared" si="266"/>
        <v>0</v>
      </c>
      <c r="AP1571" s="63" t="str">
        <f t="shared" si="267"/>
        <v/>
      </c>
      <c r="AQ1571" s="63" t="str">
        <f t="shared" si="268"/>
        <v/>
      </c>
      <c r="AR1571" s="63" t="str">
        <f t="shared" si="269"/>
        <v/>
      </c>
      <c r="AS1571" s="63" t="str">
        <f t="shared" si="270"/>
        <v/>
      </c>
      <c r="AT1571" s="78" t="str">
        <f t="shared" si="271"/>
        <v/>
      </c>
      <c r="AU1571" s="78" t="str">
        <f t="shared" si="272"/>
        <v/>
      </c>
      <c r="AV1571" s="64" t="str">
        <f ca="1">IFERROR(__xludf.DUMMYFUNCTION("IF(TRIM(AU1571)="""","""",AU1571/INDEX(FILTER(AT$3:AT1571,TRIM(AT$3:AT1571)&lt;&gt;""""),ROWS(FILTER(AT$3:AT1571,TRIM(AT$3:AT1571)&lt;&gt;"""")))-1)"),"")</f>
        <v/>
      </c>
      <c r="AW1571" s="65" t="e">
        <f t="shared" ca="1" si="265"/>
        <v>#VALUE!</v>
      </c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</row>
    <row r="1572" spans="1:68" ht="19" x14ac:dyDescent="0.25">
      <c r="A1572" s="5"/>
      <c r="B1572" s="5"/>
      <c r="C1572" s="5"/>
      <c r="D1572" s="5"/>
      <c r="E1572" s="5"/>
      <c r="F1572" s="5"/>
      <c r="G1572" s="5"/>
      <c r="H1572" s="6"/>
      <c r="I1572" s="5"/>
      <c r="J1572" s="88"/>
      <c r="K1572" s="88"/>
      <c r="L1572" s="88"/>
      <c r="M1572" s="88"/>
      <c r="N1572" s="88"/>
      <c r="O1572" s="88"/>
      <c r="P1572" s="88"/>
      <c r="Q1572" s="89"/>
      <c r="R1572" s="88"/>
      <c r="S1572" s="88"/>
      <c r="T1572" s="90"/>
      <c r="U1572" s="6"/>
      <c r="V1572" s="92"/>
      <c r="W1572" s="77"/>
      <c r="X1572" s="91"/>
      <c r="Y1572" s="77"/>
      <c r="Z1572" s="5"/>
      <c r="AA1572" s="5"/>
      <c r="AB1572" s="5"/>
      <c r="AC1572" s="5"/>
      <c r="AD1572" s="5"/>
      <c r="AE1572" s="5"/>
      <c r="AF1572" s="5"/>
      <c r="AG1572" s="5"/>
      <c r="AH1572" s="6"/>
      <c r="AI1572" s="92"/>
      <c r="AJ1572" s="93"/>
      <c r="AK1572" s="94"/>
      <c r="AL1572" s="95"/>
      <c r="AM1572" s="56"/>
      <c r="AN1572" s="57">
        <f t="shared" si="264"/>
        <v>0</v>
      </c>
      <c r="AO1572" s="76">
        <f t="shared" si="266"/>
        <v>0</v>
      </c>
      <c r="AP1572" s="63" t="str">
        <f t="shared" si="267"/>
        <v/>
      </c>
      <c r="AQ1572" s="63" t="str">
        <f t="shared" si="268"/>
        <v/>
      </c>
      <c r="AR1572" s="63" t="str">
        <f t="shared" si="269"/>
        <v/>
      </c>
      <c r="AS1572" s="63" t="str">
        <f t="shared" si="270"/>
        <v/>
      </c>
      <c r="AT1572" s="78" t="str">
        <f t="shared" si="271"/>
        <v/>
      </c>
      <c r="AU1572" s="78" t="str">
        <f t="shared" si="272"/>
        <v/>
      </c>
      <c r="AV1572" s="64" t="str">
        <f ca="1">IFERROR(__xludf.DUMMYFUNCTION("IF(TRIM(AU1572)="""","""",AU1572/INDEX(FILTER(AT$3:AT1572,TRIM(AT$3:AT1572)&lt;&gt;""""),ROWS(FILTER(AT$3:AT1572,TRIM(AT$3:AT1572)&lt;&gt;"""")))-1)"),"")</f>
        <v/>
      </c>
      <c r="AW1572" s="65" t="e">
        <f t="shared" ca="1" si="265"/>
        <v>#VALUE!</v>
      </c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</row>
    <row r="1573" spans="1:68" ht="19" x14ac:dyDescent="0.25">
      <c r="A1573" s="5"/>
      <c r="B1573" s="5"/>
      <c r="C1573" s="5"/>
      <c r="D1573" s="5"/>
      <c r="E1573" s="5"/>
      <c r="F1573" s="5"/>
      <c r="G1573" s="5"/>
      <c r="H1573" s="6"/>
      <c r="I1573" s="5"/>
      <c r="J1573" s="88"/>
      <c r="K1573" s="88"/>
      <c r="L1573" s="88"/>
      <c r="M1573" s="88"/>
      <c r="N1573" s="88"/>
      <c r="O1573" s="88"/>
      <c r="P1573" s="88"/>
      <c r="Q1573" s="89"/>
      <c r="R1573" s="88"/>
      <c r="S1573" s="88"/>
      <c r="T1573" s="90"/>
      <c r="U1573" s="6"/>
      <c r="V1573" s="92"/>
      <c r="W1573" s="77"/>
      <c r="X1573" s="91"/>
      <c r="Y1573" s="77"/>
      <c r="Z1573" s="5"/>
      <c r="AA1573" s="5"/>
      <c r="AB1573" s="5"/>
      <c r="AC1573" s="5"/>
      <c r="AD1573" s="5"/>
      <c r="AE1573" s="5"/>
      <c r="AF1573" s="5"/>
      <c r="AG1573" s="5"/>
      <c r="AH1573" s="6"/>
      <c r="AI1573" s="92"/>
      <c r="AJ1573" s="93"/>
      <c r="AK1573" s="94"/>
      <c r="AL1573" s="95"/>
      <c r="AM1573" s="56"/>
      <c r="AN1573" s="57">
        <f t="shared" si="264"/>
        <v>0</v>
      </c>
      <c r="AO1573" s="76">
        <f t="shared" si="266"/>
        <v>0</v>
      </c>
      <c r="AP1573" s="63" t="str">
        <f t="shared" si="267"/>
        <v/>
      </c>
      <c r="AQ1573" s="63" t="str">
        <f t="shared" si="268"/>
        <v/>
      </c>
      <c r="AR1573" s="63" t="str">
        <f t="shared" si="269"/>
        <v/>
      </c>
      <c r="AS1573" s="63" t="str">
        <f t="shared" si="270"/>
        <v/>
      </c>
      <c r="AT1573" s="78" t="str">
        <f t="shared" si="271"/>
        <v/>
      </c>
      <c r="AU1573" s="78" t="str">
        <f t="shared" si="272"/>
        <v/>
      </c>
      <c r="AV1573" s="64" t="str">
        <f ca="1">IFERROR(__xludf.DUMMYFUNCTION("IF(TRIM(AU1573)="""","""",AU1573/INDEX(FILTER(AT$3:AT1573,TRIM(AT$3:AT1573)&lt;&gt;""""),ROWS(FILTER(AT$3:AT1573,TRIM(AT$3:AT1573)&lt;&gt;"""")))-1)"),"")</f>
        <v/>
      </c>
      <c r="AW1573" s="65" t="e">
        <f t="shared" ca="1" si="265"/>
        <v>#VALUE!</v>
      </c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</row>
    <row r="1574" spans="1:68" ht="19" x14ac:dyDescent="0.25">
      <c r="A1574" s="5"/>
      <c r="B1574" s="5"/>
      <c r="C1574" s="5"/>
      <c r="D1574" s="5"/>
      <c r="E1574" s="5"/>
      <c r="F1574" s="5"/>
      <c r="G1574" s="5"/>
      <c r="H1574" s="6"/>
      <c r="I1574" s="5"/>
      <c r="J1574" s="88"/>
      <c r="K1574" s="88"/>
      <c r="L1574" s="88"/>
      <c r="M1574" s="88"/>
      <c r="N1574" s="88"/>
      <c r="O1574" s="88"/>
      <c r="P1574" s="88"/>
      <c r="Q1574" s="89"/>
      <c r="R1574" s="88"/>
      <c r="S1574" s="88"/>
      <c r="T1574" s="90"/>
      <c r="U1574" s="6"/>
      <c r="V1574" s="92"/>
      <c r="W1574" s="77"/>
      <c r="X1574" s="91"/>
      <c r="Y1574" s="77"/>
      <c r="Z1574" s="5"/>
      <c r="AA1574" s="5"/>
      <c r="AB1574" s="5"/>
      <c r="AC1574" s="5"/>
      <c r="AD1574" s="5"/>
      <c r="AE1574" s="5"/>
      <c r="AF1574" s="5"/>
      <c r="AG1574" s="5"/>
      <c r="AH1574" s="6"/>
      <c r="AI1574" s="92"/>
      <c r="AJ1574" s="93"/>
      <c r="AK1574" s="94"/>
      <c r="AL1574" s="95"/>
      <c r="AM1574" s="56"/>
      <c r="AN1574" s="57">
        <f t="shared" si="264"/>
        <v>0</v>
      </c>
      <c r="AO1574" s="76">
        <f t="shared" si="266"/>
        <v>0</v>
      </c>
      <c r="AP1574" s="63" t="str">
        <f t="shared" si="267"/>
        <v/>
      </c>
      <c r="AQ1574" s="63" t="str">
        <f t="shared" si="268"/>
        <v/>
      </c>
      <c r="AR1574" s="63" t="str">
        <f t="shared" si="269"/>
        <v/>
      </c>
      <c r="AS1574" s="63" t="str">
        <f t="shared" si="270"/>
        <v/>
      </c>
      <c r="AT1574" s="78" t="str">
        <f t="shared" si="271"/>
        <v/>
      </c>
      <c r="AU1574" s="78" t="str">
        <f t="shared" si="272"/>
        <v/>
      </c>
      <c r="AV1574" s="64" t="str">
        <f ca="1">IFERROR(__xludf.DUMMYFUNCTION("IF(TRIM(AU1574)="""","""",AU1574/INDEX(FILTER(AT$3:AT1574,TRIM(AT$3:AT1574)&lt;&gt;""""),ROWS(FILTER(AT$3:AT1574,TRIM(AT$3:AT1574)&lt;&gt;"""")))-1)"),"")</f>
        <v/>
      </c>
      <c r="AW1574" s="65" t="e">
        <f t="shared" ca="1" si="265"/>
        <v>#VALUE!</v>
      </c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</row>
    <row r="1575" spans="1:68" ht="19" x14ac:dyDescent="0.25">
      <c r="A1575" s="5"/>
      <c r="B1575" s="5"/>
      <c r="C1575" s="5"/>
      <c r="D1575" s="5"/>
      <c r="E1575" s="5"/>
      <c r="F1575" s="5"/>
      <c r="G1575" s="5"/>
      <c r="H1575" s="6"/>
      <c r="I1575" s="5"/>
      <c r="J1575" s="88"/>
      <c r="K1575" s="88"/>
      <c r="L1575" s="88"/>
      <c r="M1575" s="88"/>
      <c r="N1575" s="88"/>
      <c r="O1575" s="88"/>
      <c r="P1575" s="88"/>
      <c r="Q1575" s="89"/>
      <c r="R1575" s="88"/>
      <c r="S1575" s="88"/>
      <c r="T1575" s="90"/>
      <c r="U1575" s="6"/>
      <c r="V1575" s="92"/>
      <c r="W1575" s="77"/>
      <c r="X1575" s="91"/>
      <c r="Y1575" s="77"/>
      <c r="Z1575" s="5"/>
      <c r="AA1575" s="5"/>
      <c r="AB1575" s="5"/>
      <c r="AC1575" s="5"/>
      <c r="AD1575" s="5"/>
      <c r="AE1575" s="5"/>
      <c r="AF1575" s="5"/>
      <c r="AG1575" s="5"/>
      <c r="AH1575" s="6"/>
      <c r="AI1575" s="92"/>
      <c r="AJ1575" s="93"/>
      <c r="AK1575" s="94"/>
      <c r="AL1575" s="95"/>
      <c r="AM1575" s="56"/>
      <c r="AN1575" s="57">
        <f t="shared" si="264"/>
        <v>0</v>
      </c>
      <c r="AO1575" s="76">
        <f t="shared" si="266"/>
        <v>0</v>
      </c>
      <c r="AP1575" s="63" t="str">
        <f t="shared" si="267"/>
        <v/>
      </c>
      <c r="AQ1575" s="63" t="str">
        <f t="shared" si="268"/>
        <v/>
      </c>
      <c r="AR1575" s="63" t="str">
        <f t="shared" si="269"/>
        <v/>
      </c>
      <c r="AS1575" s="63" t="str">
        <f t="shared" si="270"/>
        <v/>
      </c>
      <c r="AT1575" s="78" t="str">
        <f t="shared" si="271"/>
        <v/>
      </c>
      <c r="AU1575" s="78" t="str">
        <f t="shared" si="272"/>
        <v/>
      </c>
      <c r="AV1575" s="64" t="str">
        <f ca="1">IFERROR(__xludf.DUMMYFUNCTION("IF(TRIM(AU1575)="""","""",AU1575/INDEX(FILTER(AT$3:AT1575,TRIM(AT$3:AT1575)&lt;&gt;""""),ROWS(FILTER(AT$3:AT1575,TRIM(AT$3:AT1575)&lt;&gt;"""")))-1)"),"")</f>
        <v/>
      </c>
      <c r="AW1575" s="65" t="e">
        <f t="shared" ca="1" si="265"/>
        <v>#VALUE!</v>
      </c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</row>
    <row r="1576" spans="1:68" ht="19" x14ac:dyDescent="0.25">
      <c r="A1576" s="5"/>
      <c r="B1576" s="5"/>
      <c r="C1576" s="5"/>
      <c r="D1576" s="5"/>
      <c r="E1576" s="5"/>
      <c r="F1576" s="5"/>
      <c r="G1576" s="5"/>
      <c r="H1576" s="6"/>
      <c r="I1576" s="5"/>
      <c r="J1576" s="88"/>
      <c r="K1576" s="88"/>
      <c r="L1576" s="88"/>
      <c r="M1576" s="88"/>
      <c r="N1576" s="88"/>
      <c r="O1576" s="88"/>
      <c r="P1576" s="88"/>
      <c r="Q1576" s="89"/>
      <c r="R1576" s="88"/>
      <c r="S1576" s="88"/>
      <c r="T1576" s="90"/>
      <c r="U1576" s="6"/>
      <c r="V1576" s="92"/>
      <c r="W1576" s="77"/>
      <c r="X1576" s="91"/>
      <c r="Y1576" s="77"/>
      <c r="Z1576" s="5"/>
      <c r="AA1576" s="5"/>
      <c r="AB1576" s="5"/>
      <c r="AC1576" s="5"/>
      <c r="AD1576" s="5"/>
      <c r="AE1576" s="5"/>
      <c r="AF1576" s="5"/>
      <c r="AG1576" s="5"/>
      <c r="AH1576" s="6"/>
      <c r="AI1576" s="92"/>
      <c r="AJ1576" s="93"/>
      <c r="AK1576" s="94"/>
      <c r="AL1576" s="95"/>
      <c r="AM1576" s="56"/>
      <c r="AN1576" s="57">
        <f t="shared" si="264"/>
        <v>0</v>
      </c>
      <c r="AO1576" s="76">
        <f t="shared" si="266"/>
        <v>0</v>
      </c>
      <c r="AP1576" s="63" t="str">
        <f t="shared" si="267"/>
        <v/>
      </c>
      <c r="AQ1576" s="63" t="str">
        <f t="shared" si="268"/>
        <v/>
      </c>
      <c r="AR1576" s="63" t="str">
        <f t="shared" si="269"/>
        <v/>
      </c>
      <c r="AS1576" s="63" t="str">
        <f t="shared" si="270"/>
        <v/>
      </c>
      <c r="AT1576" s="78" t="str">
        <f t="shared" si="271"/>
        <v/>
      </c>
      <c r="AU1576" s="78" t="str">
        <f t="shared" si="272"/>
        <v/>
      </c>
      <c r="AV1576" s="64" t="str">
        <f ca="1">IFERROR(__xludf.DUMMYFUNCTION("IF(TRIM(AU1576)="""","""",AU1576/INDEX(FILTER(AT$3:AT1576,TRIM(AT$3:AT1576)&lt;&gt;""""),ROWS(FILTER(AT$3:AT1576,TRIM(AT$3:AT1576)&lt;&gt;"""")))-1)"),"")</f>
        <v/>
      </c>
      <c r="AW1576" s="65" t="e">
        <f t="shared" ca="1" si="265"/>
        <v>#VALUE!</v>
      </c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</row>
    <row r="1577" spans="1:68" ht="19" x14ac:dyDescent="0.25">
      <c r="A1577" s="5"/>
      <c r="B1577" s="5"/>
      <c r="C1577" s="5"/>
      <c r="D1577" s="5"/>
      <c r="E1577" s="5"/>
      <c r="F1577" s="5"/>
      <c r="G1577" s="5"/>
      <c r="H1577" s="6"/>
      <c r="I1577" s="5"/>
      <c r="J1577" s="88"/>
      <c r="K1577" s="88"/>
      <c r="L1577" s="88"/>
      <c r="M1577" s="88"/>
      <c r="N1577" s="88"/>
      <c r="O1577" s="88"/>
      <c r="P1577" s="88"/>
      <c r="Q1577" s="89"/>
      <c r="R1577" s="88"/>
      <c r="S1577" s="88"/>
      <c r="T1577" s="90"/>
      <c r="U1577" s="6"/>
      <c r="V1577" s="92"/>
      <c r="W1577" s="77"/>
      <c r="X1577" s="91"/>
      <c r="Y1577" s="77"/>
      <c r="Z1577" s="5"/>
      <c r="AA1577" s="5"/>
      <c r="AB1577" s="5"/>
      <c r="AC1577" s="5"/>
      <c r="AD1577" s="5"/>
      <c r="AE1577" s="5"/>
      <c r="AF1577" s="5"/>
      <c r="AG1577" s="5"/>
      <c r="AH1577" s="6"/>
      <c r="AI1577" s="92"/>
      <c r="AJ1577" s="93"/>
      <c r="AK1577" s="94"/>
      <c r="AL1577" s="95"/>
      <c r="AM1577" s="56"/>
      <c r="AN1577" s="57">
        <f t="shared" si="264"/>
        <v>0</v>
      </c>
      <c r="AO1577" s="76">
        <f t="shared" si="266"/>
        <v>0</v>
      </c>
      <c r="AP1577" s="63" t="str">
        <f t="shared" si="267"/>
        <v/>
      </c>
      <c r="AQ1577" s="63" t="str">
        <f t="shared" si="268"/>
        <v/>
      </c>
      <c r="AR1577" s="63" t="str">
        <f t="shared" si="269"/>
        <v/>
      </c>
      <c r="AS1577" s="63" t="str">
        <f t="shared" si="270"/>
        <v/>
      </c>
      <c r="AT1577" s="78" t="str">
        <f t="shared" si="271"/>
        <v/>
      </c>
      <c r="AU1577" s="78" t="str">
        <f t="shared" si="272"/>
        <v/>
      </c>
      <c r="AV1577" s="64" t="str">
        <f ca="1">IFERROR(__xludf.DUMMYFUNCTION("IF(TRIM(AU1577)="""","""",AU1577/INDEX(FILTER(AT$3:AT1577,TRIM(AT$3:AT1577)&lt;&gt;""""),ROWS(FILTER(AT$3:AT1577,TRIM(AT$3:AT1577)&lt;&gt;"""")))-1)"),"")</f>
        <v/>
      </c>
      <c r="AW1577" s="65" t="e">
        <f t="shared" ca="1" si="265"/>
        <v>#VALUE!</v>
      </c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</row>
    <row r="1578" spans="1:68" ht="19" x14ac:dyDescent="0.25">
      <c r="A1578" s="5"/>
      <c r="B1578" s="5"/>
      <c r="C1578" s="5"/>
      <c r="D1578" s="5"/>
      <c r="E1578" s="5"/>
      <c r="F1578" s="5"/>
      <c r="G1578" s="5"/>
      <c r="H1578" s="6"/>
      <c r="I1578" s="5"/>
      <c r="J1578" s="88"/>
      <c r="K1578" s="88"/>
      <c r="L1578" s="88"/>
      <c r="M1578" s="88"/>
      <c r="N1578" s="88"/>
      <c r="O1578" s="88"/>
      <c r="P1578" s="88"/>
      <c r="Q1578" s="89"/>
      <c r="R1578" s="88"/>
      <c r="S1578" s="88"/>
      <c r="T1578" s="90"/>
      <c r="U1578" s="6"/>
      <c r="V1578" s="96"/>
      <c r="W1578" s="77"/>
      <c r="X1578" s="91"/>
      <c r="Y1578" s="77"/>
      <c r="Z1578" s="5"/>
      <c r="AA1578" s="5"/>
      <c r="AB1578" s="5"/>
      <c r="AC1578" s="5"/>
      <c r="AD1578" s="5"/>
      <c r="AE1578" s="5"/>
      <c r="AF1578" s="5"/>
      <c r="AG1578" s="5"/>
      <c r="AH1578" s="6"/>
      <c r="AI1578" s="96"/>
      <c r="AJ1578" s="93"/>
      <c r="AK1578" s="94"/>
      <c r="AL1578" s="95"/>
      <c r="AM1578" s="56"/>
      <c r="AN1578" s="57">
        <f t="shared" si="264"/>
        <v>0</v>
      </c>
      <c r="AO1578" s="76">
        <f t="shared" si="266"/>
        <v>0</v>
      </c>
      <c r="AP1578" s="63" t="str">
        <f t="shared" si="267"/>
        <v/>
      </c>
      <c r="AQ1578" s="63" t="str">
        <f t="shared" si="268"/>
        <v/>
      </c>
      <c r="AR1578" s="63" t="str">
        <f t="shared" si="269"/>
        <v/>
      </c>
      <c r="AS1578" s="63" t="str">
        <f t="shared" si="270"/>
        <v/>
      </c>
      <c r="AT1578" s="78" t="str">
        <f t="shared" si="271"/>
        <v/>
      </c>
      <c r="AU1578" s="78" t="str">
        <f t="shared" si="272"/>
        <v/>
      </c>
      <c r="AV1578" s="64" t="str">
        <f ca="1">IFERROR(__xludf.DUMMYFUNCTION("IF(TRIM(AU1578)="""","""",AU1578/INDEX(FILTER(AT$3:AT1578,TRIM(AT$3:AT1578)&lt;&gt;""""),ROWS(FILTER(AT$3:AT1578,TRIM(AT$3:AT1578)&lt;&gt;"""")))-1)"),"")</f>
        <v/>
      </c>
      <c r="AW1578" s="65" t="e">
        <f t="shared" ca="1" si="265"/>
        <v>#VALUE!</v>
      </c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</row>
    <row r="1579" spans="1:68" ht="19" x14ac:dyDescent="0.25">
      <c r="A1579" s="5"/>
      <c r="B1579" s="5"/>
      <c r="C1579" s="5"/>
      <c r="D1579" s="5"/>
      <c r="E1579" s="5"/>
      <c r="F1579" s="5"/>
      <c r="G1579" s="5"/>
      <c r="H1579" s="6"/>
      <c r="I1579" s="5"/>
      <c r="J1579" s="88"/>
      <c r="K1579" s="88"/>
      <c r="L1579" s="88"/>
      <c r="M1579" s="88"/>
      <c r="N1579" s="88"/>
      <c r="O1579" s="88"/>
      <c r="P1579" s="88"/>
      <c r="Q1579" s="89"/>
      <c r="R1579" s="88"/>
      <c r="S1579" s="88"/>
      <c r="T1579" s="90"/>
      <c r="U1579" s="6"/>
      <c r="V1579" s="96"/>
      <c r="W1579" s="77"/>
      <c r="X1579" s="91"/>
      <c r="Y1579" s="77"/>
      <c r="Z1579" s="5"/>
      <c r="AA1579" s="5"/>
      <c r="AB1579" s="5"/>
      <c r="AC1579" s="5"/>
      <c r="AD1579" s="5"/>
      <c r="AE1579" s="5"/>
      <c r="AF1579" s="5"/>
      <c r="AG1579" s="5"/>
      <c r="AH1579" s="6"/>
      <c r="AI1579" s="96"/>
      <c r="AJ1579" s="93"/>
      <c r="AK1579" s="94"/>
      <c r="AL1579" s="95"/>
      <c r="AM1579" s="56"/>
      <c r="AN1579" s="57">
        <f t="shared" si="264"/>
        <v>0</v>
      </c>
      <c r="AO1579" s="76">
        <f t="shared" si="266"/>
        <v>0</v>
      </c>
      <c r="AP1579" s="63" t="str">
        <f t="shared" si="267"/>
        <v/>
      </c>
      <c r="AQ1579" s="63" t="str">
        <f t="shared" si="268"/>
        <v/>
      </c>
      <c r="AR1579" s="63" t="str">
        <f t="shared" si="269"/>
        <v/>
      </c>
      <c r="AS1579" s="63" t="str">
        <f t="shared" si="270"/>
        <v/>
      </c>
      <c r="AT1579" s="78" t="str">
        <f t="shared" si="271"/>
        <v/>
      </c>
      <c r="AU1579" s="78" t="str">
        <f t="shared" si="272"/>
        <v/>
      </c>
      <c r="AV1579" s="64" t="str">
        <f ca="1">IFERROR(__xludf.DUMMYFUNCTION("IF(TRIM(AU1579)="""","""",AU1579/INDEX(FILTER(AT$3:AT1579,TRIM(AT$3:AT1579)&lt;&gt;""""),ROWS(FILTER(AT$3:AT1579,TRIM(AT$3:AT1579)&lt;&gt;"""")))-1)"),"")</f>
        <v/>
      </c>
      <c r="AW1579" s="65" t="e">
        <f t="shared" ca="1" si="265"/>
        <v>#VALUE!</v>
      </c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</row>
    <row r="1580" spans="1:68" ht="19" x14ac:dyDescent="0.25">
      <c r="A1580" s="5"/>
      <c r="B1580" s="5"/>
      <c r="C1580" s="5"/>
      <c r="D1580" s="5"/>
      <c r="E1580" s="5"/>
      <c r="F1580" s="5"/>
      <c r="G1580" s="5"/>
      <c r="H1580" s="6"/>
      <c r="I1580" s="5"/>
      <c r="J1580" s="88"/>
      <c r="K1580" s="88"/>
      <c r="L1580" s="88"/>
      <c r="M1580" s="88"/>
      <c r="N1580" s="88"/>
      <c r="O1580" s="88"/>
      <c r="P1580" s="88"/>
      <c r="Q1580" s="89"/>
      <c r="R1580" s="88"/>
      <c r="S1580" s="88"/>
      <c r="T1580" s="90"/>
      <c r="U1580" s="6"/>
      <c r="V1580" s="96"/>
      <c r="W1580" s="77"/>
      <c r="X1580" s="91"/>
      <c r="Y1580" s="77"/>
      <c r="Z1580" s="5"/>
      <c r="AA1580" s="5"/>
      <c r="AB1580" s="5"/>
      <c r="AC1580" s="5"/>
      <c r="AD1580" s="5"/>
      <c r="AE1580" s="5"/>
      <c r="AF1580" s="5"/>
      <c r="AG1580" s="5"/>
      <c r="AH1580" s="6"/>
      <c r="AI1580" s="96"/>
      <c r="AJ1580" s="93"/>
      <c r="AK1580" s="94"/>
      <c r="AL1580" s="95"/>
      <c r="AM1580" s="56"/>
      <c r="AN1580" s="57">
        <f t="shared" si="264"/>
        <v>0</v>
      </c>
      <c r="AO1580" s="76">
        <f t="shared" si="266"/>
        <v>0</v>
      </c>
      <c r="AP1580" s="63" t="str">
        <f t="shared" si="267"/>
        <v/>
      </c>
      <c r="AQ1580" s="63" t="str">
        <f t="shared" si="268"/>
        <v/>
      </c>
      <c r="AR1580" s="63" t="str">
        <f t="shared" si="269"/>
        <v/>
      </c>
      <c r="AS1580" s="63" t="str">
        <f t="shared" si="270"/>
        <v/>
      </c>
      <c r="AT1580" s="78" t="str">
        <f t="shared" si="271"/>
        <v/>
      </c>
      <c r="AU1580" s="78" t="str">
        <f t="shared" si="272"/>
        <v/>
      </c>
      <c r="AV1580" s="64" t="str">
        <f ca="1">IFERROR(__xludf.DUMMYFUNCTION("IF(TRIM(AU1580)="""","""",AU1580/INDEX(FILTER(AT$3:AT1580,TRIM(AT$3:AT1580)&lt;&gt;""""),ROWS(FILTER(AT$3:AT1580,TRIM(AT$3:AT1580)&lt;&gt;"""")))-1)"),"")</f>
        <v/>
      </c>
      <c r="AW1580" s="65" t="e">
        <f t="shared" ca="1" si="265"/>
        <v>#VALUE!</v>
      </c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</row>
    <row r="1581" spans="1:68" ht="19" x14ac:dyDescent="0.25">
      <c r="A1581" s="5"/>
      <c r="B1581" s="5"/>
      <c r="C1581" s="5"/>
      <c r="D1581" s="5"/>
      <c r="E1581" s="5"/>
      <c r="F1581" s="5"/>
      <c r="G1581" s="5"/>
      <c r="H1581" s="6"/>
      <c r="I1581" s="5"/>
      <c r="J1581" s="88"/>
      <c r="K1581" s="88"/>
      <c r="L1581" s="88"/>
      <c r="M1581" s="88"/>
      <c r="N1581" s="88"/>
      <c r="O1581" s="88"/>
      <c r="P1581" s="88"/>
      <c r="Q1581" s="89"/>
      <c r="R1581" s="88"/>
      <c r="S1581" s="88"/>
      <c r="T1581" s="90"/>
      <c r="U1581" s="6"/>
      <c r="V1581" s="96"/>
      <c r="W1581" s="77"/>
      <c r="X1581" s="91"/>
      <c r="Y1581" s="77"/>
      <c r="Z1581" s="5"/>
      <c r="AA1581" s="5"/>
      <c r="AB1581" s="5"/>
      <c r="AC1581" s="5"/>
      <c r="AD1581" s="5"/>
      <c r="AE1581" s="5"/>
      <c r="AF1581" s="5"/>
      <c r="AG1581" s="5"/>
      <c r="AH1581" s="6"/>
      <c r="AI1581" s="96"/>
      <c r="AJ1581" s="93"/>
      <c r="AK1581" s="94"/>
      <c r="AL1581" s="95"/>
      <c r="AM1581" s="56"/>
      <c r="AN1581" s="57">
        <f t="shared" si="264"/>
        <v>0</v>
      </c>
      <c r="AO1581" s="76">
        <f t="shared" si="266"/>
        <v>0</v>
      </c>
      <c r="AP1581" s="63" t="str">
        <f t="shared" si="267"/>
        <v/>
      </c>
      <c r="AQ1581" s="63" t="str">
        <f t="shared" si="268"/>
        <v/>
      </c>
      <c r="AR1581" s="63" t="str">
        <f t="shared" si="269"/>
        <v/>
      </c>
      <c r="AS1581" s="63" t="str">
        <f t="shared" si="270"/>
        <v/>
      </c>
      <c r="AT1581" s="78" t="str">
        <f t="shared" si="271"/>
        <v/>
      </c>
      <c r="AU1581" s="78" t="str">
        <f t="shared" si="272"/>
        <v/>
      </c>
      <c r="AV1581" s="64" t="str">
        <f ca="1">IFERROR(__xludf.DUMMYFUNCTION("IF(TRIM(AU1581)="""","""",AU1581/INDEX(FILTER(AT$3:AT1581,TRIM(AT$3:AT1581)&lt;&gt;""""),ROWS(FILTER(AT$3:AT1581,TRIM(AT$3:AT1581)&lt;&gt;"""")))-1)"),"")</f>
        <v/>
      </c>
      <c r="AW1581" s="65" t="e">
        <f t="shared" ca="1" si="265"/>
        <v>#VALUE!</v>
      </c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</row>
    <row r="1582" spans="1:68" ht="19" x14ac:dyDescent="0.25">
      <c r="A1582" s="5"/>
      <c r="B1582" s="5"/>
      <c r="C1582" s="5"/>
      <c r="D1582" s="5"/>
      <c r="E1582" s="5"/>
      <c r="F1582" s="5"/>
      <c r="G1582" s="5"/>
      <c r="H1582" s="6"/>
      <c r="I1582" s="5"/>
      <c r="J1582" s="88"/>
      <c r="K1582" s="88"/>
      <c r="L1582" s="88"/>
      <c r="M1582" s="88"/>
      <c r="N1582" s="88"/>
      <c r="O1582" s="88"/>
      <c r="P1582" s="88"/>
      <c r="Q1582" s="89"/>
      <c r="R1582" s="88"/>
      <c r="S1582" s="88"/>
      <c r="T1582" s="90"/>
      <c r="U1582" s="6"/>
      <c r="V1582" s="96"/>
      <c r="W1582" s="77"/>
      <c r="X1582" s="91"/>
      <c r="Y1582" s="77"/>
      <c r="Z1582" s="5"/>
      <c r="AA1582" s="5"/>
      <c r="AB1582" s="5"/>
      <c r="AC1582" s="5"/>
      <c r="AD1582" s="5"/>
      <c r="AE1582" s="5"/>
      <c r="AF1582" s="5"/>
      <c r="AG1582" s="5"/>
      <c r="AH1582" s="6"/>
      <c r="AI1582" s="96"/>
      <c r="AJ1582" s="93"/>
      <c r="AK1582" s="94"/>
      <c r="AL1582" s="95"/>
      <c r="AM1582" s="56"/>
      <c r="AN1582" s="57">
        <f t="shared" si="264"/>
        <v>0</v>
      </c>
      <c r="AO1582" s="76">
        <f t="shared" si="266"/>
        <v>0</v>
      </c>
      <c r="AP1582" s="63" t="str">
        <f t="shared" si="267"/>
        <v/>
      </c>
      <c r="AQ1582" s="63" t="str">
        <f t="shared" si="268"/>
        <v/>
      </c>
      <c r="AR1582" s="63" t="str">
        <f t="shared" si="269"/>
        <v/>
      </c>
      <c r="AS1582" s="63" t="str">
        <f t="shared" si="270"/>
        <v/>
      </c>
      <c r="AT1582" s="78" t="str">
        <f t="shared" si="271"/>
        <v/>
      </c>
      <c r="AU1582" s="78" t="str">
        <f t="shared" si="272"/>
        <v/>
      </c>
      <c r="AV1582" s="64" t="str">
        <f ca="1">IFERROR(__xludf.DUMMYFUNCTION("IF(TRIM(AU1582)="""","""",AU1582/INDEX(FILTER(AT$3:AT1582,TRIM(AT$3:AT1582)&lt;&gt;""""),ROWS(FILTER(AT$3:AT1582,TRIM(AT$3:AT1582)&lt;&gt;"""")))-1)"),"")</f>
        <v/>
      </c>
      <c r="AW1582" s="65" t="e">
        <f t="shared" ca="1" si="265"/>
        <v>#VALUE!</v>
      </c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</row>
    <row r="1583" spans="1:68" ht="19" x14ac:dyDescent="0.25">
      <c r="A1583" s="5"/>
      <c r="B1583" s="5"/>
      <c r="C1583" s="5"/>
      <c r="D1583" s="5"/>
      <c r="E1583" s="5"/>
      <c r="F1583" s="5"/>
      <c r="G1583" s="5"/>
      <c r="H1583" s="6"/>
      <c r="I1583" s="5"/>
      <c r="J1583" s="88"/>
      <c r="K1583" s="88"/>
      <c r="L1583" s="88"/>
      <c r="M1583" s="88"/>
      <c r="N1583" s="88"/>
      <c r="O1583" s="88"/>
      <c r="P1583" s="88"/>
      <c r="Q1583" s="89"/>
      <c r="R1583" s="88"/>
      <c r="S1583" s="88"/>
      <c r="T1583" s="90"/>
      <c r="U1583" s="6"/>
      <c r="V1583" s="96"/>
      <c r="W1583" s="77"/>
      <c r="X1583" s="91"/>
      <c r="Y1583" s="77"/>
      <c r="Z1583" s="5"/>
      <c r="AA1583" s="5"/>
      <c r="AB1583" s="5"/>
      <c r="AC1583" s="5"/>
      <c r="AD1583" s="5"/>
      <c r="AE1583" s="5"/>
      <c r="AF1583" s="5"/>
      <c r="AG1583" s="5"/>
      <c r="AH1583" s="6"/>
      <c r="AI1583" s="96"/>
      <c r="AJ1583" s="93"/>
      <c r="AK1583" s="94"/>
      <c r="AL1583" s="95"/>
      <c r="AM1583" s="56"/>
      <c r="AN1583" s="57">
        <f t="shared" si="264"/>
        <v>0</v>
      </c>
      <c r="AO1583" s="76">
        <f t="shared" si="266"/>
        <v>0</v>
      </c>
      <c r="AP1583" s="63" t="str">
        <f t="shared" si="267"/>
        <v/>
      </c>
      <c r="AQ1583" s="63" t="str">
        <f t="shared" si="268"/>
        <v/>
      </c>
      <c r="AR1583" s="63" t="str">
        <f t="shared" si="269"/>
        <v/>
      </c>
      <c r="AS1583" s="63" t="str">
        <f t="shared" si="270"/>
        <v/>
      </c>
      <c r="AT1583" s="78" t="str">
        <f t="shared" si="271"/>
        <v/>
      </c>
      <c r="AU1583" s="78" t="str">
        <f t="shared" si="272"/>
        <v/>
      </c>
      <c r="AV1583" s="64" t="str">
        <f ca="1">IFERROR(__xludf.DUMMYFUNCTION("IF(TRIM(AU1583)="""","""",AU1583/INDEX(FILTER(AT$3:AT1583,TRIM(AT$3:AT1583)&lt;&gt;""""),ROWS(FILTER(AT$3:AT1583,TRIM(AT$3:AT1583)&lt;&gt;"""")))-1)"),"")</f>
        <v/>
      </c>
      <c r="AW1583" s="65" t="e">
        <f t="shared" ca="1" si="265"/>
        <v>#VALUE!</v>
      </c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</row>
    <row r="1584" spans="1:68" ht="19" x14ac:dyDescent="0.25">
      <c r="A1584" s="5"/>
      <c r="B1584" s="5"/>
      <c r="C1584" s="5"/>
      <c r="D1584" s="5"/>
      <c r="E1584" s="5"/>
      <c r="F1584" s="5"/>
      <c r="G1584" s="5"/>
      <c r="H1584" s="6"/>
      <c r="I1584" s="5"/>
      <c r="J1584" s="88"/>
      <c r="K1584" s="88"/>
      <c r="L1584" s="88"/>
      <c r="M1584" s="88"/>
      <c r="N1584" s="88"/>
      <c r="O1584" s="88"/>
      <c r="P1584" s="88"/>
      <c r="Q1584" s="89"/>
      <c r="R1584" s="88"/>
      <c r="S1584" s="88"/>
      <c r="T1584" s="90"/>
      <c r="U1584" s="6"/>
      <c r="V1584" s="96"/>
      <c r="W1584" s="77"/>
      <c r="X1584" s="91"/>
      <c r="Y1584" s="77"/>
      <c r="Z1584" s="5"/>
      <c r="AA1584" s="5"/>
      <c r="AB1584" s="5"/>
      <c r="AC1584" s="5"/>
      <c r="AD1584" s="5"/>
      <c r="AE1584" s="5"/>
      <c r="AF1584" s="5"/>
      <c r="AG1584" s="5"/>
      <c r="AH1584" s="6"/>
      <c r="AI1584" s="96"/>
      <c r="AJ1584" s="93"/>
      <c r="AK1584" s="94"/>
      <c r="AL1584" s="95"/>
      <c r="AM1584" s="56"/>
      <c r="AN1584" s="57">
        <f t="shared" si="264"/>
        <v>0</v>
      </c>
      <c r="AO1584" s="76">
        <f t="shared" si="266"/>
        <v>0</v>
      </c>
      <c r="AP1584" s="63" t="str">
        <f t="shared" si="267"/>
        <v/>
      </c>
      <c r="AQ1584" s="63" t="str">
        <f t="shared" si="268"/>
        <v/>
      </c>
      <c r="AR1584" s="63" t="str">
        <f t="shared" si="269"/>
        <v/>
      </c>
      <c r="AS1584" s="63" t="str">
        <f t="shared" si="270"/>
        <v/>
      </c>
      <c r="AT1584" s="78" t="str">
        <f t="shared" si="271"/>
        <v/>
      </c>
      <c r="AU1584" s="78" t="str">
        <f t="shared" si="272"/>
        <v/>
      </c>
      <c r="AV1584" s="64" t="str">
        <f ca="1">IFERROR(__xludf.DUMMYFUNCTION("IF(TRIM(AU1584)="""","""",AU1584/INDEX(FILTER(AT$3:AT1584,TRIM(AT$3:AT1584)&lt;&gt;""""),ROWS(FILTER(AT$3:AT1584,TRIM(AT$3:AT1584)&lt;&gt;"""")))-1)"),"")</f>
        <v/>
      </c>
      <c r="AW1584" s="65" t="e">
        <f t="shared" ca="1" si="265"/>
        <v>#VALUE!</v>
      </c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</row>
    <row r="1585" spans="1:68" ht="19" x14ac:dyDescent="0.25">
      <c r="A1585" s="5"/>
      <c r="B1585" s="5"/>
      <c r="C1585" s="5"/>
      <c r="D1585" s="5"/>
      <c r="E1585" s="5"/>
      <c r="F1585" s="5"/>
      <c r="G1585" s="5"/>
      <c r="H1585" s="6"/>
      <c r="I1585" s="5"/>
      <c r="J1585" s="88"/>
      <c r="K1585" s="88"/>
      <c r="L1585" s="88"/>
      <c r="M1585" s="88"/>
      <c r="N1585" s="88"/>
      <c r="O1585" s="88"/>
      <c r="P1585" s="88"/>
      <c r="Q1585" s="89"/>
      <c r="R1585" s="88"/>
      <c r="S1585" s="88"/>
      <c r="T1585" s="90"/>
      <c r="U1585" s="6"/>
      <c r="V1585" s="96"/>
      <c r="W1585" s="77"/>
      <c r="X1585" s="91"/>
      <c r="Y1585" s="77"/>
      <c r="Z1585" s="5"/>
      <c r="AA1585" s="5"/>
      <c r="AB1585" s="5"/>
      <c r="AC1585" s="5"/>
      <c r="AD1585" s="5"/>
      <c r="AE1585" s="5"/>
      <c r="AF1585" s="5"/>
      <c r="AG1585" s="5"/>
      <c r="AH1585" s="6"/>
      <c r="AI1585" s="96"/>
      <c r="AJ1585" s="93"/>
      <c r="AK1585" s="94"/>
      <c r="AL1585" s="95"/>
      <c r="AM1585" s="56"/>
      <c r="AN1585" s="57">
        <f t="shared" si="264"/>
        <v>0</v>
      </c>
      <c r="AO1585" s="76">
        <f t="shared" si="266"/>
        <v>0</v>
      </c>
      <c r="AP1585" s="63" t="str">
        <f t="shared" si="267"/>
        <v/>
      </c>
      <c r="AQ1585" s="63" t="str">
        <f t="shared" si="268"/>
        <v/>
      </c>
      <c r="AR1585" s="63" t="str">
        <f t="shared" si="269"/>
        <v/>
      </c>
      <c r="AS1585" s="63" t="str">
        <f t="shared" si="270"/>
        <v/>
      </c>
      <c r="AT1585" s="78" t="str">
        <f t="shared" si="271"/>
        <v/>
      </c>
      <c r="AU1585" s="78" t="str">
        <f t="shared" si="272"/>
        <v/>
      </c>
      <c r="AV1585" s="64" t="str">
        <f ca="1">IFERROR(__xludf.DUMMYFUNCTION("IF(TRIM(AU1585)="""","""",AU1585/INDEX(FILTER(AT$3:AT1585,TRIM(AT$3:AT1585)&lt;&gt;""""),ROWS(FILTER(AT$3:AT1585,TRIM(AT$3:AT1585)&lt;&gt;"""")))-1)"),"")</f>
        <v/>
      </c>
      <c r="AW1585" s="65" t="e">
        <f t="shared" ca="1" si="265"/>
        <v>#VALUE!</v>
      </c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</row>
    <row r="1586" spans="1:68" ht="19" x14ac:dyDescent="0.25">
      <c r="A1586" s="5"/>
      <c r="B1586" s="5"/>
      <c r="C1586" s="5"/>
      <c r="D1586" s="5"/>
      <c r="E1586" s="5"/>
      <c r="F1586" s="5"/>
      <c r="G1586" s="5"/>
      <c r="H1586" s="6"/>
      <c r="I1586" s="5"/>
      <c r="J1586" s="88"/>
      <c r="K1586" s="88"/>
      <c r="L1586" s="88"/>
      <c r="M1586" s="88"/>
      <c r="N1586" s="88"/>
      <c r="O1586" s="88"/>
      <c r="P1586" s="88"/>
      <c r="Q1586" s="89"/>
      <c r="R1586" s="88"/>
      <c r="S1586" s="88"/>
      <c r="T1586" s="90"/>
      <c r="U1586" s="6"/>
      <c r="V1586" s="96"/>
      <c r="W1586" s="77"/>
      <c r="X1586" s="91"/>
      <c r="Y1586" s="77"/>
      <c r="Z1586" s="5"/>
      <c r="AA1586" s="5"/>
      <c r="AB1586" s="5"/>
      <c r="AC1586" s="5"/>
      <c r="AD1586" s="5"/>
      <c r="AE1586" s="5"/>
      <c r="AF1586" s="5"/>
      <c r="AG1586" s="5"/>
      <c r="AH1586" s="6"/>
      <c r="AI1586" s="96"/>
      <c r="AJ1586" s="93"/>
      <c r="AK1586" s="94"/>
      <c r="AL1586" s="95"/>
      <c r="AM1586" s="56"/>
      <c r="AN1586" s="57">
        <f t="shared" si="264"/>
        <v>0</v>
      </c>
      <c r="AO1586" s="76">
        <f t="shared" si="266"/>
        <v>0</v>
      </c>
      <c r="AP1586" s="63" t="str">
        <f t="shared" si="267"/>
        <v/>
      </c>
      <c r="AQ1586" s="63" t="str">
        <f t="shared" si="268"/>
        <v/>
      </c>
      <c r="AR1586" s="63" t="str">
        <f t="shared" si="269"/>
        <v/>
      </c>
      <c r="AS1586" s="63" t="str">
        <f t="shared" si="270"/>
        <v/>
      </c>
      <c r="AT1586" s="78" t="str">
        <f t="shared" si="271"/>
        <v/>
      </c>
      <c r="AU1586" s="78" t="str">
        <f t="shared" si="272"/>
        <v/>
      </c>
      <c r="AV1586" s="64" t="str">
        <f ca="1">IFERROR(__xludf.DUMMYFUNCTION("IF(TRIM(AU1586)="""","""",AU1586/INDEX(FILTER(AT$3:AT1586,TRIM(AT$3:AT1586)&lt;&gt;""""),ROWS(FILTER(AT$3:AT1586,TRIM(AT$3:AT1586)&lt;&gt;"""")))-1)"),"")</f>
        <v/>
      </c>
      <c r="AW1586" s="65" t="e">
        <f t="shared" ca="1" si="265"/>
        <v>#VALUE!</v>
      </c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</row>
    <row r="1587" spans="1:68" ht="19" x14ac:dyDescent="0.25">
      <c r="A1587" s="5"/>
      <c r="B1587" s="5"/>
      <c r="C1587" s="5"/>
      <c r="D1587" s="5"/>
      <c r="E1587" s="5"/>
      <c r="F1587" s="5"/>
      <c r="G1587" s="5"/>
      <c r="H1587" s="6"/>
      <c r="I1587" s="5"/>
      <c r="J1587" s="88"/>
      <c r="K1587" s="88"/>
      <c r="L1587" s="88"/>
      <c r="M1587" s="88"/>
      <c r="N1587" s="88"/>
      <c r="O1587" s="88"/>
      <c r="P1587" s="88"/>
      <c r="Q1587" s="89"/>
      <c r="R1587" s="88"/>
      <c r="S1587" s="88"/>
      <c r="T1587" s="90"/>
      <c r="U1587" s="6"/>
      <c r="V1587" s="96"/>
      <c r="W1587" s="77"/>
      <c r="X1587" s="91"/>
      <c r="Y1587" s="77"/>
      <c r="Z1587" s="5"/>
      <c r="AA1587" s="5"/>
      <c r="AB1587" s="5"/>
      <c r="AC1587" s="5"/>
      <c r="AD1587" s="5"/>
      <c r="AE1587" s="5"/>
      <c r="AF1587" s="5"/>
      <c r="AG1587" s="5"/>
      <c r="AH1587" s="6"/>
      <c r="AI1587" s="96"/>
      <c r="AJ1587" s="93"/>
      <c r="AK1587" s="94"/>
      <c r="AL1587" s="95"/>
      <c r="AM1587" s="56"/>
      <c r="AN1587" s="57">
        <f t="shared" si="264"/>
        <v>0</v>
      </c>
      <c r="AO1587" s="76">
        <f t="shared" si="266"/>
        <v>0</v>
      </c>
      <c r="AP1587" s="63" t="str">
        <f t="shared" si="267"/>
        <v/>
      </c>
      <c r="AQ1587" s="63" t="str">
        <f t="shared" si="268"/>
        <v/>
      </c>
      <c r="AR1587" s="63" t="str">
        <f t="shared" si="269"/>
        <v/>
      </c>
      <c r="AS1587" s="63" t="str">
        <f t="shared" si="270"/>
        <v/>
      </c>
      <c r="AT1587" s="78" t="str">
        <f t="shared" si="271"/>
        <v/>
      </c>
      <c r="AU1587" s="78" t="str">
        <f t="shared" si="272"/>
        <v/>
      </c>
      <c r="AV1587" s="64" t="str">
        <f ca="1">IFERROR(__xludf.DUMMYFUNCTION("IF(TRIM(AU1587)="""","""",AU1587/INDEX(FILTER(AT$3:AT1587,TRIM(AT$3:AT1587)&lt;&gt;""""),ROWS(FILTER(AT$3:AT1587,TRIM(AT$3:AT1587)&lt;&gt;"""")))-1)"),"")</f>
        <v/>
      </c>
      <c r="AW1587" s="65" t="e">
        <f t="shared" ca="1" si="265"/>
        <v>#VALUE!</v>
      </c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</row>
    <row r="1588" spans="1:68" ht="19" x14ac:dyDescent="0.25">
      <c r="A1588" s="5"/>
      <c r="B1588" s="5"/>
      <c r="C1588" s="5"/>
      <c r="D1588" s="5"/>
      <c r="E1588" s="5"/>
      <c r="F1588" s="5"/>
      <c r="G1588" s="5"/>
      <c r="H1588" s="6"/>
      <c r="I1588" s="5"/>
      <c r="J1588" s="88"/>
      <c r="K1588" s="88"/>
      <c r="L1588" s="88"/>
      <c r="M1588" s="88"/>
      <c r="N1588" s="88"/>
      <c r="O1588" s="88"/>
      <c r="P1588" s="88"/>
      <c r="Q1588" s="89"/>
      <c r="R1588" s="88"/>
      <c r="S1588" s="88"/>
      <c r="T1588" s="90"/>
      <c r="U1588" s="6"/>
      <c r="V1588" s="96"/>
      <c r="W1588" s="77"/>
      <c r="X1588" s="91"/>
      <c r="Y1588" s="77"/>
      <c r="Z1588" s="5"/>
      <c r="AA1588" s="5"/>
      <c r="AB1588" s="5"/>
      <c r="AC1588" s="5"/>
      <c r="AD1588" s="5"/>
      <c r="AE1588" s="5"/>
      <c r="AF1588" s="5"/>
      <c r="AG1588" s="5"/>
      <c r="AH1588" s="6"/>
      <c r="AI1588" s="96"/>
      <c r="AJ1588" s="93"/>
      <c r="AK1588" s="94"/>
      <c r="AL1588" s="95"/>
      <c r="AM1588" s="56"/>
      <c r="AN1588" s="57">
        <f t="shared" si="264"/>
        <v>0</v>
      </c>
      <c r="AO1588" s="76">
        <f t="shared" si="266"/>
        <v>0</v>
      </c>
      <c r="AP1588" s="63" t="str">
        <f t="shared" si="267"/>
        <v/>
      </c>
      <c r="AQ1588" s="63" t="str">
        <f t="shared" si="268"/>
        <v/>
      </c>
      <c r="AR1588" s="63" t="str">
        <f t="shared" si="269"/>
        <v/>
      </c>
      <c r="AS1588" s="63" t="str">
        <f t="shared" si="270"/>
        <v/>
      </c>
      <c r="AT1588" s="78" t="str">
        <f t="shared" si="271"/>
        <v/>
      </c>
      <c r="AU1588" s="78" t="str">
        <f t="shared" si="272"/>
        <v/>
      </c>
      <c r="AV1588" s="64" t="str">
        <f ca="1">IFERROR(__xludf.DUMMYFUNCTION("IF(TRIM(AU1588)="""","""",AU1588/INDEX(FILTER(AT$3:AT1588,TRIM(AT$3:AT1588)&lt;&gt;""""),ROWS(FILTER(AT$3:AT1588,TRIM(AT$3:AT1588)&lt;&gt;"""")))-1)"),"")</f>
        <v/>
      </c>
      <c r="AW1588" s="65" t="e">
        <f t="shared" ca="1" si="265"/>
        <v>#VALUE!</v>
      </c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</row>
    <row r="1589" spans="1:68" ht="19" x14ac:dyDescent="0.25">
      <c r="A1589" s="5"/>
      <c r="B1589" s="5"/>
      <c r="C1589" s="5"/>
      <c r="D1589" s="5"/>
      <c r="E1589" s="5"/>
      <c r="F1589" s="5"/>
      <c r="G1589" s="5"/>
      <c r="H1589" s="6"/>
      <c r="I1589" s="5"/>
      <c r="J1589" s="88"/>
      <c r="K1589" s="88"/>
      <c r="L1589" s="88"/>
      <c r="M1589" s="88"/>
      <c r="N1589" s="88"/>
      <c r="O1589" s="88"/>
      <c r="P1589" s="88"/>
      <c r="Q1589" s="89"/>
      <c r="R1589" s="88"/>
      <c r="S1589" s="88"/>
      <c r="T1589" s="90"/>
      <c r="U1589" s="6"/>
      <c r="V1589" s="96"/>
      <c r="W1589" s="77"/>
      <c r="X1589" s="91"/>
      <c r="Y1589" s="77"/>
      <c r="Z1589" s="5"/>
      <c r="AA1589" s="5"/>
      <c r="AB1589" s="5"/>
      <c r="AC1589" s="5"/>
      <c r="AD1589" s="5"/>
      <c r="AE1589" s="5"/>
      <c r="AF1589" s="5"/>
      <c r="AG1589" s="5"/>
      <c r="AH1589" s="6"/>
      <c r="AI1589" s="96"/>
      <c r="AJ1589" s="93"/>
      <c r="AK1589" s="94"/>
      <c r="AL1589" s="95"/>
      <c r="AM1589" s="56"/>
      <c r="AN1589" s="57">
        <f t="shared" si="264"/>
        <v>0</v>
      </c>
      <c r="AO1589" s="76">
        <f t="shared" si="266"/>
        <v>0</v>
      </c>
      <c r="AP1589" s="63" t="str">
        <f t="shared" si="267"/>
        <v/>
      </c>
      <c r="AQ1589" s="63" t="str">
        <f t="shared" si="268"/>
        <v/>
      </c>
      <c r="AR1589" s="63" t="str">
        <f t="shared" si="269"/>
        <v/>
      </c>
      <c r="AS1589" s="63" t="str">
        <f t="shared" si="270"/>
        <v/>
      </c>
      <c r="AT1589" s="78" t="str">
        <f t="shared" si="271"/>
        <v/>
      </c>
      <c r="AU1589" s="78" t="str">
        <f t="shared" si="272"/>
        <v/>
      </c>
      <c r="AV1589" s="64" t="str">
        <f ca="1">IFERROR(__xludf.DUMMYFUNCTION("IF(TRIM(AU1589)="""","""",AU1589/INDEX(FILTER(AT$3:AT1589,TRIM(AT$3:AT1589)&lt;&gt;""""),ROWS(FILTER(AT$3:AT1589,TRIM(AT$3:AT1589)&lt;&gt;"""")))-1)"),"")</f>
        <v/>
      </c>
      <c r="AW1589" s="65" t="e">
        <f t="shared" ca="1" si="265"/>
        <v>#VALUE!</v>
      </c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</row>
    <row r="1590" spans="1:68" ht="19" x14ac:dyDescent="0.25">
      <c r="A1590" s="5"/>
      <c r="B1590" s="5"/>
      <c r="C1590" s="5"/>
      <c r="D1590" s="5"/>
      <c r="E1590" s="5"/>
      <c r="F1590" s="5"/>
      <c r="G1590" s="5"/>
      <c r="H1590" s="6"/>
      <c r="I1590" s="5"/>
      <c r="J1590" s="88"/>
      <c r="K1590" s="88"/>
      <c r="L1590" s="88"/>
      <c r="M1590" s="88"/>
      <c r="N1590" s="88"/>
      <c r="O1590" s="88"/>
      <c r="P1590" s="88"/>
      <c r="Q1590" s="89"/>
      <c r="R1590" s="88"/>
      <c r="S1590" s="88"/>
      <c r="T1590" s="90"/>
      <c r="U1590" s="6"/>
      <c r="V1590" s="96"/>
      <c r="W1590" s="77"/>
      <c r="X1590" s="91"/>
      <c r="Y1590" s="77"/>
      <c r="Z1590" s="5"/>
      <c r="AA1590" s="5"/>
      <c r="AB1590" s="5"/>
      <c r="AC1590" s="5"/>
      <c r="AD1590" s="5"/>
      <c r="AE1590" s="5"/>
      <c r="AF1590" s="5"/>
      <c r="AG1590" s="5"/>
      <c r="AH1590" s="6"/>
      <c r="AI1590" s="96"/>
      <c r="AJ1590" s="93"/>
      <c r="AK1590" s="94"/>
      <c r="AL1590" s="95"/>
      <c r="AM1590" s="56"/>
      <c r="AN1590" s="57">
        <f t="shared" si="264"/>
        <v>0</v>
      </c>
      <c r="AO1590" s="76">
        <f t="shared" si="266"/>
        <v>0</v>
      </c>
      <c r="AP1590" s="63" t="str">
        <f t="shared" si="267"/>
        <v/>
      </c>
      <c r="AQ1590" s="63" t="str">
        <f t="shared" si="268"/>
        <v/>
      </c>
      <c r="AR1590" s="63" t="str">
        <f t="shared" si="269"/>
        <v/>
      </c>
      <c r="AS1590" s="63" t="str">
        <f t="shared" si="270"/>
        <v/>
      </c>
      <c r="AT1590" s="78" t="str">
        <f t="shared" si="271"/>
        <v/>
      </c>
      <c r="AU1590" s="78" t="str">
        <f t="shared" si="272"/>
        <v/>
      </c>
      <c r="AV1590" s="64" t="str">
        <f ca="1">IFERROR(__xludf.DUMMYFUNCTION("IF(TRIM(AU1590)="""","""",AU1590/INDEX(FILTER(AT$3:AT1590,TRIM(AT$3:AT1590)&lt;&gt;""""),ROWS(FILTER(AT$3:AT1590,TRIM(AT$3:AT1590)&lt;&gt;"""")))-1)"),"")</f>
        <v/>
      </c>
      <c r="AW1590" s="65" t="e">
        <f t="shared" ca="1" si="265"/>
        <v>#VALUE!</v>
      </c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</row>
    <row r="1591" spans="1:68" ht="19" x14ac:dyDescent="0.25">
      <c r="A1591" s="5"/>
      <c r="B1591" s="5"/>
      <c r="C1591" s="5"/>
      <c r="D1591" s="5"/>
      <c r="E1591" s="5"/>
      <c r="F1591" s="5"/>
      <c r="G1591" s="5"/>
      <c r="H1591" s="6"/>
      <c r="I1591" s="5"/>
      <c r="J1591" s="88"/>
      <c r="K1591" s="88"/>
      <c r="L1591" s="88"/>
      <c r="M1591" s="88"/>
      <c r="N1591" s="88"/>
      <c r="O1591" s="88"/>
      <c r="P1591" s="88"/>
      <c r="Q1591" s="89"/>
      <c r="R1591" s="88"/>
      <c r="S1591" s="88"/>
      <c r="T1591" s="90"/>
      <c r="U1591" s="6"/>
      <c r="V1591" s="96"/>
      <c r="W1591" s="77"/>
      <c r="X1591" s="91"/>
      <c r="Y1591" s="77"/>
      <c r="Z1591" s="5"/>
      <c r="AA1591" s="5"/>
      <c r="AB1591" s="5"/>
      <c r="AC1591" s="5"/>
      <c r="AD1591" s="5"/>
      <c r="AE1591" s="5"/>
      <c r="AF1591" s="5"/>
      <c r="AG1591" s="5"/>
      <c r="AH1591" s="6"/>
      <c r="AI1591" s="96"/>
      <c r="AJ1591" s="93"/>
      <c r="AK1591" s="94"/>
      <c r="AL1591" s="95"/>
      <c r="AM1591" s="56"/>
      <c r="AN1591" s="57">
        <f t="shared" si="264"/>
        <v>0</v>
      </c>
      <c r="AO1591" s="76">
        <f t="shared" si="266"/>
        <v>0</v>
      </c>
      <c r="AP1591" s="63" t="str">
        <f t="shared" si="267"/>
        <v/>
      </c>
      <c r="AQ1591" s="63" t="str">
        <f t="shared" si="268"/>
        <v/>
      </c>
      <c r="AR1591" s="63" t="str">
        <f t="shared" si="269"/>
        <v/>
      </c>
      <c r="AS1591" s="63" t="str">
        <f t="shared" si="270"/>
        <v/>
      </c>
      <c r="AT1591" s="78" t="str">
        <f t="shared" si="271"/>
        <v/>
      </c>
      <c r="AU1591" s="78" t="str">
        <f t="shared" si="272"/>
        <v/>
      </c>
      <c r="AV1591" s="64" t="str">
        <f ca="1">IFERROR(__xludf.DUMMYFUNCTION("IF(TRIM(AU1591)="""","""",AU1591/INDEX(FILTER(AT$3:AT1591,TRIM(AT$3:AT1591)&lt;&gt;""""),ROWS(FILTER(AT$3:AT1591,TRIM(AT$3:AT1591)&lt;&gt;"""")))-1)"),"")</f>
        <v/>
      </c>
      <c r="AW1591" s="65" t="e">
        <f t="shared" ca="1" si="265"/>
        <v>#VALUE!</v>
      </c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</row>
    <row r="1592" spans="1:68" ht="19" x14ac:dyDescent="0.25">
      <c r="A1592" s="5"/>
      <c r="B1592" s="5"/>
      <c r="C1592" s="5"/>
      <c r="D1592" s="5"/>
      <c r="E1592" s="5"/>
      <c r="F1592" s="5"/>
      <c r="G1592" s="5"/>
      <c r="H1592" s="6"/>
      <c r="I1592" s="5"/>
      <c r="J1592" s="88"/>
      <c r="K1592" s="88"/>
      <c r="L1592" s="88"/>
      <c r="M1592" s="88"/>
      <c r="N1592" s="88"/>
      <c r="O1592" s="88"/>
      <c r="P1592" s="88"/>
      <c r="Q1592" s="89"/>
      <c r="R1592" s="88"/>
      <c r="S1592" s="88"/>
      <c r="T1592" s="90"/>
      <c r="U1592" s="6"/>
      <c r="V1592" s="92"/>
      <c r="W1592" s="77"/>
      <c r="X1592" s="91"/>
      <c r="Y1592" s="77"/>
      <c r="Z1592" s="5"/>
      <c r="AA1592" s="5"/>
      <c r="AB1592" s="5"/>
      <c r="AC1592" s="5"/>
      <c r="AD1592" s="5"/>
      <c r="AE1592" s="5"/>
      <c r="AF1592" s="5"/>
      <c r="AG1592" s="5"/>
      <c r="AH1592" s="6"/>
      <c r="AI1592" s="92"/>
      <c r="AJ1592" s="93"/>
      <c r="AK1592" s="94"/>
      <c r="AL1592" s="95"/>
      <c r="AM1592" s="56"/>
      <c r="AN1592" s="57">
        <f t="shared" si="264"/>
        <v>0</v>
      </c>
      <c r="AO1592" s="76">
        <f t="shared" si="266"/>
        <v>0</v>
      </c>
      <c r="AP1592" s="63" t="str">
        <f t="shared" si="267"/>
        <v/>
      </c>
      <c r="AQ1592" s="63" t="str">
        <f t="shared" si="268"/>
        <v/>
      </c>
      <c r="AR1592" s="63" t="str">
        <f t="shared" si="269"/>
        <v/>
      </c>
      <c r="AS1592" s="63" t="str">
        <f t="shared" si="270"/>
        <v/>
      </c>
      <c r="AT1592" s="78" t="str">
        <f t="shared" si="271"/>
        <v/>
      </c>
      <c r="AU1592" s="78" t="str">
        <f t="shared" si="272"/>
        <v/>
      </c>
      <c r="AV1592" s="64" t="str">
        <f ca="1">IFERROR(__xludf.DUMMYFUNCTION("IF(TRIM(AU1592)="""","""",AU1592/INDEX(FILTER(AT$3:AT1592,TRIM(AT$3:AT1592)&lt;&gt;""""),ROWS(FILTER(AT$3:AT1592,TRIM(AT$3:AT1592)&lt;&gt;"""")))-1)"),"")</f>
        <v/>
      </c>
      <c r="AW1592" s="65" t="e">
        <f t="shared" ca="1" si="265"/>
        <v>#VALUE!</v>
      </c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</row>
    <row r="1593" spans="1:68" ht="19" x14ac:dyDescent="0.25">
      <c r="A1593" s="5"/>
      <c r="B1593" s="5"/>
      <c r="C1593" s="5"/>
      <c r="D1593" s="5"/>
      <c r="E1593" s="5"/>
      <c r="F1593" s="5"/>
      <c r="G1593" s="5"/>
      <c r="H1593" s="6"/>
      <c r="I1593" s="5"/>
      <c r="J1593" s="88"/>
      <c r="K1593" s="88"/>
      <c r="L1593" s="88"/>
      <c r="M1593" s="88"/>
      <c r="N1593" s="88"/>
      <c r="O1593" s="88"/>
      <c r="P1593" s="88"/>
      <c r="Q1593" s="89"/>
      <c r="R1593" s="88"/>
      <c r="S1593" s="88"/>
      <c r="T1593" s="90"/>
      <c r="U1593" s="6"/>
      <c r="V1593" s="92"/>
      <c r="W1593" s="77"/>
      <c r="X1593" s="91"/>
      <c r="Y1593" s="77"/>
      <c r="Z1593" s="5"/>
      <c r="AA1593" s="5"/>
      <c r="AB1593" s="5"/>
      <c r="AC1593" s="5"/>
      <c r="AD1593" s="5"/>
      <c r="AE1593" s="5"/>
      <c r="AF1593" s="5"/>
      <c r="AG1593" s="5"/>
      <c r="AH1593" s="6"/>
      <c r="AI1593" s="92"/>
      <c r="AJ1593" s="93"/>
      <c r="AK1593" s="94"/>
      <c r="AL1593" s="95"/>
      <c r="AM1593" s="56"/>
      <c r="AN1593" s="57">
        <f t="shared" si="264"/>
        <v>0</v>
      </c>
      <c r="AO1593" s="76">
        <f t="shared" si="266"/>
        <v>0</v>
      </c>
      <c r="AP1593" s="63" t="str">
        <f t="shared" si="267"/>
        <v/>
      </c>
      <c r="AQ1593" s="63" t="str">
        <f t="shared" si="268"/>
        <v/>
      </c>
      <c r="AR1593" s="63" t="str">
        <f t="shared" si="269"/>
        <v/>
      </c>
      <c r="AS1593" s="63" t="str">
        <f t="shared" si="270"/>
        <v/>
      </c>
      <c r="AT1593" s="78" t="str">
        <f t="shared" si="271"/>
        <v/>
      </c>
      <c r="AU1593" s="78" t="str">
        <f t="shared" si="272"/>
        <v/>
      </c>
      <c r="AV1593" s="64" t="str">
        <f ca="1">IFERROR(__xludf.DUMMYFUNCTION("IF(TRIM(AU1593)="""","""",AU1593/INDEX(FILTER(AT$3:AT1593,TRIM(AT$3:AT1593)&lt;&gt;""""),ROWS(FILTER(AT$3:AT1593,TRIM(AT$3:AT1593)&lt;&gt;"""")))-1)"),"")</f>
        <v/>
      </c>
      <c r="AW1593" s="65" t="e">
        <f t="shared" ca="1" si="265"/>
        <v>#VALUE!</v>
      </c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</row>
    <row r="1594" spans="1:68" ht="19" x14ac:dyDescent="0.25">
      <c r="A1594" s="5"/>
      <c r="B1594" s="5"/>
      <c r="C1594" s="5"/>
      <c r="D1594" s="5"/>
      <c r="E1594" s="5"/>
      <c r="F1594" s="5"/>
      <c r="G1594" s="5"/>
      <c r="H1594" s="6"/>
      <c r="I1594" s="5"/>
      <c r="J1594" s="88"/>
      <c r="K1594" s="88"/>
      <c r="L1594" s="88"/>
      <c r="M1594" s="88"/>
      <c r="N1594" s="88"/>
      <c r="O1594" s="88"/>
      <c r="P1594" s="88"/>
      <c r="Q1594" s="89"/>
      <c r="R1594" s="88"/>
      <c r="S1594" s="88"/>
      <c r="T1594" s="90"/>
      <c r="U1594" s="6"/>
      <c r="V1594" s="92"/>
      <c r="W1594" s="77"/>
      <c r="X1594" s="91"/>
      <c r="Y1594" s="77"/>
      <c r="Z1594" s="5"/>
      <c r="AA1594" s="5"/>
      <c r="AB1594" s="5"/>
      <c r="AC1594" s="5"/>
      <c r="AD1594" s="5"/>
      <c r="AE1594" s="5"/>
      <c r="AF1594" s="5"/>
      <c r="AG1594" s="5"/>
      <c r="AH1594" s="6"/>
      <c r="AI1594" s="92"/>
      <c r="AJ1594" s="93"/>
      <c r="AK1594" s="94"/>
      <c r="AL1594" s="95"/>
      <c r="AM1594" s="56"/>
      <c r="AN1594" s="57">
        <f t="shared" si="264"/>
        <v>0</v>
      </c>
      <c r="AO1594" s="76">
        <f t="shared" si="266"/>
        <v>0</v>
      </c>
      <c r="AP1594" s="63" t="str">
        <f t="shared" si="267"/>
        <v/>
      </c>
      <c r="AQ1594" s="63" t="str">
        <f t="shared" si="268"/>
        <v/>
      </c>
      <c r="AR1594" s="63" t="str">
        <f t="shared" si="269"/>
        <v/>
      </c>
      <c r="AS1594" s="63" t="str">
        <f t="shared" si="270"/>
        <v/>
      </c>
      <c r="AT1594" s="78" t="str">
        <f t="shared" si="271"/>
        <v/>
      </c>
      <c r="AU1594" s="78" t="str">
        <f t="shared" si="272"/>
        <v/>
      </c>
      <c r="AV1594" s="64" t="str">
        <f ca="1">IFERROR(__xludf.DUMMYFUNCTION("IF(TRIM(AU1594)="""","""",AU1594/INDEX(FILTER(AT$3:AT1594,TRIM(AT$3:AT1594)&lt;&gt;""""),ROWS(FILTER(AT$3:AT1594,TRIM(AT$3:AT1594)&lt;&gt;"""")))-1)"),"")</f>
        <v/>
      </c>
      <c r="AW1594" s="65" t="e">
        <f t="shared" ca="1" si="265"/>
        <v>#VALUE!</v>
      </c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</row>
    <row r="1595" spans="1:68" ht="19" x14ac:dyDescent="0.25">
      <c r="A1595" s="5"/>
      <c r="B1595" s="5"/>
      <c r="C1595" s="5"/>
      <c r="D1595" s="5"/>
      <c r="E1595" s="5"/>
      <c r="F1595" s="5"/>
      <c r="G1595" s="5"/>
      <c r="H1595" s="6"/>
      <c r="I1595" s="5"/>
      <c r="J1595" s="88"/>
      <c r="K1595" s="88"/>
      <c r="L1595" s="88"/>
      <c r="M1595" s="88"/>
      <c r="N1595" s="88"/>
      <c r="O1595" s="88"/>
      <c r="P1595" s="88"/>
      <c r="Q1595" s="89"/>
      <c r="R1595" s="88"/>
      <c r="S1595" s="88"/>
      <c r="T1595" s="90"/>
      <c r="U1595" s="6"/>
      <c r="V1595" s="92"/>
      <c r="W1595" s="77"/>
      <c r="X1595" s="91"/>
      <c r="Y1595" s="77"/>
      <c r="Z1595" s="5"/>
      <c r="AA1595" s="5"/>
      <c r="AB1595" s="5"/>
      <c r="AC1595" s="5"/>
      <c r="AD1595" s="5"/>
      <c r="AE1595" s="5"/>
      <c r="AF1595" s="5"/>
      <c r="AG1595" s="5"/>
      <c r="AH1595" s="6"/>
      <c r="AI1595" s="92"/>
      <c r="AJ1595" s="93"/>
      <c r="AK1595" s="94"/>
      <c r="AL1595" s="95"/>
      <c r="AM1595" s="56"/>
      <c r="AN1595" s="57">
        <f t="shared" si="264"/>
        <v>0</v>
      </c>
      <c r="AO1595" s="76">
        <f t="shared" si="266"/>
        <v>0</v>
      </c>
      <c r="AP1595" s="63" t="str">
        <f t="shared" si="267"/>
        <v/>
      </c>
      <c r="AQ1595" s="63" t="str">
        <f t="shared" si="268"/>
        <v/>
      </c>
      <c r="AR1595" s="63" t="str">
        <f t="shared" si="269"/>
        <v/>
      </c>
      <c r="AS1595" s="63" t="str">
        <f t="shared" si="270"/>
        <v/>
      </c>
      <c r="AT1595" s="78" t="str">
        <f t="shared" si="271"/>
        <v/>
      </c>
      <c r="AU1595" s="78" t="str">
        <f t="shared" si="272"/>
        <v/>
      </c>
      <c r="AV1595" s="64" t="str">
        <f ca="1">IFERROR(__xludf.DUMMYFUNCTION("IF(TRIM(AU1595)="""","""",AU1595/INDEX(FILTER(AT$3:AT1595,TRIM(AT$3:AT1595)&lt;&gt;""""),ROWS(FILTER(AT$3:AT1595,TRIM(AT$3:AT1595)&lt;&gt;"""")))-1)"),"")</f>
        <v/>
      </c>
      <c r="AW1595" s="65" t="e">
        <f t="shared" ca="1" si="265"/>
        <v>#VALUE!</v>
      </c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</row>
    <row r="1596" spans="1:68" ht="19" x14ac:dyDescent="0.25">
      <c r="A1596" s="5"/>
      <c r="B1596" s="5"/>
      <c r="C1596" s="5"/>
      <c r="D1596" s="5"/>
      <c r="E1596" s="5"/>
      <c r="F1596" s="5"/>
      <c r="G1596" s="5"/>
      <c r="H1596" s="6"/>
      <c r="I1596" s="5"/>
      <c r="J1596" s="88"/>
      <c r="K1596" s="88"/>
      <c r="L1596" s="88"/>
      <c r="M1596" s="88"/>
      <c r="N1596" s="88"/>
      <c r="O1596" s="88"/>
      <c r="P1596" s="88"/>
      <c r="Q1596" s="89"/>
      <c r="R1596" s="88"/>
      <c r="S1596" s="88"/>
      <c r="T1596" s="90"/>
      <c r="U1596" s="6"/>
      <c r="V1596" s="92"/>
      <c r="W1596" s="77"/>
      <c r="X1596" s="91"/>
      <c r="Y1596" s="77"/>
      <c r="Z1596" s="5"/>
      <c r="AA1596" s="5"/>
      <c r="AB1596" s="5"/>
      <c r="AC1596" s="5"/>
      <c r="AD1596" s="5"/>
      <c r="AE1596" s="5"/>
      <c r="AF1596" s="5"/>
      <c r="AG1596" s="5"/>
      <c r="AH1596" s="6"/>
      <c r="AI1596" s="92"/>
      <c r="AJ1596" s="93"/>
      <c r="AK1596" s="94"/>
      <c r="AL1596" s="95"/>
      <c r="AM1596" s="56"/>
      <c r="AN1596" s="57">
        <f t="shared" si="264"/>
        <v>0</v>
      </c>
      <c r="AO1596" s="76">
        <f t="shared" si="266"/>
        <v>0</v>
      </c>
      <c r="AP1596" s="63" t="str">
        <f t="shared" si="267"/>
        <v/>
      </c>
      <c r="AQ1596" s="63" t="str">
        <f t="shared" si="268"/>
        <v/>
      </c>
      <c r="AR1596" s="63" t="str">
        <f t="shared" si="269"/>
        <v/>
      </c>
      <c r="AS1596" s="63" t="str">
        <f t="shared" si="270"/>
        <v/>
      </c>
      <c r="AT1596" s="78" t="str">
        <f t="shared" si="271"/>
        <v/>
      </c>
      <c r="AU1596" s="78" t="str">
        <f t="shared" si="272"/>
        <v/>
      </c>
      <c r="AV1596" s="64" t="str">
        <f ca="1">IFERROR(__xludf.DUMMYFUNCTION("IF(TRIM(AU1596)="""","""",AU1596/INDEX(FILTER(AT$3:AT1596,TRIM(AT$3:AT1596)&lt;&gt;""""),ROWS(FILTER(AT$3:AT1596,TRIM(AT$3:AT1596)&lt;&gt;"""")))-1)"),"")</f>
        <v/>
      </c>
      <c r="AW1596" s="65" t="e">
        <f t="shared" ca="1" si="265"/>
        <v>#VALUE!</v>
      </c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</row>
    <row r="1597" spans="1:68" ht="19" x14ac:dyDescent="0.25">
      <c r="A1597" s="5"/>
      <c r="B1597" s="5"/>
      <c r="C1597" s="5"/>
      <c r="D1597" s="5"/>
      <c r="E1597" s="5"/>
      <c r="F1597" s="5"/>
      <c r="G1597" s="5"/>
      <c r="H1597" s="6"/>
      <c r="I1597" s="5"/>
      <c r="J1597" s="88"/>
      <c r="K1597" s="88"/>
      <c r="L1597" s="88"/>
      <c r="M1597" s="88"/>
      <c r="N1597" s="88"/>
      <c r="O1597" s="88"/>
      <c r="P1597" s="88"/>
      <c r="Q1597" s="89"/>
      <c r="R1597" s="88"/>
      <c r="S1597" s="88"/>
      <c r="T1597" s="90"/>
      <c r="U1597" s="6"/>
      <c r="V1597" s="92"/>
      <c r="W1597" s="77"/>
      <c r="X1597" s="91"/>
      <c r="Y1597" s="77"/>
      <c r="Z1597" s="5"/>
      <c r="AA1597" s="5"/>
      <c r="AB1597" s="5"/>
      <c r="AC1597" s="5"/>
      <c r="AD1597" s="5"/>
      <c r="AE1597" s="5"/>
      <c r="AF1597" s="5"/>
      <c r="AG1597" s="5"/>
      <c r="AH1597" s="6"/>
      <c r="AI1597" s="92"/>
      <c r="AJ1597" s="93"/>
      <c r="AK1597" s="94"/>
      <c r="AL1597" s="95"/>
      <c r="AM1597" s="56"/>
      <c r="AN1597" s="57">
        <f t="shared" si="264"/>
        <v>0</v>
      </c>
      <c r="AO1597" s="76">
        <f t="shared" si="266"/>
        <v>0</v>
      </c>
      <c r="AP1597" s="63" t="str">
        <f t="shared" si="267"/>
        <v/>
      </c>
      <c r="AQ1597" s="63" t="str">
        <f t="shared" si="268"/>
        <v/>
      </c>
      <c r="AR1597" s="63" t="str">
        <f t="shared" si="269"/>
        <v/>
      </c>
      <c r="AS1597" s="63" t="str">
        <f t="shared" si="270"/>
        <v/>
      </c>
      <c r="AT1597" s="78" t="str">
        <f t="shared" si="271"/>
        <v/>
      </c>
      <c r="AU1597" s="78" t="str">
        <f t="shared" si="272"/>
        <v/>
      </c>
      <c r="AV1597" s="64" t="str">
        <f ca="1">IFERROR(__xludf.DUMMYFUNCTION("IF(TRIM(AU1597)="""","""",AU1597/INDEX(FILTER(AT$3:AT1597,TRIM(AT$3:AT1597)&lt;&gt;""""),ROWS(FILTER(AT$3:AT1597,TRIM(AT$3:AT1597)&lt;&gt;"""")))-1)"),"")</f>
        <v/>
      </c>
      <c r="AW1597" s="65" t="e">
        <f t="shared" ca="1" si="265"/>
        <v>#VALUE!</v>
      </c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</row>
    <row r="1598" spans="1:68" ht="19" x14ac:dyDescent="0.25">
      <c r="A1598" s="5"/>
      <c r="B1598" s="5"/>
      <c r="C1598" s="5"/>
      <c r="D1598" s="5"/>
      <c r="E1598" s="5"/>
      <c r="F1598" s="5"/>
      <c r="G1598" s="5"/>
      <c r="H1598" s="6"/>
      <c r="I1598" s="5"/>
      <c r="J1598" s="88"/>
      <c r="K1598" s="88"/>
      <c r="L1598" s="88"/>
      <c r="M1598" s="88"/>
      <c r="N1598" s="88"/>
      <c r="O1598" s="88"/>
      <c r="P1598" s="88"/>
      <c r="Q1598" s="89"/>
      <c r="R1598" s="88"/>
      <c r="S1598" s="88"/>
      <c r="T1598" s="90"/>
      <c r="U1598" s="6"/>
      <c r="V1598" s="96"/>
      <c r="W1598" s="77"/>
      <c r="X1598" s="91"/>
      <c r="Y1598" s="77"/>
      <c r="Z1598" s="5"/>
      <c r="AA1598" s="5"/>
      <c r="AB1598" s="5"/>
      <c r="AC1598" s="5"/>
      <c r="AD1598" s="5"/>
      <c r="AE1598" s="5"/>
      <c r="AF1598" s="5"/>
      <c r="AG1598" s="5"/>
      <c r="AH1598" s="6"/>
      <c r="AI1598" s="96"/>
      <c r="AJ1598" s="93"/>
      <c r="AK1598" s="94"/>
      <c r="AL1598" s="95"/>
      <c r="AM1598" s="56"/>
      <c r="AN1598" s="57">
        <f t="shared" si="264"/>
        <v>0</v>
      </c>
      <c r="AO1598" s="76">
        <f t="shared" si="266"/>
        <v>0</v>
      </c>
      <c r="AP1598" s="63" t="str">
        <f t="shared" si="267"/>
        <v/>
      </c>
      <c r="AQ1598" s="63" t="str">
        <f t="shared" si="268"/>
        <v/>
      </c>
      <c r="AR1598" s="63" t="str">
        <f t="shared" si="269"/>
        <v/>
      </c>
      <c r="AS1598" s="63" t="str">
        <f t="shared" si="270"/>
        <v/>
      </c>
      <c r="AT1598" s="78" t="str">
        <f t="shared" si="271"/>
        <v/>
      </c>
      <c r="AU1598" s="78" t="str">
        <f t="shared" si="272"/>
        <v/>
      </c>
      <c r="AV1598" s="64" t="str">
        <f ca="1">IFERROR(__xludf.DUMMYFUNCTION("IF(TRIM(AU1598)="""","""",AU1598/INDEX(FILTER(AT$3:AT1598,TRIM(AT$3:AT1598)&lt;&gt;""""),ROWS(FILTER(AT$3:AT1598,TRIM(AT$3:AT1598)&lt;&gt;"""")))-1)"),"")</f>
        <v/>
      </c>
      <c r="AW1598" s="65" t="e">
        <f t="shared" ca="1" si="265"/>
        <v>#VALUE!</v>
      </c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</row>
    <row r="1599" spans="1:68" ht="19" x14ac:dyDescent="0.25">
      <c r="A1599" s="5"/>
      <c r="B1599" s="5"/>
      <c r="C1599" s="5"/>
      <c r="D1599" s="5"/>
      <c r="E1599" s="5"/>
      <c r="F1599" s="5"/>
      <c r="G1599" s="5"/>
      <c r="H1599" s="6"/>
      <c r="I1599" s="5"/>
      <c r="J1599" s="88"/>
      <c r="K1599" s="88"/>
      <c r="L1599" s="88"/>
      <c r="M1599" s="88"/>
      <c r="N1599" s="88"/>
      <c r="O1599" s="88"/>
      <c r="P1599" s="88"/>
      <c r="Q1599" s="89"/>
      <c r="R1599" s="88"/>
      <c r="S1599" s="88"/>
      <c r="T1599" s="90"/>
      <c r="U1599" s="6"/>
      <c r="V1599" s="96"/>
      <c r="W1599" s="77"/>
      <c r="X1599" s="91"/>
      <c r="Y1599" s="77"/>
      <c r="Z1599" s="5"/>
      <c r="AA1599" s="5"/>
      <c r="AB1599" s="5"/>
      <c r="AC1599" s="5"/>
      <c r="AD1599" s="5"/>
      <c r="AE1599" s="5"/>
      <c r="AF1599" s="5"/>
      <c r="AG1599" s="5"/>
      <c r="AH1599" s="6"/>
      <c r="AI1599" s="96"/>
      <c r="AJ1599" s="93"/>
      <c r="AK1599" s="94"/>
      <c r="AL1599" s="95"/>
      <c r="AM1599" s="56"/>
      <c r="AN1599" s="57">
        <f t="shared" si="264"/>
        <v>0</v>
      </c>
      <c r="AO1599" s="76">
        <f t="shared" si="266"/>
        <v>0</v>
      </c>
      <c r="AP1599" s="63" t="str">
        <f t="shared" si="267"/>
        <v/>
      </c>
      <c r="AQ1599" s="63" t="str">
        <f t="shared" si="268"/>
        <v/>
      </c>
      <c r="AR1599" s="63" t="str">
        <f t="shared" si="269"/>
        <v/>
      </c>
      <c r="AS1599" s="63" t="str">
        <f t="shared" si="270"/>
        <v/>
      </c>
      <c r="AT1599" s="78" t="str">
        <f t="shared" si="271"/>
        <v/>
      </c>
      <c r="AU1599" s="78" t="str">
        <f t="shared" si="272"/>
        <v/>
      </c>
      <c r="AV1599" s="64" t="str">
        <f ca="1">IFERROR(__xludf.DUMMYFUNCTION("IF(TRIM(AU1599)="""","""",AU1599/INDEX(FILTER(AT$3:AT1599,TRIM(AT$3:AT1599)&lt;&gt;""""),ROWS(FILTER(AT$3:AT1599,TRIM(AT$3:AT1599)&lt;&gt;"""")))-1)"),"")</f>
        <v/>
      </c>
      <c r="AW1599" s="65" t="e">
        <f t="shared" ca="1" si="265"/>
        <v>#VALUE!</v>
      </c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</row>
    <row r="1600" spans="1:68" ht="19" x14ac:dyDescent="0.25">
      <c r="A1600" s="5"/>
      <c r="B1600" s="5"/>
      <c r="C1600" s="5"/>
      <c r="D1600" s="5"/>
      <c r="E1600" s="5"/>
      <c r="F1600" s="5"/>
      <c r="G1600" s="5"/>
      <c r="H1600" s="6"/>
      <c r="I1600" s="5"/>
      <c r="J1600" s="88"/>
      <c r="K1600" s="88"/>
      <c r="L1600" s="88"/>
      <c r="M1600" s="88"/>
      <c r="N1600" s="88"/>
      <c r="O1600" s="88"/>
      <c r="P1600" s="88"/>
      <c r="Q1600" s="89"/>
      <c r="R1600" s="88"/>
      <c r="S1600" s="88"/>
      <c r="T1600" s="90"/>
      <c r="U1600" s="6"/>
      <c r="V1600" s="96"/>
      <c r="W1600" s="77"/>
      <c r="X1600" s="91"/>
      <c r="Y1600" s="77"/>
      <c r="Z1600" s="5"/>
      <c r="AA1600" s="5"/>
      <c r="AB1600" s="5"/>
      <c r="AC1600" s="5"/>
      <c r="AD1600" s="5"/>
      <c r="AE1600" s="5"/>
      <c r="AF1600" s="5"/>
      <c r="AG1600" s="5"/>
      <c r="AH1600" s="6"/>
      <c r="AI1600" s="96"/>
      <c r="AJ1600" s="93"/>
      <c r="AK1600" s="94"/>
      <c r="AL1600" s="95"/>
      <c r="AM1600" s="56"/>
      <c r="AN1600" s="57">
        <f t="shared" si="264"/>
        <v>0</v>
      </c>
      <c r="AO1600" s="76">
        <f t="shared" si="266"/>
        <v>0</v>
      </c>
      <c r="AP1600" s="63" t="str">
        <f t="shared" si="267"/>
        <v/>
      </c>
      <c r="AQ1600" s="63" t="str">
        <f t="shared" si="268"/>
        <v/>
      </c>
      <c r="AR1600" s="63" t="str">
        <f t="shared" si="269"/>
        <v/>
      </c>
      <c r="AS1600" s="63" t="str">
        <f t="shared" si="270"/>
        <v/>
      </c>
      <c r="AT1600" s="78" t="str">
        <f t="shared" si="271"/>
        <v/>
      </c>
      <c r="AU1600" s="78" t="str">
        <f t="shared" si="272"/>
        <v/>
      </c>
      <c r="AV1600" s="64" t="str">
        <f ca="1">IFERROR(__xludf.DUMMYFUNCTION("IF(TRIM(AU1600)="""","""",AU1600/INDEX(FILTER(AT$3:AT1600,TRIM(AT$3:AT1600)&lt;&gt;""""),ROWS(FILTER(AT$3:AT1600,TRIM(AT$3:AT1600)&lt;&gt;"""")))-1)"),"")</f>
        <v/>
      </c>
      <c r="AW1600" s="65" t="e">
        <f t="shared" ca="1" si="265"/>
        <v>#VALUE!</v>
      </c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</row>
    <row r="1601" spans="1:68" ht="19" x14ac:dyDescent="0.25">
      <c r="A1601" s="5"/>
      <c r="B1601" s="5"/>
      <c r="C1601" s="5"/>
      <c r="D1601" s="5"/>
      <c r="E1601" s="5"/>
      <c r="F1601" s="5"/>
      <c r="G1601" s="5"/>
      <c r="H1601" s="6"/>
      <c r="I1601" s="5"/>
      <c r="J1601" s="88"/>
      <c r="K1601" s="88"/>
      <c r="L1601" s="88"/>
      <c r="M1601" s="88"/>
      <c r="N1601" s="88"/>
      <c r="O1601" s="88"/>
      <c r="P1601" s="88"/>
      <c r="Q1601" s="89"/>
      <c r="R1601" s="88"/>
      <c r="S1601" s="88"/>
      <c r="T1601" s="90"/>
      <c r="U1601" s="6"/>
      <c r="V1601" s="96"/>
      <c r="W1601" s="77"/>
      <c r="X1601" s="91"/>
      <c r="Y1601" s="77"/>
      <c r="Z1601" s="5"/>
      <c r="AA1601" s="5"/>
      <c r="AB1601" s="5"/>
      <c r="AC1601" s="5"/>
      <c r="AD1601" s="5"/>
      <c r="AE1601" s="5"/>
      <c r="AF1601" s="5"/>
      <c r="AG1601" s="5"/>
      <c r="AH1601" s="6"/>
      <c r="AI1601" s="96"/>
      <c r="AJ1601" s="93"/>
      <c r="AK1601" s="94"/>
      <c r="AL1601" s="95"/>
      <c r="AM1601" s="56"/>
      <c r="AN1601" s="57">
        <f t="shared" si="264"/>
        <v>0</v>
      </c>
      <c r="AO1601" s="76">
        <f t="shared" si="266"/>
        <v>0</v>
      </c>
      <c r="AP1601" s="63" t="str">
        <f t="shared" si="267"/>
        <v/>
      </c>
      <c r="AQ1601" s="63" t="str">
        <f t="shared" si="268"/>
        <v/>
      </c>
      <c r="AR1601" s="63" t="str">
        <f t="shared" si="269"/>
        <v/>
      </c>
      <c r="AS1601" s="63" t="str">
        <f t="shared" si="270"/>
        <v/>
      </c>
      <c r="AT1601" s="78" t="str">
        <f t="shared" si="271"/>
        <v/>
      </c>
      <c r="AU1601" s="78" t="str">
        <f t="shared" si="272"/>
        <v/>
      </c>
      <c r="AV1601" s="64" t="str">
        <f ca="1">IFERROR(__xludf.DUMMYFUNCTION("IF(TRIM(AU1601)="""","""",AU1601/INDEX(FILTER(AT$3:AT1601,TRIM(AT$3:AT1601)&lt;&gt;""""),ROWS(FILTER(AT$3:AT1601,TRIM(AT$3:AT1601)&lt;&gt;"""")))-1)"),"")</f>
        <v/>
      </c>
      <c r="AW1601" s="65" t="e">
        <f t="shared" ca="1" si="265"/>
        <v>#VALUE!</v>
      </c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</row>
    <row r="1602" spans="1:68" ht="19" x14ac:dyDescent="0.25">
      <c r="A1602" s="5"/>
      <c r="B1602" s="5"/>
      <c r="C1602" s="5"/>
      <c r="D1602" s="5"/>
      <c r="E1602" s="5"/>
      <c r="F1602" s="5"/>
      <c r="G1602" s="5"/>
      <c r="H1602" s="6"/>
      <c r="I1602" s="5"/>
      <c r="J1602" s="88"/>
      <c r="K1602" s="88"/>
      <c r="L1602" s="88"/>
      <c r="M1602" s="88"/>
      <c r="N1602" s="88"/>
      <c r="O1602" s="88"/>
      <c r="P1602" s="88"/>
      <c r="Q1602" s="89"/>
      <c r="R1602" s="88"/>
      <c r="S1602" s="88"/>
      <c r="T1602" s="90"/>
      <c r="U1602" s="6"/>
      <c r="V1602" s="96"/>
      <c r="W1602" s="77"/>
      <c r="X1602" s="91"/>
      <c r="Y1602" s="77"/>
      <c r="Z1602" s="5"/>
      <c r="AA1602" s="5"/>
      <c r="AB1602" s="5"/>
      <c r="AC1602" s="5"/>
      <c r="AD1602" s="5"/>
      <c r="AE1602" s="5"/>
      <c r="AF1602" s="5"/>
      <c r="AG1602" s="5"/>
      <c r="AH1602" s="6"/>
      <c r="AI1602" s="96"/>
      <c r="AJ1602" s="93"/>
      <c r="AK1602" s="94"/>
      <c r="AL1602" s="95"/>
      <c r="AM1602" s="56"/>
      <c r="AN1602" s="57">
        <f t="shared" si="264"/>
        <v>0</v>
      </c>
      <c r="AO1602" s="76">
        <f t="shared" si="266"/>
        <v>0</v>
      </c>
      <c r="AP1602" s="63" t="str">
        <f t="shared" si="267"/>
        <v/>
      </c>
      <c r="AQ1602" s="63" t="str">
        <f t="shared" si="268"/>
        <v/>
      </c>
      <c r="AR1602" s="63" t="str">
        <f t="shared" si="269"/>
        <v/>
      </c>
      <c r="AS1602" s="63" t="str">
        <f t="shared" si="270"/>
        <v/>
      </c>
      <c r="AT1602" s="78" t="str">
        <f t="shared" si="271"/>
        <v/>
      </c>
      <c r="AU1602" s="78" t="str">
        <f t="shared" si="272"/>
        <v/>
      </c>
      <c r="AV1602" s="64" t="str">
        <f ca="1">IFERROR(__xludf.DUMMYFUNCTION("IF(TRIM(AU1602)="""","""",AU1602/INDEX(FILTER(AT$3:AT1602,TRIM(AT$3:AT1602)&lt;&gt;""""),ROWS(FILTER(AT$3:AT1602,TRIM(AT$3:AT1602)&lt;&gt;"""")))-1)"),"")</f>
        <v/>
      </c>
      <c r="AW1602" s="65" t="e">
        <f t="shared" ca="1" si="265"/>
        <v>#VALUE!</v>
      </c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</row>
    <row r="1603" spans="1:68" ht="19" x14ac:dyDescent="0.25">
      <c r="A1603" s="5"/>
      <c r="B1603" s="5"/>
      <c r="C1603" s="5"/>
      <c r="D1603" s="5"/>
      <c r="E1603" s="5"/>
      <c r="F1603" s="5"/>
      <c r="G1603" s="5"/>
      <c r="H1603" s="6"/>
      <c r="I1603" s="5"/>
      <c r="J1603" s="88"/>
      <c r="K1603" s="88"/>
      <c r="L1603" s="88"/>
      <c r="M1603" s="88"/>
      <c r="N1603" s="88"/>
      <c r="O1603" s="88"/>
      <c r="P1603" s="88"/>
      <c r="Q1603" s="89"/>
      <c r="R1603" s="88"/>
      <c r="S1603" s="88"/>
      <c r="T1603" s="90"/>
      <c r="U1603" s="6"/>
      <c r="V1603" s="96"/>
      <c r="W1603" s="77"/>
      <c r="X1603" s="91"/>
      <c r="Y1603" s="77"/>
      <c r="Z1603" s="5"/>
      <c r="AA1603" s="5"/>
      <c r="AB1603" s="5"/>
      <c r="AC1603" s="5"/>
      <c r="AD1603" s="5"/>
      <c r="AE1603" s="5"/>
      <c r="AF1603" s="5"/>
      <c r="AG1603" s="5"/>
      <c r="AH1603" s="6"/>
      <c r="AI1603" s="96"/>
      <c r="AJ1603" s="93"/>
      <c r="AK1603" s="94"/>
      <c r="AL1603" s="95"/>
      <c r="AM1603" s="56"/>
      <c r="AN1603" s="57">
        <f t="shared" ref="AN1603:AN1666" si="273">AM1603-AL1603</f>
        <v>0</v>
      </c>
      <c r="AO1603" s="76">
        <f t="shared" si="266"/>
        <v>0</v>
      </c>
      <c r="AP1603" s="63" t="str">
        <f t="shared" si="267"/>
        <v/>
      </c>
      <c r="AQ1603" s="63" t="str">
        <f t="shared" si="268"/>
        <v/>
      </c>
      <c r="AR1603" s="63" t="str">
        <f t="shared" si="269"/>
        <v/>
      </c>
      <c r="AS1603" s="63" t="str">
        <f t="shared" si="270"/>
        <v/>
      </c>
      <c r="AT1603" s="78" t="str">
        <f t="shared" si="271"/>
        <v/>
      </c>
      <c r="AU1603" s="78" t="str">
        <f t="shared" si="272"/>
        <v/>
      </c>
      <c r="AV1603" s="64" t="str">
        <f ca="1">IFERROR(__xludf.DUMMYFUNCTION("IF(TRIM(AU1603)="""","""",AU1603/INDEX(FILTER(AT$3:AT1603,TRIM(AT$3:AT1603)&lt;&gt;""""),ROWS(FILTER(AT$3:AT1603,TRIM(AT$3:AT1603)&lt;&gt;"""")))-1)"),"")</f>
        <v/>
      </c>
      <c r="AW1603" s="65" t="e">
        <f t="shared" ref="AW1603:AW1666" ca="1" si="274">AW1602*(1+AV1603)</f>
        <v>#VALUE!</v>
      </c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</row>
    <row r="1604" spans="1:68" ht="19" x14ac:dyDescent="0.25">
      <c r="A1604" s="5"/>
      <c r="B1604" s="5"/>
      <c r="C1604" s="5"/>
      <c r="D1604" s="5"/>
      <c r="E1604" s="5"/>
      <c r="F1604" s="5"/>
      <c r="G1604" s="5"/>
      <c r="H1604" s="6"/>
      <c r="I1604" s="5"/>
      <c r="J1604" s="88"/>
      <c r="K1604" s="88"/>
      <c r="L1604" s="88"/>
      <c r="M1604" s="88"/>
      <c r="N1604" s="88"/>
      <c r="O1604" s="88"/>
      <c r="P1604" s="88"/>
      <c r="Q1604" s="89"/>
      <c r="R1604" s="88"/>
      <c r="S1604" s="88"/>
      <c r="T1604" s="90"/>
      <c r="U1604" s="6"/>
      <c r="V1604" s="96"/>
      <c r="W1604" s="77"/>
      <c r="X1604" s="91"/>
      <c r="Y1604" s="77"/>
      <c r="Z1604" s="5"/>
      <c r="AA1604" s="5"/>
      <c r="AB1604" s="5"/>
      <c r="AC1604" s="5"/>
      <c r="AD1604" s="5"/>
      <c r="AE1604" s="5"/>
      <c r="AF1604" s="5"/>
      <c r="AG1604" s="5"/>
      <c r="AH1604" s="6"/>
      <c r="AI1604" s="96"/>
      <c r="AJ1604" s="93"/>
      <c r="AK1604" s="94"/>
      <c r="AL1604" s="95"/>
      <c r="AM1604" s="56"/>
      <c r="AN1604" s="57">
        <f t="shared" si="273"/>
        <v>0</v>
      </c>
      <c r="AO1604" s="76">
        <f t="shared" si="266"/>
        <v>0</v>
      </c>
      <c r="AP1604" s="63" t="str">
        <f t="shared" si="267"/>
        <v/>
      </c>
      <c r="AQ1604" s="63" t="str">
        <f t="shared" si="268"/>
        <v/>
      </c>
      <c r="AR1604" s="63" t="str">
        <f t="shared" si="269"/>
        <v/>
      </c>
      <c r="AS1604" s="63" t="str">
        <f t="shared" si="270"/>
        <v/>
      </c>
      <c r="AT1604" s="78" t="str">
        <f t="shared" si="271"/>
        <v/>
      </c>
      <c r="AU1604" s="78" t="str">
        <f t="shared" si="272"/>
        <v/>
      </c>
      <c r="AV1604" s="64" t="str">
        <f ca="1">IFERROR(__xludf.DUMMYFUNCTION("IF(TRIM(AU1604)="""","""",AU1604/INDEX(FILTER(AT$3:AT1604,TRIM(AT$3:AT1604)&lt;&gt;""""),ROWS(FILTER(AT$3:AT1604,TRIM(AT$3:AT1604)&lt;&gt;"""")))-1)"),"")</f>
        <v/>
      </c>
      <c r="AW1604" s="65" t="e">
        <f t="shared" ca="1" si="274"/>
        <v>#VALUE!</v>
      </c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</row>
    <row r="1605" spans="1:68" ht="19" x14ac:dyDescent="0.25">
      <c r="A1605" s="5"/>
      <c r="B1605" s="5"/>
      <c r="C1605" s="5"/>
      <c r="D1605" s="5"/>
      <c r="E1605" s="5"/>
      <c r="F1605" s="5"/>
      <c r="G1605" s="5"/>
      <c r="H1605" s="6"/>
      <c r="I1605" s="5"/>
      <c r="J1605" s="88"/>
      <c r="K1605" s="88"/>
      <c r="L1605" s="88"/>
      <c r="M1605" s="88"/>
      <c r="N1605" s="88"/>
      <c r="O1605" s="88"/>
      <c r="P1605" s="88"/>
      <c r="Q1605" s="89"/>
      <c r="R1605" s="88"/>
      <c r="S1605" s="88"/>
      <c r="T1605" s="90"/>
      <c r="U1605" s="6"/>
      <c r="V1605" s="96"/>
      <c r="W1605" s="77"/>
      <c r="X1605" s="91"/>
      <c r="Y1605" s="77"/>
      <c r="Z1605" s="5"/>
      <c r="AA1605" s="5"/>
      <c r="AB1605" s="5"/>
      <c r="AC1605" s="5"/>
      <c r="AD1605" s="5"/>
      <c r="AE1605" s="5"/>
      <c r="AF1605" s="5"/>
      <c r="AG1605" s="5"/>
      <c r="AH1605" s="6"/>
      <c r="AI1605" s="96"/>
      <c r="AJ1605" s="93"/>
      <c r="AK1605" s="94"/>
      <c r="AL1605" s="95"/>
      <c r="AM1605" s="56"/>
      <c r="AN1605" s="57">
        <f t="shared" si="273"/>
        <v>0</v>
      </c>
      <c r="AO1605" s="76">
        <f t="shared" si="266"/>
        <v>0</v>
      </c>
      <c r="AP1605" s="63" t="str">
        <f t="shared" si="267"/>
        <v/>
      </c>
      <c r="AQ1605" s="63" t="str">
        <f t="shared" si="268"/>
        <v/>
      </c>
      <c r="AR1605" s="63" t="str">
        <f t="shared" si="269"/>
        <v/>
      </c>
      <c r="AS1605" s="63" t="str">
        <f t="shared" si="270"/>
        <v/>
      </c>
      <c r="AT1605" s="78" t="str">
        <f t="shared" si="271"/>
        <v/>
      </c>
      <c r="AU1605" s="78" t="str">
        <f t="shared" si="272"/>
        <v/>
      </c>
      <c r="AV1605" s="64" t="str">
        <f ca="1">IFERROR(__xludf.DUMMYFUNCTION("IF(TRIM(AU1605)="""","""",AU1605/INDEX(FILTER(AT$3:AT1605,TRIM(AT$3:AT1605)&lt;&gt;""""),ROWS(FILTER(AT$3:AT1605,TRIM(AT$3:AT1605)&lt;&gt;"""")))-1)"),"")</f>
        <v/>
      </c>
      <c r="AW1605" s="65" t="e">
        <f t="shared" ca="1" si="274"/>
        <v>#VALUE!</v>
      </c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</row>
    <row r="1606" spans="1:68" ht="19" x14ac:dyDescent="0.25">
      <c r="A1606" s="5"/>
      <c r="B1606" s="5"/>
      <c r="C1606" s="5"/>
      <c r="D1606" s="5"/>
      <c r="E1606" s="5"/>
      <c r="F1606" s="5"/>
      <c r="G1606" s="5"/>
      <c r="H1606" s="6"/>
      <c r="I1606" s="5"/>
      <c r="J1606" s="88"/>
      <c r="K1606" s="88"/>
      <c r="L1606" s="88"/>
      <c r="M1606" s="88"/>
      <c r="N1606" s="88"/>
      <c r="O1606" s="88"/>
      <c r="P1606" s="88"/>
      <c r="Q1606" s="89"/>
      <c r="R1606" s="88"/>
      <c r="S1606" s="88"/>
      <c r="T1606" s="90"/>
      <c r="U1606" s="6"/>
      <c r="V1606" s="96"/>
      <c r="W1606" s="77"/>
      <c r="X1606" s="91"/>
      <c r="Y1606" s="77"/>
      <c r="Z1606" s="5"/>
      <c r="AA1606" s="5"/>
      <c r="AB1606" s="5"/>
      <c r="AC1606" s="5"/>
      <c r="AD1606" s="5"/>
      <c r="AE1606" s="5"/>
      <c r="AF1606" s="5"/>
      <c r="AG1606" s="5"/>
      <c r="AH1606" s="6"/>
      <c r="AI1606" s="96"/>
      <c r="AJ1606" s="93"/>
      <c r="AK1606" s="94"/>
      <c r="AL1606" s="95"/>
      <c r="AM1606" s="56"/>
      <c r="AN1606" s="57">
        <f t="shared" si="273"/>
        <v>0</v>
      </c>
      <c r="AO1606" s="76">
        <f t="shared" si="266"/>
        <v>0</v>
      </c>
      <c r="AP1606" s="63" t="str">
        <f t="shared" si="267"/>
        <v/>
      </c>
      <c r="AQ1606" s="63" t="str">
        <f t="shared" si="268"/>
        <v/>
      </c>
      <c r="AR1606" s="63" t="str">
        <f t="shared" si="269"/>
        <v/>
      </c>
      <c r="AS1606" s="63" t="str">
        <f t="shared" si="270"/>
        <v/>
      </c>
      <c r="AT1606" s="78" t="str">
        <f t="shared" si="271"/>
        <v/>
      </c>
      <c r="AU1606" s="78" t="str">
        <f t="shared" si="272"/>
        <v/>
      </c>
      <c r="AV1606" s="64" t="str">
        <f ca="1">IFERROR(__xludf.DUMMYFUNCTION("IF(TRIM(AU1606)="""","""",AU1606/INDEX(FILTER(AT$3:AT1606,TRIM(AT$3:AT1606)&lt;&gt;""""),ROWS(FILTER(AT$3:AT1606,TRIM(AT$3:AT1606)&lt;&gt;"""")))-1)"),"")</f>
        <v/>
      </c>
      <c r="AW1606" s="65" t="e">
        <f t="shared" ca="1" si="274"/>
        <v>#VALUE!</v>
      </c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</row>
    <row r="1607" spans="1:68" ht="19" x14ac:dyDescent="0.25">
      <c r="A1607" s="5"/>
      <c r="B1607" s="5"/>
      <c r="C1607" s="5"/>
      <c r="D1607" s="5"/>
      <c r="E1607" s="5"/>
      <c r="F1607" s="5"/>
      <c r="G1607" s="5"/>
      <c r="H1607" s="6"/>
      <c r="I1607" s="5"/>
      <c r="J1607" s="88"/>
      <c r="K1607" s="88"/>
      <c r="L1607" s="88"/>
      <c r="M1607" s="88"/>
      <c r="N1607" s="88"/>
      <c r="O1607" s="88"/>
      <c r="P1607" s="88"/>
      <c r="Q1607" s="89"/>
      <c r="R1607" s="88"/>
      <c r="S1607" s="88"/>
      <c r="T1607" s="90"/>
      <c r="U1607" s="6"/>
      <c r="V1607" s="96"/>
      <c r="W1607" s="77"/>
      <c r="X1607" s="91"/>
      <c r="Y1607" s="77"/>
      <c r="Z1607" s="5"/>
      <c r="AA1607" s="5"/>
      <c r="AB1607" s="5"/>
      <c r="AC1607" s="5"/>
      <c r="AD1607" s="5"/>
      <c r="AE1607" s="5"/>
      <c r="AF1607" s="5"/>
      <c r="AG1607" s="5"/>
      <c r="AH1607" s="6"/>
      <c r="AI1607" s="96"/>
      <c r="AJ1607" s="93"/>
      <c r="AK1607" s="94"/>
      <c r="AL1607" s="95"/>
      <c r="AM1607" s="56"/>
      <c r="AN1607" s="57">
        <f t="shared" si="273"/>
        <v>0</v>
      </c>
      <c r="AO1607" s="76">
        <f t="shared" ref="AO1607:AO1670" si="275">AVERAGE(AN1603:AN1607)</f>
        <v>0</v>
      </c>
      <c r="AP1607" s="63" t="str">
        <f t="shared" ref="AP1607:AP1670" si="276">IF(AO1607&gt;0,"Buy Stocks","")</f>
        <v/>
      </c>
      <c r="AQ1607" s="63" t="str">
        <f t="shared" ref="AQ1607:AQ1670" si="277">IF(AO1607&lt;0,"Sell Stocks","")</f>
        <v/>
      </c>
      <c r="AR1607" s="63" t="str">
        <f t="shared" ref="AR1607:AR1670" si="278">IF(AND(AP1607="Buy Stocks",AP1606=""),"Buy Stocks","")</f>
        <v/>
      </c>
      <c r="AS1607" s="63" t="str">
        <f t="shared" ref="AS1607:AS1670" si="279">IF(AND(AQ1607="Sell Stocks",AQ1606=""),"Sell Stocks","")</f>
        <v/>
      </c>
      <c r="AT1607" s="78" t="str">
        <f t="shared" ref="AT1607:AT1670" si="280">IF(AR1607="Buy Stocks",AJ1607,"")</f>
        <v/>
      </c>
      <c r="AU1607" s="78" t="str">
        <f t="shared" ref="AU1607:AU1670" si="281">IF(AS1607="Sell Stocks",AJ1607,"")</f>
        <v/>
      </c>
      <c r="AV1607" s="64" t="str">
        <f ca="1">IFERROR(__xludf.DUMMYFUNCTION("IF(TRIM(AU1607)="""","""",AU1607/INDEX(FILTER(AT$3:AT1607,TRIM(AT$3:AT1607)&lt;&gt;""""),ROWS(FILTER(AT$3:AT1607,TRIM(AT$3:AT1607)&lt;&gt;"""")))-1)"),"")</f>
        <v/>
      </c>
      <c r="AW1607" s="65" t="e">
        <f t="shared" ca="1" si="274"/>
        <v>#VALUE!</v>
      </c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</row>
    <row r="1608" spans="1:68" ht="19" x14ac:dyDescent="0.25">
      <c r="A1608" s="5"/>
      <c r="B1608" s="5"/>
      <c r="C1608" s="5"/>
      <c r="D1608" s="5"/>
      <c r="E1608" s="5"/>
      <c r="F1608" s="5"/>
      <c r="G1608" s="5"/>
      <c r="H1608" s="6"/>
      <c r="I1608" s="5"/>
      <c r="J1608" s="88"/>
      <c r="K1608" s="88"/>
      <c r="L1608" s="88"/>
      <c r="M1608" s="88"/>
      <c r="N1608" s="88"/>
      <c r="O1608" s="88"/>
      <c r="P1608" s="88"/>
      <c r="Q1608" s="89"/>
      <c r="R1608" s="88"/>
      <c r="S1608" s="88"/>
      <c r="T1608" s="90"/>
      <c r="U1608" s="6"/>
      <c r="V1608" s="96"/>
      <c r="W1608" s="77"/>
      <c r="X1608" s="91"/>
      <c r="Y1608" s="77"/>
      <c r="Z1608" s="5"/>
      <c r="AA1608" s="5"/>
      <c r="AB1608" s="5"/>
      <c r="AC1608" s="5"/>
      <c r="AD1608" s="5"/>
      <c r="AE1608" s="5"/>
      <c r="AF1608" s="5"/>
      <c r="AG1608" s="5"/>
      <c r="AH1608" s="6"/>
      <c r="AI1608" s="96"/>
      <c r="AJ1608" s="93"/>
      <c r="AK1608" s="94"/>
      <c r="AL1608" s="95"/>
      <c r="AM1608" s="56"/>
      <c r="AN1608" s="57">
        <f t="shared" si="273"/>
        <v>0</v>
      </c>
      <c r="AO1608" s="76">
        <f t="shared" si="275"/>
        <v>0</v>
      </c>
      <c r="AP1608" s="63" t="str">
        <f t="shared" si="276"/>
        <v/>
      </c>
      <c r="AQ1608" s="63" t="str">
        <f t="shared" si="277"/>
        <v/>
      </c>
      <c r="AR1608" s="63" t="str">
        <f t="shared" si="278"/>
        <v/>
      </c>
      <c r="AS1608" s="63" t="str">
        <f t="shared" si="279"/>
        <v/>
      </c>
      <c r="AT1608" s="78" t="str">
        <f t="shared" si="280"/>
        <v/>
      </c>
      <c r="AU1608" s="78" t="str">
        <f t="shared" si="281"/>
        <v/>
      </c>
      <c r="AV1608" s="64" t="str">
        <f ca="1">IFERROR(__xludf.DUMMYFUNCTION("IF(TRIM(AU1608)="""","""",AU1608/INDEX(FILTER(AT$3:AT1608,TRIM(AT$3:AT1608)&lt;&gt;""""),ROWS(FILTER(AT$3:AT1608,TRIM(AT$3:AT1608)&lt;&gt;"""")))-1)"),"")</f>
        <v/>
      </c>
      <c r="AW1608" s="65" t="e">
        <f t="shared" ca="1" si="274"/>
        <v>#VALUE!</v>
      </c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</row>
    <row r="1609" spans="1:68" ht="19" x14ac:dyDescent="0.25">
      <c r="A1609" s="5"/>
      <c r="B1609" s="5"/>
      <c r="C1609" s="5"/>
      <c r="D1609" s="5"/>
      <c r="E1609" s="5"/>
      <c r="F1609" s="5"/>
      <c r="G1609" s="5"/>
      <c r="H1609" s="6"/>
      <c r="I1609" s="5"/>
      <c r="J1609" s="88"/>
      <c r="K1609" s="88"/>
      <c r="L1609" s="88"/>
      <c r="M1609" s="88"/>
      <c r="N1609" s="88"/>
      <c r="O1609" s="88"/>
      <c r="P1609" s="88"/>
      <c r="Q1609" s="89"/>
      <c r="R1609" s="88"/>
      <c r="S1609" s="88"/>
      <c r="T1609" s="90"/>
      <c r="U1609" s="6"/>
      <c r="V1609" s="96"/>
      <c r="W1609" s="77"/>
      <c r="X1609" s="91"/>
      <c r="Y1609" s="77"/>
      <c r="Z1609" s="5"/>
      <c r="AA1609" s="5"/>
      <c r="AB1609" s="5"/>
      <c r="AC1609" s="5"/>
      <c r="AD1609" s="5"/>
      <c r="AE1609" s="5"/>
      <c r="AF1609" s="5"/>
      <c r="AG1609" s="5"/>
      <c r="AH1609" s="6"/>
      <c r="AI1609" s="96"/>
      <c r="AJ1609" s="93"/>
      <c r="AK1609" s="94"/>
      <c r="AL1609" s="95"/>
      <c r="AM1609" s="56"/>
      <c r="AN1609" s="57">
        <f t="shared" si="273"/>
        <v>0</v>
      </c>
      <c r="AO1609" s="76">
        <f t="shared" si="275"/>
        <v>0</v>
      </c>
      <c r="AP1609" s="63" t="str">
        <f t="shared" si="276"/>
        <v/>
      </c>
      <c r="AQ1609" s="63" t="str">
        <f t="shared" si="277"/>
        <v/>
      </c>
      <c r="AR1609" s="63" t="str">
        <f t="shared" si="278"/>
        <v/>
      </c>
      <c r="AS1609" s="63" t="str">
        <f t="shared" si="279"/>
        <v/>
      </c>
      <c r="AT1609" s="78" t="str">
        <f t="shared" si="280"/>
        <v/>
      </c>
      <c r="AU1609" s="78" t="str">
        <f t="shared" si="281"/>
        <v/>
      </c>
      <c r="AV1609" s="64" t="str">
        <f ca="1">IFERROR(__xludf.DUMMYFUNCTION("IF(TRIM(AU1609)="""","""",AU1609/INDEX(FILTER(AT$3:AT1609,TRIM(AT$3:AT1609)&lt;&gt;""""),ROWS(FILTER(AT$3:AT1609,TRIM(AT$3:AT1609)&lt;&gt;"""")))-1)"),"")</f>
        <v/>
      </c>
      <c r="AW1609" s="65" t="e">
        <f t="shared" ca="1" si="274"/>
        <v>#VALUE!</v>
      </c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</row>
    <row r="1610" spans="1:68" ht="19" x14ac:dyDescent="0.25">
      <c r="A1610" s="5"/>
      <c r="B1610" s="5"/>
      <c r="C1610" s="5"/>
      <c r="D1610" s="5"/>
      <c r="E1610" s="5"/>
      <c r="F1610" s="5"/>
      <c r="G1610" s="5"/>
      <c r="H1610" s="6"/>
      <c r="I1610" s="5"/>
      <c r="J1610" s="88"/>
      <c r="K1610" s="88"/>
      <c r="L1610" s="88"/>
      <c r="M1610" s="88"/>
      <c r="N1610" s="88"/>
      <c r="O1610" s="88"/>
      <c r="P1610" s="88"/>
      <c r="Q1610" s="89"/>
      <c r="R1610" s="88"/>
      <c r="S1610" s="88"/>
      <c r="T1610" s="90"/>
      <c r="U1610" s="6"/>
      <c r="V1610" s="96"/>
      <c r="W1610" s="77"/>
      <c r="X1610" s="91"/>
      <c r="Y1610" s="77"/>
      <c r="Z1610" s="5"/>
      <c r="AA1610" s="5"/>
      <c r="AB1610" s="5"/>
      <c r="AC1610" s="5"/>
      <c r="AD1610" s="5"/>
      <c r="AE1610" s="5"/>
      <c r="AF1610" s="5"/>
      <c r="AG1610" s="5"/>
      <c r="AH1610" s="6"/>
      <c r="AI1610" s="96"/>
      <c r="AJ1610" s="93"/>
      <c r="AK1610" s="94"/>
      <c r="AL1610" s="95"/>
      <c r="AM1610" s="56"/>
      <c r="AN1610" s="57">
        <f t="shared" si="273"/>
        <v>0</v>
      </c>
      <c r="AO1610" s="76">
        <f t="shared" si="275"/>
        <v>0</v>
      </c>
      <c r="AP1610" s="63" t="str">
        <f t="shared" si="276"/>
        <v/>
      </c>
      <c r="AQ1610" s="63" t="str">
        <f t="shared" si="277"/>
        <v/>
      </c>
      <c r="AR1610" s="63" t="str">
        <f t="shared" si="278"/>
        <v/>
      </c>
      <c r="AS1610" s="63" t="str">
        <f t="shared" si="279"/>
        <v/>
      </c>
      <c r="AT1610" s="78" t="str">
        <f t="shared" si="280"/>
        <v/>
      </c>
      <c r="AU1610" s="78" t="str">
        <f t="shared" si="281"/>
        <v/>
      </c>
      <c r="AV1610" s="64" t="str">
        <f ca="1">IFERROR(__xludf.DUMMYFUNCTION("IF(TRIM(AU1610)="""","""",AU1610/INDEX(FILTER(AT$3:AT1610,TRIM(AT$3:AT1610)&lt;&gt;""""),ROWS(FILTER(AT$3:AT1610,TRIM(AT$3:AT1610)&lt;&gt;"""")))-1)"),"")</f>
        <v/>
      </c>
      <c r="AW1610" s="65" t="e">
        <f t="shared" ca="1" si="274"/>
        <v>#VALUE!</v>
      </c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</row>
    <row r="1611" spans="1:68" ht="19" x14ac:dyDescent="0.25">
      <c r="A1611" s="5"/>
      <c r="B1611" s="5"/>
      <c r="C1611" s="5"/>
      <c r="D1611" s="5"/>
      <c r="E1611" s="5"/>
      <c r="F1611" s="5"/>
      <c r="G1611" s="5"/>
      <c r="H1611" s="6"/>
      <c r="I1611" s="5"/>
      <c r="J1611" s="88"/>
      <c r="K1611" s="88"/>
      <c r="L1611" s="88"/>
      <c r="M1611" s="88"/>
      <c r="N1611" s="88"/>
      <c r="O1611" s="88"/>
      <c r="P1611" s="88"/>
      <c r="Q1611" s="89"/>
      <c r="R1611" s="88"/>
      <c r="S1611" s="88"/>
      <c r="T1611" s="90"/>
      <c r="U1611" s="6"/>
      <c r="V1611" s="96"/>
      <c r="W1611" s="77"/>
      <c r="X1611" s="91"/>
      <c r="Y1611" s="77"/>
      <c r="Z1611" s="5"/>
      <c r="AA1611" s="5"/>
      <c r="AB1611" s="5"/>
      <c r="AC1611" s="5"/>
      <c r="AD1611" s="5"/>
      <c r="AE1611" s="5"/>
      <c r="AF1611" s="5"/>
      <c r="AG1611" s="5"/>
      <c r="AH1611" s="6"/>
      <c r="AI1611" s="96"/>
      <c r="AJ1611" s="93"/>
      <c r="AK1611" s="94"/>
      <c r="AL1611" s="95"/>
      <c r="AM1611" s="56"/>
      <c r="AN1611" s="57">
        <f t="shared" si="273"/>
        <v>0</v>
      </c>
      <c r="AO1611" s="76">
        <f t="shared" si="275"/>
        <v>0</v>
      </c>
      <c r="AP1611" s="63" t="str">
        <f t="shared" si="276"/>
        <v/>
      </c>
      <c r="AQ1611" s="63" t="str">
        <f t="shared" si="277"/>
        <v/>
      </c>
      <c r="AR1611" s="63" t="str">
        <f t="shared" si="278"/>
        <v/>
      </c>
      <c r="AS1611" s="63" t="str">
        <f t="shared" si="279"/>
        <v/>
      </c>
      <c r="AT1611" s="78" t="str">
        <f t="shared" si="280"/>
        <v/>
      </c>
      <c r="AU1611" s="78" t="str">
        <f t="shared" si="281"/>
        <v/>
      </c>
      <c r="AV1611" s="64" t="str">
        <f ca="1">IFERROR(__xludf.DUMMYFUNCTION("IF(TRIM(AU1611)="""","""",AU1611/INDEX(FILTER(AT$3:AT1611,TRIM(AT$3:AT1611)&lt;&gt;""""),ROWS(FILTER(AT$3:AT1611,TRIM(AT$3:AT1611)&lt;&gt;"""")))-1)"),"")</f>
        <v/>
      </c>
      <c r="AW1611" s="65" t="e">
        <f t="shared" ca="1" si="274"/>
        <v>#VALUE!</v>
      </c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</row>
    <row r="1612" spans="1:68" ht="19" x14ac:dyDescent="0.25">
      <c r="A1612" s="5"/>
      <c r="B1612" s="5"/>
      <c r="C1612" s="5"/>
      <c r="D1612" s="5"/>
      <c r="E1612" s="5"/>
      <c r="F1612" s="5"/>
      <c r="G1612" s="5"/>
      <c r="H1612" s="6"/>
      <c r="I1612" s="5"/>
      <c r="J1612" s="88"/>
      <c r="K1612" s="88"/>
      <c r="L1612" s="88"/>
      <c r="M1612" s="88"/>
      <c r="N1612" s="88"/>
      <c r="O1612" s="88"/>
      <c r="P1612" s="88"/>
      <c r="Q1612" s="89"/>
      <c r="R1612" s="88"/>
      <c r="S1612" s="88"/>
      <c r="T1612" s="90"/>
      <c r="U1612" s="6"/>
      <c r="V1612" s="96"/>
      <c r="W1612" s="77"/>
      <c r="X1612" s="91"/>
      <c r="Y1612" s="77"/>
      <c r="Z1612" s="5"/>
      <c r="AA1612" s="5"/>
      <c r="AB1612" s="5"/>
      <c r="AC1612" s="5"/>
      <c r="AD1612" s="5"/>
      <c r="AE1612" s="5"/>
      <c r="AF1612" s="5"/>
      <c r="AG1612" s="5"/>
      <c r="AH1612" s="6"/>
      <c r="AI1612" s="96"/>
      <c r="AJ1612" s="93"/>
      <c r="AK1612" s="94"/>
      <c r="AL1612" s="95"/>
      <c r="AM1612" s="56"/>
      <c r="AN1612" s="57">
        <f t="shared" si="273"/>
        <v>0</v>
      </c>
      <c r="AO1612" s="76">
        <f t="shared" si="275"/>
        <v>0</v>
      </c>
      <c r="AP1612" s="63" t="str">
        <f t="shared" si="276"/>
        <v/>
      </c>
      <c r="AQ1612" s="63" t="str">
        <f t="shared" si="277"/>
        <v/>
      </c>
      <c r="AR1612" s="63" t="str">
        <f t="shared" si="278"/>
        <v/>
      </c>
      <c r="AS1612" s="63" t="str">
        <f t="shared" si="279"/>
        <v/>
      </c>
      <c r="AT1612" s="78" t="str">
        <f t="shared" si="280"/>
        <v/>
      </c>
      <c r="AU1612" s="78" t="str">
        <f t="shared" si="281"/>
        <v/>
      </c>
      <c r="AV1612" s="64" t="str">
        <f ca="1">IFERROR(__xludf.DUMMYFUNCTION("IF(TRIM(AU1612)="""","""",AU1612/INDEX(FILTER(AT$3:AT1612,TRIM(AT$3:AT1612)&lt;&gt;""""),ROWS(FILTER(AT$3:AT1612,TRIM(AT$3:AT1612)&lt;&gt;"""")))-1)"),"")</f>
        <v/>
      </c>
      <c r="AW1612" s="65" t="e">
        <f t="shared" ca="1" si="274"/>
        <v>#VALUE!</v>
      </c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</row>
    <row r="1613" spans="1:68" ht="19" x14ac:dyDescent="0.25">
      <c r="A1613" s="5"/>
      <c r="B1613" s="5"/>
      <c r="C1613" s="5"/>
      <c r="D1613" s="5"/>
      <c r="E1613" s="5"/>
      <c r="F1613" s="5"/>
      <c r="G1613" s="5"/>
      <c r="H1613" s="6"/>
      <c r="I1613" s="5"/>
      <c r="J1613" s="88"/>
      <c r="K1613" s="88"/>
      <c r="L1613" s="88"/>
      <c r="M1613" s="88"/>
      <c r="N1613" s="88"/>
      <c r="O1613" s="88"/>
      <c r="P1613" s="88"/>
      <c r="Q1613" s="89"/>
      <c r="R1613" s="88"/>
      <c r="S1613" s="88"/>
      <c r="T1613" s="90"/>
      <c r="U1613" s="6"/>
      <c r="V1613" s="96"/>
      <c r="W1613" s="77"/>
      <c r="X1613" s="91"/>
      <c r="Y1613" s="77"/>
      <c r="Z1613" s="5"/>
      <c r="AA1613" s="5"/>
      <c r="AB1613" s="5"/>
      <c r="AC1613" s="5"/>
      <c r="AD1613" s="5"/>
      <c r="AE1613" s="5"/>
      <c r="AF1613" s="5"/>
      <c r="AG1613" s="5"/>
      <c r="AH1613" s="6"/>
      <c r="AI1613" s="96"/>
      <c r="AJ1613" s="93"/>
      <c r="AK1613" s="94"/>
      <c r="AL1613" s="95"/>
      <c r="AM1613" s="56"/>
      <c r="AN1613" s="57">
        <f t="shared" si="273"/>
        <v>0</v>
      </c>
      <c r="AO1613" s="76">
        <f t="shared" si="275"/>
        <v>0</v>
      </c>
      <c r="AP1613" s="63" t="str">
        <f t="shared" si="276"/>
        <v/>
      </c>
      <c r="AQ1613" s="63" t="str">
        <f t="shared" si="277"/>
        <v/>
      </c>
      <c r="AR1613" s="63" t="str">
        <f t="shared" si="278"/>
        <v/>
      </c>
      <c r="AS1613" s="63" t="str">
        <f t="shared" si="279"/>
        <v/>
      </c>
      <c r="AT1613" s="78" t="str">
        <f t="shared" si="280"/>
        <v/>
      </c>
      <c r="AU1613" s="78" t="str">
        <f t="shared" si="281"/>
        <v/>
      </c>
      <c r="AV1613" s="64" t="str">
        <f ca="1">IFERROR(__xludf.DUMMYFUNCTION("IF(TRIM(AU1613)="""","""",AU1613/INDEX(FILTER(AT$3:AT1613,TRIM(AT$3:AT1613)&lt;&gt;""""),ROWS(FILTER(AT$3:AT1613,TRIM(AT$3:AT1613)&lt;&gt;"""")))-1)"),"")</f>
        <v/>
      </c>
      <c r="AW1613" s="65" t="e">
        <f t="shared" ca="1" si="274"/>
        <v>#VALUE!</v>
      </c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</row>
    <row r="1614" spans="1:68" ht="19" x14ac:dyDescent="0.25">
      <c r="A1614" s="5"/>
      <c r="B1614" s="5"/>
      <c r="C1614" s="5"/>
      <c r="D1614" s="5"/>
      <c r="E1614" s="5"/>
      <c r="F1614" s="5"/>
      <c r="G1614" s="5"/>
      <c r="H1614" s="6"/>
      <c r="I1614" s="5"/>
      <c r="J1614" s="88"/>
      <c r="K1614" s="88"/>
      <c r="L1614" s="88"/>
      <c r="M1614" s="88"/>
      <c r="N1614" s="88"/>
      <c r="O1614" s="88"/>
      <c r="P1614" s="88"/>
      <c r="Q1614" s="89"/>
      <c r="R1614" s="88"/>
      <c r="S1614" s="88"/>
      <c r="T1614" s="90"/>
      <c r="U1614" s="6"/>
      <c r="V1614" s="92"/>
      <c r="W1614" s="77"/>
      <c r="X1614" s="91"/>
      <c r="Y1614" s="77"/>
      <c r="Z1614" s="5"/>
      <c r="AA1614" s="5"/>
      <c r="AB1614" s="5"/>
      <c r="AC1614" s="5"/>
      <c r="AD1614" s="5"/>
      <c r="AE1614" s="5"/>
      <c r="AF1614" s="5"/>
      <c r="AG1614" s="5"/>
      <c r="AH1614" s="6"/>
      <c r="AI1614" s="92"/>
      <c r="AJ1614" s="93"/>
      <c r="AK1614" s="94"/>
      <c r="AL1614" s="95"/>
      <c r="AM1614" s="56"/>
      <c r="AN1614" s="57">
        <f t="shared" si="273"/>
        <v>0</v>
      </c>
      <c r="AO1614" s="76">
        <f t="shared" si="275"/>
        <v>0</v>
      </c>
      <c r="AP1614" s="63" t="str">
        <f t="shared" si="276"/>
        <v/>
      </c>
      <c r="AQ1614" s="63" t="str">
        <f t="shared" si="277"/>
        <v/>
      </c>
      <c r="AR1614" s="63" t="str">
        <f t="shared" si="278"/>
        <v/>
      </c>
      <c r="AS1614" s="63" t="str">
        <f t="shared" si="279"/>
        <v/>
      </c>
      <c r="AT1614" s="78" t="str">
        <f t="shared" si="280"/>
        <v/>
      </c>
      <c r="AU1614" s="78" t="str">
        <f t="shared" si="281"/>
        <v/>
      </c>
      <c r="AV1614" s="64" t="str">
        <f ca="1">IFERROR(__xludf.DUMMYFUNCTION("IF(TRIM(AU1614)="""","""",AU1614/INDEX(FILTER(AT$3:AT1614,TRIM(AT$3:AT1614)&lt;&gt;""""),ROWS(FILTER(AT$3:AT1614,TRIM(AT$3:AT1614)&lt;&gt;"""")))-1)"),"")</f>
        <v/>
      </c>
      <c r="AW1614" s="65" t="e">
        <f t="shared" ca="1" si="274"/>
        <v>#VALUE!</v>
      </c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</row>
    <row r="1615" spans="1:68" ht="19" x14ac:dyDescent="0.25">
      <c r="A1615" s="5"/>
      <c r="B1615" s="5"/>
      <c r="C1615" s="5"/>
      <c r="D1615" s="5"/>
      <c r="E1615" s="5"/>
      <c r="F1615" s="5"/>
      <c r="G1615" s="5"/>
      <c r="H1615" s="6"/>
      <c r="I1615" s="5"/>
      <c r="J1615" s="88"/>
      <c r="K1615" s="88"/>
      <c r="L1615" s="88"/>
      <c r="M1615" s="88"/>
      <c r="N1615" s="88"/>
      <c r="O1615" s="88"/>
      <c r="P1615" s="88"/>
      <c r="Q1615" s="89"/>
      <c r="R1615" s="88"/>
      <c r="S1615" s="88"/>
      <c r="T1615" s="90"/>
      <c r="U1615" s="6"/>
      <c r="V1615" s="92"/>
      <c r="W1615" s="77"/>
      <c r="X1615" s="91"/>
      <c r="Y1615" s="77"/>
      <c r="Z1615" s="5"/>
      <c r="AA1615" s="5"/>
      <c r="AB1615" s="5"/>
      <c r="AC1615" s="5"/>
      <c r="AD1615" s="5"/>
      <c r="AE1615" s="5"/>
      <c r="AF1615" s="5"/>
      <c r="AG1615" s="5"/>
      <c r="AH1615" s="6"/>
      <c r="AI1615" s="92"/>
      <c r="AJ1615" s="93"/>
      <c r="AK1615" s="94"/>
      <c r="AL1615" s="95"/>
      <c r="AM1615" s="56"/>
      <c r="AN1615" s="57">
        <f t="shared" si="273"/>
        <v>0</v>
      </c>
      <c r="AO1615" s="76">
        <f t="shared" si="275"/>
        <v>0</v>
      </c>
      <c r="AP1615" s="63" t="str">
        <f t="shared" si="276"/>
        <v/>
      </c>
      <c r="AQ1615" s="63" t="str">
        <f t="shared" si="277"/>
        <v/>
      </c>
      <c r="AR1615" s="63" t="str">
        <f t="shared" si="278"/>
        <v/>
      </c>
      <c r="AS1615" s="63" t="str">
        <f t="shared" si="279"/>
        <v/>
      </c>
      <c r="AT1615" s="78" t="str">
        <f t="shared" si="280"/>
        <v/>
      </c>
      <c r="AU1615" s="78" t="str">
        <f t="shared" si="281"/>
        <v/>
      </c>
      <c r="AV1615" s="64" t="str">
        <f ca="1">IFERROR(__xludf.DUMMYFUNCTION("IF(TRIM(AU1615)="""","""",AU1615/INDEX(FILTER(AT$3:AT1615,TRIM(AT$3:AT1615)&lt;&gt;""""),ROWS(FILTER(AT$3:AT1615,TRIM(AT$3:AT1615)&lt;&gt;"""")))-1)"),"")</f>
        <v/>
      </c>
      <c r="AW1615" s="65" t="e">
        <f t="shared" ca="1" si="274"/>
        <v>#VALUE!</v>
      </c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</row>
    <row r="1616" spans="1:68" ht="19" x14ac:dyDescent="0.25">
      <c r="A1616" s="5"/>
      <c r="B1616" s="5"/>
      <c r="C1616" s="5"/>
      <c r="D1616" s="5"/>
      <c r="E1616" s="5"/>
      <c r="F1616" s="5"/>
      <c r="G1616" s="5"/>
      <c r="H1616" s="6"/>
      <c r="I1616" s="5"/>
      <c r="J1616" s="88"/>
      <c r="K1616" s="88"/>
      <c r="L1616" s="88"/>
      <c r="M1616" s="88"/>
      <c r="N1616" s="88"/>
      <c r="O1616" s="88"/>
      <c r="P1616" s="88"/>
      <c r="Q1616" s="89"/>
      <c r="R1616" s="88"/>
      <c r="S1616" s="88"/>
      <c r="T1616" s="90"/>
      <c r="U1616" s="6"/>
      <c r="V1616" s="92"/>
      <c r="W1616" s="77"/>
      <c r="X1616" s="91"/>
      <c r="Y1616" s="77"/>
      <c r="Z1616" s="5"/>
      <c r="AA1616" s="5"/>
      <c r="AB1616" s="5"/>
      <c r="AC1616" s="5"/>
      <c r="AD1616" s="5"/>
      <c r="AE1616" s="5"/>
      <c r="AF1616" s="5"/>
      <c r="AG1616" s="5"/>
      <c r="AH1616" s="6"/>
      <c r="AI1616" s="92"/>
      <c r="AJ1616" s="93"/>
      <c r="AK1616" s="94"/>
      <c r="AL1616" s="95"/>
      <c r="AM1616" s="56"/>
      <c r="AN1616" s="57">
        <f t="shared" si="273"/>
        <v>0</v>
      </c>
      <c r="AO1616" s="76">
        <f t="shared" si="275"/>
        <v>0</v>
      </c>
      <c r="AP1616" s="63" t="str">
        <f t="shared" si="276"/>
        <v/>
      </c>
      <c r="AQ1616" s="63" t="str">
        <f t="shared" si="277"/>
        <v/>
      </c>
      <c r="AR1616" s="63" t="str">
        <f t="shared" si="278"/>
        <v/>
      </c>
      <c r="AS1616" s="63" t="str">
        <f t="shared" si="279"/>
        <v/>
      </c>
      <c r="AT1616" s="78" t="str">
        <f t="shared" si="280"/>
        <v/>
      </c>
      <c r="AU1616" s="78" t="str">
        <f t="shared" si="281"/>
        <v/>
      </c>
      <c r="AV1616" s="64" t="str">
        <f ca="1">IFERROR(__xludf.DUMMYFUNCTION("IF(TRIM(AU1616)="""","""",AU1616/INDEX(FILTER(AT$3:AT1616,TRIM(AT$3:AT1616)&lt;&gt;""""),ROWS(FILTER(AT$3:AT1616,TRIM(AT$3:AT1616)&lt;&gt;"""")))-1)"),"")</f>
        <v/>
      </c>
      <c r="AW1616" s="65" t="e">
        <f t="shared" ca="1" si="274"/>
        <v>#VALUE!</v>
      </c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</row>
    <row r="1617" spans="1:68" ht="19" x14ac:dyDescent="0.25">
      <c r="A1617" s="5"/>
      <c r="B1617" s="5"/>
      <c r="C1617" s="5"/>
      <c r="D1617" s="5"/>
      <c r="E1617" s="5"/>
      <c r="F1617" s="5"/>
      <c r="G1617" s="5"/>
      <c r="H1617" s="6"/>
      <c r="I1617" s="5"/>
      <c r="J1617" s="88"/>
      <c r="K1617" s="88"/>
      <c r="L1617" s="88"/>
      <c r="M1617" s="88"/>
      <c r="N1617" s="88"/>
      <c r="O1617" s="88"/>
      <c r="P1617" s="88"/>
      <c r="Q1617" s="89"/>
      <c r="R1617" s="88"/>
      <c r="S1617" s="88"/>
      <c r="T1617" s="90"/>
      <c r="U1617" s="6"/>
      <c r="V1617" s="92"/>
      <c r="W1617" s="77"/>
      <c r="X1617" s="91"/>
      <c r="Y1617" s="77"/>
      <c r="Z1617" s="5"/>
      <c r="AA1617" s="5"/>
      <c r="AB1617" s="5"/>
      <c r="AC1617" s="5"/>
      <c r="AD1617" s="5"/>
      <c r="AE1617" s="5"/>
      <c r="AF1617" s="5"/>
      <c r="AG1617" s="5"/>
      <c r="AH1617" s="6"/>
      <c r="AI1617" s="92"/>
      <c r="AJ1617" s="93"/>
      <c r="AK1617" s="94"/>
      <c r="AL1617" s="95"/>
      <c r="AM1617" s="56"/>
      <c r="AN1617" s="57">
        <f t="shared" si="273"/>
        <v>0</v>
      </c>
      <c r="AO1617" s="76">
        <f t="shared" si="275"/>
        <v>0</v>
      </c>
      <c r="AP1617" s="63" t="str">
        <f t="shared" si="276"/>
        <v/>
      </c>
      <c r="AQ1617" s="63" t="str">
        <f t="shared" si="277"/>
        <v/>
      </c>
      <c r="AR1617" s="63" t="str">
        <f t="shared" si="278"/>
        <v/>
      </c>
      <c r="AS1617" s="63" t="str">
        <f t="shared" si="279"/>
        <v/>
      </c>
      <c r="AT1617" s="78" t="str">
        <f t="shared" si="280"/>
        <v/>
      </c>
      <c r="AU1617" s="78" t="str">
        <f t="shared" si="281"/>
        <v/>
      </c>
      <c r="AV1617" s="64" t="str">
        <f ca="1">IFERROR(__xludf.DUMMYFUNCTION("IF(TRIM(AU1617)="""","""",AU1617/INDEX(FILTER(AT$3:AT1617,TRIM(AT$3:AT1617)&lt;&gt;""""),ROWS(FILTER(AT$3:AT1617,TRIM(AT$3:AT1617)&lt;&gt;"""")))-1)"),"")</f>
        <v/>
      </c>
      <c r="AW1617" s="65" t="e">
        <f t="shared" ca="1" si="274"/>
        <v>#VALUE!</v>
      </c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</row>
    <row r="1618" spans="1:68" ht="19" x14ac:dyDescent="0.25">
      <c r="A1618" s="5"/>
      <c r="B1618" s="5"/>
      <c r="C1618" s="5"/>
      <c r="D1618" s="5"/>
      <c r="E1618" s="5"/>
      <c r="F1618" s="5"/>
      <c r="G1618" s="5"/>
      <c r="H1618" s="6"/>
      <c r="I1618" s="5"/>
      <c r="J1618" s="88"/>
      <c r="K1618" s="88"/>
      <c r="L1618" s="88"/>
      <c r="M1618" s="88"/>
      <c r="N1618" s="88"/>
      <c r="O1618" s="88"/>
      <c r="P1618" s="88"/>
      <c r="Q1618" s="89"/>
      <c r="R1618" s="88"/>
      <c r="S1618" s="88"/>
      <c r="T1618" s="90"/>
      <c r="U1618" s="6"/>
      <c r="V1618" s="92"/>
      <c r="W1618" s="77"/>
      <c r="X1618" s="91"/>
      <c r="Y1618" s="77"/>
      <c r="Z1618" s="5"/>
      <c r="AA1618" s="5"/>
      <c r="AB1618" s="5"/>
      <c r="AC1618" s="5"/>
      <c r="AD1618" s="5"/>
      <c r="AE1618" s="5"/>
      <c r="AF1618" s="5"/>
      <c r="AG1618" s="5"/>
      <c r="AH1618" s="6"/>
      <c r="AI1618" s="92"/>
      <c r="AJ1618" s="93"/>
      <c r="AK1618" s="94"/>
      <c r="AL1618" s="95"/>
      <c r="AM1618" s="56"/>
      <c r="AN1618" s="57">
        <f t="shared" si="273"/>
        <v>0</v>
      </c>
      <c r="AO1618" s="76">
        <f t="shared" si="275"/>
        <v>0</v>
      </c>
      <c r="AP1618" s="63" t="str">
        <f t="shared" si="276"/>
        <v/>
      </c>
      <c r="AQ1618" s="63" t="str">
        <f t="shared" si="277"/>
        <v/>
      </c>
      <c r="AR1618" s="63" t="str">
        <f t="shared" si="278"/>
        <v/>
      </c>
      <c r="AS1618" s="63" t="str">
        <f t="shared" si="279"/>
        <v/>
      </c>
      <c r="AT1618" s="78" t="str">
        <f t="shared" si="280"/>
        <v/>
      </c>
      <c r="AU1618" s="78" t="str">
        <f t="shared" si="281"/>
        <v/>
      </c>
      <c r="AV1618" s="64" t="str">
        <f ca="1">IFERROR(__xludf.DUMMYFUNCTION("IF(TRIM(AU1618)="""","""",AU1618/INDEX(FILTER(AT$3:AT1618,TRIM(AT$3:AT1618)&lt;&gt;""""),ROWS(FILTER(AT$3:AT1618,TRIM(AT$3:AT1618)&lt;&gt;"""")))-1)"),"")</f>
        <v/>
      </c>
      <c r="AW1618" s="65" t="e">
        <f t="shared" ca="1" si="274"/>
        <v>#VALUE!</v>
      </c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</row>
    <row r="1619" spans="1:68" ht="19" x14ac:dyDescent="0.25">
      <c r="A1619" s="5"/>
      <c r="B1619" s="5"/>
      <c r="C1619" s="5"/>
      <c r="D1619" s="5"/>
      <c r="E1619" s="5"/>
      <c r="F1619" s="5"/>
      <c r="G1619" s="5"/>
      <c r="H1619" s="6"/>
      <c r="I1619" s="5"/>
      <c r="J1619" s="88"/>
      <c r="K1619" s="88"/>
      <c r="L1619" s="88"/>
      <c r="M1619" s="88"/>
      <c r="N1619" s="88"/>
      <c r="O1619" s="88"/>
      <c r="P1619" s="88"/>
      <c r="Q1619" s="89"/>
      <c r="R1619" s="88"/>
      <c r="S1619" s="88"/>
      <c r="T1619" s="90"/>
      <c r="U1619" s="6"/>
      <c r="V1619" s="92"/>
      <c r="W1619" s="77"/>
      <c r="X1619" s="91"/>
      <c r="Y1619" s="77"/>
      <c r="Z1619" s="5"/>
      <c r="AA1619" s="5"/>
      <c r="AB1619" s="5"/>
      <c r="AC1619" s="5"/>
      <c r="AD1619" s="5"/>
      <c r="AE1619" s="5"/>
      <c r="AF1619" s="5"/>
      <c r="AG1619" s="5"/>
      <c r="AH1619" s="6"/>
      <c r="AI1619" s="92"/>
      <c r="AJ1619" s="93"/>
      <c r="AK1619" s="94"/>
      <c r="AL1619" s="95"/>
      <c r="AM1619" s="56"/>
      <c r="AN1619" s="57">
        <f t="shared" si="273"/>
        <v>0</v>
      </c>
      <c r="AO1619" s="76">
        <f t="shared" si="275"/>
        <v>0</v>
      </c>
      <c r="AP1619" s="63" t="str">
        <f t="shared" si="276"/>
        <v/>
      </c>
      <c r="AQ1619" s="63" t="str">
        <f t="shared" si="277"/>
        <v/>
      </c>
      <c r="AR1619" s="63" t="str">
        <f t="shared" si="278"/>
        <v/>
      </c>
      <c r="AS1619" s="63" t="str">
        <f t="shared" si="279"/>
        <v/>
      </c>
      <c r="AT1619" s="78" t="str">
        <f t="shared" si="280"/>
        <v/>
      </c>
      <c r="AU1619" s="78" t="str">
        <f t="shared" si="281"/>
        <v/>
      </c>
      <c r="AV1619" s="64" t="str">
        <f ca="1">IFERROR(__xludf.DUMMYFUNCTION("IF(TRIM(AU1619)="""","""",AU1619/INDEX(FILTER(AT$3:AT1619,TRIM(AT$3:AT1619)&lt;&gt;""""),ROWS(FILTER(AT$3:AT1619,TRIM(AT$3:AT1619)&lt;&gt;"""")))-1)"),"")</f>
        <v/>
      </c>
      <c r="AW1619" s="65" t="e">
        <f t="shared" ca="1" si="274"/>
        <v>#VALUE!</v>
      </c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</row>
    <row r="1620" spans="1:68" ht="19" x14ac:dyDescent="0.25">
      <c r="A1620" s="5"/>
      <c r="B1620" s="5"/>
      <c r="C1620" s="5"/>
      <c r="D1620" s="5"/>
      <c r="E1620" s="5"/>
      <c r="F1620" s="5"/>
      <c r="G1620" s="5"/>
      <c r="H1620" s="6"/>
      <c r="I1620" s="5"/>
      <c r="J1620" s="88"/>
      <c r="K1620" s="88"/>
      <c r="L1620" s="88"/>
      <c r="M1620" s="88"/>
      <c r="N1620" s="88"/>
      <c r="O1620" s="88"/>
      <c r="P1620" s="88"/>
      <c r="Q1620" s="89"/>
      <c r="R1620" s="88"/>
      <c r="S1620" s="88"/>
      <c r="T1620" s="90"/>
      <c r="U1620" s="6"/>
      <c r="V1620" s="92"/>
      <c r="W1620" s="77"/>
      <c r="X1620" s="91"/>
      <c r="Y1620" s="77"/>
      <c r="Z1620" s="5"/>
      <c r="AA1620" s="5"/>
      <c r="AB1620" s="5"/>
      <c r="AC1620" s="5"/>
      <c r="AD1620" s="5"/>
      <c r="AE1620" s="5"/>
      <c r="AF1620" s="5"/>
      <c r="AG1620" s="5"/>
      <c r="AH1620" s="6"/>
      <c r="AI1620" s="92"/>
      <c r="AJ1620" s="93"/>
      <c r="AK1620" s="94"/>
      <c r="AL1620" s="95"/>
      <c r="AM1620" s="56"/>
      <c r="AN1620" s="57">
        <f t="shared" si="273"/>
        <v>0</v>
      </c>
      <c r="AO1620" s="76">
        <f t="shared" si="275"/>
        <v>0</v>
      </c>
      <c r="AP1620" s="63" t="str">
        <f t="shared" si="276"/>
        <v/>
      </c>
      <c r="AQ1620" s="63" t="str">
        <f t="shared" si="277"/>
        <v/>
      </c>
      <c r="AR1620" s="63" t="str">
        <f t="shared" si="278"/>
        <v/>
      </c>
      <c r="AS1620" s="63" t="str">
        <f t="shared" si="279"/>
        <v/>
      </c>
      <c r="AT1620" s="78" t="str">
        <f t="shared" si="280"/>
        <v/>
      </c>
      <c r="AU1620" s="78" t="str">
        <f t="shared" si="281"/>
        <v/>
      </c>
      <c r="AV1620" s="64" t="str">
        <f ca="1">IFERROR(__xludf.DUMMYFUNCTION("IF(TRIM(AU1620)="""","""",AU1620/INDEX(FILTER(AT$3:AT1620,TRIM(AT$3:AT1620)&lt;&gt;""""),ROWS(FILTER(AT$3:AT1620,TRIM(AT$3:AT1620)&lt;&gt;"""")))-1)"),"")</f>
        <v/>
      </c>
      <c r="AW1620" s="65" t="e">
        <f t="shared" ca="1" si="274"/>
        <v>#VALUE!</v>
      </c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</row>
    <row r="1621" spans="1:68" ht="19" x14ac:dyDescent="0.25">
      <c r="A1621" s="5"/>
      <c r="B1621" s="5"/>
      <c r="C1621" s="5"/>
      <c r="D1621" s="5"/>
      <c r="E1621" s="5"/>
      <c r="F1621" s="5"/>
      <c r="G1621" s="5"/>
      <c r="H1621" s="6"/>
      <c r="I1621" s="5"/>
      <c r="J1621" s="88"/>
      <c r="K1621" s="88"/>
      <c r="L1621" s="88"/>
      <c r="M1621" s="88"/>
      <c r="N1621" s="88"/>
      <c r="O1621" s="88"/>
      <c r="P1621" s="88"/>
      <c r="Q1621" s="89"/>
      <c r="R1621" s="88"/>
      <c r="S1621" s="88"/>
      <c r="T1621" s="90"/>
      <c r="U1621" s="6"/>
      <c r="V1621" s="92"/>
      <c r="W1621" s="77"/>
      <c r="X1621" s="91"/>
      <c r="Y1621" s="77"/>
      <c r="Z1621" s="5"/>
      <c r="AA1621" s="5"/>
      <c r="AB1621" s="5"/>
      <c r="AC1621" s="5"/>
      <c r="AD1621" s="5"/>
      <c r="AE1621" s="5"/>
      <c r="AF1621" s="5"/>
      <c r="AG1621" s="5"/>
      <c r="AH1621" s="6"/>
      <c r="AI1621" s="92"/>
      <c r="AJ1621" s="93"/>
      <c r="AK1621" s="94"/>
      <c r="AL1621" s="95"/>
      <c r="AM1621" s="56"/>
      <c r="AN1621" s="57">
        <f t="shared" si="273"/>
        <v>0</v>
      </c>
      <c r="AO1621" s="76">
        <f t="shared" si="275"/>
        <v>0</v>
      </c>
      <c r="AP1621" s="63" t="str">
        <f t="shared" si="276"/>
        <v/>
      </c>
      <c r="AQ1621" s="63" t="str">
        <f t="shared" si="277"/>
        <v/>
      </c>
      <c r="AR1621" s="63" t="str">
        <f t="shared" si="278"/>
        <v/>
      </c>
      <c r="AS1621" s="63" t="str">
        <f t="shared" si="279"/>
        <v/>
      </c>
      <c r="AT1621" s="78" t="str">
        <f t="shared" si="280"/>
        <v/>
      </c>
      <c r="AU1621" s="78" t="str">
        <f t="shared" si="281"/>
        <v/>
      </c>
      <c r="AV1621" s="64" t="str">
        <f ca="1">IFERROR(__xludf.DUMMYFUNCTION("IF(TRIM(AU1621)="""","""",AU1621/INDEX(FILTER(AT$3:AT1621,TRIM(AT$3:AT1621)&lt;&gt;""""),ROWS(FILTER(AT$3:AT1621,TRIM(AT$3:AT1621)&lt;&gt;"""")))-1)"),"")</f>
        <v/>
      </c>
      <c r="AW1621" s="65" t="e">
        <f t="shared" ca="1" si="274"/>
        <v>#VALUE!</v>
      </c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</row>
    <row r="1622" spans="1:68" ht="19" x14ac:dyDescent="0.25">
      <c r="A1622" s="5"/>
      <c r="B1622" s="5"/>
      <c r="C1622" s="5"/>
      <c r="D1622" s="5"/>
      <c r="E1622" s="5"/>
      <c r="F1622" s="5"/>
      <c r="G1622" s="5"/>
      <c r="H1622" s="6"/>
      <c r="I1622" s="5"/>
      <c r="J1622" s="88"/>
      <c r="K1622" s="88"/>
      <c r="L1622" s="88"/>
      <c r="M1622" s="88"/>
      <c r="N1622" s="88"/>
      <c r="O1622" s="88"/>
      <c r="P1622" s="88"/>
      <c r="Q1622" s="89"/>
      <c r="R1622" s="88"/>
      <c r="S1622" s="88"/>
      <c r="T1622" s="90"/>
      <c r="U1622" s="6"/>
      <c r="V1622" s="92"/>
      <c r="W1622" s="77"/>
      <c r="X1622" s="91"/>
      <c r="Y1622" s="77"/>
      <c r="Z1622" s="5"/>
      <c r="AA1622" s="5"/>
      <c r="AB1622" s="5"/>
      <c r="AC1622" s="5"/>
      <c r="AD1622" s="5"/>
      <c r="AE1622" s="5"/>
      <c r="AF1622" s="5"/>
      <c r="AG1622" s="5"/>
      <c r="AH1622" s="6"/>
      <c r="AI1622" s="92"/>
      <c r="AJ1622" s="93"/>
      <c r="AK1622" s="94"/>
      <c r="AL1622" s="95"/>
      <c r="AM1622" s="56"/>
      <c r="AN1622" s="57">
        <f t="shared" si="273"/>
        <v>0</v>
      </c>
      <c r="AO1622" s="76">
        <f t="shared" si="275"/>
        <v>0</v>
      </c>
      <c r="AP1622" s="63" t="str">
        <f t="shared" si="276"/>
        <v/>
      </c>
      <c r="AQ1622" s="63" t="str">
        <f t="shared" si="277"/>
        <v/>
      </c>
      <c r="AR1622" s="63" t="str">
        <f t="shared" si="278"/>
        <v/>
      </c>
      <c r="AS1622" s="63" t="str">
        <f t="shared" si="279"/>
        <v/>
      </c>
      <c r="AT1622" s="78" t="str">
        <f t="shared" si="280"/>
        <v/>
      </c>
      <c r="AU1622" s="78" t="str">
        <f t="shared" si="281"/>
        <v/>
      </c>
      <c r="AV1622" s="64" t="str">
        <f ca="1">IFERROR(__xludf.DUMMYFUNCTION("IF(TRIM(AU1622)="""","""",AU1622/INDEX(FILTER(AT$3:AT1622,TRIM(AT$3:AT1622)&lt;&gt;""""),ROWS(FILTER(AT$3:AT1622,TRIM(AT$3:AT1622)&lt;&gt;"""")))-1)"),"")</f>
        <v/>
      </c>
      <c r="AW1622" s="65" t="e">
        <f t="shared" ca="1" si="274"/>
        <v>#VALUE!</v>
      </c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</row>
    <row r="1623" spans="1:68" ht="19" x14ac:dyDescent="0.25">
      <c r="A1623" s="5"/>
      <c r="B1623" s="5"/>
      <c r="C1623" s="5"/>
      <c r="D1623" s="5"/>
      <c r="E1623" s="5"/>
      <c r="F1623" s="5"/>
      <c r="G1623" s="5"/>
      <c r="H1623" s="6"/>
      <c r="I1623" s="5"/>
      <c r="J1623" s="88"/>
      <c r="K1623" s="88"/>
      <c r="L1623" s="88"/>
      <c r="M1623" s="88"/>
      <c r="N1623" s="88"/>
      <c r="O1623" s="88"/>
      <c r="P1623" s="88"/>
      <c r="Q1623" s="89"/>
      <c r="R1623" s="88"/>
      <c r="S1623" s="88"/>
      <c r="T1623" s="90"/>
      <c r="U1623" s="6"/>
      <c r="V1623" s="92"/>
      <c r="W1623" s="77"/>
      <c r="X1623" s="91"/>
      <c r="Y1623" s="77"/>
      <c r="Z1623" s="5"/>
      <c r="AA1623" s="5"/>
      <c r="AB1623" s="5"/>
      <c r="AC1623" s="5"/>
      <c r="AD1623" s="5"/>
      <c r="AE1623" s="5"/>
      <c r="AF1623" s="5"/>
      <c r="AG1623" s="5"/>
      <c r="AH1623" s="6"/>
      <c r="AI1623" s="92"/>
      <c r="AJ1623" s="93"/>
      <c r="AK1623" s="94"/>
      <c r="AL1623" s="95"/>
      <c r="AM1623" s="56"/>
      <c r="AN1623" s="57">
        <f t="shared" si="273"/>
        <v>0</v>
      </c>
      <c r="AO1623" s="76">
        <f t="shared" si="275"/>
        <v>0</v>
      </c>
      <c r="AP1623" s="63" t="str">
        <f t="shared" si="276"/>
        <v/>
      </c>
      <c r="AQ1623" s="63" t="str">
        <f t="shared" si="277"/>
        <v/>
      </c>
      <c r="AR1623" s="63" t="str">
        <f t="shared" si="278"/>
        <v/>
      </c>
      <c r="AS1623" s="63" t="str">
        <f t="shared" si="279"/>
        <v/>
      </c>
      <c r="AT1623" s="78" t="str">
        <f t="shared" si="280"/>
        <v/>
      </c>
      <c r="AU1623" s="78" t="str">
        <f t="shared" si="281"/>
        <v/>
      </c>
      <c r="AV1623" s="64" t="str">
        <f ca="1">IFERROR(__xludf.DUMMYFUNCTION("IF(TRIM(AU1623)="""","""",AU1623/INDEX(FILTER(AT$3:AT1623,TRIM(AT$3:AT1623)&lt;&gt;""""),ROWS(FILTER(AT$3:AT1623,TRIM(AT$3:AT1623)&lt;&gt;"""")))-1)"),"")</f>
        <v/>
      </c>
      <c r="AW1623" s="65" t="e">
        <f t="shared" ca="1" si="274"/>
        <v>#VALUE!</v>
      </c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</row>
    <row r="1624" spans="1:68" ht="19" x14ac:dyDescent="0.25">
      <c r="A1624" s="5"/>
      <c r="B1624" s="5"/>
      <c r="C1624" s="5"/>
      <c r="D1624" s="5"/>
      <c r="E1624" s="5"/>
      <c r="F1624" s="5"/>
      <c r="G1624" s="5"/>
      <c r="H1624" s="6"/>
      <c r="I1624" s="5"/>
      <c r="J1624" s="88"/>
      <c r="K1624" s="88"/>
      <c r="L1624" s="88"/>
      <c r="M1624" s="88"/>
      <c r="N1624" s="88"/>
      <c r="O1624" s="88"/>
      <c r="P1624" s="88"/>
      <c r="Q1624" s="89"/>
      <c r="R1624" s="88"/>
      <c r="S1624" s="88"/>
      <c r="T1624" s="90"/>
      <c r="U1624" s="6"/>
      <c r="V1624" s="92"/>
      <c r="W1624" s="77"/>
      <c r="X1624" s="91"/>
      <c r="Y1624" s="77"/>
      <c r="Z1624" s="5"/>
      <c r="AA1624" s="5"/>
      <c r="AB1624" s="5"/>
      <c r="AC1624" s="5"/>
      <c r="AD1624" s="5"/>
      <c r="AE1624" s="5"/>
      <c r="AF1624" s="5"/>
      <c r="AG1624" s="5"/>
      <c r="AH1624" s="6"/>
      <c r="AI1624" s="92"/>
      <c r="AJ1624" s="93"/>
      <c r="AK1624" s="94"/>
      <c r="AL1624" s="95"/>
      <c r="AM1624" s="56"/>
      <c r="AN1624" s="57">
        <f t="shared" si="273"/>
        <v>0</v>
      </c>
      <c r="AO1624" s="76">
        <f t="shared" si="275"/>
        <v>0</v>
      </c>
      <c r="AP1624" s="63" t="str">
        <f t="shared" si="276"/>
        <v/>
      </c>
      <c r="AQ1624" s="63" t="str">
        <f t="shared" si="277"/>
        <v/>
      </c>
      <c r="AR1624" s="63" t="str">
        <f t="shared" si="278"/>
        <v/>
      </c>
      <c r="AS1624" s="63" t="str">
        <f t="shared" si="279"/>
        <v/>
      </c>
      <c r="AT1624" s="78" t="str">
        <f t="shared" si="280"/>
        <v/>
      </c>
      <c r="AU1624" s="78" t="str">
        <f t="shared" si="281"/>
        <v/>
      </c>
      <c r="AV1624" s="64" t="str">
        <f ca="1">IFERROR(__xludf.DUMMYFUNCTION("IF(TRIM(AU1624)="""","""",AU1624/INDEX(FILTER(AT$3:AT1624,TRIM(AT$3:AT1624)&lt;&gt;""""),ROWS(FILTER(AT$3:AT1624,TRIM(AT$3:AT1624)&lt;&gt;"""")))-1)"),"")</f>
        <v/>
      </c>
      <c r="AW1624" s="65" t="e">
        <f t="shared" ca="1" si="274"/>
        <v>#VALUE!</v>
      </c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</row>
    <row r="1625" spans="1:68" ht="19" x14ac:dyDescent="0.25">
      <c r="A1625" s="5"/>
      <c r="B1625" s="5"/>
      <c r="C1625" s="5"/>
      <c r="D1625" s="5"/>
      <c r="E1625" s="5"/>
      <c r="F1625" s="5"/>
      <c r="G1625" s="5"/>
      <c r="H1625" s="6"/>
      <c r="I1625" s="5"/>
      <c r="J1625" s="88"/>
      <c r="K1625" s="88"/>
      <c r="L1625" s="88"/>
      <c r="M1625" s="88"/>
      <c r="N1625" s="88"/>
      <c r="O1625" s="88"/>
      <c r="P1625" s="88"/>
      <c r="Q1625" s="89"/>
      <c r="R1625" s="88"/>
      <c r="S1625" s="88"/>
      <c r="T1625" s="90"/>
      <c r="U1625" s="6"/>
      <c r="V1625" s="92"/>
      <c r="W1625" s="77"/>
      <c r="X1625" s="91"/>
      <c r="Y1625" s="77"/>
      <c r="Z1625" s="5"/>
      <c r="AA1625" s="5"/>
      <c r="AB1625" s="5"/>
      <c r="AC1625" s="5"/>
      <c r="AD1625" s="5"/>
      <c r="AE1625" s="5"/>
      <c r="AF1625" s="5"/>
      <c r="AG1625" s="5"/>
      <c r="AH1625" s="6"/>
      <c r="AI1625" s="92"/>
      <c r="AJ1625" s="93"/>
      <c r="AK1625" s="94"/>
      <c r="AL1625" s="95"/>
      <c r="AM1625" s="56"/>
      <c r="AN1625" s="57">
        <f t="shared" si="273"/>
        <v>0</v>
      </c>
      <c r="AO1625" s="76">
        <f t="shared" si="275"/>
        <v>0</v>
      </c>
      <c r="AP1625" s="63" t="str">
        <f t="shared" si="276"/>
        <v/>
      </c>
      <c r="AQ1625" s="63" t="str">
        <f t="shared" si="277"/>
        <v/>
      </c>
      <c r="AR1625" s="63" t="str">
        <f t="shared" si="278"/>
        <v/>
      </c>
      <c r="AS1625" s="63" t="str">
        <f t="shared" si="279"/>
        <v/>
      </c>
      <c r="AT1625" s="78" t="str">
        <f t="shared" si="280"/>
        <v/>
      </c>
      <c r="AU1625" s="78" t="str">
        <f t="shared" si="281"/>
        <v/>
      </c>
      <c r="AV1625" s="64" t="str">
        <f ca="1">IFERROR(__xludf.DUMMYFUNCTION("IF(TRIM(AU1625)="""","""",AU1625/INDEX(FILTER(AT$3:AT1625,TRIM(AT$3:AT1625)&lt;&gt;""""),ROWS(FILTER(AT$3:AT1625,TRIM(AT$3:AT1625)&lt;&gt;"""")))-1)"),"")</f>
        <v/>
      </c>
      <c r="AW1625" s="65" t="e">
        <f t="shared" ca="1" si="274"/>
        <v>#VALUE!</v>
      </c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</row>
    <row r="1626" spans="1:68" ht="19" x14ac:dyDescent="0.25">
      <c r="A1626" s="5"/>
      <c r="B1626" s="5"/>
      <c r="C1626" s="5"/>
      <c r="D1626" s="5"/>
      <c r="E1626" s="5"/>
      <c r="F1626" s="5"/>
      <c r="G1626" s="5"/>
      <c r="H1626" s="6"/>
      <c r="I1626" s="5"/>
      <c r="J1626" s="88"/>
      <c r="K1626" s="88"/>
      <c r="L1626" s="88"/>
      <c r="M1626" s="88"/>
      <c r="N1626" s="88"/>
      <c r="O1626" s="88"/>
      <c r="P1626" s="88"/>
      <c r="Q1626" s="89"/>
      <c r="R1626" s="88"/>
      <c r="S1626" s="88"/>
      <c r="T1626" s="90"/>
      <c r="U1626" s="6"/>
      <c r="V1626" s="92"/>
      <c r="W1626" s="77"/>
      <c r="X1626" s="91"/>
      <c r="Y1626" s="77"/>
      <c r="Z1626" s="5"/>
      <c r="AA1626" s="5"/>
      <c r="AB1626" s="5"/>
      <c r="AC1626" s="5"/>
      <c r="AD1626" s="5"/>
      <c r="AE1626" s="5"/>
      <c r="AF1626" s="5"/>
      <c r="AG1626" s="5"/>
      <c r="AH1626" s="6"/>
      <c r="AI1626" s="92"/>
      <c r="AJ1626" s="93"/>
      <c r="AK1626" s="94"/>
      <c r="AL1626" s="95"/>
      <c r="AM1626" s="56"/>
      <c r="AN1626" s="57">
        <f t="shared" si="273"/>
        <v>0</v>
      </c>
      <c r="AO1626" s="76">
        <f t="shared" si="275"/>
        <v>0</v>
      </c>
      <c r="AP1626" s="63" t="str">
        <f t="shared" si="276"/>
        <v/>
      </c>
      <c r="AQ1626" s="63" t="str">
        <f t="shared" si="277"/>
        <v/>
      </c>
      <c r="AR1626" s="63" t="str">
        <f t="shared" si="278"/>
        <v/>
      </c>
      <c r="AS1626" s="63" t="str">
        <f t="shared" si="279"/>
        <v/>
      </c>
      <c r="AT1626" s="78" t="str">
        <f t="shared" si="280"/>
        <v/>
      </c>
      <c r="AU1626" s="78" t="str">
        <f t="shared" si="281"/>
        <v/>
      </c>
      <c r="AV1626" s="64" t="str">
        <f ca="1">IFERROR(__xludf.DUMMYFUNCTION("IF(TRIM(AU1626)="""","""",AU1626/INDEX(FILTER(AT$3:AT1626,TRIM(AT$3:AT1626)&lt;&gt;""""),ROWS(FILTER(AT$3:AT1626,TRIM(AT$3:AT1626)&lt;&gt;"""")))-1)"),"")</f>
        <v/>
      </c>
      <c r="AW1626" s="65" t="e">
        <f t="shared" ca="1" si="274"/>
        <v>#VALUE!</v>
      </c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</row>
    <row r="1627" spans="1:68" ht="19" x14ac:dyDescent="0.25">
      <c r="A1627" s="5"/>
      <c r="B1627" s="5"/>
      <c r="C1627" s="5"/>
      <c r="D1627" s="5"/>
      <c r="E1627" s="5"/>
      <c r="F1627" s="5"/>
      <c r="G1627" s="5"/>
      <c r="H1627" s="6"/>
      <c r="I1627" s="5"/>
      <c r="J1627" s="88"/>
      <c r="K1627" s="88"/>
      <c r="L1627" s="88"/>
      <c r="M1627" s="88"/>
      <c r="N1627" s="88"/>
      <c r="O1627" s="88"/>
      <c r="P1627" s="88"/>
      <c r="Q1627" s="89"/>
      <c r="R1627" s="88"/>
      <c r="S1627" s="88"/>
      <c r="T1627" s="90"/>
      <c r="U1627" s="6"/>
      <c r="V1627" s="92"/>
      <c r="W1627" s="77"/>
      <c r="X1627" s="91"/>
      <c r="Y1627" s="77"/>
      <c r="Z1627" s="5"/>
      <c r="AA1627" s="5"/>
      <c r="AB1627" s="5"/>
      <c r="AC1627" s="5"/>
      <c r="AD1627" s="5"/>
      <c r="AE1627" s="5"/>
      <c r="AF1627" s="5"/>
      <c r="AG1627" s="5"/>
      <c r="AH1627" s="6"/>
      <c r="AI1627" s="92"/>
      <c r="AJ1627" s="93"/>
      <c r="AK1627" s="94"/>
      <c r="AL1627" s="95"/>
      <c r="AM1627" s="56"/>
      <c r="AN1627" s="57">
        <f t="shared" si="273"/>
        <v>0</v>
      </c>
      <c r="AO1627" s="76">
        <f t="shared" si="275"/>
        <v>0</v>
      </c>
      <c r="AP1627" s="63" t="str">
        <f t="shared" si="276"/>
        <v/>
      </c>
      <c r="AQ1627" s="63" t="str">
        <f t="shared" si="277"/>
        <v/>
      </c>
      <c r="AR1627" s="63" t="str">
        <f t="shared" si="278"/>
        <v/>
      </c>
      <c r="AS1627" s="63" t="str">
        <f t="shared" si="279"/>
        <v/>
      </c>
      <c r="AT1627" s="78" t="str">
        <f t="shared" si="280"/>
        <v/>
      </c>
      <c r="AU1627" s="78" t="str">
        <f t="shared" si="281"/>
        <v/>
      </c>
      <c r="AV1627" s="64" t="str">
        <f ca="1">IFERROR(__xludf.DUMMYFUNCTION("IF(TRIM(AU1627)="""","""",AU1627/INDEX(FILTER(AT$3:AT1627,TRIM(AT$3:AT1627)&lt;&gt;""""),ROWS(FILTER(AT$3:AT1627,TRIM(AT$3:AT1627)&lt;&gt;"""")))-1)"),"")</f>
        <v/>
      </c>
      <c r="AW1627" s="65" t="e">
        <f t="shared" ca="1" si="274"/>
        <v>#VALUE!</v>
      </c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</row>
    <row r="1628" spans="1:68" ht="19" x14ac:dyDescent="0.25">
      <c r="A1628" s="5"/>
      <c r="B1628" s="5"/>
      <c r="C1628" s="5"/>
      <c r="D1628" s="5"/>
      <c r="E1628" s="5"/>
      <c r="F1628" s="5"/>
      <c r="G1628" s="5"/>
      <c r="H1628" s="6"/>
      <c r="I1628" s="5"/>
      <c r="J1628" s="88"/>
      <c r="K1628" s="88"/>
      <c r="L1628" s="88"/>
      <c r="M1628" s="88"/>
      <c r="N1628" s="88"/>
      <c r="O1628" s="88"/>
      <c r="P1628" s="88"/>
      <c r="Q1628" s="89"/>
      <c r="R1628" s="88"/>
      <c r="S1628" s="88"/>
      <c r="T1628" s="90"/>
      <c r="U1628" s="6"/>
      <c r="V1628" s="92"/>
      <c r="W1628" s="77"/>
      <c r="X1628" s="91"/>
      <c r="Y1628" s="77"/>
      <c r="Z1628" s="5"/>
      <c r="AA1628" s="5"/>
      <c r="AB1628" s="5"/>
      <c r="AC1628" s="5"/>
      <c r="AD1628" s="5"/>
      <c r="AE1628" s="5"/>
      <c r="AF1628" s="5"/>
      <c r="AG1628" s="5"/>
      <c r="AH1628" s="6"/>
      <c r="AI1628" s="92"/>
      <c r="AJ1628" s="93"/>
      <c r="AK1628" s="94"/>
      <c r="AL1628" s="95"/>
      <c r="AM1628" s="56"/>
      <c r="AN1628" s="57">
        <f t="shared" si="273"/>
        <v>0</v>
      </c>
      <c r="AO1628" s="76">
        <f t="shared" si="275"/>
        <v>0</v>
      </c>
      <c r="AP1628" s="63" t="str">
        <f t="shared" si="276"/>
        <v/>
      </c>
      <c r="AQ1628" s="63" t="str">
        <f t="shared" si="277"/>
        <v/>
      </c>
      <c r="AR1628" s="63" t="str">
        <f t="shared" si="278"/>
        <v/>
      </c>
      <c r="AS1628" s="63" t="str">
        <f t="shared" si="279"/>
        <v/>
      </c>
      <c r="AT1628" s="78" t="str">
        <f t="shared" si="280"/>
        <v/>
      </c>
      <c r="AU1628" s="78" t="str">
        <f t="shared" si="281"/>
        <v/>
      </c>
      <c r="AV1628" s="64" t="str">
        <f ca="1">IFERROR(__xludf.DUMMYFUNCTION("IF(TRIM(AU1628)="""","""",AU1628/INDEX(FILTER(AT$3:AT1628,TRIM(AT$3:AT1628)&lt;&gt;""""),ROWS(FILTER(AT$3:AT1628,TRIM(AT$3:AT1628)&lt;&gt;"""")))-1)"),"")</f>
        <v/>
      </c>
      <c r="AW1628" s="65" t="e">
        <f t="shared" ca="1" si="274"/>
        <v>#VALUE!</v>
      </c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</row>
    <row r="1629" spans="1:68" ht="19" x14ac:dyDescent="0.25">
      <c r="A1629" s="5"/>
      <c r="B1629" s="5"/>
      <c r="C1629" s="5"/>
      <c r="D1629" s="5"/>
      <c r="E1629" s="5"/>
      <c r="F1629" s="5"/>
      <c r="G1629" s="5"/>
      <c r="H1629" s="6"/>
      <c r="I1629" s="5"/>
      <c r="J1629" s="88"/>
      <c r="K1629" s="88"/>
      <c r="L1629" s="88"/>
      <c r="M1629" s="88"/>
      <c r="N1629" s="88"/>
      <c r="O1629" s="88"/>
      <c r="P1629" s="88"/>
      <c r="Q1629" s="89"/>
      <c r="R1629" s="88"/>
      <c r="S1629" s="88"/>
      <c r="T1629" s="90"/>
      <c r="U1629" s="6"/>
      <c r="V1629" s="92"/>
      <c r="W1629" s="77"/>
      <c r="X1629" s="91"/>
      <c r="Y1629" s="77"/>
      <c r="Z1629" s="5"/>
      <c r="AA1629" s="5"/>
      <c r="AB1629" s="5"/>
      <c r="AC1629" s="5"/>
      <c r="AD1629" s="5"/>
      <c r="AE1629" s="5"/>
      <c r="AF1629" s="5"/>
      <c r="AG1629" s="5"/>
      <c r="AH1629" s="6"/>
      <c r="AI1629" s="92"/>
      <c r="AJ1629" s="93"/>
      <c r="AK1629" s="94"/>
      <c r="AL1629" s="95"/>
      <c r="AM1629" s="56"/>
      <c r="AN1629" s="57">
        <f t="shared" si="273"/>
        <v>0</v>
      </c>
      <c r="AO1629" s="76">
        <f t="shared" si="275"/>
        <v>0</v>
      </c>
      <c r="AP1629" s="63" t="str">
        <f t="shared" si="276"/>
        <v/>
      </c>
      <c r="AQ1629" s="63" t="str">
        <f t="shared" si="277"/>
        <v/>
      </c>
      <c r="AR1629" s="63" t="str">
        <f t="shared" si="278"/>
        <v/>
      </c>
      <c r="AS1629" s="63" t="str">
        <f t="shared" si="279"/>
        <v/>
      </c>
      <c r="AT1629" s="78" t="str">
        <f t="shared" si="280"/>
        <v/>
      </c>
      <c r="AU1629" s="78" t="str">
        <f t="shared" si="281"/>
        <v/>
      </c>
      <c r="AV1629" s="64" t="str">
        <f ca="1">IFERROR(__xludf.DUMMYFUNCTION("IF(TRIM(AU1629)="""","""",AU1629/INDEX(FILTER(AT$3:AT1629,TRIM(AT$3:AT1629)&lt;&gt;""""),ROWS(FILTER(AT$3:AT1629,TRIM(AT$3:AT1629)&lt;&gt;"""")))-1)"),"")</f>
        <v/>
      </c>
      <c r="AW1629" s="65" t="e">
        <f t="shared" ca="1" si="274"/>
        <v>#VALUE!</v>
      </c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</row>
    <row r="1630" spans="1:68" ht="19" x14ac:dyDescent="0.25">
      <c r="A1630" s="5"/>
      <c r="B1630" s="5"/>
      <c r="C1630" s="5"/>
      <c r="D1630" s="5"/>
      <c r="E1630" s="5"/>
      <c r="F1630" s="5"/>
      <c r="G1630" s="5"/>
      <c r="H1630" s="6"/>
      <c r="I1630" s="5"/>
      <c r="J1630" s="88"/>
      <c r="K1630" s="88"/>
      <c r="L1630" s="88"/>
      <c r="M1630" s="88"/>
      <c r="N1630" s="88"/>
      <c r="O1630" s="88"/>
      <c r="P1630" s="88"/>
      <c r="Q1630" s="89"/>
      <c r="R1630" s="88"/>
      <c r="S1630" s="88"/>
      <c r="T1630" s="90"/>
      <c r="U1630" s="6"/>
      <c r="V1630" s="92"/>
      <c r="W1630" s="77"/>
      <c r="X1630" s="91"/>
      <c r="Y1630" s="77"/>
      <c r="Z1630" s="5"/>
      <c r="AA1630" s="5"/>
      <c r="AB1630" s="5"/>
      <c r="AC1630" s="5"/>
      <c r="AD1630" s="5"/>
      <c r="AE1630" s="5"/>
      <c r="AF1630" s="5"/>
      <c r="AG1630" s="5"/>
      <c r="AH1630" s="6"/>
      <c r="AI1630" s="92"/>
      <c r="AJ1630" s="93"/>
      <c r="AK1630" s="94"/>
      <c r="AL1630" s="95"/>
      <c r="AM1630" s="56"/>
      <c r="AN1630" s="57">
        <f t="shared" si="273"/>
        <v>0</v>
      </c>
      <c r="AO1630" s="76">
        <f t="shared" si="275"/>
        <v>0</v>
      </c>
      <c r="AP1630" s="63" t="str">
        <f t="shared" si="276"/>
        <v/>
      </c>
      <c r="AQ1630" s="63" t="str">
        <f t="shared" si="277"/>
        <v/>
      </c>
      <c r="AR1630" s="63" t="str">
        <f t="shared" si="278"/>
        <v/>
      </c>
      <c r="AS1630" s="63" t="str">
        <f t="shared" si="279"/>
        <v/>
      </c>
      <c r="AT1630" s="78" t="str">
        <f t="shared" si="280"/>
        <v/>
      </c>
      <c r="AU1630" s="78" t="str">
        <f t="shared" si="281"/>
        <v/>
      </c>
      <c r="AV1630" s="64" t="str">
        <f ca="1">IFERROR(__xludf.DUMMYFUNCTION("IF(TRIM(AU1630)="""","""",AU1630/INDEX(FILTER(AT$3:AT1630,TRIM(AT$3:AT1630)&lt;&gt;""""),ROWS(FILTER(AT$3:AT1630,TRIM(AT$3:AT1630)&lt;&gt;"""")))-1)"),"")</f>
        <v/>
      </c>
      <c r="AW1630" s="65" t="e">
        <f t="shared" ca="1" si="274"/>
        <v>#VALUE!</v>
      </c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</row>
    <row r="1631" spans="1:68" ht="19" x14ac:dyDescent="0.25">
      <c r="A1631" s="5"/>
      <c r="B1631" s="5"/>
      <c r="C1631" s="5"/>
      <c r="D1631" s="5"/>
      <c r="E1631" s="5"/>
      <c r="F1631" s="5"/>
      <c r="G1631" s="5"/>
      <c r="H1631" s="6"/>
      <c r="I1631" s="5"/>
      <c r="J1631" s="88"/>
      <c r="K1631" s="88"/>
      <c r="L1631" s="88"/>
      <c r="M1631" s="88"/>
      <c r="N1631" s="88"/>
      <c r="O1631" s="88"/>
      <c r="P1631" s="88"/>
      <c r="Q1631" s="89"/>
      <c r="R1631" s="88"/>
      <c r="S1631" s="88"/>
      <c r="T1631" s="90"/>
      <c r="U1631" s="6"/>
      <c r="V1631" s="92"/>
      <c r="W1631" s="77"/>
      <c r="X1631" s="91"/>
      <c r="Y1631" s="77"/>
      <c r="Z1631" s="5"/>
      <c r="AA1631" s="5"/>
      <c r="AB1631" s="5"/>
      <c r="AC1631" s="5"/>
      <c r="AD1631" s="5"/>
      <c r="AE1631" s="5"/>
      <c r="AF1631" s="5"/>
      <c r="AG1631" s="5"/>
      <c r="AH1631" s="6"/>
      <c r="AI1631" s="92"/>
      <c r="AJ1631" s="93"/>
      <c r="AK1631" s="94"/>
      <c r="AL1631" s="95"/>
      <c r="AM1631" s="56"/>
      <c r="AN1631" s="57">
        <f t="shared" si="273"/>
        <v>0</v>
      </c>
      <c r="AO1631" s="76">
        <f t="shared" si="275"/>
        <v>0</v>
      </c>
      <c r="AP1631" s="63" t="str">
        <f t="shared" si="276"/>
        <v/>
      </c>
      <c r="AQ1631" s="63" t="str">
        <f t="shared" si="277"/>
        <v/>
      </c>
      <c r="AR1631" s="63" t="str">
        <f t="shared" si="278"/>
        <v/>
      </c>
      <c r="AS1631" s="63" t="str">
        <f t="shared" si="279"/>
        <v/>
      </c>
      <c r="AT1631" s="78" t="str">
        <f t="shared" si="280"/>
        <v/>
      </c>
      <c r="AU1631" s="78" t="str">
        <f t="shared" si="281"/>
        <v/>
      </c>
      <c r="AV1631" s="64" t="str">
        <f ca="1">IFERROR(__xludf.DUMMYFUNCTION("IF(TRIM(AU1631)="""","""",AU1631/INDEX(FILTER(AT$3:AT1631,TRIM(AT$3:AT1631)&lt;&gt;""""),ROWS(FILTER(AT$3:AT1631,TRIM(AT$3:AT1631)&lt;&gt;"""")))-1)"),"")</f>
        <v/>
      </c>
      <c r="AW1631" s="65" t="e">
        <f t="shared" ca="1" si="274"/>
        <v>#VALUE!</v>
      </c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</row>
    <row r="1632" spans="1:68" ht="19" x14ac:dyDescent="0.25">
      <c r="A1632" s="5"/>
      <c r="B1632" s="5"/>
      <c r="C1632" s="5"/>
      <c r="D1632" s="5"/>
      <c r="E1632" s="5"/>
      <c r="F1632" s="5"/>
      <c r="G1632" s="5"/>
      <c r="H1632" s="6"/>
      <c r="I1632" s="5"/>
      <c r="J1632" s="88"/>
      <c r="K1632" s="88"/>
      <c r="L1632" s="88"/>
      <c r="M1632" s="88"/>
      <c r="N1632" s="88"/>
      <c r="O1632" s="88"/>
      <c r="P1632" s="88"/>
      <c r="Q1632" s="89"/>
      <c r="R1632" s="88"/>
      <c r="S1632" s="88"/>
      <c r="T1632" s="90"/>
      <c r="U1632" s="6"/>
      <c r="V1632" s="92"/>
      <c r="W1632" s="77"/>
      <c r="X1632" s="91"/>
      <c r="Y1632" s="77"/>
      <c r="Z1632" s="5"/>
      <c r="AA1632" s="5"/>
      <c r="AB1632" s="5"/>
      <c r="AC1632" s="5"/>
      <c r="AD1632" s="5"/>
      <c r="AE1632" s="5"/>
      <c r="AF1632" s="5"/>
      <c r="AG1632" s="5"/>
      <c r="AH1632" s="6"/>
      <c r="AI1632" s="92"/>
      <c r="AJ1632" s="93"/>
      <c r="AK1632" s="94"/>
      <c r="AL1632" s="95"/>
      <c r="AM1632" s="56"/>
      <c r="AN1632" s="57">
        <f t="shared" si="273"/>
        <v>0</v>
      </c>
      <c r="AO1632" s="76">
        <f t="shared" si="275"/>
        <v>0</v>
      </c>
      <c r="AP1632" s="63" t="str">
        <f t="shared" si="276"/>
        <v/>
      </c>
      <c r="AQ1632" s="63" t="str">
        <f t="shared" si="277"/>
        <v/>
      </c>
      <c r="AR1632" s="63" t="str">
        <f t="shared" si="278"/>
        <v/>
      </c>
      <c r="AS1632" s="63" t="str">
        <f t="shared" si="279"/>
        <v/>
      </c>
      <c r="AT1632" s="78" t="str">
        <f t="shared" si="280"/>
        <v/>
      </c>
      <c r="AU1632" s="78" t="str">
        <f t="shared" si="281"/>
        <v/>
      </c>
      <c r="AV1632" s="64" t="str">
        <f ca="1">IFERROR(__xludf.DUMMYFUNCTION("IF(TRIM(AU1632)="""","""",AU1632/INDEX(FILTER(AT$3:AT1632,TRIM(AT$3:AT1632)&lt;&gt;""""),ROWS(FILTER(AT$3:AT1632,TRIM(AT$3:AT1632)&lt;&gt;"""")))-1)"),"")</f>
        <v/>
      </c>
      <c r="AW1632" s="65" t="e">
        <f t="shared" ca="1" si="274"/>
        <v>#VALUE!</v>
      </c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</row>
    <row r="1633" spans="1:68" ht="19" x14ac:dyDescent="0.25">
      <c r="A1633" s="5"/>
      <c r="B1633" s="5"/>
      <c r="C1633" s="5"/>
      <c r="D1633" s="5"/>
      <c r="E1633" s="5"/>
      <c r="F1633" s="5"/>
      <c r="G1633" s="5"/>
      <c r="H1633" s="6"/>
      <c r="I1633" s="5"/>
      <c r="J1633" s="88"/>
      <c r="K1633" s="88"/>
      <c r="L1633" s="88"/>
      <c r="M1633" s="88"/>
      <c r="N1633" s="88"/>
      <c r="O1633" s="88"/>
      <c r="P1633" s="88"/>
      <c r="Q1633" s="89"/>
      <c r="R1633" s="88"/>
      <c r="S1633" s="88"/>
      <c r="T1633" s="90"/>
      <c r="U1633" s="6"/>
      <c r="V1633" s="92"/>
      <c r="W1633" s="77"/>
      <c r="X1633" s="91"/>
      <c r="Y1633" s="77"/>
      <c r="Z1633" s="5"/>
      <c r="AA1633" s="5"/>
      <c r="AB1633" s="5"/>
      <c r="AC1633" s="5"/>
      <c r="AD1633" s="5"/>
      <c r="AE1633" s="5"/>
      <c r="AF1633" s="5"/>
      <c r="AG1633" s="5"/>
      <c r="AH1633" s="6"/>
      <c r="AI1633" s="92"/>
      <c r="AJ1633" s="93"/>
      <c r="AK1633" s="94"/>
      <c r="AL1633" s="95"/>
      <c r="AM1633" s="56"/>
      <c r="AN1633" s="57">
        <f t="shared" si="273"/>
        <v>0</v>
      </c>
      <c r="AO1633" s="76">
        <f t="shared" si="275"/>
        <v>0</v>
      </c>
      <c r="AP1633" s="63" t="str">
        <f t="shared" si="276"/>
        <v/>
      </c>
      <c r="AQ1633" s="63" t="str">
        <f t="shared" si="277"/>
        <v/>
      </c>
      <c r="AR1633" s="63" t="str">
        <f t="shared" si="278"/>
        <v/>
      </c>
      <c r="AS1633" s="63" t="str">
        <f t="shared" si="279"/>
        <v/>
      </c>
      <c r="AT1633" s="78" t="str">
        <f t="shared" si="280"/>
        <v/>
      </c>
      <c r="AU1633" s="78" t="str">
        <f t="shared" si="281"/>
        <v/>
      </c>
      <c r="AV1633" s="64" t="str">
        <f ca="1">IFERROR(__xludf.DUMMYFUNCTION("IF(TRIM(AU1633)="""","""",AU1633/INDEX(FILTER(AT$3:AT1633,TRIM(AT$3:AT1633)&lt;&gt;""""),ROWS(FILTER(AT$3:AT1633,TRIM(AT$3:AT1633)&lt;&gt;"""")))-1)"),"")</f>
        <v/>
      </c>
      <c r="AW1633" s="65" t="e">
        <f t="shared" ca="1" si="274"/>
        <v>#VALUE!</v>
      </c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</row>
    <row r="1634" spans="1:68" ht="19" x14ac:dyDescent="0.25">
      <c r="A1634" s="5"/>
      <c r="B1634" s="5"/>
      <c r="C1634" s="5"/>
      <c r="D1634" s="5"/>
      <c r="E1634" s="5"/>
      <c r="F1634" s="5"/>
      <c r="G1634" s="5"/>
      <c r="H1634" s="6"/>
      <c r="I1634" s="5"/>
      <c r="J1634" s="88"/>
      <c r="K1634" s="88"/>
      <c r="L1634" s="88"/>
      <c r="M1634" s="88"/>
      <c r="N1634" s="88"/>
      <c r="O1634" s="88"/>
      <c r="P1634" s="88"/>
      <c r="Q1634" s="89"/>
      <c r="R1634" s="88"/>
      <c r="S1634" s="88"/>
      <c r="T1634" s="90"/>
      <c r="U1634" s="6"/>
      <c r="V1634" s="92"/>
      <c r="W1634" s="77"/>
      <c r="X1634" s="91"/>
      <c r="Y1634" s="77"/>
      <c r="Z1634" s="5"/>
      <c r="AA1634" s="5"/>
      <c r="AB1634" s="5"/>
      <c r="AC1634" s="5"/>
      <c r="AD1634" s="5"/>
      <c r="AE1634" s="5"/>
      <c r="AF1634" s="5"/>
      <c r="AG1634" s="5"/>
      <c r="AH1634" s="6"/>
      <c r="AI1634" s="92"/>
      <c r="AJ1634" s="93"/>
      <c r="AK1634" s="94"/>
      <c r="AL1634" s="95"/>
      <c r="AM1634" s="56"/>
      <c r="AN1634" s="57">
        <f t="shared" si="273"/>
        <v>0</v>
      </c>
      <c r="AO1634" s="76">
        <f t="shared" si="275"/>
        <v>0</v>
      </c>
      <c r="AP1634" s="63" t="str">
        <f t="shared" si="276"/>
        <v/>
      </c>
      <c r="AQ1634" s="63" t="str">
        <f t="shared" si="277"/>
        <v/>
      </c>
      <c r="AR1634" s="63" t="str">
        <f t="shared" si="278"/>
        <v/>
      </c>
      <c r="AS1634" s="63" t="str">
        <f t="shared" si="279"/>
        <v/>
      </c>
      <c r="AT1634" s="78" t="str">
        <f t="shared" si="280"/>
        <v/>
      </c>
      <c r="AU1634" s="78" t="str">
        <f t="shared" si="281"/>
        <v/>
      </c>
      <c r="AV1634" s="64" t="str">
        <f ca="1">IFERROR(__xludf.DUMMYFUNCTION("IF(TRIM(AU1634)="""","""",AU1634/INDEX(FILTER(AT$3:AT1634,TRIM(AT$3:AT1634)&lt;&gt;""""),ROWS(FILTER(AT$3:AT1634,TRIM(AT$3:AT1634)&lt;&gt;"""")))-1)"),"")</f>
        <v/>
      </c>
      <c r="AW1634" s="65" t="e">
        <f t="shared" ca="1" si="274"/>
        <v>#VALUE!</v>
      </c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</row>
    <row r="1635" spans="1:68" ht="19" x14ac:dyDescent="0.25">
      <c r="A1635" s="5"/>
      <c r="B1635" s="5"/>
      <c r="C1635" s="5"/>
      <c r="D1635" s="5"/>
      <c r="E1635" s="5"/>
      <c r="F1635" s="5"/>
      <c r="G1635" s="5"/>
      <c r="H1635" s="6"/>
      <c r="I1635" s="5"/>
      <c r="J1635" s="88"/>
      <c r="K1635" s="88"/>
      <c r="L1635" s="88"/>
      <c r="M1635" s="88"/>
      <c r="N1635" s="88"/>
      <c r="O1635" s="88"/>
      <c r="P1635" s="88"/>
      <c r="Q1635" s="89"/>
      <c r="R1635" s="88"/>
      <c r="S1635" s="88"/>
      <c r="T1635" s="90"/>
      <c r="U1635" s="6"/>
      <c r="V1635" s="92"/>
      <c r="W1635" s="77"/>
      <c r="X1635" s="91"/>
      <c r="Y1635" s="77"/>
      <c r="Z1635" s="5"/>
      <c r="AA1635" s="5"/>
      <c r="AB1635" s="5"/>
      <c r="AC1635" s="5"/>
      <c r="AD1635" s="5"/>
      <c r="AE1635" s="5"/>
      <c r="AF1635" s="5"/>
      <c r="AG1635" s="5"/>
      <c r="AH1635" s="6"/>
      <c r="AI1635" s="92"/>
      <c r="AJ1635" s="93"/>
      <c r="AK1635" s="94"/>
      <c r="AL1635" s="95"/>
      <c r="AM1635" s="56"/>
      <c r="AN1635" s="57">
        <f t="shared" si="273"/>
        <v>0</v>
      </c>
      <c r="AO1635" s="76">
        <f t="shared" si="275"/>
        <v>0</v>
      </c>
      <c r="AP1635" s="63" t="str">
        <f t="shared" si="276"/>
        <v/>
      </c>
      <c r="AQ1635" s="63" t="str">
        <f t="shared" si="277"/>
        <v/>
      </c>
      <c r="AR1635" s="63" t="str">
        <f t="shared" si="278"/>
        <v/>
      </c>
      <c r="AS1635" s="63" t="str">
        <f t="shared" si="279"/>
        <v/>
      </c>
      <c r="AT1635" s="78" t="str">
        <f t="shared" si="280"/>
        <v/>
      </c>
      <c r="AU1635" s="78" t="str">
        <f t="shared" si="281"/>
        <v/>
      </c>
      <c r="AV1635" s="64" t="str">
        <f ca="1">IFERROR(__xludf.DUMMYFUNCTION("IF(TRIM(AU1635)="""","""",AU1635/INDEX(FILTER(AT$3:AT1635,TRIM(AT$3:AT1635)&lt;&gt;""""),ROWS(FILTER(AT$3:AT1635,TRIM(AT$3:AT1635)&lt;&gt;"""")))-1)"),"")</f>
        <v/>
      </c>
      <c r="AW1635" s="65" t="e">
        <f t="shared" ca="1" si="274"/>
        <v>#VALUE!</v>
      </c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</row>
    <row r="1636" spans="1:68" ht="19" x14ac:dyDescent="0.25">
      <c r="A1636" s="5"/>
      <c r="B1636" s="5"/>
      <c r="C1636" s="5"/>
      <c r="D1636" s="5"/>
      <c r="E1636" s="5"/>
      <c r="F1636" s="5"/>
      <c r="G1636" s="5"/>
      <c r="H1636" s="6"/>
      <c r="I1636" s="5"/>
      <c r="J1636" s="88"/>
      <c r="K1636" s="88"/>
      <c r="L1636" s="88"/>
      <c r="M1636" s="88"/>
      <c r="N1636" s="88"/>
      <c r="O1636" s="88"/>
      <c r="P1636" s="88"/>
      <c r="Q1636" s="89"/>
      <c r="R1636" s="88"/>
      <c r="S1636" s="88"/>
      <c r="T1636" s="90"/>
      <c r="U1636" s="6"/>
      <c r="V1636" s="92"/>
      <c r="W1636" s="77"/>
      <c r="X1636" s="91"/>
      <c r="Y1636" s="77"/>
      <c r="Z1636" s="5"/>
      <c r="AA1636" s="5"/>
      <c r="AB1636" s="5"/>
      <c r="AC1636" s="5"/>
      <c r="AD1636" s="5"/>
      <c r="AE1636" s="5"/>
      <c r="AF1636" s="5"/>
      <c r="AG1636" s="5"/>
      <c r="AH1636" s="6"/>
      <c r="AI1636" s="92"/>
      <c r="AJ1636" s="93"/>
      <c r="AK1636" s="94"/>
      <c r="AL1636" s="95"/>
      <c r="AM1636" s="56"/>
      <c r="AN1636" s="57">
        <f t="shared" si="273"/>
        <v>0</v>
      </c>
      <c r="AO1636" s="76">
        <f t="shared" si="275"/>
        <v>0</v>
      </c>
      <c r="AP1636" s="63" t="str">
        <f t="shared" si="276"/>
        <v/>
      </c>
      <c r="AQ1636" s="63" t="str">
        <f t="shared" si="277"/>
        <v/>
      </c>
      <c r="AR1636" s="63" t="str">
        <f t="shared" si="278"/>
        <v/>
      </c>
      <c r="AS1636" s="63" t="str">
        <f t="shared" si="279"/>
        <v/>
      </c>
      <c r="AT1636" s="78" t="str">
        <f t="shared" si="280"/>
        <v/>
      </c>
      <c r="AU1636" s="78" t="str">
        <f t="shared" si="281"/>
        <v/>
      </c>
      <c r="AV1636" s="64" t="str">
        <f ca="1">IFERROR(__xludf.DUMMYFUNCTION("IF(TRIM(AU1636)="""","""",AU1636/INDEX(FILTER(AT$3:AT1636,TRIM(AT$3:AT1636)&lt;&gt;""""),ROWS(FILTER(AT$3:AT1636,TRIM(AT$3:AT1636)&lt;&gt;"""")))-1)"),"")</f>
        <v/>
      </c>
      <c r="AW1636" s="65" t="e">
        <f t="shared" ca="1" si="274"/>
        <v>#VALUE!</v>
      </c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</row>
    <row r="1637" spans="1:68" ht="19" x14ac:dyDescent="0.25">
      <c r="A1637" s="5"/>
      <c r="B1637" s="5"/>
      <c r="C1637" s="5"/>
      <c r="D1637" s="5"/>
      <c r="E1637" s="5"/>
      <c r="F1637" s="5"/>
      <c r="G1637" s="5"/>
      <c r="H1637" s="6"/>
      <c r="I1637" s="5"/>
      <c r="J1637" s="88"/>
      <c r="K1637" s="88"/>
      <c r="L1637" s="88"/>
      <c r="M1637" s="88"/>
      <c r="N1637" s="88"/>
      <c r="O1637" s="88"/>
      <c r="P1637" s="88"/>
      <c r="Q1637" s="89"/>
      <c r="R1637" s="88"/>
      <c r="S1637" s="88"/>
      <c r="T1637" s="90"/>
      <c r="U1637" s="6"/>
      <c r="V1637" s="92"/>
      <c r="W1637" s="77"/>
      <c r="X1637" s="91"/>
      <c r="Y1637" s="77"/>
      <c r="Z1637" s="5"/>
      <c r="AA1637" s="5"/>
      <c r="AB1637" s="5"/>
      <c r="AC1637" s="5"/>
      <c r="AD1637" s="5"/>
      <c r="AE1637" s="5"/>
      <c r="AF1637" s="5"/>
      <c r="AG1637" s="5"/>
      <c r="AH1637" s="6"/>
      <c r="AI1637" s="92"/>
      <c r="AJ1637" s="93"/>
      <c r="AK1637" s="94"/>
      <c r="AL1637" s="95"/>
      <c r="AM1637" s="56"/>
      <c r="AN1637" s="57">
        <f t="shared" si="273"/>
        <v>0</v>
      </c>
      <c r="AO1637" s="76">
        <f t="shared" si="275"/>
        <v>0</v>
      </c>
      <c r="AP1637" s="63" t="str">
        <f t="shared" si="276"/>
        <v/>
      </c>
      <c r="AQ1637" s="63" t="str">
        <f t="shared" si="277"/>
        <v/>
      </c>
      <c r="AR1637" s="63" t="str">
        <f t="shared" si="278"/>
        <v/>
      </c>
      <c r="AS1637" s="63" t="str">
        <f t="shared" si="279"/>
        <v/>
      </c>
      <c r="AT1637" s="78" t="str">
        <f t="shared" si="280"/>
        <v/>
      </c>
      <c r="AU1637" s="78" t="str">
        <f t="shared" si="281"/>
        <v/>
      </c>
      <c r="AV1637" s="64" t="str">
        <f ca="1">IFERROR(__xludf.DUMMYFUNCTION("IF(TRIM(AU1637)="""","""",AU1637/INDEX(FILTER(AT$3:AT1637,TRIM(AT$3:AT1637)&lt;&gt;""""),ROWS(FILTER(AT$3:AT1637,TRIM(AT$3:AT1637)&lt;&gt;"""")))-1)"),"")</f>
        <v/>
      </c>
      <c r="AW1637" s="65" t="e">
        <f t="shared" ca="1" si="274"/>
        <v>#VALUE!</v>
      </c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</row>
    <row r="1638" spans="1:68" ht="19" x14ac:dyDescent="0.25">
      <c r="A1638" s="5"/>
      <c r="B1638" s="5"/>
      <c r="C1638" s="5"/>
      <c r="D1638" s="5"/>
      <c r="E1638" s="5"/>
      <c r="F1638" s="5"/>
      <c r="G1638" s="5"/>
      <c r="H1638" s="6"/>
      <c r="I1638" s="5"/>
      <c r="J1638" s="88"/>
      <c r="K1638" s="88"/>
      <c r="L1638" s="88"/>
      <c r="M1638" s="88"/>
      <c r="N1638" s="88"/>
      <c r="O1638" s="88"/>
      <c r="P1638" s="88"/>
      <c r="Q1638" s="89"/>
      <c r="R1638" s="88"/>
      <c r="S1638" s="88"/>
      <c r="T1638" s="90"/>
      <c r="U1638" s="6"/>
      <c r="V1638" s="92"/>
      <c r="W1638" s="77"/>
      <c r="X1638" s="91"/>
      <c r="Y1638" s="77"/>
      <c r="Z1638" s="5"/>
      <c r="AA1638" s="5"/>
      <c r="AB1638" s="5"/>
      <c r="AC1638" s="5"/>
      <c r="AD1638" s="5"/>
      <c r="AE1638" s="5"/>
      <c r="AF1638" s="5"/>
      <c r="AG1638" s="5"/>
      <c r="AH1638" s="6"/>
      <c r="AI1638" s="92"/>
      <c r="AJ1638" s="93"/>
      <c r="AK1638" s="94"/>
      <c r="AL1638" s="95"/>
      <c r="AM1638" s="56"/>
      <c r="AN1638" s="57">
        <f t="shared" si="273"/>
        <v>0</v>
      </c>
      <c r="AO1638" s="76">
        <f t="shared" si="275"/>
        <v>0</v>
      </c>
      <c r="AP1638" s="63" t="str">
        <f t="shared" si="276"/>
        <v/>
      </c>
      <c r="AQ1638" s="63" t="str">
        <f t="shared" si="277"/>
        <v/>
      </c>
      <c r="AR1638" s="63" t="str">
        <f t="shared" si="278"/>
        <v/>
      </c>
      <c r="AS1638" s="63" t="str">
        <f t="shared" si="279"/>
        <v/>
      </c>
      <c r="AT1638" s="78" t="str">
        <f t="shared" si="280"/>
        <v/>
      </c>
      <c r="AU1638" s="78" t="str">
        <f t="shared" si="281"/>
        <v/>
      </c>
      <c r="AV1638" s="64" t="str">
        <f ca="1">IFERROR(__xludf.DUMMYFUNCTION("IF(TRIM(AU1638)="""","""",AU1638/INDEX(FILTER(AT$3:AT1638,TRIM(AT$3:AT1638)&lt;&gt;""""),ROWS(FILTER(AT$3:AT1638,TRIM(AT$3:AT1638)&lt;&gt;"""")))-1)"),"")</f>
        <v/>
      </c>
      <c r="AW1638" s="65" t="e">
        <f t="shared" ca="1" si="274"/>
        <v>#VALUE!</v>
      </c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</row>
    <row r="1639" spans="1:68" ht="19" x14ac:dyDescent="0.25">
      <c r="A1639" s="5"/>
      <c r="B1639" s="5"/>
      <c r="C1639" s="5"/>
      <c r="D1639" s="5"/>
      <c r="E1639" s="5"/>
      <c r="F1639" s="5"/>
      <c r="G1639" s="5"/>
      <c r="H1639" s="6"/>
      <c r="I1639" s="5"/>
      <c r="J1639" s="88"/>
      <c r="K1639" s="88"/>
      <c r="L1639" s="88"/>
      <c r="M1639" s="88"/>
      <c r="N1639" s="88"/>
      <c r="O1639" s="88"/>
      <c r="P1639" s="88"/>
      <c r="Q1639" s="89"/>
      <c r="R1639" s="88"/>
      <c r="S1639" s="88"/>
      <c r="T1639" s="90"/>
      <c r="U1639" s="6"/>
      <c r="V1639" s="92"/>
      <c r="W1639" s="77"/>
      <c r="X1639" s="91"/>
      <c r="Y1639" s="77"/>
      <c r="Z1639" s="5"/>
      <c r="AA1639" s="5"/>
      <c r="AB1639" s="5"/>
      <c r="AC1639" s="5"/>
      <c r="AD1639" s="5"/>
      <c r="AE1639" s="5"/>
      <c r="AF1639" s="5"/>
      <c r="AG1639" s="5"/>
      <c r="AH1639" s="6"/>
      <c r="AI1639" s="92"/>
      <c r="AJ1639" s="93"/>
      <c r="AK1639" s="94"/>
      <c r="AL1639" s="95"/>
      <c r="AM1639" s="56"/>
      <c r="AN1639" s="57">
        <f t="shared" si="273"/>
        <v>0</v>
      </c>
      <c r="AO1639" s="76">
        <f t="shared" si="275"/>
        <v>0</v>
      </c>
      <c r="AP1639" s="63" t="str">
        <f t="shared" si="276"/>
        <v/>
      </c>
      <c r="AQ1639" s="63" t="str">
        <f t="shared" si="277"/>
        <v/>
      </c>
      <c r="AR1639" s="63" t="str">
        <f t="shared" si="278"/>
        <v/>
      </c>
      <c r="AS1639" s="63" t="str">
        <f t="shared" si="279"/>
        <v/>
      </c>
      <c r="AT1639" s="78" t="str">
        <f t="shared" si="280"/>
        <v/>
      </c>
      <c r="AU1639" s="78" t="str">
        <f t="shared" si="281"/>
        <v/>
      </c>
      <c r="AV1639" s="64" t="str">
        <f ca="1">IFERROR(__xludf.DUMMYFUNCTION("IF(TRIM(AU1639)="""","""",AU1639/INDEX(FILTER(AT$3:AT1639,TRIM(AT$3:AT1639)&lt;&gt;""""),ROWS(FILTER(AT$3:AT1639,TRIM(AT$3:AT1639)&lt;&gt;"""")))-1)"),"")</f>
        <v/>
      </c>
      <c r="AW1639" s="65" t="e">
        <f t="shared" ca="1" si="274"/>
        <v>#VALUE!</v>
      </c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</row>
    <row r="1640" spans="1:68" ht="19" x14ac:dyDescent="0.25">
      <c r="A1640" s="5"/>
      <c r="B1640" s="5"/>
      <c r="C1640" s="5"/>
      <c r="D1640" s="5"/>
      <c r="E1640" s="5"/>
      <c r="F1640" s="5"/>
      <c r="G1640" s="5"/>
      <c r="H1640" s="6"/>
      <c r="I1640" s="5"/>
      <c r="J1640" s="88"/>
      <c r="K1640" s="88"/>
      <c r="L1640" s="88"/>
      <c r="M1640" s="88"/>
      <c r="N1640" s="88"/>
      <c r="O1640" s="88"/>
      <c r="P1640" s="88"/>
      <c r="Q1640" s="89"/>
      <c r="R1640" s="88"/>
      <c r="S1640" s="88"/>
      <c r="T1640" s="90"/>
      <c r="U1640" s="6"/>
      <c r="V1640" s="92"/>
      <c r="W1640" s="77"/>
      <c r="X1640" s="91"/>
      <c r="Y1640" s="77"/>
      <c r="Z1640" s="5"/>
      <c r="AA1640" s="5"/>
      <c r="AB1640" s="5"/>
      <c r="AC1640" s="5"/>
      <c r="AD1640" s="5"/>
      <c r="AE1640" s="5"/>
      <c r="AF1640" s="5"/>
      <c r="AG1640" s="5"/>
      <c r="AH1640" s="6"/>
      <c r="AI1640" s="92"/>
      <c r="AJ1640" s="93"/>
      <c r="AK1640" s="94"/>
      <c r="AL1640" s="95"/>
      <c r="AM1640" s="56"/>
      <c r="AN1640" s="57">
        <f t="shared" si="273"/>
        <v>0</v>
      </c>
      <c r="AO1640" s="76">
        <f t="shared" si="275"/>
        <v>0</v>
      </c>
      <c r="AP1640" s="63" t="str">
        <f t="shared" si="276"/>
        <v/>
      </c>
      <c r="AQ1640" s="63" t="str">
        <f t="shared" si="277"/>
        <v/>
      </c>
      <c r="AR1640" s="63" t="str">
        <f t="shared" si="278"/>
        <v/>
      </c>
      <c r="AS1640" s="63" t="str">
        <f t="shared" si="279"/>
        <v/>
      </c>
      <c r="AT1640" s="78" t="str">
        <f t="shared" si="280"/>
        <v/>
      </c>
      <c r="AU1640" s="78" t="str">
        <f t="shared" si="281"/>
        <v/>
      </c>
      <c r="AV1640" s="64" t="str">
        <f ca="1">IFERROR(__xludf.DUMMYFUNCTION("IF(TRIM(AU1640)="""","""",AU1640/INDEX(FILTER(AT$3:AT1640,TRIM(AT$3:AT1640)&lt;&gt;""""),ROWS(FILTER(AT$3:AT1640,TRIM(AT$3:AT1640)&lt;&gt;"""")))-1)"),"")</f>
        <v/>
      </c>
      <c r="AW1640" s="65" t="e">
        <f t="shared" ca="1" si="274"/>
        <v>#VALUE!</v>
      </c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</row>
    <row r="1641" spans="1:68" ht="19" x14ac:dyDescent="0.25">
      <c r="A1641" s="5"/>
      <c r="B1641" s="5"/>
      <c r="C1641" s="5"/>
      <c r="D1641" s="5"/>
      <c r="E1641" s="5"/>
      <c r="F1641" s="5"/>
      <c r="G1641" s="5"/>
      <c r="H1641" s="6"/>
      <c r="I1641" s="5"/>
      <c r="J1641" s="88"/>
      <c r="K1641" s="88"/>
      <c r="L1641" s="88"/>
      <c r="M1641" s="88"/>
      <c r="N1641" s="88"/>
      <c r="O1641" s="88"/>
      <c r="P1641" s="88"/>
      <c r="Q1641" s="89"/>
      <c r="R1641" s="88"/>
      <c r="S1641" s="88"/>
      <c r="T1641" s="90"/>
      <c r="U1641" s="6"/>
      <c r="V1641" s="92"/>
      <c r="W1641" s="77"/>
      <c r="X1641" s="91"/>
      <c r="Y1641" s="77"/>
      <c r="Z1641" s="5"/>
      <c r="AA1641" s="5"/>
      <c r="AB1641" s="5"/>
      <c r="AC1641" s="5"/>
      <c r="AD1641" s="5"/>
      <c r="AE1641" s="5"/>
      <c r="AF1641" s="5"/>
      <c r="AG1641" s="5"/>
      <c r="AH1641" s="6"/>
      <c r="AI1641" s="92"/>
      <c r="AJ1641" s="93"/>
      <c r="AK1641" s="94"/>
      <c r="AL1641" s="95"/>
      <c r="AM1641" s="56"/>
      <c r="AN1641" s="57">
        <f t="shared" si="273"/>
        <v>0</v>
      </c>
      <c r="AO1641" s="76">
        <f t="shared" si="275"/>
        <v>0</v>
      </c>
      <c r="AP1641" s="63" t="str">
        <f t="shared" si="276"/>
        <v/>
      </c>
      <c r="AQ1641" s="63" t="str">
        <f t="shared" si="277"/>
        <v/>
      </c>
      <c r="AR1641" s="63" t="str">
        <f t="shared" si="278"/>
        <v/>
      </c>
      <c r="AS1641" s="63" t="str">
        <f t="shared" si="279"/>
        <v/>
      </c>
      <c r="AT1641" s="78" t="str">
        <f t="shared" si="280"/>
        <v/>
      </c>
      <c r="AU1641" s="78" t="str">
        <f t="shared" si="281"/>
        <v/>
      </c>
      <c r="AV1641" s="64" t="str">
        <f ca="1">IFERROR(__xludf.DUMMYFUNCTION("IF(TRIM(AU1641)="""","""",AU1641/INDEX(FILTER(AT$3:AT1641,TRIM(AT$3:AT1641)&lt;&gt;""""),ROWS(FILTER(AT$3:AT1641,TRIM(AT$3:AT1641)&lt;&gt;"""")))-1)"),"")</f>
        <v/>
      </c>
      <c r="AW1641" s="65" t="e">
        <f t="shared" ca="1" si="274"/>
        <v>#VALUE!</v>
      </c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</row>
    <row r="1642" spans="1:68" ht="19" x14ac:dyDescent="0.25">
      <c r="A1642" s="5"/>
      <c r="B1642" s="5"/>
      <c r="C1642" s="5"/>
      <c r="D1642" s="5"/>
      <c r="E1642" s="5"/>
      <c r="F1642" s="5"/>
      <c r="G1642" s="5"/>
      <c r="H1642" s="6"/>
      <c r="I1642" s="5"/>
      <c r="J1642" s="88"/>
      <c r="K1642" s="88"/>
      <c r="L1642" s="88"/>
      <c r="M1642" s="88"/>
      <c r="N1642" s="88"/>
      <c r="O1642" s="88"/>
      <c r="P1642" s="88"/>
      <c r="Q1642" s="89"/>
      <c r="R1642" s="88"/>
      <c r="S1642" s="88"/>
      <c r="T1642" s="90"/>
      <c r="U1642" s="6"/>
      <c r="V1642" s="92"/>
      <c r="W1642" s="77"/>
      <c r="X1642" s="91"/>
      <c r="Y1642" s="77"/>
      <c r="Z1642" s="5"/>
      <c r="AA1642" s="5"/>
      <c r="AB1642" s="5"/>
      <c r="AC1642" s="5"/>
      <c r="AD1642" s="5"/>
      <c r="AE1642" s="5"/>
      <c r="AF1642" s="5"/>
      <c r="AG1642" s="5"/>
      <c r="AH1642" s="6"/>
      <c r="AI1642" s="92"/>
      <c r="AJ1642" s="93"/>
      <c r="AK1642" s="94"/>
      <c r="AL1642" s="95"/>
      <c r="AM1642" s="56"/>
      <c r="AN1642" s="57">
        <f t="shared" si="273"/>
        <v>0</v>
      </c>
      <c r="AO1642" s="76">
        <f t="shared" si="275"/>
        <v>0</v>
      </c>
      <c r="AP1642" s="63" t="str">
        <f t="shared" si="276"/>
        <v/>
      </c>
      <c r="AQ1642" s="63" t="str">
        <f t="shared" si="277"/>
        <v/>
      </c>
      <c r="AR1642" s="63" t="str">
        <f t="shared" si="278"/>
        <v/>
      </c>
      <c r="AS1642" s="63" t="str">
        <f t="shared" si="279"/>
        <v/>
      </c>
      <c r="AT1642" s="78" t="str">
        <f t="shared" si="280"/>
        <v/>
      </c>
      <c r="AU1642" s="78" t="str">
        <f t="shared" si="281"/>
        <v/>
      </c>
      <c r="AV1642" s="64" t="str">
        <f ca="1">IFERROR(__xludf.DUMMYFUNCTION("IF(TRIM(AU1642)="""","""",AU1642/INDEX(FILTER(AT$3:AT1642,TRIM(AT$3:AT1642)&lt;&gt;""""),ROWS(FILTER(AT$3:AT1642,TRIM(AT$3:AT1642)&lt;&gt;"""")))-1)"),"")</f>
        <v/>
      </c>
      <c r="AW1642" s="65" t="e">
        <f t="shared" ca="1" si="274"/>
        <v>#VALUE!</v>
      </c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</row>
    <row r="1643" spans="1:68" ht="19" x14ac:dyDescent="0.25">
      <c r="A1643" s="5"/>
      <c r="B1643" s="5"/>
      <c r="C1643" s="5"/>
      <c r="D1643" s="5"/>
      <c r="E1643" s="5"/>
      <c r="F1643" s="5"/>
      <c r="G1643" s="5"/>
      <c r="H1643" s="6"/>
      <c r="I1643" s="5"/>
      <c r="J1643" s="88"/>
      <c r="K1643" s="88"/>
      <c r="L1643" s="88"/>
      <c r="M1643" s="88"/>
      <c r="N1643" s="88"/>
      <c r="O1643" s="88"/>
      <c r="P1643" s="88"/>
      <c r="Q1643" s="89"/>
      <c r="R1643" s="88"/>
      <c r="S1643" s="88"/>
      <c r="T1643" s="90"/>
      <c r="U1643" s="6"/>
      <c r="V1643" s="92"/>
      <c r="W1643" s="77"/>
      <c r="X1643" s="91"/>
      <c r="Y1643" s="77"/>
      <c r="Z1643" s="5"/>
      <c r="AA1643" s="5"/>
      <c r="AB1643" s="5"/>
      <c r="AC1643" s="5"/>
      <c r="AD1643" s="5"/>
      <c r="AE1643" s="5"/>
      <c r="AF1643" s="5"/>
      <c r="AG1643" s="5"/>
      <c r="AH1643" s="6"/>
      <c r="AI1643" s="92"/>
      <c r="AJ1643" s="93"/>
      <c r="AK1643" s="94"/>
      <c r="AL1643" s="95"/>
      <c r="AM1643" s="56"/>
      <c r="AN1643" s="57">
        <f t="shared" si="273"/>
        <v>0</v>
      </c>
      <c r="AO1643" s="76">
        <f t="shared" si="275"/>
        <v>0</v>
      </c>
      <c r="AP1643" s="63" t="str">
        <f t="shared" si="276"/>
        <v/>
      </c>
      <c r="AQ1643" s="63" t="str">
        <f t="shared" si="277"/>
        <v/>
      </c>
      <c r="AR1643" s="63" t="str">
        <f t="shared" si="278"/>
        <v/>
      </c>
      <c r="AS1643" s="63" t="str">
        <f t="shared" si="279"/>
        <v/>
      </c>
      <c r="AT1643" s="78" t="str">
        <f t="shared" si="280"/>
        <v/>
      </c>
      <c r="AU1643" s="78" t="str">
        <f t="shared" si="281"/>
        <v/>
      </c>
      <c r="AV1643" s="64" t="str">
        <f ca="1">IFERROR(__xludf.DUMMYFUNCTION("IF(TRIM(AU1643)="""","""",AU1643/INDEX(FILTER(AT$3:AT1643,TRIM(AT$3:AT1643)&lt;&gt;""""),ROWS(FILTER(AT$3:AT1643,TRIM(AT$3:AT1643)&lt;&gt;"""")))-1)"),"")</f>
        <v/>
      </c>
      <c r="AW1643" s="65" t="e">
        <f t="shared" ca="1" si="274"/>
        <v>#VALUE!</v>
      </c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</row>
    <row r="1644" spans="1:68" ht="19" x14ac:dyDescent="0.25">
      <c r="A1644" s="5"/>
      <c r="B1644" s="5"/>
      <c r="C1644" s="5"/>
      <c r="D1644" s="5"/>
      <c r="E1644" s="5"/>
      <c r="F1644" s="5"/>
      <c r="G1644" s="5"/>
      <c r="H1644" s="6"/>
      <c r="I1644" s="5"/>
      <c r="J1644" s="88"/>
      <c r="K1644" s="88"/>
      <c r="L1644" s="88"/>
      <c r="M1644" s="88"/>
      <c r="N1644" s="88"/>
      <c r="O1644" s="88"/>
      <c r="P1644" s="88"/>
      <c r="Q1644" s="89"/>
      <c r="R1644" s="88"/>
      <c r="S1644" s="88"/>
      <c r="T1644" s="90"/>
      <c r="U1644" s="6"/>
      <c r="V1644" s="92"/>
      <c r="W1644" s="77"/>
      <c r="X1644" s="91"/>
      <c r="Y1644" s="77"/>
      <c r="Z1644" s="5"/>
      <c r="AA1644" s="5"/>
      <c r="AB1644" s="5"/>
      <c r="AC1644" s="5"/>
      <c r="AD1644" s="5"/>
      <c r="AE1644" s="5"/>
      <c r="AF1644" s="5"/>
      <c r="AG1644" s="5"/>
      <c r="AH1644" s="6"/>
      <c r="AI1644" s="92"/>
      <c r="AJ1644" s="93"/>
      <c r="AK1644" s="94"/>
      <c r="AL1644" s="95"/>
      <c r="AM1644" s="56"/>
      <c r="AN1644" s="57">
        <f t="shared" si="273"/>
        <v>0</v>
      </c>
      <c r="AO1644" s="76">
        <f t="shared" si="275"/>
        <v>0</v>
      </c>
      <c r="AP1644" s="63" t="str">
        <f t="shared" si="276"/>
        <v/>
      </c>
      <c r="AQ1644" s="63" t="str">
        <f t="shared" si="277"/>
        <v/>
      </c>
      <c r="AR1644" s="63" t="str">
        <f t="shared" si="278"/>
        <v/>
      </c>
      <c r="AS1644" s="63" t="str">
        <f t="shared" si="279"/>
        <v/>
      </c>
      <c r="AT1644" s="78" t="str">
        <f t="shared" si="280"/>
        <v/>
      </c>
      <c r="AU1644" s="78" t="str">
        <f t="shared" si="281"/>
        <v/>
      </c>
      <c r="AV1644" s="64" t="str">
        <f ca="1">IFERROR(__xludf.DUMMYFUNCTION("IF(TRIM(AU1644)="""","""",AU1644/INDEX(FILTER(AT$3:AT1644,TRIM(AT$3:AT1644)&lt;&gt;""""),ROWS(FILTER(AT$3:AT1644,TRIM(AT$3:AT1644)&lt;&gt;"""")))-1)"),"")</f>
        <v/>
      </c>
      <c r="AW1644" s="65" t="e">
        <f t="shared" ca="1" si="274"/>
        <v>#VALUE!</v>
      </c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</row>
    <row r="1645" spans="1:68" ht="19" x14ac:dyDescent="0.25">
      <c r="A1645" s="5"/>
      <c r="B1645" s="5"/>
      <c r="C1645" s="5"/>
      <c r="D1645" s="5"/>
      <c r="E1645" s="5"/>
      <c r="F1645" s="5"/>
      <c r="G1645" s="5"/>
      <c r="H1645" s="6"/>
      <c r="I1645" s="5"/>
      <c r="J1645" s="88"/>
      <c r="K1645" s="88"/>
      <c r="L1645" s="88"/>
      <c r="M1645" s="88"/>
      <c r="N1645" s="88"/>
      <c r="O1645" s="88"/>
      <c r="P1645" s="88"/>
      <c r="Q1645" s="89"/>
      <c r="R1645" s="88"/>
      <c r="S1645" s="88"/>
      <c r="T1645" s="90"/>
      <c r="U1645" s="6"/>
      <c r="V1645" s="92"/>
      <c r="W1645" s="77"/>
      <c r="X1645" s="91"/>
      <c r="Y1645" s="77"/>
      <c r="Z1645" s="5"/>
      <c r="AA1645" s="5"/>
      <c r="AB1645" s="5"/>
      <c r="AC1645" s="5"/>
      <c r="AD1645" s="5"/>
      <c r="AE1645" s="5"/>
      <c r="AF1645" s="5"/>
      <c r="AG1645" s="5"/>
      <c r="AH1645" s="6"/>
      <c r="AI1645" s="92"/>
      <c r="AJ1645" s="93"/>
      <c r="AK1645" s="94"/>
      <c r="AL1645" s="95"/>
      <c r="AM1645" s="56"/>
      <c r="AN1645" s="57">
        <f t="shared" si="273"/>
        <v>0</v>
      </c>
      <c r="AO1645" s="76">
        <f t="shared" si="275"/>
        <v>0</v>
      </c>
      <c r="AP1645" s="63" t="str">
        <f t="shared" si="276"/>
        <v/>
      </c>
      <c r="AQ1645" s="63" t="str">
        <f t="shared" si="277"/>
        <v/>
      </c>
      <c r="AR1645" s="63" t="str">
        <f t="shared" si="278"/>
        <v/>
      </c>
      <c r="AS1645" s="63" t="str">
        <f t="shared" si="279"/>
        <v/>
      </c>
      <c r="AT1645" s="78" t="str">
        <f t="shared" si="280"/>
        <v/>
      </c>
      <c r="AU1645" s="78" t="str">
        <f t="shared" si="281"/>
        <v/>
      </c>
      <c r="AV1645" s="64" t="str">
        <f ca="1">IFERROR(__xludf.DUMMYFUNCTION("IF(TRIM(AU1645)="""","""",AU1645/INDEX(FILTER(AT$3:AT1645,TRIM(AT$3:AT1645)&lt;&gt;""""),ROWS(FILTER(AT$3:AT1645,TRIM(AT$3:AT1645)&lt;&gt;"""")))-1)"),"")</f>
        <v/>
      </c>
      <c r="AW1645" s="65" t="e">
        <f t="shared" ca="1" si="274"/>
        <v>#VALUE!</v>
      </c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</row>
    <row r="1646" spans="1:68" ht="19" x14ac:dyDescent="0.25">
      <c r="A1646" s="5"/>
      <c r="B1646" s="5"/>
      <c r="C1646" s="5"/>
      <c r="D1646" s="5"/>
      <c r="E1646" s="5"/>
      <c r="F1646" s="5"/>
      <c r="G1646" s="5"/>
      <c r="H1646" s="6"/>
      <c r="I1646" s="5"/>
      <c r="J1646" s="88"/>
      <c r="K1646" s="88"/>
      <c r="L1646" s="88"/>
      <c r="M1646" s="88"/>
      <c r="N1646" s="88"/>
      <c r="O1646" s="88"/>
      <c r="P1646" s="88"/>
      <c r="Q1646" s="89"/>
      <c r="R1646" s="88"/>
      <c r="S1646" s="88"/>
      <c r="T1646" s="90"/>
      <c r="U1646" s="6"/>
      <c r="V1646" s="92"/>
      <c r="W1646" s="77"/>
      <c r="X1646" s="91"/>
      <c r="Y1646" s="77"/>
      <c r="Z1646" s="5"/>
      <c r="AA1646" s="5"/>
      <c r="AB1646" s="5"/>
      <c r="AC1646" s="5"/>
      <c r="AD1646" s="5"/>
      <c r="AE1646" s="5"/>
      <c r="AF1646" s="5"/>
      <c r="AG1646" s="5"/>
      <c r="AH1646" s="6"/>
      <c r="AI1646" s="92"/>
      <c r="AJ1646" s="93"/>
      <c r="AK1646" s="94"/>
      <c r="AL1646" s="95"/>
      <c r="AM1646" s="56"/>
      <c r="AN1646" s="57">
        <f t="shared" si="273"/>
        <v>0</v>
      </c>
      <c r="AO1646" s="76">
        <f t="shared" si="275"/>
        <v>0</v>
      </c>
      <c r="AP1646" s="63" t="str">
        <f t="shared" si="276"/>
        <v/>
      </c>
      <c r="AQ1646" s="63" t="str">
        <f t="shared" si="277"/>
        <v/>
      </c>
      <c r="AR1646" s="63" t="str">
        <f t="shared" si="278"/>
        <v/>
      </c>
      <c r="AS1646" s="63" t="str">
        <f t="shared" si="279"/>
        <v/>
      </c>
      <c r="AT1646" s="78" t="str">
        <f t="shared" si="280"/>
        <v/>
      </c>
      <c r="AU1646" s="78" t="str">
        <f t="shared" si="281"/>
        <v/>
      </c>
      <c r="AV1646" s="64" t="str">
        <f ca="1">IFERROR(__xludf.DUMMYFUNCTION("IF(TRIM(AU1646)="""","""",AU1646/INDEX(FILTER(AT$3:AT1646,TRIM(AT$3:AT1646)&lt;&gt;""""),ROWS(FILTER(AT$3:AT1646,TRIM(AT$3:AT1646)&lt;&gt;"""")))-1)"),"")</f>
        <v/>
      </c>
      <c r="AW1646" s="65" t="e">
        <f t="shared" ca="1" si="274"/>
        <v>#VALUE!</v>
      </c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</row>
    <row r="1647" spans="1:68" ht="19" x14ac:dyDescent="0.25">
      <c r="A1647" s="5"/>
      <c r="B1647" s="5"/>
      <c r="C1647" s="5"/>
      <c r="D1647" s="5"/>
      <c r="E1647" s="5"/>
      <c r="F1647" s="5"/>
      <c r="G1647" s="5"/>
      <c r="H1647" s="6"/>
      <c r="I1647" s="5"/>
      <c r="J1647" s="88"/>
      <c r="K1647" s="88"/>
      <c r="L1647" s="88"/>
      <c r="M1647" s="88"/>
      <c r="N1647" s="88"/>
      <c r="O1647" s="88"/>
      <c r="P1647" s="88"/>
      <c r="Q1647" s="89"/>
      <c r="R1647" s="88"/>
      <c r="S1647" s="88"/>
      <c r="T1647" s="90"/>
      <c r="U1647" s="6"/>
      <c r="V1647" s="92"/>
      <c r="W1647" s="77"/>
      <c r="X1647" s="91"/>
      <c r="Y1647" s="77"/>
      <c r="Z1647" s="5"/>
      <c r="AA1647" s="5"/>
      <c r="AB1647" s="5"/>
      <c r="AC1647" s="5"/>
      <c r="AD1647" s="5"/>
      <c r="AE1647" s="5"/>
      <c r="AF1647" s="5"/>
      <c r="AG1647" s="5"/>
      <c r="AH1647" s="6"/>
      <c r="AI1647" s="92"/>
      <c r="AJ1647" s="93"/>
      <c r="AK1647" s="94"/>
      <c r="AL1647" s="95"/>
      <c r="AM1647" s="56"/>
      <c r="AN1647" s="57">
        <f t="shared" si="273"/>
        <v>0</v>
      </c>
      <c r="AO1647" s="76">
        <f t="shared" si="275"/>
        <v>0</v>
      </c>
      <c r="AP1647" s="63" t="str">
        <f t="shared" si="276"/>
        <v/>
      </c>
      <c r="AQ1647" s="63" t="str">
        <f t="shared" si="277"/>
        <v/>
      </c>
      <c r="AR1647" s="63" t="str">
        <f t="shared" si="278"/>
        <v/>
      </c>
      <c r="AS1647" s="63" t="str">
        <f t="shared" si="279"/>
        <v/>
      </c>
      <c r="AT1647" s="78" t="str">
        <f t="shared" si="280"/>
        <v/>
      </c>
      <c r="AU1647" s="78" t="str">
        <f t="shared" si="281"/>
        <v/>
      </c>
      <c r="AV1647" s="64" t="str">
        <f ca="1">IFERROR(__xludf.DUMMYFUNCTION("IF(TRIM(AU1647)="""","""",AU1647/INDEX(FILTER(AT$3:AT1647,TRIM(AT$3:AT1647)&lt;&gt;""""),ROWS(FILTER(AT$3:AT1647,TRIM(AT$3:AT1647)&lt;&gt;"""")))-1)"),"")</f>
        <v/>
      </c>
      <c r="AW1647" s="65" t="e">
        <f t="shared" ca="1" si="274"/>
        <v>#VALUE!</v>
      </c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</row>
    <row r="1648" spans="1:68" ht="19" x14ac:dyDescent="0.25">
      <c r="A1648" s="5"/>
      <c r="B1648" s="5"/>
      <c r="C1648" s="5"/>
      <c r="D1648" s="5"/>
      <c r="E1648" s="5"/>
      <c r="F1648" s="5"/>
      <c r="G1648" s="5"/>
      <c r="H1648" s="6"/>
      <c r="I1648" s="5"/>
      <c r="J1648" s="88"/>
      <c r="K1648" s="88"/>
      <c r="L1648" s="88"/>
      <c r="M1648" s="88"/>
      <c r="N1648" s="88"/>
      <c r="O1648" s="88"/>
      <c r="P1648" s="88"/>
      <c r="Q1648" s="89"/>
      <c r="R1648" s="88"/>
      <c r="S1648" s="88"/>
      <c r="T1648" s="90"/>
      <c r="U1648" s="6"/>
      <c r="V1648" s="92"/>
      <c r="W1648" s="77"/>
      <c r="X1648" s="91"/>
      <c r="Y1648" s="77"/>
      <c r="Z1648" s="5"/>
      <c r="AA1648" s="5"/>
      <c r="AB1648" s="5"/>
      <c r="AC1648" s="5"/>
      <c r="AD1648" s="5"/>
      <c r="AE1648" s="5"/>
      <c r="AF1648" s="5"/>
      <c r="AG1648" s="5"/>
      <c r="AH1648" s="6"/>
      <c r="AI1648" s="92"/>
      <c r="AJ1648" s="93"/>
      <c r="AK1648" s="94"/>
      <c r="AL1648" s="95"/>
      <c r="AM1648" s="56"/>
      <c r="AN1648" s="57">
        <f t="shared" si="273"/>
        <v>0</v>
      </c>
      <c r="AO1648" s="76">
        <f t="shared" si="275"/>
        <v>0</v>
      </c>
      <c r="AP1648" s="63" t="str">
        <f t="shared" si="276"/>
        <v/>
      </c>
      <c r="AQ1648" s="63" t="str">
        <f t="shared" si="277"/>
        <v/>
      </c>
      <c r="AR1648" s="63" t="str">
        <f t="shared" si="278"/>
        <v/>
      </c>
      <c r="AS1648" s="63" t="str">
        <f t="shared" si="279"/>
        <v/>
      </c>
      <c r="AT1648" s="78" t="str">
        <f t="shared" si="280"/>
        <v/>
      </c>
      <c r="AU1648" s="78" t="str">
        <f t="shared" si="281"/>
        <v/>
      </c>
      <c r="AV1648" s="64" t="str">
        <f ca="1">IFERROR(__xludf.DUMMYFUNCTION("IF(TRIM(AU1648)="""","""",AU1648/INDEX(FILTER(AT$3:AT1648,TRIM(AT$3:AT1648)&lt;&gt;""""),ROWS(FILTER(AT$3:AT1648,TRIM(AT$3:AT1648)&lt;&gt;"""")))-1)"),"")</f>
        <v/>
      </c>
      <c r="AW1648" s="65" t="e">
        <f t="shared" ca="1" si="274"/>
        <v>#VALUE!</v>
      </c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</row>
    <row r="1649" spans="1:68" ht="19" x14ac:dyDescent="0.25">
      <c r="A1649" s="5"/>
      <c r="B1649" s="5"/>
      <c r="C1649" s="5"/>
      <c r="D1649" s="5"/>
      <c r="E1649" s="5"/>
      <c r="F1649" s="5"/>
      <c r="G1649" s="5"/>
      <c r="H1649" s="6"/>
      <c r="I1649" s="5"/>
      <c r="J1649" s="88"/>
      <c r="K1649" s="88"/>
      <c r="L1649" s="88"/>
      <c r="M1649" s="88"/>
      <c r="N1649" s="88"/>
      <c r="O1649" s="88"/>
      <c r="P1649" s="88"/>
      <c r="Q1649" s="89"/>
      <c r="R1649" s="88"/>
      <c r="S1649" s="88"/>
      <c r="T1649" s="90"/>
      <c r="U1649" s="6"/>
      <c r="V1649" s="92"/>
      <c r="W1649" s="77"/>
      <c r="X1649" s="91"/>
      <c r="Y1649" s="77"/>
      <c r="Z1649" s="5"/>
      <c r="AA1649" s="5"/>
      <c r="AB1649" s="5"/>
      <c r="AC1649" s="5"/>
      <c r="AD1649" s="5"/>
      <c r="AE1649" s="5"/>
      <c r="AF1649" s="5"/>
      <c r="AG1649" s="5"/>
      <c r="AH1649" s="6"/>
      <c r="AI1649" s="92"/>
      <c r="AJ1649" s="93"/>
      <c r="AK1649" s="94"/>
      <c r="AL1649" s="95"/>
      <c r="AM1649" s="56"/>
      <c r="AN1649" s="57">
        <f t="shared" si="273"/>
        <v>0</v>
      </c>
      <c r="AO1649" s="76">
        <f t="shared" si="275"/>
        <v>0</v>
      </c>
      <c r="AP1649" s="63" t="str">
        <f t="shared" si="276"/>
        <v/>
      </c>
      <c r="AQ1649" s="63" t="str">
        <f t="shared" si="277"/>
        <v/>
      </c>
      <c r="AR1649" s="63" t="str">
        <f t="shared" si="278"/>
        <v/>
      </c>
      <c r="AS1649" s="63" t="str">
        <f t="shared" si="279"/>
        <v/>
      </c>
      <c r="AT1649" s="78" t="str">
        <f t="shared" si="280"/>
        <v/>
      </c>
      <c r="AU1649" s="78" t="str">
        <f t="shared" si="281"/>
        <v/>
      </c>
      <c r="AV1649" s="64" t="str">
        <f ca="1">IFERROR(__xludf.DUMMYFUNCTION("IF(TRIM(AU1649)="""","""",AU1649/INDEX(FILTER(AT$3:AT1649,TRIM(AT$3:AT1649)&lt;&gt;""""),ROWS(FILTER(AT$3:AT1649,TRIM(AT$3:AT1649)&lt;&gt;"""")))-1)"),"")</f>
        <v/>
      </c>
      <c r="AW1649" s="65" t="e">
        <f t="shared" ca="1" si="274"/>
        <v>#VALUE!</v>
      </c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</row>
    <row r="1650" spans="1:68" ht="19" x14ac:dyDescent="0.25">
      <c r="A1650" s="5"/>
      <c r="B1650" s="5"/>
      <c r="C1650" s="5"/>
      <c r="D1650" s="5"/>
      <c r="E1650" s="5"/>
      <c r="F1650" s="5"/>
      <c r="G1650" s="5"/>
      <c r="H1650" s="6"/>
      <c r="I1650" s="5"/>
      <c r="J1650" s="88"/>
      <c r="K1650" s="88"/>
      <c r="L1650" s="88"/>
      <c r="M1650" s="88"/>
      <c r="N1650" s="88"/>
      <c r="O1650" s="88"/>
      <c r="P1650" s="88"/>
      <c r="Q1650" s="89"/>
      <c r="R1650" s="88"/>
      <c r="S1650" s="88"/>
      <c r="T1650" s="90"/>
      <c r="U1650" s="6"/>
      <c r="V1650" s="92"/>
      <c r="W1650" s="77"/>
      <c r="X1650" s="91"/>
      <c r="Y1650" s="77"/>
      <c r="Z1650" s="5"/>
      <c r="AA1650" s="5"/>
      <c r="AB1650" s="5"/>
      <c r="AC1650" s="5"/>
      <c r="AD1650" s="5"/>
      <c r="AE1650" s="5"/>
      <c r="AF1650" s="5"/>
      <c r="AG1650" s="5"/>
      <c r="AH1650" s="6"/>
      <c r="AI1650" s="92"/>
      <c r="AJ1650" s="93"/>
      <c r="AK1650" s="94"/>
      <c r="AL1650" s="95"/>
      <c r="AM1650" s="56"/>
      <c r="AN1650" s="57">
        <f t="shared" si="273"/>
        <v>0</v>
      </c>
      <c r="AO1650" s="76">
        <f t="shared" si="275"/>
        <v>0</v>
      </c>
      <c r="AP1650" s="63" t="str">
        <f t="shared" si="276"/>
        <v/>
      </c>
      <c r="AQ1650" s="63" t="str">
        <f t="shared" si="277"/>
        <v/>
      </c>
      <c r="AR1650" s="63" t="str">
        <f t="shared" si="278"/>
        <v/>
      </c>
      <c r="AS1650" s="63" t="str">
        <f t="shared" si="279"/>
        <v/>
      </c>
      <c r="AT1650" s="78" t="str">
        <f t="shared" si="280"/>
        <v/>
      </c>
      <c r="AU1650" s="78" t="str">
        <f t="shared" si="281"/>
        <v/>
      </c>
      <c r="AV1650" s="64" t="str">
        <f ca="1">IFERROR(__xludf.DUMMYFUNCTION("IF(TRIM(AU1650)="""","""",AU1650/INDEX(FILTER(AT$3:AT1650,TRIM(AT$3:AT1650)&lt;&gt;""""),ROWS(FILTER(AT$3:AT1650,TRIM(AT$3:AT1650)&lt;&gt;"""")))-1)"),"")</f>
        <v/>
      </c>
      <c r="AW1650" s="65" t="e">
        <f t="shared" ca="1" si="274"/>
        <v>#VALUE!</v>
      </c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</row>
    <row r="1651" spans="1:68" ht="19" x14ac:dyDescent="0.25">
      <c r="A1651" s="5"/>
      <c r="B1651" s="5"/>
      <c r="C1651" s="5"/>
      <c r="D1651" s="5"/>
      <c r="E1651" s="5"/>
      <c r="F1651" s="5"/>
      <c r="G1651" s="5"/>
      <c r="H1651" s="6"/>
      <c r="I1651" s="5"/>
      <c r="J1651" s="88"/>
      <c r="K1651" s="88"/>
      <c r="L1651" s="88"/>
      <c r="M1651" s="88"/>
      <c r="N1651" s="88"/>
      <c r="O1651" s="88"/>
      <c r="P1651" s="88"/>
      <c r="Q1651" s="89"/>
      <c r="R1651" s="88"/>
      <c r="S1651" s="88"/>
      <c r="T1651" s="90"/>
      <c r="U1651" s="6"/>
      <c r="V1651" s="92"/>
      <c r="W1651" s="77"/>
      <c r="X1651" s="91"/>
      <c r="Y1651" s="77"/>
      <c r="Z1651" s="5"/>
      <c r="AA1651" s="5"/>
      <c r="AB1651" s="5"/>
      <c r="AC1651" s="5"/>
      <c r="AD1651" s="5"/>
      <c r="AE1651" s="5"/>
      <c r="AF1651" s="5"/>
      <c r="AG1651" s="5"/>
      <c r="AH1651" s="6"/>
      <c r="AI1651" s="92"/>
      <c r="AJ1651" s="93"/>
      <c r="AK1651" s="94"/>
      <c r="AL1651" s="95"/>
      <c r="AM1651" s="56"/>
      <c r="AN1651" s="57">
        <f t="shared" si="273"/>
        <v>0</v>
      </c>
      <c r="AO1651" s="76">
        <f t="shared" si="275"/>
        <v>0</v>
      </c>
      <c r="AP1651" s="63" t="str">
        <f t="shared" si="276"/>
        <v/>
      </c>
      <c r="AQ1651" s="63" t="str">
        <f t="shared" si="277"/>
        <v/>
      </c>
      <c r="AR1651" s="63" t="str">
        <f t="shared" si="278"/>
        <v/>
      </c>
      <c r="AS1651" s="63" t="str">
        <f t="shared" si="279"/>
        <v/>
      </c>
      <c r="AT1651" s="78" t="str">
        <f t="shared" si="280"/>
        <v/>
      </c>
      <c r="AU1651" s="78" t="str">
        <f t="shared" si="281"/>
        <v/>
      </c>
      <c r="AV1651" s="64" t="str">
        <f ca="1">IFERROR(__xludf.DUMMYFUNCTION("IF(TRIM(AU1651)="""","""",AU1651/INDEX(FILTER(AT$3:AT1651,TRIM(AT$3:AT1651)&lt;&gt;""""),ROWS(FILTER(AT$3:AT1651,TRIM(AT$3:AT1651)&lt;&gt;"""")))-1)"),"")</f>
        <v/>
      </c>
      <c r="AW1651" s="65" t="e">
        <f t="shared" ca="1" si="274"/>
        <v>#VALUE!</v>
      </c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</row>
    <row r="1652" spans="1:68" ht="19" x14ac:dyDescent="0.25">
      <c r="A1652" s="5"/>
      <c r="B1652" s="5"/>
      <c r="C1652" s="5"/>
      <c r="D1652" s="5"/>
      <c r="E1652" s="5"/>
      <c r="F1652" s="5"/>
      <c r="G1652" s="5"/>
      <c r="H1652" s="6"/>
      <c r="I1652" s="5"/>
      <c r="J1652" s="88"/>
      <c r="K1652" s="88"/>
      <c r="L1652" s="88"/>
      <c r="M1652" s="88"/>
      <c r="N1652" s="88"/>
      <c r="O1652" s="88"/>
      <c r="P1652" s="88"/>
      <c r="Q1652" s="89"/>
      <c r="R1652" s="88"/>
      <c r="S1652" s="88"/>
      <c r="T1652" s="90"/>
      <c r="U1652" s="6"/>
      <c r="V1652" s="92"/>
      <c r="W1652" s="77"/>
      <c r="X1652" s="91"/>
      <c r="Y1652" s="77"/>
      <c r="Z1652" s="5"/>
      <c r="AA1652" s="5"/>
      <c r="AB1652" s="5"/>
      <c r="AC1652" s="5"/>
      <c r="AD1652" s="5"/>
      <c r="AE1652" s="5"/>
      <c r="AF1652" s="5"/>
      <c r="AG1652" s="5"/>
      <c r="AH1652" s="6"/>
      <c r="AI1652" s="92"/>
      <c r="AJ1652" s="93"/>
      <c r="AK1652" s="94"/>
      <c r="AL1652" s="95"/>
      <c r="AM1652" s="56"/>
      <c r="AN1652" s="57">
        <f t="shared" si="273"/>
        <v>0</v>
      </c>
      <c r="AO1652" s="76">
        <f t="shared" si="275"/>
        <v>0</v>
      </c>
      <c r="AP1652" s="63" t="str">
        <f t="shared" si="276"/>
        <v/>
      </c>
      <c r="AQ1652" s="63" t="str">
        <f t="shared" si="277"/>
        <v/>
      </c>
      <c r="AR1652" s="63" t="str">
        <f t="shared" si="278"/>
        <v/>
      </c>
      <c r="AS1652" s="63" t="str">
        <f t="shared" si="279"/>
        <v/>
      </c>
      <c r="AT1652" s="78" t="str">
        <f t="shared" si="280"/>
        <v/>
      </c>
      <c r="AU1652" s="78" t="str">
        <f t="shared" si="281"/>
        <v/>
      </c>
      <c r="AV1652" s="64" t="str">
        <f ca="1">IFERROR(__xludf.DUMMYFUNCTION("IF(TRIM(AU1652)="""","""",AU1652/INDEX(FILTER(AT$3:AT1652,TRIM(AT$3:AT1652)&lt;&gt;""""),ROWS(FILTER(AT$3:AT1652,TRIM(AT$3:AT1652)&lt;&gt;"""")))-1)"),"")</f>
        <v/>
      </c>
      <c r="AW1652" s="65" t="e">
        <f t="shared" ca="1" si="274"/>
        <v>#VALUE!</v>
      </c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</row>
    <row r="1653" spans="1:68" ht="19" x14ac:dyDescent="0.25">
      <c r="A1653" s="5"/>
      <c r="B1653" s="5"/>
      <c r="C1653" s="5"/>
      <c r="D1653" s="5"/>
      <c r="E1653" s="5"/>
      <c r="F1653" s="5"/>
      <c r="G1653" s="5"/>
      <c r="H1653" s="6"/>
      <c r="I1653" s="5"/>
      <c r="J1653" s="88"/>
      <c r="K1653" s="88"/>
      <c r="L1653" s="88"/>
      <c r="M1653" s="88"/>
      <c r="N1653" s="88"/>
      <c r="O1653" s="88"/>
      <c r="P1653" s="88"/>
      <c r="Q1653" s="89"/>
      <c r="R1653" s="88"/>
      <c r="S1653" s="88"/>
      <c r="T1653" s="90"/>
      <c r="U1653" s="6"/>
      <c r="V1653" s="92"/>
      <c r="W1653" s="77"/>
      <c r="X1653" s="91"/>
      <c r="Y1653" s="77"/>
      <c r="Z1653" s="5"/>
      <c r="AA1653" s="5"/>
      <c r="AB1653" s="5"/>
      <c r="AC1653" s="5"/>
      <c r="AD1653" s="5"/>
      <c r="AE1653" s="5"/>
      <c r="AF1653" s="5"/>
      <c r="AG1653" s="5"/>
      <c r="AH1653" s="6"/>
      <c r="AI1653" s="92"/>
      <c r="AJ1653" s="93"/>
      <c r="AK1653" s="94"/>
      <c r="AL1653" s="95"/>
      <c r="AM1653" s="56"/>
      <c r="AN1653" s="57">
        <f t="shared" si="273"/>
        <v>0</v>
      </c>
      <c r="AO1653" s="76">
        <f t="shared" si="275"/>
        <v>0</v>
      </c>
      <c r="AP1653" s="63" t="str">
        <f t="shared" si="276"/>
        <v/>
      </c>
      <c r="AQ1653" s="63" t="str">
        <f t="shared" si="277"/>
        <v/>
      </c>
      <c r="AR1653" s="63" t="str">
        <f t="shared" si="278"/>
        <v/>
      </c>
      <c r="AS1653" s="63" t="str">
        <f t="shared" si="279"/>
        <v/>
      </c>
      <c r="AT1653" s="78" t="str">
        <f t="shared" si="280"/>
        <v/>
      </c>
      <c r="AU1653" s="78" t="str">
        <f t="shared" si="281"/>
        <v/>
      </c>
      <c r="AV1653" s="64" t="str">
        <f ca="1">IFERROR(__xludf.DUMMYFUNCTION("IF(TRIM(AU1653)="""","""",AU1653/INDEX(FILTER(AT$3:AT1653,TRIM(AT$3:AT1653)&lt;&gt;""""),ROWS(FILTER(AT$3:AT1653,TRIM(AT$3:AT1653)&lt;&gt;"""")))-1)"),"")</f>
        <v/>
      </c>
      <c r="AW1653" s="65" t="e">
        <f t="shared" ca="1" si="274"/>
        <v>#VALUE!</v>
      </c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</row>
    <row r="1654" spans="1:68" ht="19" x14ac:dyDescent="0.25">
      <c r="A1654" s="5"/>
      <c r="B1654" s="5"/>
      <c r="C1654" s="5"/>
      <c r="D1654" s="5"/>
      <c r="E1654" s="5"/>
      <c r="F1654" s="5"/>
      <c r="G1654" s="5"/>
      <c r="H1654" s="6"/>
      <c r="I1654" s="5"/>
      <c r="J1654" s="88"/>
      <c r="K1654" s="88"/>
      <c r="L1654" s="88"/>
      <c r="M1654" s="88"/>
      <c r="N1654" s="88"/>
      <c r="O1654" s="88"/>
      <c r="P1654" s="88"/>
      <c r="Q1654" s="89"/>
      <c r="R1654" s="88"/>
      <c r="S1654" s="88"/>
      <c r="T1654" s="90"/>
      <c r="U1654" s="6"/>
      <c r="V1654" s="92"/>
      <c r="W1654" s="77"/>
      <c r="X1654" s="91"/>
      <c r="Y1654" s="77"/>
      <c r="Z1654" s="5"/>
      <c r="AA1654" s="5"/>
      <c r="AB1654" s="5"/>
      <c r="AC1654" s="5"/>
      <c r="AD1654" s="5"/>
      <c r="AE1654" s="5"/>
      <c r="AF1654" s="5"/>
      <c r="AG1654" s="5"/>
      <c r="AH1654" s="6"/>
      <c r="AI1654" s="92"/>
      <c r="AJ1654" s="93"/>
      <c r="AK1654" s="94"/>
      <c r="AL1654" s="95"/>
      <c r="AM1654" s="56"/>
      <c r="AN1654" s="57">
        <f t="shared" si="273"/>
        <v>0</v>
      </c>
      <c r="AO1654" s="76">
        <f t="shared" si="275"/>
        <v>0</v>
      </c>
      <c r="AP1654" s="63" t="str">
        <f t="shared" si="276"/>
        <v/>
      </c>
      <c r="AQ1654" s="63" t="str">
        <f t="shared" si="277"/>
        <v/>
      </c>
      <c r="AR1654" s="63" t="str">
        <f t="shared" si="278"/>
        <v/>
      </c>
      <c r="AS1654" s="63" t="str">
        <f t="shared" si="279"/>
        <v/>
      </c>
      <c r="AT1654" s="78" t="str">
        <f t="shared" si="280"/>
        <v/>
      </c>
      <c r="AU1654" s="78" t="str">
        <f t="shared" si="281"/>
        <v/>
      </c>
      <c r="AV1654" s="64" t="str">
        <f ca="1">IFERROR(__xludf.DUMMYFUNCTION("IF(TRIM(AU1654)="""","""",AU1654/INDEX(FILTER(AT$3:AT1654,TRIM(AT$3:AT1654)&lt;&gt;""""),ROWS(FILTER(AT$3:AT1654,TRIM(AT$3:AT1654)&lt;&gt;"""")))-1)"),"")</f>
        <v/>
      </c>
      <c r="AW1654" s="65" t="e">
        <f t="shared" ca="1" si="274"/>
        <v>#VALUE!</v>
      </c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</row>
    <row r="1655" spans="1:68" ht="19" x14ac:dyDescent="0.25">
      <c r="A1655" s="5"/>
      <c r="B1655" s="5"/>
      <c r="C1655" s="5"/>
      <c r="D1655" s="5"/>
      <c r="E1655" s="5"/>
      <c r="F1655" s="5"/>
      <c r="G1655" s="5"/>
      <c r="H1655" s="6"/>
      <c r="I1655" s="5"/>
      <c r="J1655" s="88"/>
      <c r="K1655" s="88"/>
      <c r="L1655" s="88"/>
      <c r="M1655" s="88"/>
      <c r="N1655" s="88"/>
      <c r="O1655" s="88"/>
      <c r="P1655" s="88"/>
      <c r="Q1655" s="89"/>
      <c r="R1655" s="88"/>
      <c r="S1655" s="88"/>
      <c r="T1655" s="90"/>
      <c r="U1655" s="6"/>
      <c r="V1655" s="92"/>
      <c r="W1655" s="77"/>
      <c r="X1655" s="91"/>
      <c r="Y1655" s="77"/>
      <c r="Z1655" s="5"/>
      <c r="AA1655" s="5"/>
      <c r="AB1655" s="5"/>
      <c r="AC1655" s="5"/>
      <c r="AD1655" s="5"/>
      <c r="AE1655" s="5"/>
      <c r="AF1655" s="5"/>
      <c r="AG1655" s="5"/>
      <c r="AH1655" s="6"/>
      <c r="AI1655" s="92"/>
      <c r="AJ1655" s="93"/>
      <c r="AK1655" s="94"/>
      <c r="AL1655" s="95"/>
      <c r="AM1655" s="56"/>
      <c r="AN1655" s="57">
        <f t="shared" si="273"/>
        <v>0</v>
      </c>
      <c r="AO1655" s="76">
        <f t="shared" si="275"/>
        <v>0</v>
      </c>
      <c r="AP1655" s="63" t="str">
        <f t="shared" si="276"/>
        <v/>
      </c>
      <c r="AQ1655" s="63" t="str">
        <f t="shared" si="277"/>
        <v/>
      </c>
      <c r="AR1655" s="63" t="str">
        <f t="shared" si="278"/>
        <v/>
      </c>
      <c r="AS1655" s="63" t="str">
        <f t="shared" si="279"/>
        <v/>
      </c>
      <c r="AT1655" s="78" t="str">
        <f t="shared" si="280"/>
        <v/>
      </c>
      <c r="AU1655" s="78" t="str">
        <f t="shared" si="281"/>
        <v/>
      </c>
      <c r="AV1655" s="64" t="str">
        <f ca="1">IFERROR(__xludf.DUMMYFUNCTION("IF(TRIM(AU1655)="""","""",AU1655/INDEX(FILTER(AT$3:AT1655,TRIM(AT$3:AT1655)&lt;&gt;""""),ROWS(FILTER(AT$3:AT1655,TRIM(AT$3:AT1655)&lt;&gt;"""")))-1)"),"")</f>
        <v/>
      </c>
      <c r="AW1655" s="65" t="e">
        <f t="shared" ca="1" si="274"/>
        <v>#VALUE!</v>
      </c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</row>
    <row r="1656" spans="1:68" ht="19" x14ac:dyDescent="0.25">
      <c r="A1656" s="5"/>
      <c r="B1656" s="5"/>
      <c r="C1656" s="5"/>
      <c r="D1656" s="5"/>
      <c r="E1656" s="5"/>
      <c r="F1656" s="5"/>
      <c r="G1656" s="5"/>
      <c r="H1656" s="6"/>
      <c r="I1656" s="5"/>
      <c r="J1656" s="88"/>
      <c r="K1656" s="88"/>
      <c r="L1656" s="88"/>
      <c r="M1656" s="88"/>
      <c r="N1656" s="88"/>
      <c r="O1656" s="88"/>
      <c r="P1656" s="88"/>
      <c r="Q1656" s="89"/>
      <c r="R1656" s="88"/>
      <c r="S1656" s="88"/>
      <c r="T1656" s="90"/>
      <c r="U1656" s="6"/>
      <c r="V1656" s="92"/>
      <c r="W1656" s="77"/>
      <c r="X1656" s="91"/>
      <c r="Y1656" s="77"/>
      <c r="Z1656" s="5"/>
      <c r="AA1656" s="5"/>
      <c r="AB1656" s="5"/>
      <c r="AC1656" s="5"/>
      <c r="AD1656" s="5"/>
      <c r="AE1656" s="5"/>
      <c r="AF1656" s="5"/>
      <c r="AG1656" s="5"/>
      <c r="AH1656" s="6"/>
      <c r="AI1656" s="92"/>
      <c r="AJ1656" s="93"/>
      <c r="AK1656" s="94"/>
      <c r="AL1656" s="95"/>
      <c r="AM1656" s="56"/>
      <c r="AN1656" s="57">
        <f t="shared" si="273"/>
        <v>0</v>
      </c>
      <c r="AO1656" s="76">
        <f t="shared" si="275"/>
        <v>0</v>
      </c>
      <c r="AP1656" s="63" t="str">
        <f t="shared" si="276"/>
        <v/>
      </c>
      <c r="AQ1656" s="63" t="str">
        <f t="shared" si="277"/>
        <v/>
      </c>
      <c r="AR1656" s="63" t="str">
        <f t="shared" si="278"/>
        <v/>
      </c>
      <c r="AS1656" s="63" t="str">
        <f t="shared" si="279"/>
        <v/>
      </c>
      <c r="AT1656" s="78" t="str">
        <f t="shared" si="280"/>
        <v/>
      </c>
      <c r="AU1656" s="78" t="str">
        <f t="shared" si="281"/>
        <v/>
      </c>
      <c r="AV1656" s="64" t="str">
        <f ca="1">IFERROR(__xludf.DUMMYFUNCTION("IF(TRIM(AU1656)="""","""",AU1656/INDEX(FILTER(AT$3:AT1656,TRIM(AT$3:AT1656)&lt;&gt;""""),ROWS(FILTER(AT$3:AT1656,TRIM(AT$3:AT1656)&lt;&gt;"""")))-1)"),"")</f>
        <v/>
      </c>
      <c r="AW1656" s="65" t="e">
        <f t="shared" ca="1" si="274"/>
        <v>#VALUE!</v>
      </c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</row>
    <row r="1657" spans="1:68" ht="19" x14ac:dyDescent="0.25">
      <c r="A1657" s="5"/>
      <c r="B1657" s="5"/>
      <c r="C1657" s="5"/>
      <c r="D1657" s="5"/>
      <c r="E1657" s="5"/>
      <c r="F1657" s="5"/>
      <c r="G1657" s="5"/>
      <c r="H1657" s="6"/>
      <c r="I1657" s="5"/>
      <c r="J1657" s="88"/>
      <c r="K1657" s="88"/>
      <c r="L1657" s="88"/>
      <c r="M1657" s="88"/>
      <c r="N1657" s="88"/>
      <c r="O1657" s="88"/>
      <c r="P1657" s="88"/>
      <c r="Q1657" s="89"/>
      <c r="R1657" s="88"/>
      <c r="S1657" s="88"/>
      <c r="T1657" s="90"/>
      <c r="U1657" s="6"/>
      <c r="V1657" s="92"/>
      <c r="W1657" s="77"/>
      <c r="X1657" s="91"/>
      <c r="Y1657" s="77"/>
      <c r="Z1657" s="5"/>
      <c r="AA1657" s="5"/>
      <c r="AB1657" s="5"/>
      <c r="AC1657" s="5"/>
      <c r="AD1657" s="5"/>
      <c r="AE1657" s="5"/>
      <c r="AF1657" s="5"/>
      <c r="AG1657" s="5"/>
      <c r="AH1657" s="6"/>
      <c r="AI1657" s="92"/>
      <c r="AJ1657" s="93"/>
      <c r="AK1657" s="94"/>
      <c r="AL1657" s="95"/>
      <c r="AM1657" s="56"/>
      <c r="AN1657" s="57">
        <f t="shared" si="273"/>
        <v>0</v>
      </c>
      <c r="AO1657" s="76">
        <f t="shared" si="275"/>
        <v>0</v>
      </c>
      <c r="AP1657" s="63" t="str">
        <f t="shared" si="276"/>
        <v/>
      </c>
      <c r="AQ1657" s="63" t="str">
        <f t="shared" si="277"/>
        <v/>
      </c>
      <c r="AR1657" s="63" t="str">
        <f t="shared" si="278"/>
        <v/>
      </c>
      <c r="AS1657" s="63" t="str">
        <f t="shared" si="279"/>
        <v/>
      </c>
      <c r="AT1657" s="78" t="str">
        <f t="shared" si="280"/>
        <v/>
      </c>
      <c r="AU1657" s="78" t="str">
        <f t="shared" si="281"/>
        <v/>
      </c>
      <c r="AV1657" s="64" t="str">
        <f ca="1">IFERROR(__xludf.DUMMYFUNCTION("IF(TRIM(AU1657)="""","""",AU1657/INDEX(FILTER(AT$3:AT1657,TRIM(AT$3:AT1657)&lt;&gt;""""),ROWS(FILTER(AT$3:AT1657,TRIM(AT$3:AT1657)&lt;&gt;"""")))-1)"),"")</f>
        <v/>
      </c>
      <c r="AW1657" s="65" t="e">
        <f t="shared" ca="1" si="274"/>
        <v>#VALUE!</v>
      </c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</row>
    <row r="1658" spans="1:68" ht="19" x14ac:dyDescent="0.25">
      <c r="A1658" s="5"/>
      <c r="B1658" s="5"/>
      <c r="C1658" s="5"/>
      <c r="D1658" s="5"/>
      <c r="E1658" s="5"/>
      <c r="F1658" s="5"/>
      <c r="G1658" s="5"/>
      <c r="H1658" s="6"/>
      <c r="I1658" s="5"/>
      <c r="J1658" s="88"/>
      <c r="K1658" s="88"/>
      <c r="L1658" s="88"/>
      <c r="M1658" s="88"/>
      <c r="N1658" s="88"/>
      <c r="O1658" s="88"/>
      <c r="P1658" s="88"/>
      <c r="Q1658" s="89"/>
      <c r="R1658" s="88"/>
      <c r="S1658" s="88"/>
      <c r="T1658" s="90"/>
      <c r="U1658" s="6"/>
      <c r="V1658" s="92"/>
      <c r="W1658" s="77"/>
      <c r="X1658" s="91"/>
      <c r="Y1658" s="77"/>
      <c r="Z1658" s="5"/>
      <c r="AA1658" s="5"/>
      <c r="AB1658" s="5"/>
      <c r="AC1658" s="5"/>
      <c r="AD1658" s="5"/>
      <c r="AE1658" s="5"/>
      <c r="AF1658" s="5"/>
      <c r="AG1658" s="5"/>
      <c r="AH1658" s="6"/>
      <c r="AI1658" s="92"/>
      <c r="AJ1658" s="93"/>
      <c r="AK1658" s="94"/>
      <c r="AL1658" s="95"/>
      <c r="AM1658" s="56"/>
      <c r="AN1658" s="57">
        <f t="shared" si="273"/>
        <v>0</v>
      </c>
      <c r="AO1658" s="76">
        <f t="shared" si="275"/>
        <v>0</v>
      </c>
      <c r="AP1658" s="63" t="str">
        <f t="shared" si="276"/>
        <v/>
      </c>
      <c r="AQ1658" s="63" t="str">
        <f t="shared" si="277"/>
        <v/>
      </c>
      <c r="AR1658" s="63" t="str">
        <f t="shared" si="278"/>
        <v/>
      </c>
      <c r="AS1658" s="63" t="str">
        <f t="shared" si="279"/>
        <v/>
      </c>
      <c r="AT1658" s="78" t="str">
        <f t="shared" si="280"/>
        <v/>
      </c>
      <c r="AU1658" s="78" t="str">
        <f t="shared" si="281"/>
        <v/>
      </c>
      <c r="AV1658" s="64" t="str">
        <f ca="1">IFERROR(__xludf.DUMMYFUNCTION("IF(TRIM(AU1658)="""","""",AU1658/INDEX(FILTER(AT$3:AT1658,TRIM(AT$3:AT1658)&lt;&gt;""""),ROWS(FILTER(AT$3:AT1658,TRIM(AT$3:AT1658)&lt;&gt;"""")))-1)"),"")</f>
        <v/>
      </c>
      <c r="AW1658" s="65" t="e">
        <f t="shared" ca="1" si="274"/>
        <v>#VALUE!</v>
      </c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</row>
    <row r="1659" spans="1:68" ht="19" x14ac:dyDescent="0.25">
      <c r="A1659" s="5"/>
      <c r="B1659" s="5"/>
      <c r="C1659" s="5"/>
      <c r="D1659" s="5"/>
      <c r="E1659" s="5"/>
      <c r="F1659" s="5"/>
      <c r="G1659" s="5"/>
      <c r="H1659" s="6"/>
      <c r="I1659" s="5"/>
      <c r="J1659" s="88"/>
      <c r="K1659" s="88"/>
      <c r="L1659" s="88"/>
      <c r="M1659" s="88"/>
      <c r="N1659" s="88"/>
      <c r="O1659" s="88"/>
      <c r="P1659" s="88"/>
      <c r="Q1659" s="89"/>
      <c r="R1659" s="88"/>
      <c r="S1659" s="88"/>
      <c r="T1659" s="90"/>
      <c r="U1659" s="6"/>
      <c r="V1659" s="92"/>
      <c r="W1659" s="77"/>
      <c r="X1659" s="91"/>
      <c r="Y1659" s="77"/>
      <c r="Z1659" s="5"/>
      <c r="AA1659" s="5"/>
      <c r="AB1659" s="5"/>
      <c r="AC1659" s="5"/>
      <c r="AD1659" s="5"/>
      <c r="AE1659" s="5"/>
      <c r="AF1659" s="5"/>
      <c r="AG1659" s="5"/>
      <c r="AH1659" s="6"/>
      <c r="AI1659" s="92"/>
      <c r="AJ1659" s="93"/>
      <c r="AK1659" s="94"/>
      <c r="AL1659" s="95"/>
      <c r="AM1659" s="56"/>
      <c r="AN1659" s="57">
        <f t="shared" si="273"/>
        <v>0</v>
      </c>
      <c r="AO1659" s="76">
        <f t="shared" si="275"/>
        <v>0</v>
      </c>
      <c r="AP1659" s="63" t="str">
        <f t="shared" si="276"/>
        <v/>
      </c>
      <c r="AQ1659" s="63" t="str">
        <f t="shared" si="277"/>
        <v/>
      </c>
      <c r="AR1659" s="63" t="str">
        <f t="shared" si="278"/>
        <v/>
      </c>
      <c r="AS1659" s="63" t="str">
        <f t="shared" si="279"/>
        <v/>
      </c>
      <c r="AT1659" s="78" t="str">
        <f t="shared" si="280"/>
        <v/>
      </c>
      <c r="AU1659" s="78" t="str">
        <f t="shared" si="281"/>
        <v/>
      </c>
      <c r="AV1659" s="64" t="str">
        <f ca="1">IFERROR(__xludf.DUMMYFUNCTION("IF(TRIM(AU1659)="""","""",AU1659/INDEX(FILTER(AT$3:AT1659,TRIM(AT$3:AT1659)&lt;&gt;""""),ROWS(FILTER(AT$3:AT1659,TRIM(AT$3:AT1659)&lt;&gt;"""")))-1)"),"")</f>
        <v/>
      </c>
      <c r="AW1659" s="65" t="e">
        <f t="shared" ca="1" si="274"/>
        <v>#VALUE!</v>
      </c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</row>
    <row r="1660" spans="1:68" ht="19" x14ac:dyDescent="0.25">
      <c r="A1660" s="5"/>
      <c r="B1660" s="5"/>
      <c r="C1660" s="5"/>
      <c r="D1660" s="5"/>
      <c r="E1660" s="5"/>
      <c r="F1660" s="5"/>
      <c r="G1660" s="5"/>
      <c r="H1660" s="6"/>
      <c r="I1660" s="5"/>
      <c r="J1660" s="88"/>
      <c r="K1660" s="88"/>
      <c r="L1660" s="88"/>
      <c r="M1660" s="88"/>
      <c r="N1660" s="88"/>
      <c r="O1660" s="88"/>
      <c r="P1660" s="88"/>
      <c r="Q1660" s="89"/>
      <c r="R1660" s="88"/>
      <c r="S1660" s="88"/>
      <c r="T1660" s="90"/>
      <c r="U1660" s="6"/>
      <c r="V1660" s="92"/>
      <c r="W1660" s="77"/>
      <c r="X1660" s="91"/>
      <c r="Y1660" s="77"/>
      <c r="Z1660" s="5"/>
      <c r="AA1660" s="5"/>
      <c r="AB1660" s="5"/>
      <c r="AC1660" s="5"/>
      <c r="AD1660" s="5"/>
      <c r="AE1660" s="5"/>
      <c r="AF1660" s="5"/>
      <c r="AG1660" s="5"/>
      <c r="AH1660" s="6"/>
      <c r="AI1660" s="92"/>
      <c r="AJ1660" s="93"/>
      <c r="AK1660" s="94"/>
      <c r="AL1660" s="95"/>
      <c r="AM1660" s="56"/>
      <c r="AN1660" s="57">
        <f t="shared" si="273"/>
        <v>0</v>
      </c>
      <c r="AO1660" s="76">
        <f t="shared" si="275"/>
        <v>0</v>
      </c>
      <c r="AP1660" s="63" t="str">
        <f t="shared" si="276"/>
        <v/>
      </c>
      <c r="AQ1660" s="63" t="str">
        <f t="shared" si="277"/>
        <v/>
      </c>
      <c r="AR1660" s="63" t="str">
        <f t="shared" si="278"/>
        <v/>
      </c>
      <c r="AS1660" s="63" t="str">
        <f t="shared" si="279"/>
        <v/>
      </c>
      <c r="AT1660" s="78" t="str">
        <f t="shared" si="280"/>
        <v/>
      </c>
      <c r="AU1660" s="78" t="str">
        <f t="shared" si="281"/>
        <v/>
      </c>
      <c r="AV1660" s="64" t="str">
        <f ca="1">IFERROR(__xludf.DUMMYFUNCTION("IF(TRIM(AU1660)="""","""",AU1660/INDEX(FILTER(AT$3:AT1660,TRIM(AT$3:AT1660)&lt;&gt;""""),ROWS(FILTER(AT$3:AT1660,TRIM(AT$3:AT1660)&lt;&gt;"""")))-1)"),"")</f>
        <v/>
      </c>
      <c r="AW1660" s="65" t="e">
        <f t="shared" ca="1" si="274"/>
        <v>#VALUE!</v>
      </c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</row>
    <row r="1661" spans="1:68" ht="19" x14ac:dyDescent="0.25">
      <c r="A1661" s="5"/>
      <c r="B1661" s="5"/>
      <c r="C1661" s="5"/>
      <c r="D1661" s="5"/>
      <c r="E1661" s="5"/>
      <c r="F1661" s="5"/>
      <c r="G1661" s="5"/>
      <c r="H1661" s="6"/>
      <c r="I1661" s="5"/>
      <c r="J1661" s="88"/>
      <c r="K1661" s="88"/>
      <c r="L1661" s="88"/>
      <c r="M1661" s="88"/>
      <c r="N1661" s="88"/>
      <c r="O1661" s="88"/>
      <c r="P1661" s="88"/>
      <c r="Q1661" s="89"/>
      <c r="R1661" s="88"/>
      <c r="S1661" s="88"/>
      <c r="T1661" s="90"/>
      <c r="U1661" s="6"/>
      <c r="V1661" s="92"/>
      <c r="W1661" s="77"/>
      <c r="X1661" s="91"/>
      <c r="Y1661" s="77"/>
      <c r="Z1661" s="5"/>
      <c r="AA1661" s="5"/>
      <c r="AB1661" s="5"/>
      <c r="AC1661" s="5"/>
      <c r="AD1661" s="5"/>
      <c r="AE1661" s="5"/>
      <c r="AF1661" s="5"/>
      <c r="AG1661" s="5"/>
      <c r="AH1661" s="6"/>
      <c r="AI1661" s="92"/>
      <c r="AJ1661" s="93"/>
      <c r="AK1661" s="94"/>
      <c r="AL1661" s="95"/>
      <c r="AM1661" s="56"/>
      <c r="AN1661" s="57">
        <f t="shared" si="273"/>
        <v>0</v>
      </c>
      <c r="AO1661" s="76">
        <f t="shared" si="275"/>
        <v>0</v>
      </c>
      <c r="AP1661" s="63" t="str">
        <f t="shared" si="276"/>
        <v/>
      </c>
      <c r="AQ1661" s="63" t="str">
        <f t="shared" si="277"/>
        <v/>
      </c>
      <c r="AR1661" s="63" t="str">
        <f t="shared" si="278"/>
        <v/>
      </c>
      <c r="AS1661" s="63" t="str">
        <f t="shared" si="279"/>
        <v/>
      </c>
      <c r="AT1661" s="78" t="str">
        <f t="shared" si="280"/>
        <v/>
      </c>
      <c r="AU1661" s="78" t="str">
        <f t="shared" si="281"/>
        <v/>
      </c>
      <c r="AV1661" s="64" t="str">
        <f ca="1">IFERROR(__xludf.DUMMYFUNCTION("IF(TRIM(AU1661)="""","""",AU1661/INDEX(FILTER(AT$3:AT1661,TRIM(AT$3:AT1661)&lt;&gt;""""),ROWS(FILTER(AT$3:AT1661,TRIM(AT$3:AT1661)&lt;&gt;"""")))-1)"),"")</f>
        <v/>
      </c>
      <c r="AW1661" s="65" t="e">
        <f t="shared" ca="1" si="274"/>
        <v>#VALUE!</v>
      </c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</row>
    <row r="1662" spans="1:68" ht="19" x14ac:dyDescent="0.25">
      <c r="A1662" s="5"/>
      <c r="B1662" s="5"/>
      <c r="C1662" s="5"/>
      <c r="D1662" s="5"/>
      <c r="E1662" s="5"/>
      <c r="F1662" s="5"/>
      <c r="G1662" s="5"/>
      <c r="H1662" s="6"/>
      <c r="I1662" s="5"/>
      <c r="J1662" s="88"/>
      <c r="K1662" s="88"/>
      <c r="L1662" s="88"/>
      <c r="M1662" s="88"/>
      <c r="N1662" s="88"/>
      <c r="O1662" s="88"/>
      <c r="P1662" s="88"/>
      <c r="Q1662" s="89"/>
      <c r="R1662" s="88"/>
      <c r="S1662" s="88"/>
      <c r="T1662" s="90"/>
      <c r="U1662" s="6"/>
      <c r="V1662" s="92"/>
      <c r="W1662" s="77"/>
      <c r="X1662" s="91"/>
      <c r="Y1662" s="77"/>
      <c r="Z1662" s="5"/>
      <c r="AA1662" s="5"/>
      <c r="AB1662" s="5"/>
      <c r="AC1662" s="5"/>
      <c r="AD1662" s="5"/>
      <c r="AE1662" s="5"/>
      <c r="AF1662" s="5"/>
      <c r="AG1662" s="5"/>
      <c r="AH1662" s="6"/>
      <c r="AI1662" s="92"/>
      <c r="AJ1662" s="93"/>
      <c r="AK1662" s="94"/>
      <c r="AL1662" s="95"/>
      <c r="AM1662" s="56"/>
      <c r="AN1662" s="57">
        <f t="shared" si="273"/>
        <v>0</v>
      </c>
      <c r="AO1662" s="76">
        <f t="shared" si="275"/>
        <v>0</v>
      </c>
      <c r="AP1662" s="63" t="str">
        <f t="shared" si="276"/>
        <v/>
      </c>
      <c r="AQ1662" s="63" t="str">
        <f t="shared" si="277"/>
        <v/>
      </c>
      <c r="AR1662" s="63" t="str">
        <f t="shared" si="278"/>
        <v/>
      </c>
      <c r="AS1662" s="63" t="str">
        <f t="shared" si="279"/>
        <v/>
      </c>
      <c r="AT1662" s="78" t="str">
        <f t="shared" si="280"/>
        <v/>
      </c>
      <c r="AU1662" s="78" t="str">
        <f t="shared" si="281"/>
        <v/>
      </c>
      <c r="AV1662" s="64" t="str">
        <f ca="1">IFERROR(__xludf.DUMMYFUNCTION("IF(TRIM(AU1662)="""","""",AU1662/INDEX(FILTER(AT$3:AT1662,TRIM(AT$3:AT1662)&lt;&gt;""""),ROWS(FILTER(AT$3:AT1662,TRIM(AT$3:AT1662)&lt;&gt;"""")))-1)"),"")</f>
        <v/>
      </c>
      <c r="AW1662" s="65" t="e">
        <f t="shared" ca="1" si="274"/>
        <v>#VALUE!</v>
      </c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</row>
    <row r="1663" spans="1:68" ht="19" x14ac:dyDescent="0.25">
      <c r="A1663" s="5"/>
      <c r="B1663" s="5"/>
      <c r="C1663" s="5"/>
      <c r="D1663" s="5"/>
      <c r="E1663" s="5"/>
      <c r="F1663" s="5"/>
      <c r="G1663" s="5"/>
      <c r="H1663" s="6"/>
      <c r="I1663" s="5"/>
      <c r="J1663" s="88"/>
      <c r="K1663" s="88"/>
      <c r="L1663" s="88"/>
      <c r="M1663" s="88"/>
      <c r="N1663" s="88"/>
      <c r="O1663" s="88"/>
      <c r="P1663" s="88"/>
      <c r="Q1663" s="89"/>
      <c r="R1663" s="88"/>
      <c r="S1663" s="88"/>
      <c r="T1663" s="90"/>
      <c r="U1663" s="6"/>
      <c r="V1663" s="92"/>
      <c r="W1663" s="77"/>
      <c r="X1663" s="91"/>
      <c r="Y1663" s="77"/>
      <c r="Z1663" s="5"/>
      <c r="AA1663" s="5"/>
      <c r="AB1663" s="5"/>
      <c r="AC1663" s="5"/>
      <c r="AD1663" s="5"/>
      <c r="AE1663" s="5"/>
      <c r="AF1663" s="5"/>
      <c r="AG1663" s="5"/>
      <c r="AH1663" s="6"/>
      <c r="AI1663" s="92"/>
      <c r="AJ1663" s="93"/>
      <c r="AK1663" s="94"/>
      <c r="AL1663" s="95"/>
      <c r="AM1663" s="56"/>
      <c r="AN1663" s="57">
        <f t="shared" si="273"/>
        <v>0</v>
      </c>
      <c r="AO1663" s="76">
        <f t="shared" si="275"/>
        <v>0</v>
      </c>
      <c r="AP1663" s="63" t="str">
        <f t="shared" si="276"/>
        <v/>
      </c>
      <c r="AQ1663" s="63" t="str">
        <f t="shared" si="277"/>
        <v/>
      </c>
      <c r="AR1663" s="63" t="str">
        <f t="shared" si="278"/>
        <v/>
      </c>
      <c r="AS1663" s="63" t="str">
        <f t="shared" si="279"/>
        <v/>
      </c>
      <c r="AT1663" s="78" t="str">
        <f t="shared" si="280"/>
        <v/>
      </c>
      <c r="AU1663" s="78" t="str">
        <f t="shared" si="281"/>
        <v/>
      </c>
      <c r="AV1663" s="64" t="str">
        <f ca="1">IFERROR(__xludf.DUMMYFUNCTION("IF(TRIM(AU1663)="""","""",AU1663/INDEX(FILTER(AT$3:AT1663,TRIM(AT$3:AT1663)&lt;&gt;""""),ROWS(FILTER(AT$3:AT1663,TRIM(AT$3:AT1663)&lt;&gt;"""")))-1)"),"")</f>
        <v/>
      </c>
      <c r="AW1663" s="65" t="e">
        <f t="shared" ca="1" si="274"/>
        <v>#VALUE!</v>
      </c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</row>
    <row r="1664" spans="1:68" ht="19" x14ac:dyDescent="0.25">
      <c r="A1664" s="5"/>
      <c r="B1664" s="5"/>
      <c r="C1664" s="5"/>
      <c r="D1664" s="5"/>
      <c r="E1664" s="5"/>
      <c r="F1664" s="5"/>
      <c r="G1664" s="5"/>
      <c r="H1664" s="6"/>
      <c r="I1664" s="5"/>
      <c r="J1664" s="88"/>
      <c r="K1664" s="88"/>
      <c r="L1664" s="88"/>
      <c r="M1664" s="88"/>
      <c r="N1664" s="88"/>
      <c r="O1664" s="88"/>
      <c r="P1664" s="88"/>
      <c r="Q1664" s="89"/>
      <c r="R1664" s="88"/>
      <c r="S1664" s="88"/>
      <c r="T1664" s="90"/>
      <c r="U1664" s="6"/>
      <c r="V1664" s="92"/>
      <c r="W1664" s="77"/>
      <c r="X1664" s="91"/>
      <c r="Y1664" s="77"/>
      <c r="Z1664" s="5"/>
      <c r="AA1664" s="5"/>
      <c r="AB1664" s="5"/>
      <c r="AC1664" s="5"/>
      <c r="AD1664" s="5"/>
      <c r="AE1664" s="5"/>
      <c r="AF1664" s="5"/>
      <c r="AG1664" s="5"/>
      <c r="AH1664" s="6"/>
      <c r="AI1664" s="92"/>
      <c r="AJ1664" s="93"/>
      <c r="AK1664" s="94"/>
      <c r="AL1664" s="95"/>
      <c r="AM1664" s="56"/>
      <c r="AN1664" s="57">
        <f t="shared" si="273"/>
        <v>0</v>
      </c>
      <c r="AO1664" s="76">
        <f t="shared" si="275"/>
        <v>0</v>
      </c>
      <c r="AP1664" s="63" t="str">
        <f t="shared" si="276"/>
        <v/>
      </c>
      <c r="AQ1664" s="63" t="str">
        <f t="shared" si="277"/>
        <v/>
      </c>
      <c r="AR1664" s="63" t="str">
        <f t="shared" si="278"/>
        <v/>
      </c>
      <c r="AS1664" s="63" t="str">
        <f t="shared" si="279"/>
        <v/>
      </c>
      <c r="AT1664" s="78" t="str">
        <f t="shared" si="280"/>
        <v/>
      </c>
      <c r="AU1664" s="78" t="str">
        <f t="shared" si="281"/>
        <v/>
      </c>
      <c r="AV1664" s="64" t="str">
        <f ca="1">IFERROR(__xludf.DUMMYFUNCTION("IF(TRIM(AU1664)="""","""",AU1664/INDEX(FILTER(AT$3:AT1664,TRIM(AT$3:AT1664)&lt;&gt;""""),ROWS(FILTER(AT$3:AT1664,TRIM(AT$3:AT1664)&lt;&gt;"""")))-1)"),"")</f>
        <v/>
      </c>
      <c r="AW1664" s="65" t="e">
        <f t="shared" ca="1" si="274"/>
        <v>#VALUE!</v>
      </c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</row>
    <row r="1665" spans="1:68" ht="19" x14ac:dyDescent="0.25">
      <c r="A1665" s="5"/>
      <c r="B1665" s="5"/>
      <c r="C1665" s="5"/>
      <c r="D1665" s="5"/>
      <c r="E1665" s="5"/>
      <c r="F1665" s="5"/>
      <c r="G1665" s="5"/>
      <c r="H1665" s="6"/>
      <c r="I1665" s="5"/>
      <c r="J1665" s="88"/>
      <c r="K1665" s="88"/>
      <c r="L1665" s="88"/>
      <c r="M1665" s="88"/>
      <c r="N1665" s="88"/>
      <c r="O1665" s="88"/>
      <c r="P1665" s="88"/>
      <c r="Q1665" s="89"/>
      <c r="R1665" s="88"/>
      <c r="S1665" s="88"/>
      <c r="T1665" s="90"/>
      <c r="U1665" s="6"/>
      <c r="V1665" s="92"/>
      <c r="W1665" s="77"/>
      <c r="X1665" s="91"/>
      <c r="Y1665" s="77"/>
      <c r="Z1665" s="5"/>
      <c r="AA1665" s="5"/>
      <c r="AB1665" s="5"/>
      <c r="AC1665" s="5"/>
      <c r="AD1665" s="5"/>
      <c r="AE1665" s="5"/>
      <c r="AF1665" s="5"/>
      <c r="AG1665" s="5"/>
      <c r="AH1665" s="6"/>
      <c r="AI1665" s="92"/>
      <c r="AJ1665" s="93"/>
      <c r="AK1665" s="94"/>
      <c r="AL1665" s="95"/>
      <c r="AM1665" s="56"/>
      <c r="AN1665" s="57">
        <f t="shared" si="273"/>
        <v>0</v>
      </c>
      <c r="AO1665" s="76">
        <f t="shared" si="275"/>
        <v>0</v>
      </c>
      <c r="AP1665" s="63" t="str">
        <f t="shared" si="276"/>
        <v/>
      </c>
      <c r="AQ1665" s="63" t="str">
        <f t="shared" si="277"/>
        <v/>
      </c>
      <c r="AR1665" s="63" t="str">
        <f t="shared" si="278"/>
        <v/>
      </c>
      <c r="AS1665" s="63" t="str">
        <f t="shared" si="279"/>
        <v/>
      </c>
      <c r="AT1665" s="78" t="str">
        <f t="shared" si="280"/>
        <v/>
      </c>
      <c r="AU1665" s="78" t="str">
        <f t="shared" si="281"/>
        <v/>
      </c>
      <c r="AV1665" s="64" t="str">
        <f ca="1">IFERROR(__xludf.DUMMYFUNCTION("IF(TRIM(AU1665)="""","""",AU1665/INDEX(FILTER(AT$3:AT1665,TRIM(AT$3:AT1665)&lt;&gt;""""),ROWS(FILTER(AT$3:AT1665,TRIM(AT$3:AT1665)&lt;&gt;"""")))-1)"),"")</f>
        <v/>
      </c>
      <c r="AW1665" s="65" t="e">
        <f t="shared" ca="1" si="274"/>
        <v>#VALUE!</v>
      </c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</row>
    <row r="1666" spans="1:68" ht="19" x14ac:dyDescent="0.25">
      <c r="A1666" s="5"/>
      <c r="B1666" s="5"/>
      <c r="C1666" s="5"/>
      <c r="D1666" s="5"/>
      <c r="E1666" s="5"/>
      <c r="F1666" s="5"/>
      <c r="G1666" s="5"/>
      <c r="H1666" s="6"/>
      <c r="I1666" s="5"/>
      <c r="J1666" s="88"/>
      <c r="K1666" s="88"/>
      <c r="L1666" s="88"/>
      <c r="M1666" s="88"/>
      <c r="N1666" s="88"/>
      <c r="O1666" s="88"/>
      <c r="P1666" s="88"/>
      <c r="Q1666" s="89"/>
      <c r="R1666" s="88"/>
      <c r="S1666" s="88"/>
      <c r="T1666" s="90"/>
      <c r="U1666" s="6"/>
      <c r="V1666" s="92"/>
      <c r="W1666" s="77"/>
      <c r="X1666" s="91"/>
      <c r="Y1666" s="77"/>
      <c r="Z1666" s="5"/>
      <c r="AA1666" s="5"/>
      <c r="AB1666" s="5"/>
      <c r="AC1666" s="5"/>
      <c r="AD1666" s="5"/>
      <c r="AE1666" s="5"/>
      <c r="AF1666" s="5"/>
      <c r="AG1666" s="5"/>
      <c r="AH1666" s="6"/>
      <c r="AI1666" s="92"/>
      <c r="AJ1666" s="93"/>
      <c r="AK1666" s="94"/>
      <c r="AL1666" s="95"/>
      <c r="AM1666" s="56"/>
      <c r="AN1666" s="57">
        <f t="shared" si="273"/>
        <v>0</v>
      </c>
      <c r="AO1666" s="76">
        <f t="shared" si="275"/>
        <v>0</v>
      </c>
      <c r="AP1666" s="63" t="str">
        <f t="shared" si="276"/>
        <v/>
      </c>
      <c r="AQ1666" s="63" t="str">
        <f t="shared" si="277"/>
        <v/>
      </c>
      <c r="AR1666" s="63" t="str">
        <f t="shared" si="278"/>
        <v/>
      </c>
      <c r="AS1666" s="63" t="str">
        <f t="shared" si="279"/>
        <v/>
      </c>
      <c r="AT1666" s="78" t="str">
        <f t="shared" si="280"/>
        <v/>
      </c>
      <c r="AU1666" s="78" t="str">
        <f t="shared" si="281"/>
        <v/>
      </c>
      <c r="AV1666" s="64" t="str">
        <f ca="1">IFERROR(__xludf.DUMMYFUNCTION("IF(TRIM(AU1666)="""","""",AU1666/INDEX(FILTER(AT$3:AT1666,TRIM(AT$3:AT1666)&lt;&gt;""""),ROWS(FILTER(AT$3:AT1666,TRIM(AT$3:AT1666)&lt;&gt;"""")))-1)"),"")</f>
        <v/>
      </c>
      <c r="AW1666" s="65" t="e">
        <f t="shared" ca="1" si="274"/>
        <v>#VALUE!</v>
      </c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</row>
    <row r="1667" spans="1:68" ht="19" x14ac:dyDescent="0.25">
      <c r="A1667" s="5"/>
      <c r="B1667" s="5"/>
      <c r="C1667" s="5"/>
      <c r="D1667" s="5"/>
      <c r="E1667" s="5"/>
      <c r="F1667" s="5"/>
      <c r="G1667" s="5"/>
      <c r="H1667" s="6"/>
      <c r="I1667" s="5"/>
      <c r="J1667" s="88"/>
      <c r="K1667" s="88"/>
      <c r="L1667" s="88"/>
      <c r="M1667" s="88"/>
      <c r="N1667" s="88"/>
      <c r="O1667" s="88"/>
      <c r="P1667" s="88"/>
      <c r="Q1667" s="89"/>
      <c r="R1667" s="88"/>
      <c r="S1667" s="88"/>
      <c r="T1667" s="90"/>
      <c r="U1667" s="6"/>
      <c r="V1667" s="92"/>
      <c r="W1667" s="77"/>
      <c r="X1667" s="91"/>
      <c r="Y1667" s="77"/>
      <c r="Z1667" s="5"/>
      <c r="AA1667" s="5"/>
      <c r="AB1667" s="5"/>
      <c r="AC1667" s="5"/>
      <c r="AD1667" s="5"/>
      <c r="AE1667" s="5"/>
      <c r="AF1667" s="5"/>
      <c r="AG1667" s="5"/>
      <c r="AH1667" s="6"/>
      <c r="AI1667" s="92"/>
      <c r="AJ1667" s="93"/>
      <c r="AK1667" s="94"/>
      <c r="AL1667" s="95"/>
      <c r="AM1667" s="56"/>
      <c r="AN1667" s="57">
        <f t="shared" ref="AN1667:AN1730" si="282">AM1667-AL1667</f>
        <v>0</v>
      </c>
      <c r="AO1667" s="76">
        <f t="shared" si="275"/>
        <v>0</v>
      </c>
      <c r="AP1667" s="63" t="str">
        <f t="shared" si="276"/>
        <v/>
      </c>
      <c r="AQ1667" s="63" t="str">
        <f t="shared" si="277"/>
        <v/>
      </c>
      <c r="AR1667" s="63" t="str">
        <f t="shared" si="278"/>
        <v/>
      </c>
      <c r="AS1667" s="63" t="str">
        <f t="shared" si="279"/>
        <v/>
      </c>
      <c r="AT1667" s="78" t="str">
        <f t="shared" si="280"/>
        <v/>
      </c>
      <c r="AU1667" s="78" t="str">
        <f t="shared" si="281"/>
        <v/>
      </c>
      <c r="AV1667" s="64" t="str">
        <f ca="1">IFERROR(__xludf.DUMMYFUNCTION("IF(TRIM(AU1667)="""","""",AU1667/INDEX(FILTER(AT$3:AT1667,TRIM(AT$3:AT1667)&lt;&gt;""""),ROWS(FILTER(AT$3:AT1667,TRIM(AT$3:AT1667)&lt;&gt;"""")))-1)"),"")</f>
        <v/>
      </c>
      <c r="AW1667" s="65" t="e">
        <f t="shared" ref="AW1667:AW1730" ca="1" si="283">AW1666*(1+AV1667)</f>
        <v>#VALUE!</v>
      </c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</row>
    <row r="1668" spans="1:68" ht="19" x14ac:dyDescent="0.25">
      <c r="A1668" s="5"/>
      <c r="B1668" s="5"/>
      <c r="C1668" s="5"/>
      <c r="D1668" s="5"/>
      <c r="E1668" s="5"/>
      <c r="F1668" s="5"/>
      <c r="G1668" s="5"/>
      <c r="H1668" s="6"/>
      <c r="I1668" s="5"/>
      <c r="J1668" s="88"/>
      <c r="K1668" s="88"/>
      <c r="L1668" s="88"/>
      <c r="M1668" s="88"/>
      <c r="N1668" s="88"/>
      <c r="O1668" s="88"/>
      <c r="P1668" s="88"/>
      <c r="Q1668" s="89"/>
      <c r="R1668" s="88"/>
      <c r="S1668" s="88"/>
      <c r="T1668" s="90"/>
      <c r="U1668" s="6"/>
      <c r="V1668" s="92"/>
      <c r="W1668" s="77"/>
      <c r="X1668" s="91"/>
      <c r="Y1668" s="77"/>
      <c r="Z1668" s="5"/>
      <c r="AA1668" s="5"/>
      <c r="AB1668" s="5"/>
      <c r="AC1668" s="5"/>
      <c r="AD1668" s="5"/>
      <c r="AE1668" s="5"/>
      <c r="AF1668" s="5"/>
      <c r="AG1668" s="5"/>
      <c r="AH1668" s="6"/>
      <c r="AI1668" s="92"/>
      <c r="AJ1668" s="93"/>
      <c r="AK1668" s="94"/>
      <c r="AL1668" s="95"/>
      <c r="AM1668" s="56"/>
      <c r="AN1668" s="57">
        <f t="shared" si="282"/>
        <v>0</v>
      </c>
      <c r="AO1668" s="76">
        <f t="shared" si="275"/>
        <v>0</v>
      </c>
      <c r="AP1668" s="63" t="str">
        <f t="shared" si="276"/>
        <v/>
      </c>
      <c r="AQ1668" s="63" t="str">
        <f t="shared" si="277"/>
        <v/>
      </c>
      <c r="AR1668" s="63" t="str">
        <f t="shared" si="278"/>
        <v/>
      </c>
      <c r="AS1668" s="63" t="str">
        <f t="shared" si="279"/>
        <v/>
      </c>
      <c r="AT1668" s="78" t="str">
        <f t="shared" si="280"/>
        <v/>
      </c>
      <c r="AU1668" s="78" t="str">
        <f t="shared" si="281"/>
        <v/>
      </c>
      <c r="AV1668" s="64" t="str">
        <f ca="1">IFERROR(__xludf.DUMMYFUNCTION("IF(TRIM(AU1668)="""","""",AU1668/INDEX(FILTER(AT$3:AT1668,TRIM(AT$3:AT1668)&lt;&gt;""""),ROWS(FILTER(AT$3:AT1668,TRIM(AT$3:AT1668)&lt;&gt;"""")))-1)"),"")</f>
        <v/>
      </c>
      <c r="AW1668" s="65" t="e">
        <f t="shared" ca="1" si="283"/>
        <v>#VALUE!</v>
      </c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</row>
    <row r="1669" spans="1:68" ht="19" x14ac:dyDescent="0.25">
      <c r="A1669" s="5"/>
      <c r="B1669" s="5"/>
      <c r="C1669" s="5"/>
      <c r="D1669" s="5"/>
      <c r="E1669" s="5"/>
      <c r="F1669" s="5"/>
      <c r="G1669" s="5"/>
      <c r="H1669" s="6"/>
      <c r="I1669" s="5"/>
      <c r="J1669" s="88"/>
      <c r="K1669" s="88"/>
      <c r="L1669" s="88"/>
      <c r="M1669" s="88"/>
      <c r="N1669" s="88"/>
      <c r="O1669" s="88"/>
      <c r="P1669" s="88"/>
      <c r="Q1669" s="89"/>
      <c r="R1669" s="88"/>
      <c r="S1669" s="88"/>
      <c r="T1669" s="90"/>
      <c r="U1669" s="6"/>
      <c r="V1669" s="92"/>
      <c r="W1669" s="77"/>
      <c r="X1669" s="91"/>
      <c r="Y1669" s="77"/>
      <c r="Z1669" s="5"/>
      <c r="AA1669" s="5"/>
      <c r="AB1669" s="5"/>
      <c r="AC1669" s="5"/>
      <c r="AD1669" s="5"/>
      <c r="AE1669" s="5"/>
      <c r="AF1669" s="5"/>
      <c r="AG1669" s="5"/>
      <c r="AH1669" s="6"/>
      <c r="AI1669" s="92"/>
      <c r="AJ1669" s="93"/>
      <c r="AK1669" s="94"/>
      <c r="AL1669" s="95"/>
      <c r="AM1669" s="56"/>
      <c r="AN1669" s="57">
        <f t="shared" si="282"/>
        <v>0</v>
      </c>
      <c r="AO1669" s="76">
        <f t="shared" si="275"/>
        <v>0</v>
      </c>
      <c r="AP1669" s="63" t="str">
        <f t="shared" si="276"/>
        <v/>
      </c>
      <c r="AQ1669" s="63" t="str">
        <f t="shared" si="277"/>
        <v/>
      </c>
      <c r="AR1669" s="63" t="str">
        <f t="shared" si="278"/>
        <v/>
      </c>
      <c r="AS1669" s="63" t="str">
        <f t="shared" si="279"/>
        <v/>
      </c>
      <c r="AT1669" s="78" t="str">
        <f t="shared" si="280"/>
        <v/>
      </c>
      <c r="AU1669" s="78" t="str">
        <f t="shared" si="281"/>
        <v/>
      </c>
      <c r="AV1669" s="64" t="str">
        <f ca="1">IFERROR(__xludf.DUMMYFUNCTION("IF(TRIM(AU1669)="""","""",AU1669/INDEX(FILTER(AT$3:AT1669,TRIM(AT$3:AT1669)&lt;&gt;""""),ROWS(FILTER(AT$3:AT1669,TRIM(AT$3:AT1669)&lt;&gt;"""")))-1)"),"")</f>
        <v/>
      </c>
      <c r="AW1669" s="65" t="e">
        <f t="shared" ca="1" si="283"/>
        <v>#VALUE!</v>
      </c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</row>
    <row r="1670" spans="1:68" ht="19" x14ac:dyDescent="0.25">
      <c r="A1670" s="5"/>
      <c r="B1670" s="5"/>
      <c r="C1670" s="5"/>
      <c r="D1670" s="5"/>
      <c r="E1670" s="5"/>
      <c r="F1670" s="5"/>
      <c r="G1670" s="5"/>
      <c r="H1670" s="6"/>
      <c r="I1670" s="5"/>
      <c r="J1670" s="88"/>
      <c r="K1670" s="88"/>
      <c r="L1670" s="88"/>
      <c r="M1670" s="88"/>
      <c r="N1670" s="88"/>
      <c r="O1670" s="88"/>
      <c r="P1670" s="88"/>
      <c r="Q1670" s="89"/>
      <c r="R1670" s="88"/>
      <c r="S1670" s="88"/>
      <c r="T1670" s="90"/>
      <c r="U1670" s="6"/>
      <c r="V1670" s="92"/>
      <c r="W1670" s="77"/>
      <c r="X1670" s="91"/>
      <c r="Y1670" s="77"/>
      <c r="Z1670" s="5"/>
      <c r="AA1670" s="5"/>
      <c r="AB1670" s="5"/>
      <c r="AC1670" s="5"/>
      <c r="AD1670" s="5"/>
      <c r="AE1670" s="5"/>
      <c r="AF1670" s="5"/>
      <c r="AG1670" s="5"/>
      <c r="AH1670" s="6"/>
      <c r="AI1670" s="92"/>
      <c r="AJ1670" s="93"/>
      <c r="AK1670" s="94"/>
      <c r="AL1670" s="95"/>
      <c r="AM1670" s="56"/>
      <c r="AN1670" s="57">
        <f t="shared" si="282"/>
        <v>0</v>
      </c>
      <c r="AO1670" s="76">
        <f t="shared" si="275"/>
        <v>0</v>
      </c>
      <c r="AP1670" s="63" t="str">
        <f t="shared" si="276"/>
        <v/>
      </c>
      <c r="AQ1670" s="63" t="str">
        <f t="shared" si="277"/>
        <v/>
      </c>
      <c r="AR1670" s="63" t="str">
        <f t="shared" si="278"/>
        <v/>
      </c>
      <c r="AS1670" s="63" t="str">
        <f t="shared" si="279"/>
        <v/>
      </c>
      <c r="AT1670" s="78" t="str">
        <f t="shared" si="280"/>
        <v/>
      </c>
      <c r="AU1670" s="78" t="str">
        <f t="shared" si="281"/>
        <v/>
      </c>
      <c r="AV1670" s="64" t="str">
        <f ca="1">IFERROR(__xludf.DUMMYFUNCTION("IF(TRIM(AU1670)="""","""",AU1670/INDEX(FILTER(AT$3:AT1670,TRIM(AT$3:AT1670)&lt;&gt;""""),ROWS(FILTER(AT$3:AT1670,TRIM(AT$3:AT1670)&lt;&gt;"""")))-1)"),"")</f>
        <v/>
      </c>
      <c r="AW1670" s="65" t="e">
        <f t="shared" ca="1" si="283"/>
        <v>#VALUE!</v>
      </c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</row>
    <row r="1671" spans="1:68" ht="19" x14ac:dyDescent="0.25">
      <c r="A1671" s="5"/>
      <c r="B1671" s="5"/>
      <c r="C1671" s="5"/>
      <c r="D1671" s="5"/>
      <c r="E1671" s="5"/>
      <c r="F1671" s="5"/>
      <c r="G1671" s="5"/>
      <c r="H1671" s="6"/>
      <c r="I1671" s="5"/>
      <c r="J1671" s="88"/>
      <c r="K1671" s="88"/>
      <c r="L1671" s="88"/>
      <c r="M1671" s="88"/>
      <c r="N1671" s="88"/>
      <c r="O1671" s="88"/>
      <c r="P1671" s="88"/>
      <c r="Q1671" s="89"/>
      <c r="R1671" s="88"/>
      <c r="S1671" s="88"/>
      <c r="T1671" s="90"/>
      <c r="U1671" s="6"/>
      <c r="V1671" s="92"/>
      <c r="W1671" s="77"/>
      <c r="X1671" s="91"/>
      <c r="Y1671" s="77"/>
      <c r="Z1671" s="5"/>
      <c r="AA1671" s="5"/>
      <c r="AB1671" s="5"/>
      <c r="AC1671" s="5"/>
      <c r="AD1671" s="5"/>
      <c r="AE1671" s="5"/>
      <c r="AF1671" s="5"/>
      <c r="AG1671" s="5"/>
      <c r="AH1671" s="6"/>
      <c r="AI1671" s="92"/>
      <c r="AJ1671" s="93"/>
      <c r="AK1671" s="94"/>
      <c r="AL1671" s="95"/>
      <c r="AM1671" s="56"/>
      <c r="AN1671" s="57">
        <f t="shared" si="282"/>
        <v>0</v>
      </c>
      <c r="AO1671" s="76">
        <f t="shared" ref="AO1671:AO1734" si="284">AVERAGE(AN1667:AN1671)</f>
        <v>0</v>
      </c>
      <c r="AP1671" s="63" t="str">
        <f t="shared" ref="AP1671:AP1734" si="285">IF(AO1671&gt;0,"Buy Stocks","")</f>
        <v/>
      </c>
      <c r="AQ1671" s="63" t="str">
        <f t="shared" ref="AQ1671:AQ1734" si="286">IF(AO1671&lt;0,"Sell Stocks","")</f>
        <v/>
      </c>
      <c r="AR1671" s="63" t="str">
        <f t="shared" ref="AR1671:AR1734" si="287">IF(AND(AP1671="Buy Stocks",AP1670=""),"Buy Stocks","")</f>
        <v/>
      </c>
      <c r="AS1671" s="63" t="str">
        <f t="shared" ref="AS1671:AS1734" si="288">IF(AND(AQ1671="Sell Stocks",AQ1670=""),"Sell Stocks","")</f>
        <v/>
      </c>
      <c r="AT1671" s="78" t="str">
        <f t="shared" ref="AT1671:AT1734" si="289">IF(AR1671="Buy Stocks",AJ1671,"")</f>
        <v/>
      </c>
      <c r="AU1671" s="78" t="str">
        <f t="shared" ref="AU1671:AU1734" si="290">IF(AS1671="Sell Stocks",AJ1671,"")</f>
        <v/>
      </c>
      <c r="AV1671" s="64" t="str">
        <f ca="1">IFERROR(__xludf.DUMMYFUNCTION("IF(TRIM(AU1671)="""","""",AU1671/INDEX(FILTER(AT$3:AT1671,TRIM(AT$3:AT1671)&lt;&gt;""""),ROWS(FILTER(AT$3:AT1671,TRIM(AT$3:AT1671)&lt;&gt;"""")))-1)"),"")</f>
        <v/>
      </c>
      <c r="AW1671" s="65" t="e">
        <f t="shared" ca="1" si="283"/>
        <v>#VALUE!</v>
      </c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</row>
    <row r="1672" spans="1:68" ht="19" x14ac:dyDescent="0.25">
      <c r="A1672" s="5"/>
      <c r="B1672" s="5"/>
      <c r="C1672" s="5"/>
      <c r="D1672" s="5"/>
      <c r="E1672" s="5"/>
      <c r="F1672" s="5"/>
      <c r="G1672" s="5"/>
      <c r="H1672" s="6"/>
      <c r="I1672" s="5"/>
      <c r="J1672" s="88"/>
      <c r="K1672" s="88"/>
      <c r="L1672" s="88"/>
      <c r="M1672" s="88"/>
      <c r="N1672" s="88"/>
      <c r="O1672" s="88"/>
      <c r="P1672" s="88"/>
      <c r="Q1672" s="89"/>
      <c r="R1672" s="88"/>
      <c r="S1672" s="88"/>
      <c r="T1672" s="90"/>
      <c r="U1672" s="6"/>
      <c r="V1672" s="92"/>
      <c r="W1672" s="77"/>
      <c r="X1672" s="91"/>
      <c r="Y1672" s="77"/>
      <c r="Z1672" s="5"/>
      <c r="AA1672" s="5"/>
      <c r="AB1672" s="5"/>
      <c r="AC1672" s="5"/>
      <c r="AD1672" s="5"/>
      <c r="AE1672" s="5"/>
      <c r="AF1672" s="5"/>
      <c r="AG1672" s="5"/>
      <c r="AH1672" s="6"/>
      <c r="AI1672" s="92"/>
      <c r="AJ1672" s="93"/>
      <c r="AK1672" s="94"/>
      <c r="AL1672" s="95"/>
      <c r="AM1672" s="56"/>
      <c r="AN1672" s="57">
        <f t="shared" si="282"/>
        <v>0</v>
      </c>
      <c r="AO1672" s="76">
        <f t="shared" si="284"/>
        <v>0</v>
      </c>
      <c r="AP1672" s="63" t="str">
        <f t="shared" si="285"/>
        <v/>
      </c>
      <c r="AQ1672" s="63" t="str">
        <f t="shared" si="286"/>
        <v/>
      </c>
      <c r="AR1672" s="63" t="str">
        <f t="shared" si="287"/>
        <v/>
      </c>
      <c r="AS1672" s="63" t="str">
        <f t="shared" si="288"/>
        <v/>
      </c>
      <c r="AT1672" s="78" t="str">
        <f t="shared" si="289"/>
        <v/>
      </c>
      <c r="AU1672" s="78" t="str">
        <f t="shared" si="290"/>
        <v/>
      </c>
      <c r="AV1672" s="64" t="str">
        <f ca="1">IFERROR(__xludf.DUMMYFUNCTION("IF(TRIM(AU1672)="""","""",AU1672/INDEX(FILTER(AT$3:AT1672,TRIM(AT$3:AT1672)&lt;&gt;""""),ROWS(FILTER(AT$3:AT1672,TRIM(AT$3:AT1672)&lt;&gt;"""")))-1)"),"")</f>
        <v/>
      </c>
      <c r="AW1672" s="65" t="e">
        <f t="shared" ca="1" si="283"/>
        <v>#VALUE!</v>
      </c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</row>
    <row r="1673" spans="1:68" ht="19" x14ac:dyDescent="0.25">
      <c r="A1673" s="5"/>
      <c r="B1673" s="5"/>
      <c r="C1673" s="5"/>
      <c r="D1673" s="5"/>
      <c r="E1673" s="5"/>
      <c r="F1673" s="5"/>
      <c r="G1673" s="5"/>
      <c r="H1673" s="6"/>
      <c r="I1673" s="5"/>
      <c r="J1673" s="88"/>
      <c r="K1673" s="88"/>
      <c r="L1673" s="88"/>
      <c r="M1673" s="88"/>
      <c r="N1673" s="88"/>
      <c r="O1673" s="88"/>
      <c r="P1673" s="88"/>
      <c r="Q1673" s="89"/>
      <c r="R1673" s="88"/>
      <c r="S1673" s="88"/>
      <c r="T1673" s="90"/>
      <c r="U1673" s="6"/>
      <c r="V1673" s="92"/>
      <c r="W1673" s="77"/>
      <c r="X1673" s="91"/>
      <c r="Y1673" s="77"/>
      <c r="Z1673" s="5"/>
      <c r="AA1673" s="5"/>
      <c r="AB1673" s="5"/>
      <c r="AC1673" s="5"/>
      <c r="AD1673" s="5"/>
      <c r="AE1673" s="5"/>
      <c r="AF1673" s="5"/>
      <c r="AG1673" s="5"/>
      <c r="AH1673" s="6"/>
      <c r="AI1673" s="92"/>
      <c r="AJ1673" s="93"/>
      <c r="AK1673" s="94"/>
      <c r="AL1673" s="95"/>
      <c r="AM1673" s="56"/>
      <c r="AN1673" s="57">
        <f t="shared" si="282"/>
        <v>0</v>
      </c>
      <c r="AO1673" s="76">
        <f t="shared" si="284"/>
        <v>0</v>
      </c>
      <c r="AP1673" s="63" t="str">
        <f t="shared" si="285"/>
        <v/>
      </c>
      <c r="AQ1673" s="63" t="str">
        <f t="shared" si="286"/>
        <v/>
      </c>
      <c r="AR1673" s="63" t="str">
        <f t="shared" si="287"/>
        <v/>
      </c>
      <c r="AS1673" s="63" t="str">
        <f t="shared" si="288"/>
        <v/>
      </c>
      <c r="AT1673" s="78" t="str">
        <f t="shared" si="289"/>
        <v/>
      </c>
      <c r="AU1673" s="78" t="str">
        <f t="shared" si="290"/>
        <v/>
      </c>
      <c r="AV1673" s="64" t="str">
        <f ca="1">IFERROR(__xludf.DUMMYFUNCTION("IF(TRIM(AU1673)="""","""",AU1673/INDEX(FILTER(AT$3:AT1673,TRIM(AT$3:AT1673)&lt;&gt;""""),ROWS(FILTER(AT$3:AT1673,TRIM(AT$3:AT1673)&lt;&gt;"""")))-1)"),"")</f>
        <v/>
      </c>
      <c r="AW1673" s="65" t="e">
        <f t="shared" ca="1" si="283"/>
        <v>#VALUE!</v>
      </c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</row>
    <row r="1674" spans="1:68" ht="19" x14ac:dyDescent="0.25">
      <c r="A1674" s="5"/>
      <c r="B1674" s="5"/>
      <c r="C1674" s="5"/>
      <c r="D1674" s="5"/>
      <c r="E1674" s="5"/>
      <c r="F1674" s="5"/>
      <c r="G1674" s="5"/>
      <c r="H1674" s="6"/>
      <c r="I1674" s="5"/>
      <c r="J1674" s="88"/>
      <c r="K1674" s="88"/>
      <c r="L1674" s="88"/>
      <c r="M1674" s="88"/>
      <c r="N1674" s="88"/>
      <c r="O1674" s="88"/>
      <c r="P1674" s="88"/>
      <c r="Q1674" s="89"/>
      <c r="R1674" s="88"/>
      <c r="S1674" s="88"/>
      <c r="T1674" s="90"/>
      <c r="U1674" s="6"/>
      <c r="V1674" s="92"/>
      <c r="W1674" s="77"/>
      <c r="X1674" s="91"/>
      <c r="Y1674" s="77"/>
      <c r="Z1674" s="5"/>
      <c r="AA1674" s="5"/>
      <c r="AB1674" s="5"/>
      <c r="AC1674" s="5"/>
      <c r="AD1674" s="5"/>
      <c r="AE1674" s="5"/>
      <c r="AF1674" s="5"/>
      <c r="AG1674" s="5"/>
      <c r="AH1674" s="6"/>
      <c r="AI1674" s="92"/>
      <c r="AJ1674" s="93"/>
      <c r="AK1674" s="94"/>
      <c r="AL1674" s="95"/>
      <c r="AM1674" s="56"/>
      <c r="AN1674" s="57">
        <f t="shared" si="282"/>
        <v>0</v>
      </c>
      <c r="AO1674" s="76">
        <f t="shared" si="284"/>
        <v>0</v>
      </c>
      <c r="AP1674" s="63" t="str">
        <f t="shared" si="285"/>
        <v/>
      </c>
      <c r="AQ1674" s="63" t="str">
        <f t="shared" si="286"/>
        <v/>
      </c>
      <c r="AR1674" s="63" t="str">
        <f t="shared" si="287"/>
        <v/>
      </c>
      <c r="AS1674" s="63" t="str">
        <f t="shared" si="288"/>
        <v/>
      </c>
      <c r="AT1674" s="78" t="str">
        <f t="shared" si="289"/>
        <v/>
      </c>
      <c r="AU1674" s="78" t="str">
        <f t="shared" si="290"/>
        <v/>
      </c>
      <c r="AV1674" s="64" t="str">
        <f ca="1">IFERROR(__xludf.DUMMYFUNCTION("IF(TRIM(AU1674)="""","""",AU1674/INDEX(FILTER(AT$3:AT1674,TRIM(AT$3:AT1674)&lt;&gt;""""),ROWS(FILTER(AT$3:AT1674,TRIM(AT$3:AT1674)&lt;&gt;"""")))-1)"),"")</f>
        <v/>
      </c>
      <c r="AW1674" s="65" t="e">
        <f t="shared" ca="1" si="283"/>
        <v>#VALUE!</v>
      </c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</row>
    <row r="1675" spans="1:68" ht="19" x14ac:dyDescent="0.25">
      <c r="A1675" s="5"/>
      <c r="B1675" s="5"/>
      <c r="C1675" s="5"/>
      <c r="D1675" s="5"/>
      <c r="E1675" s="5"/>
      <c r="F1675" s="5"/>
      <c r="G1675" s="5"/>
      <c r="H1675" s="6"/>
      <c r="I1675" s="5"/>
      <c r="J1675" s="88"/>
      <c r="K1675" s="88"/>
      <c r="L1675" s="88"/>
      <c r="M1675" s="88"/>
      <c r="N1675" s="88"/>
      <c r="O1675" s="88"/>
      <c r="P1675" s="88"/>
      <c r="Q1675" s="89"/>
      <c r="R1675" s="88"/>
      <c r="S1675" s="88"/>
      <c r="T1675" s="90"/>
      <c r="U1675" s="6"/>
      <c r="V1675" s="92"/>
      <c r="W1675" s="77"/>
      <c r="X1675" s="91"/>
      <c r="Y1675" s="77"/>
      <c r="Z1675" s="5"/>
      <c r="AA1675" s="5"/>
      <c r="AB1675" s="5"/>
      <c r="AC1675" s="5"/>
      <c r="AD1675" s="5"/>
      <c r="AE1675" s="5"/>
      <c r="AF1675" s="5"/>
      <c r="AG1675" s="5"/>
      <c r="AH1675" s="6"/>
      <c r="AI1675" s="92"/>
      <c r="AJ1675" s="93"/>
      <c r="AK1675" s="94"/>
      <c r="AL1675" s="95"/>
      <c r="AM1675" s="56"/>
      <c r="AN1675" s="57">
        <f t="shared" si="282"/>
        <v>0</v>
      </c>
      <c r="AO1675" s="76">
        <f t="shared" si="284"/>
        <v>0</v>
      </c>
      <c r="AP1675" s="63" t="str">
        <f t="shared" si="285"/>
        <v/>
      </c>
      <c r="AQ1675" s="63" t="str">
        <f t="shared" si="286"/>
        <v/>
      </c>
      <c r="AR1675" s="63" t="str">
        <f t="shared" si="287"/>
        <v/>
      </c>
      <c r="AS1675" s="63" t="str">
        <f t="shared" si="288"/>
        <v/>
      </c>
      <c r="AT1675" s="78" t="str">
        <f t="shared" si="289"/>
        <v/>
      </c>
      <c r="AU1675" s="78" t="str">
        <f t="shared" si="290"/>
        <v/>
      </c>
      <c r="AV1675" s="64" t="str">
        <f ca="1">IFERROR(__xludf.DUMMYFUNCTION("IF(TRIM(AU1675)="""","""",AU1675/INDEX(FILTER(AT$3:AT1675,TRIM(AT$3:AT1675)&lt;&gt;""""),ROWS(FILTER(AT$3:AT1675,TRIM(AT$3:AT1675)&lt;&gt;"""")))-1)"),"")</f>
        <v/>
      </c>
      <c r="AW1675" s="65" t="e">
        <f t="shared" ca="1" si="283"/>
        <v>#VALUE!</v>
      </c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</row>
    <row r="1676" spans="1:68" ht="19" x14ac:dyDescent="0.25">
      <c r="A1676" s="5"/>
      <c r="B1676" s="5"/>
      <c r="C1676" s="5"/>
      <c r="D1676" s="5"/>
      <c r="E1676" s="5"/>
      <c r="F1676" s="5"/>
      <c r="G1676" s="5"/>
      <c r="H1676" s="6"/>
      <c r="I1676" s="5"/>
      <c r="J1676" s="88"/>
      <c r="K1676" s="88"/>
      <c r="L1676" s="88"/>
      <c r="M1676" s="88"/>
      <c r="N1676" s="88"/>
      <c r="O1676" s="88"/>
      <c r="P1676" s="88"/>
      <c r="Q1676" s="89"/>
      <c r="R1676" s="88"/>
      <c r="S1676" s="88"/>
      <c r="T1676" s="90"/>
      <c r="U1676" s="6"/>
      <c r="V1676" s="92"/>
      <c r="W1676" s="77"/>
      <c r="X1676" s="91"/>
      <c r="Y1676" s="77"/>
      <c r="Z1676" s="5"/>
      <c r="AA1676" s="5"/>
      <c r="AB1676" s="5"/>
      <c r="AC1676" s="5"/>
      <c r="AD1676" s="5"/>
      <c r="AE1676" s="5"/>
      <c r="AF1676" s="5"/>
      <c r="AG1676" s="5"/>
      <c r="AH1676" s="6"/>
      <c r="AI1676" s="92"/>
      <c r="AJ1676" s="93"/>
      <c r="AK1676" s="94"/>
      <c r="AL1676" s="95"/>
      <c r="AM1676" s="56"/>
      <c r="AN1676" s="57">
        <f t="shared" si="282"/>
        <v>0</v>
      </c>
      <c r="AO1676" s="76">
        <f t="shared" si="284"/>
        <v>0</v>
      </c>
      <c r="AP1676" s="63" t="str">
        <f t="shared" si="285"/>
        <v/>
      </c>
      <c r="AQ1676" s="63" t="str">
        <f t="shared" si="286"/>
        <v/>
      </c>
      <c r="AR1676" s="63" t="str">
        <f t="shared" si="287"/>
        <v/>
      </c>
      <c r="AS1676" s="63" t="str">
        <f t="shared" si="288"/>
        <v/>
      </c>
      <c r="AT1676" s="78" t="str">
        <f t="shared" si="289"/>
        <v/>
      </c>
      <c r="AU1676" s="78" t="str">
        <f t="shared" si="290"/>
        <v/>
      </c>
      <c r="AV1676" s="64" t="str">
        <f ca="1">IFERROR(__xludf.DUMMYFUNCTION("IF(TRIM(AU1676)="""","""",AU1676/INDEX(FILTER(AT$3:AT1676,TRIM(AT$3:AT1676)&lt;&gt;""""),ROWS(FILTER(AT$3:AT1676,TRIM(AT$3:AT1676)&lt;&gt;"""")))-1)"),"")</f>
        <v/>
      </c>
      <c r="AW1676" s="65" t="e">
        <f t="shared" ca="1" si="283"/>
        <v>#VALUE!</v>
      </c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</row>
    <row r="1677" spans="1:68" ht="19" x14ac:dyDescent="0.25">
      <c r="A1677" s="5"/>
      <c r="B1677" s="5"/>
      <c r="C1677" s="5"/>
      <c r="D1677" s="5"/>
      <c r="E1677" s="5"/>
      <c r="F1677" s="5"/>
      <c r="G1677" s="5"/>
      <c r="H1677" s="6"/>
      <c r="I1677" s="5"/>
      <c r="J1677" s="88"/>
      <c r="K1677" s="88"/>
      <c r="L1677" s="88"/>
      <c r="M1677" s="88"/>
      <c r="N1677" s="88"/>
      <c r="O1677" s="88"/>
      <c r="P1677" s="88"/>
      <c r="Q1677" s="89"/>
      <c r="R1677" s="88"/>
      <c r="S1677" s="88"/>
      <c r="T1677" s="90"/>
      <c r="U1677" s="6"/>
      <c r="V1677" s="92"/>
      <c r="W1677" s="77"/>
      <c r="X1677" s="91"/>
      <c r="Y1677" s="77"/>
      <c r="Z1677" s="5"/>
      <c r="AA1677" s="5"/>
      <c r="AB1677" s="5"/>
      <c r="AC1677" s="5"/>
      <c r="AD1677" s="5"/>
      <c r="AE1677" s="5"/>
      <c r="AF1677" s="5"/>
      <c r="AG1677" s="5"/>
      <c r="AH1677" s="6"/>
      <c r="AI1677" s="92"/>
      <c r="AJ1677" s="93"/>
      <c r="AK1677" s="94"/>
      <c r="AL1677" s="95"/>
      <c r="AM1677" s="56"/>
      <c r="AN1677" s="57">
        <f t="shared" si="282"/>
        <v>0</v>
      </c>
      <c r="AO1677" s="76">
        <f t="shared" si="284"/>
        <v>0</v>
      </c>
      <c r="AP1677" s="63" t="str">
        <f t="shared" si="285"/>
        <v/>
      </c>
      <c r="AQ1677" s="63" t="str">
        <f t="shared" si="286"/>
        <v/>
      </c>
      <c r="AR1677" s="63" t="str">
        <f t="shared" si="287"/>
        <v/>
      </c>
      <c r="AS1677" s="63" t="str">
        <f t="shared" si="288"/>
        <v/>
      </c>
      <c r="AT1677" s="78" t="str">
        <f t="shared" si="289"/>
        <v/>
      </c>
      <c r="AU1677" s="78" t="str">
        <f t="shared" si="290"/>
        <v/>
      </c>
      <c r="AV1677" s="64" t="str">
        <f ca="1">IFERROR(__xludf.DUMMYFUNCTION("IF(TRIM(AU1677)="""","""",AU1677/INDEX(FILTER(AT$3:AT1677,TRIM(AT$3:AT1677)&lt;&gt;""""),ROWS(FILTER(AT$3:AT1677,TRIM(AT$3:AT1677)&lt;&gt;"""")))-1)"),"")</f>
        <v/>
      </c>
      <c r="AW1677" s="65" t="e">
        <f t="shared" ca="1" si="283"/>
        <v>#VALUE!</v>
      </c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</row>
    <row r="1678" spans="1:68" ht="19" x14ac:dyDescent="0.25">
      <c r="A1678" s="5"/>
      <c r="B1678" s="5"/>
      <c r="C1678" s="5"/>
      <c r="D1678" s="5"/>
      <c r="E1678" s="5"/>
      <c r="F1678" s="5"/>
      <c r="G1678" s="5"/>
      <c r="H1678" s="6"/>
      <c r="I1678" s="5"/>
      <c r="J1678" s="88"/>
      <c r="K1678" s="88"/>
      <c r="L1678" s="88"/>
      <c r="M1678" s="88"/>
      <c r="N1678" s="88"/>
      <c r="O1678" s="88"/>
      <c r="P1678" s="88"/>
      <c r="Q1678" s="89"/>
      <c r="R1678" s="88"/>
      <c r="S1678" s="88"/>
      <c r="T1678" s="90"/>
      <c r="U1678" s="6"/>
      <c r="V1678" s="92"/>
      <c r="W1678" s="77"/>
      <c r="X1678" s="91"/>
      <c r="Y1678" s="77"/>
      <c r="Z1678" s="5"/>
      <c r="AA1678" s="5"/>
      <c r="AB1678" s="5"/>
      <c r="AC1678" s="5"/>
      <c r="AD1678" s="5"/>
      <c r="AE1678" s="5"/>
      <c r="AF1678" s="5"/>
      <c r="AG1678" s="5"/>
      <c r="AH1678" s="6"/>
      <c r="AI1678" s="92"/>
      <c r="AJ1678" s="93"/>
      <c r="AK1678" s="94"/>
      <c r="AL1678" s="95"/>
      <c r="AM1678" s="56"/>
      <c r="AN1678" s="57">
        <f t="shared" si="282"/>
        <v>0</v>
      </c>
      <c r="AO1678" s="76">
        <f t="shared" si="284"/>
        <v>0</v>
      </c>
      <c r="AP1678" s="63" t="str">
        <f t="shared" si="285"/>
        <v/>
      </c>
      <c r="AQ1678" s="63" t="str">
        <f t="shared" si="286"/>
        <v/>
      </c>
      <c r="AR1678" s="63" t="str">
        <f t="shared" si="287"/>
        <v/>
      </c>
      <c r="AS1678" s="63" t="str">
        <f t="shared" si="288"/>
        <v/>
      </c>
      <c r="AT1678" s="78" t="str">
        <f t="shared" si="289"/>
        <v/>
      </c>
      <c r="AU1678" s="78" t="str">
        <f t="shared" si="290"/>
        <v/>
      </c>
      <c r="AV1678" s="64" t="str">
        <f ca="1">IFERROR(__xludf.DUMMYFUNCTION("IF(TRIM(AU1678)="""","""",AU1678/INDEX(FILTER(AT$3:AT1678,TRIM(AT$3:AT1678)&lt;&gt;""""),ROWS(FILTER(AT$3:AT1678,TRIM(AT$3:AT1678)&lt;&gt;"""")))-1)"),"")</f>
        <v/>
      </c>
      <c r="AW1678" s="65" t="e">
        <f t="shared" ca="1" si="283"/>
        <v>#VALUE!</v>
      </c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</row>
    <row r="1679" spans="1:68" ht="19" x14ac:dyDescent="0.25">
      <c r="A1679" s="5"/>
      <c r="B1679" s="5"/>
      <c r="C1679" s="5"/>
      <c r="D1679" s="5"/>
      <c r="E1679" s="5"/>
      <c r="F1679" s="5"/>
      <c r="G1679" s="5"/>
      <c r="H1679" s="6"/>
      <c r="I1679" s="5"/>
      <c r="J1679" s="88"/>
      <c r="K1679" s="88"/>
      <c r="L1679" s="88"/>
      <c r="M1679" s="88"/>
      <c r="N1679" s="88"/>
      <c r="O1679" s="88"/>
      <c r="P1679" s="88"/>
      <c r="Q1679" s="89"/>
      <c r="R1679" s="88"/>
      <c r="S1679" s="88"/>
      <c r="T1679" s="90"/>
      <c r="U1679" s="6"/>
      <c r="V1679" s="92"/>
      <c r="W1679" s="77"/>
      <c r="X1679" s="91"/>
      <c r="Y1679" s="77"/>
      <c r="Z1679" s="5"/>
      <c r="AA1679" s="5"/>
      <c r="AB1679" s="5"/>
      <c r="AC1679" s="5"/>
      <c r="AD1679" s="5"/>
      <c r="AE1679" s="5"/>
      <c r="AF1679" s="5"/>
      <c r="AG1679" s="5"/>
      <c r="AH1679" s="6"/>
      <c r="AI1679" s="92"/>
      <c r="AJ1679" s="93"/>
      <c r="AK1679" s="94"/>
      <c r="AL1679" s="95"/>
      <c r="AM1679" s="56"/>
      <c r="AN1679" s="57">
        <f t="shared" si="282"/>
        <v>0</v>
      </c>
      <c r="AO1679" s="76">
        <f t="shared" si="284"/>
        <v>0</v>
      </c>
      <c r="AP1679" s="63" t="str">
        <f t="shared" si="285"/>
        <v/>
      </c>
      <c r="AQ1679" s="63" t="str">
        <f t="shared" si="286"/>
        <v/>
      </c>
      <c r="AR1679" s="63" t="str">
        <f t="shared" si="287"/>
        <v/>
      </c>
      <c r="AS1679" s="63" t="str">
        <f t="shared" si="288"/>
        <v/>
      </c>
      <c r="AT1679" s="78" t="str">
        <f t="shared" si="289"/>
        <v/>
      </c>
      <c r="AU1679" s="78" t="str">
        <f t="shared" si="290"/>
        <v/>
      </c>
      <c r="AV1679" s="64" t="str">
        <f ca="1">IFERROR(__xludf.DUMMYFUNCTION("IF(TRIM(AU1679)="""","""",AU1679/INDEX(FILTER(AT$3:AT1679,TRIM(AT$3:AT1679)&lt;&gt;""""),ROWS(FILTER(AT$3:AT1679,TRIM(AT$3:AT1679)&lt;&gt;"""")))-1)"),"")</f>
        <v/>
      </c>
      <c r="AW1679" s="65" t="e">
        <f t="shared" ca="1" si="283"/>
        <v>#VALUE!</v>
      </c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</row>
    <row r="1680" spans="1:68" ht="19" x14ac:dyDescent="0.25">
      <c r="A1680" s="5"/>
      <c r="B1680" s="5"/>
      <c r="C1680" s="5"/>
      <c r="D1680" s="5"/>
      <c r="E1680" s="5"/>
      <c r="F1680" s="5"/>
      <c r="G1680" s="5"/>
      <c r="H1680" s="6"/>
      <c r="I1680" s="5"/>
      <c r="J1680" s="88"/>
      <c r="K1680" s="88"/>
      <c r="L1680" s="88"/>
      <c r="M1680" s="88"/>
      <c r="N1680" s="88"/>
      <c r="O1680" s="88"/>
      <c r="P1680" s="88"/>
      <c r="Q1680" s="89"/>
      <c r="R1680" s="88"/>
      <c r="S1680" s="88"/>
      <c r="T1680" s="90"/>
      <c r="U1680" s="6"/>
      <c r="V1680" s="92"/>
      <c r="W1680" s="77"/>
      <c r="X1680" s="91"/>
      <c r="Y1680" s="77"/>
      <c r="Z1680" s="5"/>
      <c r="AA1680" s="5"/>
      <c r="AB1680" s="5"/>
      <c r="AC1680" s="5"/>
      <c r="AD1680" s="5"/>
      <c r="AE1680" s="5"/>
      <c r="AF1680" s="5"/>
      <c r="AG1680" s="5"/>
      <c r="AH1680" s="6"/>
      <c r="AI1680" s="92"/>
      <c r="AJ1680" s="93"/>
      <c r="AK1680" s="94"/>
      <c r="AL1680" s="95"/>
      <c r="AM1680" s="56"/>
      <c r="AN1680" s="57">
        <f t="shared" si="282"/>
        <v>0</v>
      </c>
      <c r="AO1680" s="76">
        <f t="shared" si="284"/>
        <v>0</v>
      </c>
      <c r="AP1680" s="63" t="str">
        <f t="shared" si="285"/>
        <v/>
      </c>
      <c r="AQ1680" s="63" t="str">
        <f t="shared" si="286"/>
        <v/>
      </c>
      <c r="AR1680" s="63" t="str">
        <f t="shared" si="287"/>
        <v/>
      </c>
      <c r="AS1680" s="63" t="str">
        <f t="shared" si="288"/>
        <v/>
      </c>
      <c r="AT1680" s="78" t="str">
        <f t="shared" si="289"/>
        <v/>
      </c>
      <c r="AU1680" s="78" t="str">
        <f t="shared" si="290"/>
        <v/>
      </c>
      <c r="AV1680" s="64" t="str">
        <f ca="1">IFERROR(__xludf.DUMMYFUNCTION("IF(TRIM(AU1680)="""","""",AU1680/INDEX(FILTER(AT$3:AT1680,TRIM(AT$3:AT1680)&lt;&gt;""""),ROWS(FILTER(AT$3:AT1680,TRIM(AT$3:AT1680)&lt;&gt;"""")))-1)"),"")</f>
        <v/>
      </c>
      <c r="AW1680" s="65" t="e">
        <f t="shared" ca="1" si="283"/>
        <v>#VALUE!</v>
      </c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</row>
    <row r="1681" spans="1:68" ht="19" x14ac:dyDescent="0.25">
      <c r="A1681" s="5"/>
      <c r="B1681" s="5"/>
      <c r="C1681" s="5"/>
      <c r="D1681" s="5"/>
      <c r="E1681" s="5"/>
      <c r="F1681" s="5"/>
      <c r="G1681" s="5"/>
      <c r="H1681" s="6"/>
      <c r="I1681" s="5"/>
      <c r="J1681" s="88"/>
      <c r="K1681" s="88"/>
      <c r="L1681" s="88"/>
      <c r="M1681" s="88"/>
      <c r="N1681" s="88"/>
      <c r="O1681" s="88"/>
      <c r="P1681" s="88"/>
      <c r="Q1681" s="89"/>
      <c r="R1681" s="88"/>
      <c r="S1681" s="88"/>
      <c r="T1681" s="90"/>
      <c r="U1681" s="6"/>
      <c r="V1681" s="92"/>
      <c r="W1681" s="77"/>
      <c r="X1681" s="91"/>
      <c r="Y1681" s="77"/>
      <c r="Z1681" s="5"/>
      <c r="AA1681" s="5"/>
      <c r="AB1681" s="5"/>
      <c r="AC1681" s="5"/>
      <c r="AD1681" s="5"/>
      <c r="AE1681" s="5"/>
      <c r="AF1681" s="5"/>
      <c r="AG1681" s="5"/>
      <c r="AH1681" s="6"/>
      <c r="AI1681" s="92"/>
      <c r="AJ1681" s="93"/>
      <c r="AK1681" s="94"/>
      <c r="AL1681" s="95"/>
      <c r="AM1681" s="56"/>
      <c r="AN1681" s="57">
        <f t="shared" si="282"/>
        <v>0</v>
      </c>
      <c r="AO1681" s="76">
        <f t="shared" si="284"/>
        <v>0</v>
      </c>
      <c r="AP1681" s="63" t="str">
        <f t="shared" si="285"/>
        <v/>
      </c>
      <c r="AQ1681" s="63" t="str">
        <f t="shared" si="286"/>
        <v/>
      </c>
      <c r="AR1681" s="63" t="str">
        <f t="shared" si="287"/>
        <v/>
      </c>
      <c r="AS1681" s="63" t="str">
        <f t="shared" si="288"/>
        <v/>
      </c>
      <c r="AT1681" s="78" t="str">
        <f t="shared" si="289"/>
        <v/>
      </c>
      <c r="AU1681" s="78" t="str">
        <f t="shared" si="290"/>
        <v/>
      </c>
      <c r="AV1681" s="64" t="str">
        <f ca="1">IFERROR(__xludf.DUMMYFUNCTION("IF(TRIM(AU1681)="""","""",AU1681/INDEX(FILTER(AT$3:AT1681,TRIM(AT$3:AT1681)&lt;&gt;""""),ROWS(FILTER(AT$3:AT1681,TRIM(AT$3:AT1681)&lt;&gt;"""")))-1)"),"")</f>
        <v/>
      </c>
      <c r="AW1681" s="65" t="e">
        <f t="shared" ca="1" si="283"/>
        <v>#VALUE!</v>
      </c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</row>
    <row r="1682" spans="1:68" ht="19" x14ac:dyDescent="0.25">
      <c r="A1682" s="5"/>
      <c r="B1682" s="5"/>
      <c r="C1682" s="5"/>
      <c r="D1682" s="5"/>
      <c r="E1682" s="5"/>
      <c r="F1682" s="5"/>
      <c r="G1682" s="5"/>
      <c r="H1682" s="6"/>
      <c r="I1682" s="5"/>
      <c r="J1682" s="88"/>
      <c r="K1682" s="88"/>
      <c r="L1682" s="88"/>
      <c r="M1682" s="88"/>
      <c r="N1682" s="88"/>
      <c r="O1682" s="88"/>
      <c r="P1682" s="88"/>
      <c r="Q1682" s="89"/>
      <c r="R1682" s="88"/>
      <c r="S1682" s="88"/>
      <c r="T1682" s="90"/>
      <c r="U1682" s="6"/>
      <c r="V1682" s="92"/>
      <c r="W1682" s="77"/>
      <c r="X1682" s="91"/>
      <c r="Y1682" s="77"/>
      <c r="Z1682" s="5"/>
      <c r="AA1682" s="5"/>
      <c r="AB1682" s="5"/>
      <c r="AC1682" s="5"/>
      <c r="AD1682" s="5"/>
      <c r="AE1682" s="5"/>
      <c r="AF1682" s="5"/>
      <c r="AG1682" s="5"/>
      <c r="AH1682" s="6"/>
      <c r="AI1682" s="92"/>
      <c r="AJ1682" s="93"/>
      <c r="AK1682" s="94"/>
      <c r="AL1682" s="95"/>
      <c r="AM1682" s="56"/>
      <c r="AN1682" s="57">
        <f t="shared" si="282"/>
        <v>0</v>
      </c>
      <c r="AO1682" s="76">
        <f t="shared" si="284"/>
        <v>0</v>
      </c>
      <c r="AP1682" s="63" t="str">
        <f t="shared" si="285"/>
        <v/>
      </c>
      <c r="AQ1682" s="63" t="str">
        <f t="shared" si="286"/>
        <v/>
      </c>
      <c r="AR1682" s="63" t="str">
        <f t="shared" si="287"/>
        <v/>
      </c>
      <c r="AS1682" s="63" t="str">
        <f t="shared" si="288"/>
        <v/>
      </c>
      <c r="AT1682" s="78" t="str">
        <f t="shared" si="289"/>
        <v/>
      </c>
      <c r="AU1682" s="78" t="str">
        <f t="shared" si="290"/>
        <v/>
      </c>
      <c r="AV1682" s="64" t="str">
        <f ca="1">IFERROR(__xludf.DUMMYFUNCTION("IF(TRIM(AU1682)="""","""",AU1682/INDEX(FILTER(AT$3:AT1682,TRIM(AT$3:AT1682)&lt;&gt;""""),ROWS(FILTER(AT$3:AT1682,TRIM(AT$3:AT1682)&lt;&gt;"""")))-1)"),"")</f>
        <v/>
      </c>
      <c r="AW1682" s="65" t="e">
        <f t="shared" ca="1" si="283"/>
        <v>#VALUE!</v>
      </c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</row>
    <row r="1683" spans="1:68" ht="19" x14ac:dyDescent="0.25">
      <c r="A1683" s="5"/>
      <c r="B1683" s="5"/>
      <c r="C1683" s="5"/>
      <c r="D1683" s="5"/>
      <c r="E1683" s="5"/>
      <c r="F1683" s="5"/>
      <c r="G1683" s="5"/>
      <c r="H1683" s="6"/>
      <c r="I1683" s="5"/>
      <c r="J1683" s="88"/>
      <c r="K1683" s="88"/>
      <c r="L1683" s="88"/>
      <c r="M1683" s="88"/>
      <c r="N1683" s="88"/>
      <c r="O1683" s="88"/>
      <c r="P1683" s="88"/>
      <c r="Q1683" s="89"/>
      <c r="R1683" s="88"/>
      <c r="S1683" s="88"/>
      <c r="T1683" s="90"/>
      <c r="U1683" s="6"/>
      <c r="V1683" s="92"/>
      <c r="W1683" s="77"/>
      <c r="X1683" s="91"/>
      <c r="Y1683" s="77"/>
      <c r="Z1683" s="5"/>
      <c r="AA1683" s="5"/>
      <c r="AB1683" s="5"/>
      <c r="AC1683" s="5"/>
      <c r="AD1683" s="5"/>
      <c r="AE1683" s="5"/>
      <c r="AF1683" s="5"/>
      <c r="AG1683" s="5"/>
      <c r="AH1683" s="6"/>
      <c r="AI1683" s="92"/>
      <c r="AJ1683" s="93"/>
      <c r="AK1683" s="94"/>
      <c r="AL1683" s="95"/>
      <c r="AM1683" s="56"/>
      <c r="AN1683" s="57">
        <f t="shared" si="282"/>
        <v>0</v>
      </c>
      <c r="AO1683" s="76">
        <f t="shared" si="284"/>
        <v>0</v>
      </c>
      <c r="AP1683" s="63" t="str">
        <f t="shared" si="285"/>
        <v/>
      </c>
      <c r="AQ1683" s="63" t="str">
        <f t="shared" si="286"/>
        <v/>
      </c>
      <c r="AR1683" s="63" t="str">
        <f t="shared" si="287"/>
        <v/>
      </c>
      <c r="AS1683" s="63" t="str">
        <f t="shared" si="288"/>
        <v/>
      </c>
      <c r="AT1683" s="78" t="str">
        <f t="shared" si="289"/>
        <v/>
      </c>
      <c r="AU1683" s="78" t="str">
        <f t="shared" si="290"/>
        <v/>
      </c>
      <c r="AV1683" s="64" t="str">
        <f ca="1">IFERROR(__xludf.DUMMYFUNCTION("IF(TRIM(AU1683)="""","""",AU1683/INDEX(FILTER(AT$3:AT1683,TRIM(AT$3:AT1683)&lt;&gt;""""),ROWS(FILTER(AT$3:AT1683,TRIM(AT$3:AT1683)&lt;&gt;"""")))-1)"),"")</f>
        <v/>
      </c>
      <c r="AW1683" s="65" t="e">
        <f t="shared" ca="1" si="283"/>
        <v>#VALUE!</v>
      </c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</row>
    <row r="1684" spans="1:68" ht="19" x14ac:dyDescent="0.25">
      <c r="A1684" s="5"/>
      <c r="B1684" s="5"/>
      <c r="C1684" s="5"/>
      <c r="D1684" s="5"/>
      <c r="E1684" s="5"/>
      <c r="F1684" s="5"/>
      <c r="G1684" s="5"/>
      <c r="H1684" s="6"/>
      <c r="I1684" s="5"/>
      <c r="J1684" s="88"/>
      <c r="K1684" s="88"/>
      <c r="L1684" s="88"/>
      <c r="M1684" s="88"/>
      <c r="N1684" s="88"/>
      <c r="O1684" s="88"/>
      <c r="P1684" s="88"/>
      <c r="Q1684" s="89"/>
      <c r="R1684" s="88"/>
      <c r="S1684" s="88"/>
      <c r="T1684" s="90"/>
      <c r="U1684" s="6"/>
      <c r="V1684" s="92"/>
      <c r="W1684" s="77"/>
      <c r="X1684" s="91"/>
      <c r="Y1684" s="77"/>
      <c r="Z1684" s="5"/>
      <c r="AA1684" s="5"/>
      <c r="AB1684" s="5"/>
      <c r="AC1684" s="5"/>
      <c r="AD1684" s="5"/>
      <c r="AE1684" s="5"/>
      <c r="AF1684" s="5"/>
      <c r="AG1684" s="5"/>
      <c r="AH1684" s="6"/>
      <c r="AI1684" s="92"/>
      <c r="AJ1684" s="93"/>
      <c r="AK1684" s="94"/>
      <c r="AL1684" s="95"/>
      <c r="AM1684" s="56"/>
      <c r="AN1684" s="57">
        <f t="shared" si="282"/>
        <v>0</v>
      </c>
      <c r="AO1684" s="76">
        <f t="shared" si="284"/>
        <v>0</v>
      </c>
      <c r="AP1684" s="63" t="str">
        <f t="shared" si="285"/>
        <v/>
      </c>
      <c r="AQ1684" s="63" t="str">
        <f t="shared" si="286"/>
        <v/>
      </c>
      <c r="AR1684" s="63" t="str">
        <f t="shared" si="287"/>
        <v/>
      </c>
      <c r="AS1684" s="63" t="str">
        <f t="shared" si="288"/>
        <v/>
      </c>
      <c r="AT1684" s="78" t="str">
        <f t="shared" si="289"/>
        <v/>
      </c>
      <c r="AU1684" s="78" t="str">
        <f t="shared" si="290"/>
        <v/>
      </c>
      <c r="AV1684" s="64" t="str">
        <f ca="1">IFERROR(__xludf.DUMMYFUNCTION("IF(TRIM(AU1684)="""","""",AU1684/INDEX(FILTER(AT$3:AT1684,TRIM(AT$3:AT1684)&lt;&gt;""""),ROWS(FILTER(AT$3:AT1684,TRIM(AT$3:AT1684)&lt;&gt;"""")))-1)"),"")</f>
        <v/>
      </c>
      <c r="AW1684" s="65" t="e">
        <f t="shared" ca="1" si="283"/>
        <v>#VALUE!</v>
      </c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</row>
    <row r="1685" spans="1:68" ht="19" x14ac:dyDescent="0.25">
      <c r="A1685" s="5"/>
      <c r="B1685" s="5"/>
      <c r="C1685" s="5"/>
      <c r="D1685" s="5"/>
      <c r="E1685" s="5"/>
      <c r="F1685" s="5"/>
      <c r="G1685" s="5"/>
      <c r="H1685" s="6"/>
      <c r="I1685" s="5"/>
      <c r="J1685" s="88"/>
      <c r="K1685" s="88"/>
      <c r="L1685" s="88"/>
      <c r="M1685" s="88"/>
      <c r="N1685" s="88"/>
      <c r="O1685" s="88"/>
      <c r="P1685" s="88"/>
      <c r="Q1685" s="89"/>
      <c r="R1685" s="88"/>
      <c r="S1685" s="88"/>
      <c r="T1685" s="90"/>
      <c r="U1685" s="6"/>
      <c r="V1685" s="92"/>
      <c r="W1685" s="77"/>
      <c r="X1685" s="91"/>
      <c r="Y1685" s="77"/>
      <c r="Z1685" s="5"/>
      <c r="AA1685" s="5"/>
      <c r="AB1685" s="5"/>
      <c r="AC1685" s="5"/>
      <c r="AD1685" s="5"/>
      <c r="AE1685" s="5"/>
      <c r="AF1685" s="5"/>
      <c r="AG1685" s="5"/>
      <c r="AH1685" s="6"/>
      <c r="AI1685" s="92"/>
      <c r="AJ1685" s="93"/>
      <c r="AK1685" s="94"/>
      <c r="AL1685" s="95"/>
      <c r="AM1685" s="56"/>
      <c r="AN1685" s="57">
        <f t="shared" si="282"/>
        <v>0</v>
      </c>
      <c r="AO1685" s="76">
        <f t="shared" si="284"/>
        <v>0</v>
      </c>
      <c r="AP1685" s="63" t="str">
        <f t="shared" si="285"/>
        <v/>
      </c>
      <c r="AQ1685" s="63" t="str">
        <f t="shared" si="286"/>
        <v/>
      </c>
      <c r="AR1685" s="63" t="str">
        <f t="shared" si="287"/>
        <v/>
      </c>
      <c r="AS1685" s="63" t="str">
        <f t="shared" si="288"/>
        <v/>
      </c>
      <c r="AT1685" s="78" t="str">
        <f t="shared" si="289"/>
        <v/>
      </c>
      <c r="AU1685" s="78" t="str">
        <f t="shared" si="290"/>
        <v/>
      </c>
      <c r="AV1685" s="64" t="str">
        <f ca="1">IFERROR(__xludf.DUMMYFUNCTION("IF(TRIM(AU1685)="""","""",AU1685/INDEX(FILTER(AT$3:AT1685,TRIM(AT$3:AT1685)&lt;&gt;""""),ROWS(FILTER(AT$3:AT1685,TRIM(AT$3:AT1685)&lt;&gt;"""")))-1)"),"")</f>
        <v/>
      </c>
      <c r="AW1685" s="65" t="e">
        <f t="shared" ca="1" si="283"/>
        <v>#VALUE!</v>
      </c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</row>
    <row r="1686" spans="1:68" ht="19" x14ac:dyDescent="0.25">
      <c r="A1686" s="5"/>
      <c r="B1686" s="5"/>
      <c r="C1686" s="5"/>
      <c r="D1686" s="5"/>
      <c r="E1686" s="5"/>
      <c r="F1686" s="5"/>
      <c r="G1686" s="5"/>
      <c r="H1686" s="6"/>
      <c r="I1686" s="5"/>
      <c r="J1686" s="88"/>
      <c r="K1686" s="88"/>
      <c r="L1686" s="88"/>
      <c r="M1686" s="88"/>
      <c r="N1686" s="88"/>
      <c r="O1686" s="88"/>
      <c r="P1686" s="88"/>
      <c r="Q1686" s="89"/>
      <c r="R1686" s="88"/>
      <c r="S1686" s="88"/>
      <c r="T1686" s="90"/>
      <c r="U1686" s="6"/>
      <c r="V1686" s="92"/>
      <c r="W1686" s="77"/>
      <c r="X1686" s="91"/>
      <c r="Y1686" s="77"/>
      <c r="Z1686" s="5"/>
      <c r="AA1686" s="5"/>
      <c r="AB1686" s="5"/>
      <c r="AC1686" s="5"/>
      <c r="AD1686" s="5"/>
      <c r="AE1686" s="5"/>
      <c r="AF1686" s="5"/>
      <c r="AG1686" s="5"/>
      <c r="AH1686" s="6"/>
      <c r="AI1686" s="92"/>
      <c r="AJ1686" s="93"/>
      <c r="AK1686" s="94"/>
      <c r="AL1686" s="95"/>
      <c r="AM1686" s="56"/>
      <c r="AN1686" s="57">
        <f t="shared" si="282"/>
        <v>0</v>
      </c>
      <c r="AO1686" s="76">
        <f t="shared" si="284"/>
        <v>0</v>
      </c>
      <c r="AP1686" s="63" t="str">
        <f t="shared" si="285"/>
        <v/>
      </c>
      <c r="AQ1686" s="63" t="str">
        <f t="shared" si="286"/>
        <v/>
      </c>
      <c r="AR1686" s="63" t="str">
        <f t="shared" si="287"/>
        <v/>
      </c>
      <c r="AS1686" s="63" t="str">
        <f t="shared" si="288"/>
        <v/>
      </c>
      <c r="AT1686" s="78" t="str">
        <f t="shared" si="289"/>
        <v/>
      </c>
      <c r="AU1686" s="78" t="str">
        <f t="shared" si="290"/>
        <v/>
      </c>
      <c r="AV1686" s="64" t="str">
        <f ca="1">IFERROR(__xludf.DUMMYFUNCTION("IF(TRIM(AU1686)="""","""",AU1686/INDEX(FILTER(AT$3:AT1686,TRIM(AT$3:AT1686)&lt;&gt;""""),ROWS(FILTER(AT$3:AT1686,TRIM(AT$3:AT1686)&lt;&gt;"""")))-1)"),"")</f>
        <v/>
      </c>
      <c r="AW1686" s="65" t="e">
        <f t="shared" ca="1" si="283"/>
        <v>#VALUE!</v>
      </c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</row>
    <row r="1687" spans="1:68" ht="19" x14ac:dyDescent="0.25">
      <c r="A1687" s="5"/>
      <c r="B1687" s="5"/>
      <c r="C1687" s="5"/>
      <c r="D1687" s="5"/>
      <c r="E1687" s="5"/>
      <c r="F1687" s="5"/>
      <c r="G1687" s="5"/>
      <c r="H1687" s="6"/>
      <c r="I1687" s="5"/>
      <c r="J1687" s="88"/>
      <c r="K1687" s="88"/>
      <c r="L1687" s="88"/>
      <c r="M1687" s="88"/>
      <c r="N1687" s="88"/>
      <c r="O1687" s="88"/>
      <c r="P1687" s="88"/>
      <c r="Q1687" s="89"/>
      <c r="R1687" s="88"/>
      <c r="S1687" s="88"/>
      <c r="T1687" s="90"/>
      <c r="U1687" s="6"/>
      <c r="V1687" s="92"/>
      <c r="W1687" s="77"/>
      <c r="X1687" s="91"/>
      <c r="Y1687" s="77"/>
      <c r="Z1687" s="5"/>
      <c r="AA1687" s="5"/>
      <c r="AB1687" s="5"/>
      <c r="AC1687" s="5"/>
      <c r="AD1687" s="5"/>
      <c r="AE1687" s="5"/>
      <c r="AF1687" s="5"/>
      <c r="AG1687" s="5"/>
      <c r="AH1687" s="6"/>
      <c r="AI1687" s="92"/>
      <c r="AJ1687" s="93"/>
      <c r="AK1687" s="94"/>
      <c r="AL1687" s="95"/>
      <c r="AM1687" s="56"/>
      <c r="AN1687" s="57">
        <f t="shared" si="282"/>
        <v>0</v>
      </c>
      <c r="AO1687" s="76">
        <f t="shared" si="284"/>
        <v>0</v>
      </c>
      <c r="AP1687" s="63" t="str">
        <f t="shared" si="285"/>
        <v/>
      </c>
      <c r="AQ1687" s="63" t="str">
        <f t="shared" si="286"/>
        <v/>
      </c>
      <c r="AR1687" s="63" t="str">
        <f t="shared" si="287"/>
        <v/>
      </c>
      <c r="AS1687" s="63" t="str">
        <f t="shared" si="288"/>
        <v/>
      </c>
      <c r="AT1687" s="78" t="str">
        <f t="shared" si="289"/>
        <v/>
      </c>
      <c r="AU1687" s="78" t="str">
        <f t="shared" si="290"/>
        <v/>
      </c>
      <c r="AV1687" s="64" t="str">
        <f ca="1">IFERROR(__xludf.DUMMYFUNCTION("IF(TRIM(AU1687)="""","""",AU1687/INDEX(FILTER(AT$3:AT1687,TRIM(AT$3:AT1687)&lt;&gt;""""),ROWS(FILTER(AT$3:AT1687,TRIM(AT$3:AT1687)&lt;&gt;"""")))-1)"),"")</f>
        <v/>
      </c>
      <c r="AW1687" s="65" t="e">
        <f t="shared" ca="1" si="283"/>
        <v>#VALUE!</v>
      </c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</row>
    <row r="1688" spans="1:68" ht="19" x14ac:dyDescent="0.25">
      <c r="A1688" s="5"/>
      <c r="B1688" s="5"/>
      <c r="C1688" s="5"/>
      <c r="D1688" s="5"/>
      <c r="E1688" s="5"/>
      <c r="F1688" s="5"/>
      <c r="G1688" s="5"/>
      <c r="H1688" s="6"/>
      <c r="I1688" s="5"/>
      <c r="J1688" s="88"/>
      <c r="K1688" s="88"/>
      <c r="L1688" s="88"/>
      <c r="M1688" s="88"/>
      <c r="N1688" s="88"/>
      <c r="O1688" s="88"/>
      <c r="P1688" s="88"/>
      <c r="Q1688" s="89"/>
      <c r="R1688" s="88"/>
      <c r="S1688" s="88"/>
      <c r="T1688" s="90"/>
      <c r="U1688" s="6"/>
      <c r="V1688" s="92"/>
      <c r="W1688" s="77"/>
      <c r="X1688" s="91"/>
      <c r="Y1688" s="77"/>
      <c r="Z1688" s="5"/>
      <c r="AA1688" s="5"/>
      <c r="AB1688" s="5"/>
      <c r="AC1688" s="5"/>
      <c r="AD1688" s="5"/>
      <c r="AE1688" s="5"/>
      <c r="AF1688" s="5"/>
      <c r="AG1688" s="5"/>
      <c r="AH1688" s="6"/>
      <c r="AI1688" s="92"/>
      <c r="AJ1688" s="93"/>
      <c r="AK1688" s="94"/>
      <c r="AL1688" s="95"/>
      <c r="AM1688" s="56"/>
      <c r="AN1688" s="57">
        <f t="shared" si="282"/>
        <v>0</v>
      </c>
      <c r="AO1688" s="76">
        <f t="shared" si="284"/>
        <v>0</v>
      </c>
      <c r="AP1688" s="63" t="str">
        <f t="shared" si="285"/>
        <v/>
      </c>
      <c r="AQ1688" s="63" t="str">
        <f t="shared" si="286"/>
        <v/>
      </c>
      <c r="AR1688" s="63" t="str">
        <f t="shared" si="287"/>
        <v/>
      </c>
      <c r="AS1688" s="63" t="str">
        <f t="shared" si="288"/>
        <v/>
      </c>
      <c r="AT1688" s="78" t="str">
        <f t="shared" si="289"/>
        <v/>
      </c>
      <c r="AU1688" s="78" t="str">
        <f t="shared" si="290"/>
        <v/>
      </c>
      <c r="AV1688" s="64" t="str">
        <f ca="1">IFERROR(__xludf.DUMMYFUNCTION("IF(TRIM(AU1688)="""","""",AU1688/INDEX(FILTER(AT$3:AT1688,TRIM(AT$3:AT1688)&lt;&gt;""""),ROWS(FILTER(AT$3:AT1688,TRIM(AT$3:AT1688)&lt;&gt;"""")))-1)"),"")</f>
        <v/>
      </c>
      <c r="AW1688" s="65" t="e">
        <f t="shared" ca="1" si="283"/>
        <v>#VALUE!</v>
      </c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</row>
    <row r="1689" spans="1:68" ht="19" x14ac:dyDescent="0.25">
      <c r="A1689" s="5"/>
      <c r="B1689" s="5"/>
      <c r="C1689" s="5"/>
      <c r="D1689" s="5"/>
      <c r="E1689" s="5"/>
      <c r="F1689" s="5"/>
      <c r="G1689" s="5"/>
      <c r="H1689" s="6"/>
      <c r="I1689" s="5"/>
      <c r="J1689" s="88"/>
      <c r="K1689" s="88"/>
      <c r="L1689" s="88"/>
      <c r="M1689" s="88"/>
      <c r="N1689" s="88"/>
      <c r="O1689" s="88"/>
      <c r="P1689" s="88"/>
      <c r="Q1689" s="89"/>
      <c r="R1689" s="88"/>
      <c r="S1689" s="88"/>
      <c r="T1689" s="90"/>
      <c r="U1689" s="6"/>
      <c r="V1689" s="92"/>
      <c r="W1689" s="77"/>
      <c r="X1689" s="91"/>
      <c r="Y1689" s="77"/>
      <c r="Z1689" s="5"/>
      <c r="AA1689" s="5"/>
      <c r="AB1689" s="5"/>
      <c r="AC1689" s="5"/>
      <c r="AD1689" s="5"/>
      <c r="AE1689" s="5"/>
      <c r="AF1689" s="5"/>
      <c r="AG1689" s="5"/>
      <c r="AH1689" s="6"/>
      <c r="AI1689" s="92"/>
      <c r="AJ1689" s="93"/>
      <c r="AK1689" s="94"/>
      <c r="AL1689" s="95"/>
      <c r="AM1689" s="56"/>
      <c r="AN1689" s="57">
        <f t="shared" si="282"/>
        <v>0</v>
      </c>
      <c r="AO1689" s="76">
        <f t="shared" si="284"/>
        <v>0</v>
      </c>
      <c r="AP1689" s="63" t="str">
        <f t="shared" si="285"/>
        <v/>
      </c>
      <c r="AQ1689" s="63" t="str">
        <f t="shared" si="286"/>
        <v/>
      </c>
      <c r="AR1689" s="63" t="str">
        <f t="shared" si="287"/>
        <v/>
      </c>
      <c r="AS1689" s="63" t="str">
        <f t="shared" si="288"/>
        <v/>
      </c>
      <c r="AT1689" s="78" t="str">
        <f t="shared" si="289"/>
        <v/>
      </c>
      <c r="AU1689" s="78" t="str">
        <f t="shared" si="290"/>
        <v/>
      </c>
      <c r="AV1689" s="64" t="str">
        <f ca="1">IFERROR(__xludf.DUMMYFUNCTION("IF(TRIM(AU1689)="""","""",AU1689/INDEX(FILTER(AT$3:AT1689,TRIM(AT$3:AT1689)&lt;&gt;""""),ROWS(FILTER(AT$3:AT1689,TRIM(AT$3:AT1689)&lt;&gt;"""")))-1)"),"")</f>
        <v/>
      </c>
      <c r="AW1689" s="65" t="e">
        <f t="shared" ca="1" si="283"/>
        <v>#VALUE!</v>
      </c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</row>
    <row r="1690" spans="1:68" ht="19" x14ac:dyDescent="0.25">
      <c r="A1690" s="5"/>
      <c r="B1690" s="5"/>
      <c r="C1690" s="5"/>
      <c r="D1690" s="5"/>
      <c r="E1690" s="5"/>
      <c r="F1690" s="5"/>
      <c r="G1690" s="5"/>
      <c r="H1690" s="6"/>
      <c r="I1690" s="5"/>
      <c r="J1690" s="88"/>
      <c r="K1690" s="88"/>
      <c r="L1690" s="88"/>
      <c r="M1690" s="88"/>
      <c r="N1690" s="88"/>
      <c r="O1690" s="88"/>
      <c r="P1690" s="88"/>
      <c r="Q1690" s="89"/>
      <c r="R1690" s="88"/>
      <c r="S1690" s="88"/>
      <c r="T1690" s="90"/>
      <c r="U1690" s="6"/>
      <c r="V1690" s="92"/>
      <c r="W1690" s="77"/>
      <c r="X1690" s="91"/>
      <c r="Y1690" s="77"/>
      <c r="Z1690" s="5"/>
      <c r="AA1690" s="5"/>
      <c r="AB1690" s="5"/>
      <c r="AC1690" s="5"/>
      <c r="AD1690" s="5"/>
      <c r="AE1690" s="5"/>
      <c r="AF1690" s="5"/>
      <c r="AG1690" s="5"/>
      <c r="AH1690" s="6"/>
      <c r="AI1690" s="92"/>
      <c r="AJ1690" s="93"/>
      <c r="AK1690" s="94"/>
      <c r="AL1690" s="95"/>
      <c r="AM1690" s="56"/>
      <c r="AN1690" s="57">
        <f t="shared" si="282"/>
        <v>0</v>
      </c>
      <c r="AO1690" s="76">
        <f t="shared" si="284"/>
        <v>0</v>
      </c>
      <c r="AP1690" s="63" t="str">
        <f t="shared" si="285"/>
        <v/>
      </c>
      <c r="AQ1690" s="63" t="str">
        <f t="shared" si="286"/>
        <v/>
      </c>
      <c r="AR1690" s="63" t="str">
        <f t="shared" si="287"/>
        <v/>
      </c>
      <c r="AS1690" s="63" t="str">
        <f t="shared" si="288"/>
        <v/>
      </c>
      <c r="AT1690" s="78" t="str">
        <f t="shared" si="289"/>
        <v/>
      </c>
      <c r="AU1690" s="78" t="str">
        <f t="shared" si="290"/>
        <v/>
      </c>
      <c r="AV1690" s="64" t="str">
        <f ca="1">IFERROR(__xludf.DUMMYFUNCTION("IF(TRIM(AU1690)="""","""",AU1690/INDEX(FILTER(AT$3:AT1690,TRIM(AT$3:AT1690)&lt;&gt;""""),ROWS(FILTER(AT$3:AT1690,TRIM(AT$3:AT1690)&lt;&gt;"""")))-1)"),"")</f>
        <v/>
      </c>
      <c r="AW1690" s="65" t="e">
        <f t="shared" ca="1" si="283"/>
        <v>#VALUE!</v>
      </c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</row>
    <row r="1691" spans="1:68" ht="19" x14ac:dyDescent="0.25">
      <c r="A1691" s="5"/>
      <c r="B1691" s="5"/>
      <c r="C1691" s="5"/>
      <c r="D1691" s="5"/>
      <c r="E1691" s="5"/>
      <c r="F1691" s="5"/>
      <c r="G1691" s="5"/>
      <c r="H1691" s="6"/>
      <c r="I1691" s="5"/>
      <c r="J1691" s="88"/>
      <c r="K1691" s="88"/>
      <c r="L1691" s="88"/>
      <c r="M1691" s="88"/>
      <c r="N1691" s="88"/>
      <c r="O1691" s="88"/>
      <c r="P1691" s="88"/>
      <c r="Q1691" s="89"/>
      <c r="R1691" s="88"/>
      <c r="S1691" s="88"/>
      <c r="T1691" s="90"/>
      <c r="U1691" s="6"/>
      <c r="V1691" s="92"/>
      <c r="W1691" s="77"/>
      <c r="X1691" s="91"/>
      <c r="Y1691" s="77"/>
      <c r="Z1691" s="5"/>
      <c r="AA1691" s="5"/>
      <c r="AB1691" s="5"/>
      <c r="AC1691" s="5"/>
      <c r="AD1691" s="5"/>
      <c r="AE1691" s="5"/>
      <c r="AF1691" s="5"/>
      <c r="AG1691" s="5"/>
      <c r="AH1691" s="6"/>
      <c r="AI1691" s="92"/>
      <c r="AJ1691" s="93"/>
      <c r="AK1691" s="94"/>
      <c r="AL1691" s="95"/>
      <c r="AM1691" s="56"/>
      <c r="AN1691" s="57">
        <f t="shared" si="282"/>
        <v>0</v>
      </c>
      <c r="AO1691" s="76">
        <f t="shared" si="284"/>
        <v>0</v>
      </c>
      <c r="AP1691" s="63" t="str">
        <f t="shared" si="285"/>
        <v/>
      </c>
      <c r="AQ1691" s="63" t="str">
        <f t="shared" si="286"/>
        <v/>
      </c>
      <c r="AR1691" s="63" t="str">
        <f t="shared" si="287"/>
        <v/>
      </c>
      <c r="AS1691" s="63" t="str">
        <f t="shared" si="288"/>
        <v/>
      </c>
      <c r="AT1691" s="78" t="str">
        <f t="shared" si="289"/>
        <v/>
      </c>
      <c r="AU1691" s="78" t="str">
        <f t="shared" si="290"/>
        <v/>
      </c>
      <c r="AV1691" s="64" t="str">
        <f ca="1">IFERROR(__xludf.DUMMYFUNCTION("IF(TRIM(AU1691)="""","""",AU1691/INDEX(FILTER(AT$3:AT1691,TRIM(AT$3:AT1691)&lt;&gt;""""),ROWS(FILTER(AT$3:AT1691,TRIM(AT$3:AT1691)&lt;&gt;"""")))-1)"),"")</f>
        <v/>
      </c>
      <c r="AW1691" s="65" t="e">
        <f t="shared" ca="1" si="283"/>
        <v>#VALUE!</v>
      </c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</row>
    <row r="1692" spans="1:68" ht="19" x14ac:dyDescent="0.25">
      <c r="A1692" s="5"/>
      <c r="B1692" s="5"/>
      <c r="C1692" s="5"/>
      <c r="D1692" s="5"/>
      <c r="E1692" s="5"/>
      <c r="F1692" s="5"/>
      <c r="G1692" s="5"/>
      <c r="H1692" s="6"/>
      <c r="I1692" s="5"/>
      <c r="J1692" s="88"/>
      <c r="K1692" s="88"/>
      <c r="L1692" s="88"/>
      <c r="M1692" s="88"/>
      <c r="N1692" s="88"/>
      <c r="O1692" s="88"/>
      <c r="P1692" s="88"/>
      <c r="Q1692" s="89"/>
      <c r="R1692" s="88"/>
      <c r="S1692" s="88"/>
      <c r="T1692" s="90"/>
      <c r="U1692" s="6"/>
      <c r="V1692" s="92"/>
      <c r="W1692" s="77"/>
      <c r="X1692" s="91"/>
      <c r="Y1692" s="77"/>
      <c r="Z1692" s="5"/>
      <c r="AA1692" s="5"/>
      <c r="AB1692" s="5"/>
      <c r="AC1692" s="5"/>
      <c r="AD1692" s="5"/>
      <c r="AE1692" s="5"/>
      <c r="AF1692" s="5"/>
      <c r="AG1692" s="5"/>
      <c r="AH1692" s="6"/>
      <c r="AI1692" s="92"/>
      <c r="AJ1692" s="93"/>
      <c r="AK1692" s="94"/>
      <c r="AL1692" s="95"/>
      <c r="AM1692" s="56"/>
      <c r="AN1692" s="57">
        <f t="shared" si="282"/>
        <v>0</v>
      </c>
      <c r="AO1692" s="76">
        <f t="shared" si="284"/>
        <v>0</v>
      </c>
      <c r="AP1692" s="63" t="str">
        <f t="shared" si="285"/>
        <v/>
      </c>
      <c r="AQ1692" s="63" t="str">
        <f t="shared" si="286"/>
        <v/>
      </c>
      <c r="AR1692" s="63" t="str">
        <f t="shared" si="287"/>
        <v/>
      </c>
      <c r="AS1692" s="63" t="str">
        <f t="shared" si="288"/>
        <v/>
      </c>
      <c r="AT1692" s="78" t="str">
        <f t="shared" si="289"/>
        <v/>
      </c>
      <c r="AU1692" s="78" t="str">
        <f t="shared" si="290"/>
        <v/>
      </c>
      <c r="AV1692" s="64" t="str">
        <f ca="1">IFERROR(__xludf.DUMMYFUNCTION("IF(TRIM(AU1692)="""","""",AU1692/INDEX(FILTER(AT$3:AT1692,TRIM(AT$3:AT1692)&lt;&gt;""""),ROWS(FILTER(AT$3:AT1692,TRIM(AT$3:AT1692)&lt;&gt;"""")))-1)"),"")</f>
        <v/>
      </c>
      <c r="AW1692" s="65" t="e">
        <f t="shared" ca="1" si="283"/>
        <v>#VALUE!</v>
      </c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</row>
    <row r="1693" spans="1:68" ht="19" x14ac:dyDescent="0.25">
      <c r="A1693" s="5"/>
      <c r="B1693" s="5"/>
      <c r="C1693" s="5"/>
      <c r="D1693" s="5"/>
      <c r="E1693" s="5"/>
      <c r="F1693" s="5"/>
      <c r="G1693" s="5"/>
      <c r="H1693" s="6"/>
      <c r="I1693" s="5"/>
      <c r="J1693" s="88"/>
      <c r="K1693" s="88"/>
      <c r="L1693" s="88"/>
      <c r="M1693" s="88"/>
      <c r="N1693" s="88"/>
      <c r="O1693" s="88"/>
      <c r="P1693" s="88"/>
      <c r="Q1693" s="89"/>
      <c r="R1693" s="88"/>
      <c r="S1693" s="88"/>
      <c r="T1693" s="90"/>
      <c r="U1693" s="6"/>
      <c r="V1693" s="92"/>
      <c r="W1693" s="77"/>
      <c r="X1693" s="91"/>
      <c r="Y1693" s="77"/>
      <c r="Z1693" s="5"/>
      <c r="AA1693" s="5"/>
      <c r="AB1693" s="5"/>
      <c r="AC1693" s="5"/>
      <c r="AD1693" s="5"/>
      <c r="AE1693" s="5"/>
      <c r="AF1693" s="5"/>
      <c r="AG1693" s="5"/>
      <c r="AH1693" s="6"/>
      <c r="AI1693" s="92"/>
      <c r="AJ1693" s="93"/>
      <c r="AK1693" s="94"/>
      <c r="AL1693" s="95"/>
      <c r="AM1693" s="56"/>
      <c r="AN1693" s="57">
        <f t="shared" si="282"/>
        <v>0</v>
      </c>
      <c r="AO1693" s="76">
        <f t="shared" si="284"/>
        <v>0</v>
      </c>
      <c r="AP1693" s="63" t="str">
        <f t="shared" si="285"/>
        <v/>
      </c>
      <c r="AQ1693" s="63" t="str">
        <f t="shared" si="286"/>
        <v/>
      </c>
      <c r="AR1693" s="63" t="str">
        <f t="shared" si="287"/>
        <v/>
      </c>
      <c r="AS1693" s="63" t="str">
        <f t="shared" si="288"/>
        <v/>
      </c>
      <c r="AT1693" s="78" t="str">
        <f t="shared" si="289"/>
        <v/>
      </c>
      <c r="AU1693" s="78" t="str">
        <f t="shared" si="290"/>
        <v/>
      </c>
      <c r="AV1693" s="64" t="str">
        <f ca="1">IFERROR(__xludf.DUMMYFUNCTION("IF(TRIM(AU1693)="""","""",AU1693/INDEX(FILTER(AT$3:AT1693,TRIM(AT$3:AT1693)&lt;&gt;""""),ROWS(FILTER(AT$3:AT1693,TRIM(AT$3:AT1693)&lt;&gt;"""")))-1)"),"")</f>
        <v/>
      </c>
      <c r="AW1693" s="65" t="e">
        <f t="shared" ca="1" si="283"/>
        <v>#VALUE!</v>
      </c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</row>
    <row r="1694" spans="1:68" ht="19" x14ac:dyDescent="0.25">
      <c r="A1694" s="5"/>
      <c r="B1694" s="5"/>
      <c r="C1694" s="5"/>
      <c r="D1694" s="5"/>
      <c r="E1694" s="5"/>
      <c r="F1694" s="5"/>
      <c r="G1694" s="5"/>
      <c r="H1694" s="6"/>
      <c r="I1694" s="5"/>
      <c r="J1694" s="88"/>
      <c r="K1694" s="88"/>
      <c r="L1694" s="88"/>
      <c r="M1694" s="88"/>
      <c r="N1694" s="88"/>
      <c r="O1694" s="88"/>
      <c r="P1694" s="88"/>
      <c r="Q1694" s="89"/>
      <c r="R1694" s="88"/>
      <c r="S1694" s="88"/>
      <c r="T1694" s="90"/>
      <c r="U1694" s="6"/>
      <c r="V1694" s="92"/>
      <c r="W1694" s="77"/>
      <c r="X1694" s="91"/>
      <c r="Y1694" s="77"/>
      <c r="Z1694" s="5"/>
      <c r="AA1694" s="5"/>
      <c r="AB1694" s="5"/>
      <c r="AC1694" s="5"/>
      <c r="AD1694" s="5"/>
      <c r="AE1694" s="5"/>
      <c r="AF1694" s="5"/>
      <c r="AG1694" s="5"/>
      <c r="AH1694" s="6"/>
      <c r="AI1694" s="92"/>
      <c r="AJ1694" s="93"/>
      <c r="AK1694" s="94"/>
      <c r="AL1694" s="95"/>
      <c r="AM1694" s="56"/>
      <c r="AN1694" s="57">
        <f t="shared" si="282"/>
        <v>0</v>
      </c>
      <c r="AO1694" s="76">
        <f t="shared" si="284"/>
        <v>0</v>
      </c>
      <c r="AP1694" s="63" t="str">
        <f t="shared" si="285"/>
        <v/>
      </c>
      <c r="AQ1694" s="63" t="str">
        <f t="shared" si="286"/>
        <v/>
      </c>
      <c r="AR1694" s="63" t="str">
        <f t="shared" si="287"/>
        <v/>
      </c>
      <c r="AS1694" s="63" t="str">
        <f t="shared" si="288"/>
        <v/>
      </c>
      <c r="AT1694" s="78" t="str">
        <f t="shared" si="289"/>
        <v/>
      </c>
      <c r="AU1694" s="78" t="str">
        <f t="shared" si="290"/>
        <v/>
      </c>
      <c r="AV1694" s="64" t="str">
        <f ca="1">IFERROR(__xludf.DUMMYFUNCTION("IF(TRIM(AU1694)="""","""",AU1694/INDEX(FILTER(AT$3:AT1694,TRIM(AT$3:AT1694)&lt;&gt;""""),ROWS(FILTER(AT$3:AT1694,TRIM(AT$3:AT1694)&lt;&gt;"""")))-1)"),"")</f>
        <v/>
      </c>
      <c r="AW1694" s="65" t="e">
        <f t="shared" ca="1" si="283"/>
        <v>#VALUE!</v>
      </c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</row>
    <row r="1695" spans="1:68" ht="19" x14ac:dyDescent="0.25">
      <c r="A1695" s="5"/>
      <c r="B1695" s="5"/>
      <c r="C1695" s="5"/>
      <c r="D1695" s="5"/>
      <c r="E1695" s="5"/>
      <c r="F1695" s="5"/>
      <c r="G1695" s="5"/>
      <c r="H1695" s="6"/>
      <c r="I1695" s="5"/>
      <c r="J1695" s="88"/>
      <c r="K1695" s="88"/>
      <c r="L1695" s="88"/>
      <c r="M1695" s="88"/>
      <c r="N1695" s="88"/>
      <c r="O1695" s="88"/>
      <c r="P1695" s="88"/>
      <c r="Q1695" s="89"/>
      <c r="R1695" s="88"/>
      <c r="S1695" s="88"/>
      <c r="T1695" s="90"/>
      <c r="U1695" s="6"/>
      <c r="V1695" s="92"/>
      <c r="W1695" s="77"/>
      <c r="X1695" s="91"/>
      <c r="Y1695" s="77"/>
      <c r="Z1695" s="5"/>
      <c r="AA1695" s="5"/>
      <c r="AB1695" s="5"/>
      <c r="AC1695" s="5"/>
      <c r="AD1695" s="5"/>
      <c r="AE1695" s="5"/>
      <c r="AF1695" s="5"/>
      <c r="AG1695" s="5"/>
      <c r="AH1695" s="6"/>
      <c r="AI1695" s="92"/>
      <c r="AJ1695" s="93"/>
      <c r="AK1695" s="94"/>
      <c r="AL1695" s="95"/>
      <c r="AM1695" s="56"/>
      <c r="AN1695" s="57">
        <f t="shared" si="282"/>
        <v>0</v>
      </c>
      <c r="AO1695" s="76">
        <f t="shared" si="284"/>
        <v>0</v>
      </c>
      <c r="AP1695" s="63" t="str">
        <f t="shared" si="285"/>
        <v/>
      </c>
      <c r="AQ1695" s="63" t="str">
        <f t="shared" si="286"/>
        <v/>
      </c>
      <c r="AR1695" s="63" t="str">
        <f t="shared" si="287"/>
        <v/>
      </c>
      <c r="AS1695" s="63" t="str">
        <f t="shared" si="288"/>
        <v/>
      </c>
      <c r="AT1695" s="78" t="str">
        <f t="shared" si="289"/>
        <v/>
      </c>
      <c r="AU1695" s="78" t="str">
        <f t="shared" si="290"/>
        <v/>
      </c>
      <c r="AV1695" s="64" t="str">
        <f ca="1">IFERROR(__xludf.DUMMYFUNCTION("IF(TRIM(AU1695)="""","""",AU1695/INDEX(FILTER(AT$3:AT1695,TRIM(AT$3:AT1695)&lt;&gt;""""),ROWS(FILTER(AT$3:AT1695,TRIM(AT$3:AT1695)&lt;&gt;"""")))-1)"),"")</f>
        <v/>
      </c>
      <c r="AW1695" s="65" t="e">
        <f t="shared" ca="1" si="283"/>
        <v>#VALUE!</v>
      </c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</row>
    <row r="1696" spans="1:68" ht="19" x14ac:dyDescent="0.25">
      <c r="A1696" s="5"/>
      <c r="B1696" s="5"/>
      <c r="C1696" s="5"/>
      <c r="D1696" s="5"/>
      <c r="E1696" s="5"/>
      <c r="F1696" s="5"/>
      <c r="G1696" s="5"/>
      <c r="H1696" s="6"/>
      <c r="I1696" s="5"/>
      <c r="J1696" s="88"/>
      <c r="K1696" s="88"/>
      <c r="L1696" s="88"/>
      <c r="M1696" s="88"/>
      <c r="N1696" s="88"/>
      <c r="O1696" s="88"/>
      <c r="P1696" s="88"/>
      <c r="Q1696" s="89"/>
      <c r="R1696" s="88"/>
      <c r="S1696" s="88"/>
      <c r="T1696" s="90"/>
      <c r="U1696" s="6"/>
      <c r="V1696" s="92"/>
      <c r="W1696" s="77"/>
      <c r="X1696" s="91"/>
      <c r="Y1696" s="77"/>
      <c r="Z1696" s="5"/>
      <c r="AA1696" s="5"/>
      <c r="AB1696" s="5"/>
      <c r="AC1696" s="5"/>
      <c r="AD1696" s="5"/>
      <c r="AE1696" s="5"/>
      <c r="AF1696" s="5"/>
      <c r="AG1696" s="5"/>
      <c r="AH1696" s="6"/>
      <c r="AI1696" s="92"/>
      <c r="AJ1696" s="93"/>
      <c r="AK1696" s="94"/>
      <c r="AL1696" s="95"/>
      <c r="AM1696" s="56"/>
      <c r="AN1696" s="57">
        <f t="shared" si="282"/>
        <v>0</v>
      </c>
      <c r="AO1696" s="76">
        <f t="shared" si="284"/>
        <v>0</v>
      </c>
      <c r="AP1696" s="63" t="str">
        <f t="shared" si="285"/>
        <v/>
      </c>
      <c r="AQ1696" s="63" t="str">
        <f t="shared" si="286"/>
        <v/>
      </c>
      <c r="AR1696" s="63" t="str">
        <f t="shared" si="287"/>
        <v/>
      </c>
      <c r="AS1696" s="63" t="str">
        <f t="shared" si="288"/>
        <v/>
      </c>
      <c r="AT1696" s="78" t="str">
        <f t="shared" si="289"/>
        <v/>
      </c>
      <c r="AU1696" s="78" t="str">
        <f t="shared" si="290"/>
        <v/>
      </c>
      <c r="AV1696" s="64" t="str">
        <f ca="1">IFERROR(__xludf.DUMMYFUNCTION("IF(TRIM(AU1696)="""","""",AU1696/INDEX(FILTER(AT$3:AT1696,TRIM(AT$3:AT1696)&lt;&gt;""""),ROWS(FILTER(AT$3:AT1696,TRIM(AT$3:AT1696)&lt;&gt;"""")))-1)"),"")</f>
        <v/>
      </c>
      <c r="AW1696" s="65" t="e">
        <f t="shared" ca="1" si="283"/>
        <v>#VALUE!</v>
      </c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</row>
    <row r="1697" spans="1:68" ht="19" x14ac:dyDescent="0.25">
      <c r="A1697" s="5"/>
      <c r="B1697" s="5"/>
      <c r="C1697" s="5"/>
      <c r="D1697" s="5"/>
      <c r="E1697" s="5"/>
      <c r="F1697" s="5"/>
      <c r="G1697" s="5"/>
      <c r="H1697" s="6"/>
      <c r="I1697" s="5"/>
      <c r="J1697" s="88"/>
      <c r="K1697" s="88"/>
      <c r="L1697" s="88"/>
      <c r="M1697" s="88"/>
      <c r="N1697" s="88"/>
      <c r="O1697" s="88"/>
      <c r="P1697" s="88"/>
      <c r="Q1697" s="89"/>
      <c r="R1697" s="88"/>
      <c r="S1697" s="88"/>
      <c r="T1697" s="90"/>
      <c r="U1697" s="6"/>
      <c r="V1697" s="92"/>
      <c r="W1697" s="77"/>
      <c r="X1697" s="91"/>
      <c r="Y1697" s="77"/>
      <c r="Z1697" s="5"/>
      <c r="AA1697" s="5"/>
      <c r="AB1697" s="5"/>
      <c r="AC1697" s="5"/>
      <c r="AD1697" s="5"/>
      <c r="AE1697" s="5"/>
      <c r="AF1697" s="5"/>
      <c r="AG1697" s="5"/>
      <c r="AH1697" s="6"/>
      <c r="AI1697" s="92"/>
      <c r="AJ1697" s="93"/>
      <c r="AK1697" s="94"/>
      <c r="AL1697" s="95"/>
      <c r="AM1697" s="56"/>
      <c r="AN1697" s="57">
        <f t="shared" si="282"/>
        <v>0</v>
      </c>
      <c r="AO1697" s="76">
        <f t="shared" si="284"/>
        <v>0</v>
      </c>
      <c r="AP1697" s="63" t="str">
        <f t="shared" si="285"/>
        <v/>
      </c>
      <c r="AQ1697" s="63" t="str">
        <f t="shared" si="286"/>
        <v/>
      </c>
      <c r="AR1697" s="63" t="str">
        <f t="shared" si="287"/>
        <v/>
      </c>
      <c r="AS1697" s="63" t="str">
        <f t="shared" si="288"/>
        <v/>
      </c>
      <c r="AT1697" s="78" t="str">
        <f t="shared" si="289"/>
        <v/>
      </c>
      <c r="AU1697" s="78" t="str">
        <f t="shared" si="290"/>
        <v/>
      </c>
      <c r="AV1697" s="64" t="str">
        <f ca="1">IFERROR(__xludf.DUMMYFUNCTION("IF(TRIM(AU1697)="""","""",AU1697/INDEX(FILTER(AT$3:AT1697,TRIM(AT$3:AT1697)&lt;&gt;""""),ROWS(FILTER(AT$3:AT1697,TRIM(AT$3:AT1697)&lt;&gt;"""")))-1)"),"")</f>
        <v/>
      </c>
      <c r="AW1697" s="65" t="e">
        <f t="shared" ca="1" si="283"/>
        <v>#VALUE!</v>
      </c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</row>
    <row r="1698" spans="1:68" ht="19" x14ac:dyDescent="0.25">
      <c r="A1698" s="5"/>
      <c r="B1698" s="5"/>
      <c r="C1698" s="5"/>
      <c r="D1698" s="5"/>
      <c r="E1698" s="5"/>
      <c r="F1698" s="5"/>
      <c r="G1698" s="5"/>
      <c r="H1698" s="6"/>
      <c r="I1698" s="5"/>
      <c r="J1698" s="88"/>
      <c r="K1698" s="88"/>
      <c r="L1698" s="88"/>
      <c r="M1698" s="88"/>
      <c r="N1698" s="88"/>
      <c r="O1698" s="88"/>
      <c r="P1698" s="88"/>
      <c r="Q1698" s="89"/>
      <c r="R1698" s="88"/>
      <c r="S1698" s="88"/>
      <c r="T1698" s="90"/>
      <c r="U1698" s="6"/>
      <c r="V1698" s="92"/>
      <c r="W1698" s="77"/>
      <c r="X1698" s="91"/>
      <c r="Y1698" s="77"/>
      <c r="Z1698" s="5"/>
      <c r="AA1698" s="5"/>
      <c r="AB1698" s="5"/>
      <c r="AC1698" s="5"/>
      <c r="AD1698" s="5"/>
      <c r="AE1698" s="5"/>
      <c r="AF1698" s="5"/>
      <c r="AG1698" s="5"/>
      <c r="AH1698" s="6"/>
      <c r="AI1698" s="92"/>
      <c r="AJ1698" s="93"/>
      <c r="AK1698" s="94"/>
      <c r="AL1698" s="95"/>
      <c r="AM1698" s="56"/>
      <c r="AN1698" s="57">
        <f t="shared" si="282"/>
        <v>0</v>
      </c>
      <c r="AO1698" s="76">
        <f t="shared" si="284"/>
        <v>0</v>
      </c>
      <c r="AP1698" s="63" t="str">
        <f t="shared" si="285"/>
        <v/>
      </c>
      <c r="AQ1698" s="63" t="str">
        <f t="shared" si="286"/>
        <v/>
      </c>
      <c r="AR1698" s="63" t="str">
        <f t="shared" si="287"/>
        <v/>
      </c>
      <c r="AS1698" s="63" t="str">
        <f t="shared" si="288"/>
        <v/>
      </c>
      <c r="AT1698" s="78" t="str">
        <f t="shared" si="289"/>
        <v/>
      </c>
      <c r="AU1698" s="78" t="str">
        <f t="shared" si="290"/>
        <v/>
      </c>
      <c r="AV1698" s="64" t="str">
        <f ca="1">IFERROR(__xludf.DUMMYFUNCTION("IF(TRIM(AU1698)="""","""",AU1698/INDEX(FILTER(AT$3:AT1698,TRIM(AT$3:AT1698)&lt;&gt;""""),ROWS(FILTER(AT$3:AT1698,TRIM(AT$3:AT1698)&lt;&gt;"""")))-1)"),"")</f>
        <v/>
      </c>
      <c r="AW1698" s="65" t="e">
        <f t="shared" ca="1" si="283"/>
        <v>#VALUE!</v>
      </c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</row>
    <row r="1699" spans="1:68" ht="19" x14ac:dyDescent="0.25">
      <c r="A1699" s="5"/>
      <c r="B1699" s="5"/>
      <c r="C1699" s="5"/>
      <c r="D1699" s="5"/>
      <c r="E1699" s="5"/>
      <c r="F1699" s="5"/>
      <c r="G1699" s="5"/>
      <c r="H1699" s="6"/>
      <c r="I1699" s="5"/>
      <c r="J1699" s="88"/>
      <c r="K1699" s="88"/>
      <c r="L1699" s="88"/>
      <c r="M1699" s="88"/>
      <c r="N1699" s="88"/>
      <c r="O1699" s="88"/>
      <c r="P1699" s="88"/>
      <c r="Q1699" s="89"/>
      <c r="R1699" s="88"/>
      <c r="S1699" s="88"/>
      <c r="T1699" s="90"/>
      <c r="U1699" s="6"/>
      <c r="V1699" s="92"/>
      <c r="W1699" s="77"/>
      <c r="X1699" s="91"/>
      <c r="Y1699" s="77"/>
      <c r="Z1699" s="5"/>
      <c r="AA1699" s="5"/>
      <c r="AB1699" s="5"/>
      <c r="AC1699" s="5"/>
      <c r="AD1699" s="5"/>
      <c r="AE1699" s="5"/>
      <c r="AF1699" s="5"/>
      <c r="AG1699" s="5"/>
      <c r="AH1699" s="6"/>
      <c r="AI1699" s="92"/>
      <c r="AJ1699" s="93"/>
      <c r="AK1699" s="94"/>
      <c r="AL1699" s="95"/>
      <c r="AM1699" s="56"/>
      <c r="AN1699" s="57">
        <f t="shared" si="282"/>
        <v>0</v>
      </c>
      <c r="AO1699" s="76">
        <f t="shared" si="284"/>
        <v>0</v>
      </c>
      <c r="AP1699" s="63" t="str">
        <f t="shared" si="285"/>
        <v/>
      </c>
      <c r="AQ1699" s="63" t="str">
        <f t="shared" si="286"/>
        <v/>
      </c>
      <c r="AR1699" s="63" t="str">
        <f t="shared" si="287"/>
        <v/>
      </c>
      <c r="AS1699" s="63" t="str">
        <f t="shared" si="288"/>
        <v/>
      </c>
      <c r="AT1699" s="78" t="str">
        <f t="shared" si="289"/>
        <v/>
      </c>
      <c r="AU1699" s="78" t="str">
        <f t="shared" si="290"/>
        <v/>
      </c>
      <c r="AV1699" s="64" t="str">
        <f ca="1">IFERROR(__xludf.DUMMYFUNCTION("IF(TRIM(AU1699)="""","""",AU1699/INDEX(FILTER(AT$3:AT1699,TRIM(AT$3:AT1699)&lt;&gt;""""),ROWS(FILTER(AT$3:AT1699,TRIM(AT$3:AT1699)&lt;&gt;"""")))-1)"),"")</f>
        <v/>
      </c>
      <c r="AW1699" s="65" t="e">
        <f t="shared" ca="1" si="283"/>
        <v>#VALUE!</v>
      </c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</row>
    <row r="1700" spans="1:68" ht="19" x14ac:dyDescent="0.25">
      <c r="A1700" s="5"/>
      <c r="B1700" s="5"/>
      <c r="C1700" s="5"/>
      <c r="D1700" s="5"/>
      <c r="E1700" s="5"/>
      <c r="F1700" s="5"/>
      <c r="G1700" s="5"/>
      <c r="H1700" s="6"/>
      <c r="I1700" s="5"/>
      <c r="J1700" s="88"/>
      <c r="K1700" s="88"/>
      <c r="L1700" s="88"/>
      <c r="M1700" s="88"/>
      <c r="N1700" s="88"/>
      <c r="O1700" s="88"/>
      <c r="P1700" s="88"/>
      <c r="Q1700" s="89"/>
      <c r="R1700" s="88"/>
      <c r="S1700" s="88"/>
      <c r="T1700" s="90"/>
      <c r="U1700" s="6"/>
      <c r="V1700" s="92"/>
      <c r="W1700" s="77"/>
      <c r="X1700" s="91"/>
      <c r="Y1700" s="77"/>
      <c r="Z1700" s="5"/>
      <c r="AA1700" s="5"/>
      <c r="AB1700" s="5"/>
      <c r="AC1700" s="5"/>
      <c r="AD1700" s="5"/>
      <c r="AE1700" s="5"/>
      <c r="AF1700" s="5"/>
      <c r="AG1700" s="5"/>
      <c r="AH1700" s="6"/>
      <c r="AI1700" s="92"/>
      <c r="AJ1700" s="93"/>
      <c r="AK1700" s="94"/>
      <c r="AL1700" s="95"/>
      <c r="AM1700" s="56"/>
      <c r="AN1700" s="57">
        <f t="shared" si="282"/>
        <v>0</v>
      </c>
      <c r="AO1700" s="76">
        <f t="shared" si="284"/>
        <v>0</v>
      </c>
      <c r="AP1700" s="63" t="str">
        <f t="shared" si="285"/>
        <v/>
      </c>
      <c r="AQ1700" s="63" t="str">
        <f t="shared" si="286"/>
        <v/>
      </c>
      <c r="AR1700" s="63" t="str">
        <f t="shared" si="287"/>
        <v/>
      </c>
      <c r="AS1700" s="63" t="str">
        <f t="shared" si="288"/>
        <v/>
      </c>
      <c r="AT1700" s="78" t="str">
        <f t="shared" si="289"/>
        <v/>
      </c>
      <c r="AU1700" s="78" t="str">
        <f t="shared" si="290"/>
        <v/>
      </c>
      <c r="AV1700" s="64" t="str">
        <f ca="1">IFERROR(__xludf.DUMMYFUNCTION("IF(TRIM(AU1700)="""","""",AU1700/INDEX(FILTER(AT$3:AT1700,TRIM(AT$3:AT1700)&lt;&gt;""""),ROWS(FILTER(AT$3:AT1700,TRIM(AT$3:AT1700)&lt;&gt;"""")))-1)"),"")</f>
        <v/>
      </c>
      <c r="AW1700" s="65" t="e">
        <f t="shared" ca="1" si="283"/>
        <v>#VALUE!</v>
      </c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</row>
    <row r="1701" spans="1:68" ht="19" x14ac:dyDescent="0.25">
      <c r="A1701" s="5"/>
      <c r="B1701" s="5"/>
      <c r="C1701" s="5"/>
      <c r="D1701" s="5"/>
      <c r="E1701" s="5"/>
      <c r="F1701" s="5"/>
      <c r="G1701" s="5"/>
      <c r="H1701" s="6"/>
      <c r="I1701" s="5"/>
      <c r="J1701" s="88"/>
      <c r="K1701" s="88"/>
      <c r="L1701" s="88"/>
      <c r="M1701" s="88"/>
      <c r="N1701" s="88"/>
      <c r="O1701" s="88"/>
      <c r="P1701" s="88"/>
      <c r="Q1701" s="89"/>
      <c r="R1701" s="88"/>
      <c r="S1701" s="88"/>
      <c r="T1701" s="90"/>
      <c r="U1701" s="6"/>
      <c r="V1701" s="92"/>
      <c r="W1701" s="77"/>
      <c r="X1701" s="91"/>
      <c r="Y1701" s="77"/>
      <c r="Z1701" s="5"/>
      <c r="AA1701" s="5"/>
      <c r="AB1701" s="5"/>
      <c r="AC1701" s="5"/>
      <c r="AD1701" s="5"/>
      <c r="AE1701" s="5"/>
      <c r="AF1701" s="5"/>
      <c r="AG1701" s="5"/>
      <c r="AH1701" s="6"/>
      <c r="AI1701" s="92"/>
      <c r="AJ1701" s="93"/>
      <c r="AK1701" s="94"/>
      <c r="AL1701" s="95"/>
      <c r="AM1701" s="56"/>
      <c r="AN1701" s="57">
        <f t="shared" si="282"/>
        <v>0</v>
      </c>
      <c r="AO1701" s="76">
        <f t="shared" si="284"/>
        <v>0</v>
      </c>
      <c r="AP1701" s="63" t="str">
        <f t="shared" si="285"/>
        <v/>
      </c>
      <c r="AQ1701" s="63" t="str">
        <f t="shared" si="286"/>
        <v/>
      </c>
      <c r="AR1701" s="63" t="str">
        <f t="shared" si="287"/>
        <v/>
      </c>
      <c r="AS1701" s="63" t="str">
        <f t="shared" si="288"/>
        <v/>
      </c>
      <c r="AT1701" s="78" t="str">
        <f t="shared" si="289"/>
        <v/>
      </c>
      <c r="AU1701" s="78" t="str">
        <f t="shared" si="290"/>
        <v/>
      </c>
      <c r="AV1701" s="64" t="str">
        <f ca="1">IFERROR(__xludf.DUMMYFUNCTION("IF(TRIM(AU1701)="""","""",AU1701/INDEX(FILTER(AT$3:AT1701,TRIM(AT$3:AT1701)&lt;&gt;""""),ROWS(FILTER(AT$3:AT1701,TRIM(AT$3:AT1701)&lt;&gt;"""")))-1)"),"")</f>
        <v/>
      </c>
      <c r="AW1701" s="65" t="e">
        <f t="shared" ca="1" si="283"/>
        <v>#VALUE!</v>
      </c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</row>
    <row r="1702" spans="1:68" ht="19" x14ac:dyDescent="0.25">
      <c r="A1702" s="5"/>
      <c r="B1702" s="5"/>
      <c r="C1702" s="5"/>
      <c r="D1702" s="5"/>
      <c r="E1702" s="5"/>
      <c r="F1702" s="5"/>
      <c r="G1702" s="5"/>
      <c r="H1702" s="6"/>
      <c r="I1702" s="5"/>
      <c r="J1702" s="88"/>
      <c r="K1702" s="88"/>
      <c r="L1702" s="88"/>
      <c r="M1702" s="88"/>
      <c r="N1702" s="88"/>
      <c r="O1702" s="88"/>
      <c r="P1702" s="88"/>
      <c r="Q1702" s="89"/>
      <c r="R1702" s="88"/>
      <c r="S1702" s="88"/>
      <c r="T1702" s="90"/>
      <c r="U1702" s="6"/>
      <c r="V1702" s="92"/>
      <c r="W1702" s="77"/>
      <c r="X1702" s="91"/>
      <c r="Y1702" s="77"/>
      <c r="Z1702" s="5"/>
      <c r="AA1702" s="5"/>
      <c r="AB1702" s="5"/>
      <c r="AC1702" s="5"/>
      <c r="AD1702" s="5"/>
      <c r="AE1702" s="5"/>
      <c r="AF1702" s="5"/>
      <c r="AG1702" s="5"/>
      <c r="AH1702" s="6"/>
      <c r="AI1702" s="92"/>
      <c r="AJ1702" s="93"/>
      <c r="AK1702" s="94"/>
      <c r="AL1702" s="95"/>
      <c r="AM1702" s="56"/>
      <c r="AN1702" s="57">
        <f t="shared" si="282"/>
        <v>0</v>
      </c>
      <c r="AO1702" s="76">
        <f t="shared" si="284"/>
        <v>0</v>
      </c>
      <c r="AP1702" s="63" t="str">
        <f t="shared" si="285"/>
        <v/>
      </c>
      <c r="AQ1702" s="63" t="str">
        <f t="shared" si="286"/>
        <v/>
      </c>
      <c r="AR1702" s="63" t="str">
        <f t="shared" si="287"/>
        <v/>
      </c>
      <c r="AS1702" s="63" t="str">
        <f t="shared" si="288"/>
        <v/>
      </c>
      <c r="AT1702" s="78" t="str">
        <f t="shared" si="289"/>
        <v/>
      </c>
      <c r="AU1702" s="78" t="str">
        <f t="shared" si="290"/>
        <v/>
      </c>
      <c r="AV1702" s="64" t="str">
        <f ca="1">IFERROR(__xludf.DUMMYFUNCTION("IF(TRIM(AU1702)="""","""",AU1702/INDEX(FILTER(AT$3:AT1702,TRIM(AT$3:AT1702)&lt;&gt;""""),ROWS(FILTER(AT$3:AT1702,TRIM(AT$3:AT1702)&lt;&gt;"""")))-1)"),"")</f>
        <v/>
      </c>
      <c r="AW1702" s="65" t="e">
        <f t="shared" ca="1" si="283"/>
        <v>#VALUE!</v>
      </c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</row>
    <row r="1703" spans="1:68" ht="19" x14ac:dyDescent="0.25">
      <c r="A1703" s="5"/>
      <c r="B1703" s="5"/>
      <c r="C1703" s="5"/>
      <c r="D1703" s="5"/>
      <c r="E1703" s="5"/>
      <c r="F1703" s="5"/>
      <c r="G1703" s="5"/>
      <c r="H1703" s="6"/>
      <c r="I1703" s="5"/>
      <c r="J1703" s="88"/>
      <c r="K1703" s="88"/>
      <c r="L1703" s="88"/>
      <c r="M1703" s="88"/>
      <c r="N1703" s="88"/>
      <c r="O1703" s="88"/>
      <c r="P1703" s="88"/>
      <c r="Q1703" s="89"/>
      <c r="R1703" s="88"/>
      <c r="S1703" s="88"/>
      <c r="T1703" s="90"/>
      <c r="U1703" s="6"/>
      <c r="V1703" s="92"/>
      <c r="W1703" s="77"/>
      <c r="X1703" s="91"/>
      <c r="Y1703" s="77"/>
      <c r="Z1703" s="5"/>
      <c r="AA1703" s="5"/>
      <c r="AB1703" s="5"/>
      <c r="AC1703" s="5"/>
      <c r="AD1703" s="5"/>
      <c r="AE1703" s="5"/>
      <c r="AF1703" s="5"/>
      <c r="AG1703" s="5"/>
      <c r="AH1703" s="6"/>
      <c r="AI1703" s="92"/>
      <c r="AJ1703" s="93"/>
      <c r="AK1703" s="94"/>
      <c r="AL1703" s="95"/>
      <c r="AM1703" s="56"/>
      <c r="AN1703" s="57">
        <f t="shared" si="282"/>
        <v>0</v>
      </c>
      <c r="AO1703" s="76">
        <f t="shared" si="284"/>
        <v>0</v>
      </c>
      <c r="AP1703" s="63" t="str">
        <f t="shared" si="285"/>
        <v/>
      </c>
      <c r="AQ1703" s="63" t="str">
        <f t="shared" si="286"/>
        <v/>
      </c>
      <c r="AR1703" s="63" t="str">
        <f t="shared" si="287"/>
        <v/>
      </c>
      <c r="AS1703" s="63" t="str">
        <f t="shared" si="288"/>
        <v/>
      </c>
      <c r="AT1703" s="78" t="str">
        <f t="shared" si="289"/>
        <v/>
      </c>
      <c r="AU1703" s="78" t="str">
        <f t="shared" si="290"/>
        <v/>
      </c>
      <c r="AV1703" s="64" t="str">
        <f ca="1">IFERROR(__xludf.DUMMYFUNCTION("IF(TRIM(AU1703)="""","""",AU1703/INDEX(FILTER(AT$3:AT1703,TRIM(AT$3:AT1703)&lt;&gt;""""),ROWS(FILTER(AT$3:AT1703,TRIM(AT$3:AT1703)&lt;&gt;"""")))-1)"),"")</f>
        <v/>
      </c>
      <c r="AW1703" s="65" t="e">
        <f t="shared" ca="1" si="283"/>
        <v>#VALUE!</v>
      </c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</row>
    <row r="1704" spans="1:68" ht="19" x14ac:dyDescent="0.25">
      <c r="A1704" s="5"/>
      <c r="B1704" s="5"/>
      <c r="C1704" s="5"/>
      <c r="D1704" s="5"/>
      <c r="E1704" s="5"/>
      <c r="F1704" s="5"/>
      <c r="G1704" s="5"/>
      <c r="H1704" s="6"/>
      <c r="I1704" s="5"/>
      <c r="J1704" s="88"/>
      <c r="K1704" s="88"/>
      <c r="L1704" s="88"/>
      <c r="M1704" s="88"/>
      <c r="N1704" s="88"/>
      <c r="O1704" s="88"/>
      <c r="P1704" s="88"/>
      <c r="Q1704" s="89"/>
      <c r="R1704" s="88"/>
      <c r="S1704" s="88"/>
      <c r="T1704" s="90"/>
      <c r="U1704" s="6"/>
      <c r="V1704" s="92"/>
      <c r="W1704" s="77"/>
      <c r="X1704" s="91"/>
      <c r="Y1704" s="77"/>
      <c r="Z1704" s="5"/>
      <c r="AA1704" s="5"/>
      <c r="AB1704" s="5"/>
      <c r="AC1704" s="5"/>
      <c r="AD1704" s="5"/>
      <c r="AE1704" s="5"/>
      <c r="AF1704" s="5"/>
      <c r="AG1704" s="5"/>
      <c r="AH1704" s="6"/>
      <c r="AI1704" s="92"/>
      <c r="AJ1704" s="93"/>
      <c r="AK1704" s="94"/>
      <c r="AL1704" s="95"/>
      <c r="AM1704" s="56"/>
      <c r="AN1704" s="57">
        <f t="shared" si="282"/>
        <v>0</v>
      </c>
      <c r="AO1704" s="76">
        <f t="shared" si="284"/>
        <v>0</v>
      </c>
      <c r="AP1704" s="63" t="str">
        <f t="shared" si="285"/>
        <v/>
      </c>
      <c r="AQ1704" s="63" t="str">
        <f t="shared" si="286"/>
        <v/>
      </c>
      <c r="AR1704" s="63" t="str">
        <f t="shared" si="287"/>
        <v/>
      </c>
      <c r="AS1704" s="63" t="str">
        <f t="shared" si="288"/>
        <v/>
      </c>
      <c r="AT1704" s="78" t="str">
        <f t="shared" si="289"/>
        <v/>
      </c>
      <c r="AU1704" s="78" t="str">
        <f t="shared" si="290"/>
        <v/>
      </c>
      <c r="AV1704" s="64" t="str">
        <f ca="1">IFERROR(__xludf.DUMMYFUNCTION("IF(TRIM(AU1704)="""","""",AU1704/INDEX(FILTER(AT$3:AT1704,TRIM(AT$3:AT1704)&lt;&gt;""""),ROWS(FILTER(AT$3:AT1704,TRIM(AT$3:AT1704)&lt;&gt;"""")))-1)"),"")</f>
        <v/>
      </c>
      <c r="AW1704" s="65" t="e">
        <f t="shared" ca="1" si="283"/>
        <v>#VALUE!</v>
      </c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</row>
    <row r="1705" spans="1:68" ht="19" x14ac:dyDescent="0.25">
      <c r="A1705" s="5"/>
      <c r="B1705" s="5"/>
      <c r="C1705" s="5"/>
      <c r="D1705" s="5"/>
      <c r="E1705" s="5"/>
      <c r="F1705" s="5"/>
      <c r="G1705" s="5"/>
      <c r="H1705" s="6"/>
      <c r="I1705" s="5"/>
      <c r="J1705" s="88"/>
      <c r="K1705" s="88"/>
      <c r="L1705" s="88"/>
      <c r="M1705" s="88"/>
      <c r="N1705" s="88"/>
      <c r="O1705" s="88"/>
      <c r="P1705" s="88"/>
      <c r="Q1705" s="89"/>
      <c r="R1705" s="88"/>
      <c r="S1705" s="88"/>
      <c r="T1705" s="90"/>
      <c r="U1705" s="6"/>
      <c r="V1705" s="92"/>
      <c r="W1705" s="77"/>
      <c r="X1705" s="91"/>
      <c r="Y1705" s="77"/>
      <c r="Z1705" s="5"/>
      <c r="AA1705" s="5"/>
      <c r="AB1705" s="5"/>
      <c r="AC1705" s="5"/>
      <c r="AD1705" s="5"/>
      <c r="AE1705" s="5"/>
      <c r="AF1705" s="5"/>
      <c r="AG1705" s="5"/>
      <c r="AH1705" s="6"/>
      <c r="AI1705" s="92"/>
      <c r="AJ1705" s="93"/>
      <c r="AK1705" s="94"/>
      <c r="AL1705" s="95"/>
      <c r="AM1705" s="56"/>
      <c r="AN1705" s="57">
        <f t="shared" si="282"/>
        <v>0</v>
      </c>
      <c r="AO1705" s="76">
        <f t="shared" si="284"/>
        <v>0</v>
      </c>
      <c r="AP1705" s="63" t="str">
        <f t="shared" si="285"/>
        <v/>
      </c>
      <c r="AQ1705" s="63" t="str">
        <f t="shared" si="286"/>
        <v/>
      </c>
      <c r="AR1705" s="63" t="str">
        <f t="shared" si="287"/>
        <v/>
      </c>
      <c r="AS1705" s="63" t="str">
        <f t="shared" si="288"/>
        <v/>
      </c>
      <c r="AT1705" s="78" t="str">
        <f t="shared" si="289"/>
        <v/>
      </c>
      <c r="AU1705" s="78" t="str">
        <f t="shared" si="290"/>
        <v/>
      </c>
      <c r="AV1705" s="64" t="str">
        <f ca="1">IFERROR(__xludf.DUMMYFUNCTION("IF(TRIM(AU1705)="""","""",AU1705/INDEX(FILTER(AT$3:AT1705,TRIM(AT$3:AT1705)&lt;&gt;""""),ROWS(FILTER(AT$3:AT1705,TRIM(AT$3:AT1705)&lt;&gt;"""")))-1)"),"")</f>
        <v/>
      </c>
      <c r="AW1705" s="65" t="e">
        <f t="shared" ca="1" si="283"/>
        <v>#VALUE!</v>
      </c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</row>
    <row r="1706" spans="1:68" ht="19" x14ac:dyDescent="0.25">
      <c r="A1706" s="5"/>
      <c r="B1706" s="5"/>
      <c r="C1706" s="5"/>
      <c r="D1706" s="5"/>
      <c r="E1706" s="5"/>
      <c r="F1706" s="5"/>
      <c r="G1706" s="5"/>
      <c r="H1706" s="6"/>
      <c r="I1706" s="5"/>
      <c r="J1706" s="88"/>
      <c r="K1706" s="88"/>
      <c r="L1706" s="88"/>
      <c r="M1706" s="88"/>
      <c r="N1706" s="88"/>
      <c r="O1706" s="88"/>
      <c r="P1706" s="88"/>
      <c r="Q1706" s="89"/>
      <c r="R1706" s="88"/>
      <c r="S1706" s="88"/>
      <c r="T1706" s="90"/>
      <c r="U1706" s="6"/>
      <c r="V1706" s="92"/>
      <c r="W1706" s="77"/>
      <c r="X1706" s="91"/>
      <c r="Y1706" s="77"/>
      <c r="Z1706" s="5"/>
      <c r="AA1706" s="5"/>
      <c r="AB1706" s="5"/>
      <c r="AC1706" s="5"/>
      <c r="AD1706" s="5"/>
      <c r="AE1706" s="5"/>
      <c r="AF1706" s="5"/>
      <c r="AG1706" s="5"/>
      <c r="AH1706" s="6"/>
      <c r="AI1706" s="92"/>
      <c r="AJ1706" s="93"/>
      <c r="AK1706" s="94"/>
      <c r="AL1706" s="95"/>
      <c r="AM1706" s="56"/>
      <c r="AN1706" s="57">
        <f t="shared" si="282"/>
        <v>0</v>
      </c>
      <c r="AO1706" s="76">
        <f t="shared" si="284"/>
        <v>0</v>
      </c>
      <c r="AP1706" s="63" t="str">
        <f t="shared" si="285"/>
        <v/>
      </c>
      <c r="AQ1706" s="63" t="str">
        <f t="shared" si="286"/>
        <v/>
      </c>
      <c r="AR1706" s="63" t="str">
        <f t="shared" si="287"/>
        <v/>
      </c>
      <c r="AS1706" s="63" t="str">
        <f t="shared" si="288"/>
        <v/>
      </c>
      <c r="AT1706" s="78" t="str">
        <f t="shared" si="289"/>
        <v/>
      </c>
      <c r="AU1706" s="78" t="str">
        <f t="shared" si="290"/>
        <v/>
      </c>
      <c r="AV1706" s="64" t="str">
        <f ca="1">IFERROR(__xludf.DUMMYFUNCTION("IF(TRIM(AU1706)="""","""",AU1706/INDEX(FILTER(AT$3:AT1706,TRIM(AT$3:AT1706)&lt;&gt;""""),ROWS(FILTER(AT$3:AT1706,TRIM(AT$3:AT1706)&lt;&gt;"""")))-1)"),"")</f>
        <v/>
      </c>
      <c r="AW1706" s="65" t="e">
        <f t="shared" ca="1" si="283"/>
        <v>#VALUE!</v>
      </c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</row>
    <row r="1707" spans="1:68" ht="19" x14ac:dyDescent="0.25">
      <c r="A1707" s="5"/>
      <c r="B1707" s="5"/>
      <c r="C1707" s="5"/>
      <c r="D1707" s="5"/>
      <c r="E1707" s="5"/>
      <c r="F1707" s="5"/>
      <c r="G1707" s="5"/>
      <c r="H1707" s="6"/>
      <c r="I1707" s="5"/>
      <c r="J1707" s="88"/>
      <c r="K1707" s="88"/>
      <c r="L1707" s="88"/>
      <c r="M1707" s="88"/>
      <c r="N1707" s="88"/>
      <c r="O1707" s="88"/>
      <c r="P1707" s="88"/>
      <c r="Q1707" s="89"/>
      <c r="R1707" s="88"/>
      <c r="S1707" s="88"/>
      <c r="T1707" s="90"/>
      <c r="U1707" s="6"/>
      <c r="V1707" s="92"/>
      <c r="W1707" s="77"/>
      <c r="X1707" s="91"/>
      <c r="Y1707" s="77"/>
      <c r="Z1707" s="5"/>
      <c r="AA1707" s="5"/>
      <c r="AB1707" s="5"/>
      <c r="AC1707" s="5"/>
      <c r="AD1707" s="5"/>
      <c r="AE1707" s="5"/>
      <c r="AF1707" s="5"/>
      <c r="AG1707" s="5"/>
      <c r="AH1707" s="6"/>
      <c r="AI1707" s="92"/>
      <c r="AJ1707" s="93"/>
      <c r="AK1707" s="94"/>
      <c r="AL1707" s="95"/>
      <c r="AM1707" s="56"/>
      <c r="AN1707" s="57">
        <f t="shared" si="282"/>
        <v>0</v>
      </c>
      <c r="AO1707" s="76">
        <f t="shared" si="284"/>
        <v>0</v>
      </c>
      <c r="AP1707" s="63" t="str">
        <f t="shared" si="285"/>
        <v/>
      </c>
      <c r="AQ1707" s="63" t="str">
        <f t="shared" si="286"/>
        <v/>
      </c>
      <c r="AR1707" s="63" t="str">
        <f t="shared" si="287"/>
        <v/>
      </c>
      <c r="AS1707" s="63" t="str">
        <f t="shared" si="288"/>
        <v/>
      </c>
      <c r="AT1707" s="78" t="str">
        <f t="shared" si="289"/>
        <v/>
      </c>
      <c r="AU1707" s="78" t="str">
        <f t="shared" si="290"/>
        <v/>
      </c>
      <c r="AV1707" s="64" t="str">
        <f ca="1">IFERROR(__xludf.DUMMYFUNCTION("IF(TRIM(AU1707)="""","""",AU1707/INDEX(FILTER(AT$3:AT1707,TRIM(AT$3:AT1707)&lt;&gt;""""),ROWS(FILTER(AT$3:AT1707,TRIM(AT$3:AT1707)&lt;&gt;"""")))-1)"),"")</f>
        <v/>
      </c>
      <c r="AW1707" s="65" t="e">
        <f t="shared" ca="1" si="283"/>
        <v>#VALUE!</v>
      </c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</row>
    <row r="1708" spans="1:68" ht="19" x14ac:dyDescent="0.25">
      <c r="A1708" s="5"/>
      <c r="B1708" s="5"/>
      <c r="C1708" s="5"/>
      <c r="D1708" s="5"/>
      <c r="E1708" s="5"/>
      <c r="F1708" s="5"/>
      <c r="G1708" s="5"/>
      <c r="H1708" s="6"/>
      <c r="I1708" s="5"/>
      <c r="J1708" s="88"/>
      <c r="K1708" s="88"/>
      <c r="L1708" s="88"/>
      <c r="M1708" s="88"/>
      <c r="N1708" s="88"/>
      <c r="O1708" s="88"/>
      <c r="P1708" s="88"/>
      <c r="Q1708" s="89"/>
      <c r="R1708" s="88"/>
      <c r="S1708" s="88"/>
      <c r="T1708" s="90"/>
      <c r="U1708" s="6"/>
      <c r="V1708" s="92"/>
      <c r="W1708" s="77"/>
      <c r="X1708" s="91"/>
      <c r="Y1708" s="77"/>
      <c r="Z1708" s="5"/>
      <c r="AA1708" s="5"/>
      <c r="AB1708" s="5"/>
      <c r="AC1708" s="5"/>
      <c r="AD1708" s="5"/>
      <c r="AE1708" s="5"/>
      <c r="AF1708" s="5"/>
      <c r="AG1708" s="5"/>
      <c r="AH1708" s="6"/>
      <c r="AI1708" s="92"/>
      <c r="AJ1708" s="93"/>
      <c r="AK1708" s="94"/>
      <c r="AL1708" s="95"/>
      <c r="AM1708" s="56"/>
      <c r="AN1708" s="57">
        <f t="shared" si="282"/>
        <v>0</v>
      </c>
      <c r="AO1708" s="76">
        <f t="shared" si="284"/>
        <v>0</v>
      </c>
      <c r="AP1708" s="63" t="str">
        <f t="shared" si="285"/>
        <v/>
      </c>
      <c r="AQ1708" s="63" t="str">
        <f t="shared" si="286"/>
        <v/>
      </c>
      <c r="AR1708" s="63" t="str">
        <f t="shared" si="287"/>
        <v/>
      </c>
      <c r="AS1708" s="63" t="str">
        <f t="shared" si="288"/>
        <v/>
      </c>
      <c r="AT1708" s="78" t="str">
        <f t="shared" si="289"/>
        <v/>
      </c>
      <c r="AU1708" s="78" t="str">
        <f t="shared" si="290"/>
        <v/>
      </c>
      <c r="AV1708" s="64" t="str">
        <f ca="1">IFERROR(__xludf.DUMMYFUNCTION("IF(TRIM(AU1708)="""","""",AU1708/INDEX(FILTER(AT$3:AT1708,TRIM(AT$3:AT1708)&lt;&gt;""""),ROWS(FILTER(AT$3:AT1708,TRIM(AT$3:AT1708)&lt;&gt;"""")))-1)"),"")</f>
        <v/>
      </c>
      <c r="AW1708" s="65" t="e">
        <f t="shared" ca="1" si="283"/>
        <v>#VALUE!</v>
      </c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</row>
    <row r="1709" spans="1:68" ht="19" x14ac:dyDescent="0.25">
      <c r="A1709" s="5"/>
      <c r="B1709" s="5"/>
      <c r="C1709" s="5"/>
      <c r="D1709" s="5"/>
      <c r="E1709" s="5"/>
      <c r="F1709" s="5"/>
      <c r="G1709" s="5"/>
      <c r="H1709" s="6"/>
      <c r="I1709" s="5"/>
      <c r="J1709" s="88"/>
      <c r="K1709" s="88"/>
      <c r="L1709" s="88"/>
      <c r="M1709" s="88"/>
      <c r="N1709" s="88"/>
      <c r="O1709" s="88"/>
      <c r="P1709" s="88"/>
      <c r="Q1709" s="89"/>
      <c r="R1709" s="88"/>
      <c r="S1709" s="88"/>
      <c r="T1709" s="90"/>
      <c r="U1709" s="6"/>
      <c r="V1709" s="92"/>
      <c r="W1709" s="77"/>
      <c r="X1709" s="91"/>
      <c r="Y1709" s="77"/>
      <c r="Z1709" s="5"/>
      <c r="AA1709" s="5"/>
      <c r="AB1709" s="5"/>
      <c r="AC1709" s="5"/>
      <c r="AD1709" s="5"/>
      <c r="AE1709" s="5"/>
      <c r="AF1709" s="5"/>
      <c r="AG1709" s="5"/>
      <c r="AH1709" s="6"/>
      <c r="AI1709" s="92"/>
      <c r="AJ1709" s="93"/>
      <c r="AK1709" s="94"/>
      <c r="AL1709" s="95"/>
      <c r="AM1709" s="56"/>
      <c r="AN1709" s="57">
        <f t="shared" si="282"/>
        <v>0</v>
      </c>
      <c r="AO1709" s="76">
        <f t="shared" si="284"/>
        <v>0</v>
      </c>
      <c r="AP1709" s="63" t="str">
        <f t="shared" si="285"/>
        <v/>
      </c>
      <c r="AQ1709" s="63" t="str">
        <f t="shared" si="286"/>
        <v/>
      </c>
      <c r="AR1709" s="63" t="str">
        <f t="shared" si="287"/>
        <v/>
      </c>
      <c r="AS1709" s="63" t="str">
        <f t="shared" si="288"/>
        <v/>
      </c>
      <c r="AT1709" s="78" t="str">
        <f t="shared" si="289"/>
        <v/>
      </c>
      <c r="AU1709" s="78" t="str">
        <f t="shared" si="290"/>
        <v/>
      </c>
      <c r="AV1709" s="64" t="str">
        <f ca="1">IFERROR(__xludf.DUMMYFUNCTION("IF(TRIM(AU1709)="""","""",AU1709/INDEX(FILTER(AT$3:AT1709,TRIM(AT$3:AT1709)&lt;&gt;""""),ROWS(FILTER(AT$3:AT1709,TRIM(AT$3:AT1709)&lt;&gt;"""")))-1)"),"")</f>
        <v/>
      </c>
      <c r="AW1709" s="65" t="e">
        <f t="shared" ca="1" si="283"/>
        <v>#VALUE!</v>
      </c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</row>
    <row r="1710" spans="1:68" ht="19" x14ac:dyDescent="0.25">
      <c r="A1710" s="5"/>
      <c r="B1710" s="5"/>
      <c r="C1710" s="5"/>
      <c r="D1710" s="5"/>
      <c r="E1710" s="5"/>
      <c r="F1710" s="5"/>
      <c r="G1710" s="5"/>
      <c r="H1710" s="6"/>
      <c r="I1710" s="5"/>
      <c r="J1710" s="88"/>
      <c r="K1710" s="88"/>
      <c r="L1710" s="88"/>
      <c r="M1710" s="88"/>
      <c r="N1710" s="88"/>
      <c r="O1710" s="88"/>
      <c r="P1710" s="88"/>
      <c r="Q1710" s="89"/>
      <c r="R1710" s="88"/>
      <c r="S1710" s="88"/>
      <c r="T1710" s="90"/>
      <c r="U1710" s="6"/>
      <c r="V1710" s="92"/>
      <c r="W1710" s="77"/>
      <c r="X1710" s="91"/>
      <c r="Y1710" s="77"/>
      <c r="Z1710" s="5"/>
      <c r="AA1710" s="5"/>
      <c r="AB1710" s="5"/>
      <c r="AC1710" s="5"/>
      <c r="AD1710" s="5"/>
      <c r="AE1710" s="5"/>
      <c r="AF1710" s="5"/>
      <c r="AG1710" s="5"/>
      <c r="AH1710" s="6"/>
      <c r="AI1710" s="92"/>
      <c r="AJ1710" s="93"/>
      <c r="AK1710" s="94"/>
      <c r="AL1710" s="95"/>
      <c r="AM1710" s="56"/>
      <c r="AN1710" s="57">
        <f t="shared" si="282"/>
        <v>0</v>
      </c>
      <c r="AO1710" s="76">
        <f t="shared" si="284"/>
        <v>0</v>
      </c>
      <c r="AP1710" s="63" t="str">
        <f t="shared" si="285"/>
        <v/>
      </c>
      <c r="AQ1710" s="63" t="str">
        <f t="shared" si="286"/>
        <v/>
      </c>
      <c r="AR1710" s="63" t="str">
        <f t="shared" si="287"/>
        <v/>
      </c>
      <c r="AS1710" s="63" t="str">
        <f t="shared" si="288"/>
        <v/>
      </c>
      <c r="AT1710" s="78" t="str">
        <f t="shared" si="289"/>
        <v/>
      </c>
      <c r="AU1710" s="78" t="str">
        <f t="shared" si="290"/>
        <v/>
      </c>
      <c r="AV1710" s="64" t="str">
        <f ca="1">IFERROR(__xludf.DUMMYFUNCTION("IF(TRIM(AU1710)="""","""",AU1710/INDEX(FILTER(AT$3:AT1710,TRIM(AT$3:AT1710)&lt;&gt;""""),ROWS(FILTER(AT$3:AT1710,TRIM(AT$3:AT1710)&lt;&gt;"""")))-1)"),"")</f>
        <v/>
      </c>
      <c r="AW1710" s="65" t="e">
        <f t="shared" ca="1" si="283"/>
        <v>#VALUE!</v>
      </c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</row>
    <row r="1711" spans="1:68" ht="19" x14ac:dyDescent="0.25">
      <c r="A1711" s="5"/>
      <c r="B1711" s="5"/>
      <c r="C1711" s="5"/>
      <c r="D1711" s="5"/>
      <c r="E1711" s="5"/>
      <c r="F1711" s="5"/>
      <c r="G1711" s="5"/>
      <c r="H1711" s="6"/>
      <c r="I1711" s="5"/>
      <c r="J1711" s="88"/>
      <c r="K1711" s="88"/>
      <c r="L1711" s="88"/>
      <c r="M1711" s="88"/>
      <c r="N1711" s="88"/>
      <c r="O1711" s="88"/>
      <c r="P1711" s="88"/>
      <c r="Q1711" s="89"/>
      <c r="R1711" s="88"/>
      <c r="S1711" s="88"/>
      <c r="T1711" s="90"/>
      <c r="U1711" s="6"/>
      <c r="V1711" s="92"/>
      <c r="W1711" s="77"/>
      <c r="X1711" s="91"/>
      <c r="Y1711" s="77"/>
      <c r="Z1711" s="5"/>
      <c r="AA1711" s="5"/>
      <c r="AB1711" s="5"/>
      <c r="AC1711" s="5"/>
      <c r="AD1711" s="5"/>
      <c r="AE1711" s="5"/>
      <c r="AF1711" s="5"/>
      <c r="AG1711" s="5"/>
      <c r="AH1711" s="6"/>
      <c r="AI1711" s="92"/>
      <c r="AJ1711" s="93"/>
      <c r="AK1711" s="94"/>
      <c r="AL1711" s="95"/>
      <c r="AM1711" s="56"/>
      <c r="AN1711" s="57">
        <f t="shared" si="282"/>
        <v>0</v>
      </c>
      <c r="AO1711" s="76">
        <f t="shared" si="284"/>
        <v>0</v>
      </c>
      <c r="AP1711" s="63" t="str">
        <f t="shared" si="285"/>
        <v/>
      </c>
      <c r="AQ1711" s="63" t="str">
        <f t="shared" si="286"/>
        <v/>
      </c>
      <c r="AR1711" s="63" t="str">
        <f t="shared" si="287"/>
        <v/>
      </c>
      <c r="AS1711" s="63" t="str">
        <f t="shared" si="288"/>
        <v/>
      </c>
      <c r="AT1711" s="78" t="str">
        <f t="shared" si="289"/>
        <v/>
      </c>
      <c r="AU1711" s="78" t="str">
        <f t="shared" si="290"/>
        <v/>
      </c>
      <c r="AV1711" s="64" t="str">
        <f ca="1">IFERROR(__xludf.DUMMYFUNCTION("IF(TRIM(AU1711)="""","""",AU1711/INDEX(FILTER(AT$3:AT1711,TRIM(AT$3:AT1711)&lt;&gt;""""),ROWS(FILTER(AT$3:AT1711,TRIM(AT$3:AT1711)&lt;&gt;"""")))-1)"),"")</f>
        <v/>
      </c>
      <c r="AW1711" s="65" t="e">
        <f t="shared" ca="1" si="283"/>
        <v>#VALUE!</v>
      </c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</row>
    <row r="1712" spans="1:68" ht="19" x14ac:dyDescent="0.25">
      <c r="A1712" s="5"/>
      <c r="B1712" s="5"/>
      <c r="C1712" s="5"/>
      <c r="D1712" s="5"/>
      <c r="E1712" s="5"/>
      <c r="F1712" s="5"/>
      <c r="G1712" s="5"/>
      <c r="H1712" s="6"/>
      <c r="I1712" s="5"/>
      <c r="J1712" s="88"/>
      <c r="K1712" s="88"/>
      <c r="L1712" s="88"/>
      <c r="M1712" s="88"/>
      <c r="N1712" s="88"/>
      <c r="O1712" s="88"/>
      <c r="P1712" s="88"/>
      <c r="Q1712" s="89"/>
      <c r="R1712" s="88"/>
      <c r="S1712" s="88"/>
      <c r="T1712" s="90"/>
      <c r="U1712" s="6"/>
      <c r="V1712" s="92"/>
      <c r="W1712" s="77"/>
      <c r="X1712" s="91"/>
      <c r="Y1712" s="77"/>
      <c r="Z1712" s="5"/>
      <c r="AA1712" s="5"/>
      <c r="AB1712" s="5"/>
      <c r="AC1712" s="5"/>
      <c r="AD1712" s="5"/>
      <c r="AE1712" s="5"/>
      <c r="AF1712" s="5"/>
      <c r="AG1712" s="5"/>
      <c r="AH1712" s="6"/>
      <c r="AI1712" s="92"/>
      <c r="AJ1712" s="93"/>
      <c r="AK1712" s="94"/>
      <c r="AL1712" s="95"/>
      <c r="AM1712" s="56"/>
      <c r="AN1712" s="57">
        <f t="shared" si="282"/>
        <v>0</v>
      </c>
      <c r="AO1712" s="76">
        <f t="shared" si="284"/>
        <v>0</v>
      </c>
      <c r="AP1712" s="63" t="str">
        <f t="shared" si="285"/>
        <v/>
      </c>
      <c r="AQ1712" s="63" t="str">
        <f t="shared" si="286"/>
        <v/>
      </c>
      <c r="AR1712" s="63" t="str">
        <f t="shared" si="287"/>
        <v/>
      </c>
      <c r="AS1712" s="63" t="str">
        <f t="shared" si="288"/>
        <v/>
      </c>
      <c r="AT1712" s="78" t="str">
        <f t="shared" si="289"/>
        <v/>
      </c>
      <c r="AU1712" s="78" t="str">
        <f t="shared" si="290"/>
        <v/>
      </c>
      <c r="AV1712" s="64" t="str">
        <f ca="1">IFERROR(__xludf.DUMMYFUNCTION("IF(TRIM(AU1712)="""","""",AU1712/INDEX(FILTER(AT$3:AT1712,TRIM(AT$3:AT1712)&lt;&gt;""""),ROWS(FILTER(AT$3:AT1712,TRIM(AT$3:AT1712)&lt;&gt;"""")))-1)"),"")</f>
        <v/>
      </c>
      <c r="AW1712" s="65" t="e">
        <f t="shared" ca="1" si="283"/>
        <v>#VALUE!</v>
      </c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</row>
    <row r="1713" spans="1:68" ht="19" x14ac:dyDescent="0.25">
      <c r="A1713" s="5"/>
      <c r="B1713" s="5"/>
      <c r="C1713" s="5"/>
      <c r="D1713" s="5"/>
      <c r="E1713" s="5"/>
      <c r="F1713" s="5"/>
      <c r="G1713" s="5"/>
      <c r="H1713" s="6"/>
      <c r="I1713" s="5"/>
      <c r="J1713" s="88"/>
      <c r="K1713" s="88"/>
      <c r="L1713" s="88"/>
      <c r="M1713" s="88"/>
      <c r="N1713" s="88"/>
      <c r="O1713" s="88"/>
      <c r="P1713" s="88"/>
      <c r="Q1713" s="89"/>
      <c r="R1713" s="88"/>
      <c r="S1713" s="88"/>
      <c r="T1713" s="90"/>
      <c r="U1713" s="6"/>
      <c r="V1713" s="92"/>
      <c r="W1713" s="77"/>
      <c r="X1713" s="91"/>
      <c r="Y1713" s="77"/>
      <c r="Z1713" s="5"/>
      <c r="AA1713" s="5"/>
      <c r="AB1713" s="5"/>
      <c r="AC1713" s="5"/>
      <c r="AD1713" s="5"/>
      <c r="AE1713" s="5"/>
      <c r="AF1713" s="5"/>
      <c r="AG1713" s="5"/>
      <c r="AH1713" s="6"/>
      <c r="AI1713" s="92"/>
      <c r="AJ1713" s="93"/>
      <c r="AK1713" s="94"/>
      <c r="AL1713" s="95"/>
      <c r="AM1713" s="56"/>
      <c r="AN1713" s="57">
        <f t="shared" si="282"/>
        <v>0</v>
      </c>
      <c r="AO1713" s="76">
        <f t="shared" si="284"/>
        <v>0</v>
      </c>
      <c r="AP1713" s="63" t="str">
        <f t="shared" si="285"/>
        <v/>
      </c>
      <c r="AQ1713" s="63" t="str">
        <f t="shared" si="286"/>
        <v/>
      </c>
      <c r="AR1713" s="63" t="str">
        <f t="shared" si="287"/>
        <v/>
      </c>
      <c r="AS1713" s="63" t="str">
        <f t="shared" si="288"/>
        <v/>
      </c>
      <c r="AT1713" s="78" t="str">
        <f t="shared" si="289"/>
        <v/>
      </c>
      <c r="AU1713" s="78" t="str">
        <f t="shared" si="290"/>
        <v/>
      </c>
      <c r="AV1713" s="64" t="str">
        <f ca="1">IFERROR(__xludf.DUMMYFUNCTION("IF(TRIM(AU1713)="""","""",AU1713/INDEX(FILTER(AT$3:AT1713,TRIM(AT$3:AT1713)&lt;&gt;""""),ROWS(FILTER(AT$3:AT1713,TRIM(AT$3:AT1713)&lt;&gt;"""")))-1)"),"")</f>
        <v/>
      </c>
      <c r="AW1713" s="65" t="e">
        <f t="shared" ca="1" si="283"/>
        <v>#VALUE!</v>
      </c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</row>
    <row r="1714" spans="1:68" ht="19" x14ac:dyDescent="0.25">
      <c r="A1714" s="5"/>
      <c r="B1714" s="5"/>
      <c r="C1714" s="5"/>
      <c r="D1714" s="5"/>
      <c r="E1714" s="5"/>
      <c r="F1714" s="5"/>
      <c r="G1714" s="5"/>
      <c r="H1714" s="6"/>
      <c r="I1714" s="5"/>
      <c r="J1714" s="88"/>
      <c r="K1714" s="88"/>
      <c r="L1714" s="88"/>
      <c r="M1714" s="88"/>
      <c r="N1714" s="88"/>
      <c r="O1714" s="88"/>
      <c r="P1714" s="88"/>
      <c r="Q1714" s="89"/>
      <c r="R1714" s="88"/>
      <c r="S1714" s="88"/>
      <c r="T1714" s="90"/>
      <c r="U1714" s="6"/>
      <c r="V1714" s="92"/>
      <c r="W1714" s="77"/>
      <c r="X1714" s="91"/>
      <c r="Y1714" s="77"/>
      <c r="Z1714" s="5"/>
      <c r="AA1714" s="5"/>
      <c r="AB1714" s="5"/>
      <c r="AC1714" s="5"/>
      <c r="AD1714" s="5"/>
      <c r="AE1714" s="5"/>
      <c r="AF1714" s="5"/>
      <c r="AG1714" s="5"/>
      <c r="AH1714" s="6"/>
      <c r="AI1714" s="92"/>
      <c r="AJ1714" s="93"/>
      <c r="AK1714" s="94"/>
      <c r="AL1714" s="95"/>
      <c r="AM1714" s="56"/>
      <c r="AN1714" s="57">
        <f t="shared" si="282"/>
        <v>0</v>
      </c>
      <c r="AO1714" s="76">
        <f t="shared" si="284"/>
        <v>0</v>
      </c>
      <c r="AP1714" s="63" t="str">
        <f t="shared" si="285"/>
        <v/>
      </c>
      <c r="AQ1714" s="63" t="str">
        <f t="shared" si="286"/>
        <v/>
      </c>
      <c r="AR1714" s="63" t="str">
        <f t="shared" si="287"/>
        <v/>
      </c>
      <c r="AS1714" s="63" t="str">
        <f t="shared" si="288"/>
        <v/>
      </c>
      <c r="AT1714" s="78" t="str">
        <f t="shared" si="289"/>
        <v/>
      </c>
      <c r="AU1714" s="78" t="str">
        <f t="shared" si="290"/>
        <v/>
      </c>
      <c r="AV1714" s="64" t="str">
        <f ca="1">IFERROR(__xludf.DUMMYFUNCTION("IF(TRIM(AU1714)="""","""",AU1714/INDEX(FILTER(AT$3:AT1714,TRIM(AT$3:AT1714)&lt;&gt;""""),ROWS(FILTER(AT$3:AT1714,TRIM(AT$3:AT1714)&lt;&gt;"""")))-1)"),"")</f>
        <v/>
      </c>
      <c r="AW1714" s="65" t="e">
        <f t="shared" ca="1" si="283"/>
        <v>#VALUE!</v>
      </c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</row>
    <row r="1715" spans="1:68" ht="19" x14ac:dyDescent="0.25">
      <c r="A1715" s="5"/>
      <c r="B1715" s="5"/>
      <c r="C1715" s="5"/>
      <c r="D1715" s="5"/>
      <c r="E1715" s="5"/>
      <c r="F1715" s="5"/>
      <c r="G1715" s="5"/>
      <c r="H1715" s="6"/>
      <c r="I1715" s="5"/>
      <c r="J1715" s="88"/>
      <c r="K1715" s="88"/>
      <c r="L1715" s="88"/>
      <c r="M1715" s="88"/>
      <c r="N1715" s="88"/>
      <c r="O1715" s="88"/>
      <c r="P1715" s="88"/>
      <c r="Q1715" s="89"/>
      <c r="R1715" s="88"/>
      <c r="S1715" s="88"/>
      <c r="T1715" s="90"/>
      <c r="U1715" s="6"/>
      <c r="V1715" s="92"/>
      <c r="W1715" s="77"/>
      <c r="X1715" s="91"/>
      <c r="Y1715" s="77"/>
      <c r="Z1715" s="5"/>
      <c r="AA1715" s="5"/>
      <c r="AB1715" s="5"/>
      <c r="AC1715" s="5"/>
      <c r="AD1715" s="5"/>
      <c r="AE1715" s="5"/>
      <c r="AF1715" s="5"/>
      <c r="AG1715" s="5"/>
      <c r="AH1715" s="6"/>
      <c r="AI1715" s="92"/>
      <c r="AJ1715" s="93"/>
      <c r="AK1715" s="94"/>
      <c r="AL1715" s="95"/>
      <c r="AM1715" s="56"/>
      <c r="AN1715" s="57">
        <f t="shared" si="282"/>
        <v>0</v>
      </c>
      <c r="AO1715" s="76">
        <f t="shared" si="284"/>
        <v>0</v>
      </c>
      <c r="AP1715" s="63" t="str">
        <f t="shared" si="285"/>
        <v/>
      </c>
      <c r="AQ1715" s="63" t="str">
        <f t="shared" si="286"/>
        <v/>
      </c>
      <c r="AR1715" s="63" t="str">
        <f t="shared" si="287"/>
        <v/>
      </c>
      <c r="AS1715" s="63" t="str">
        <f t="shared" si="288"/>
        <v/>
      </c>
      <c r="AT1715" s="78" t="str">
        <f t="shared" si="289"/>
        <v/>
      </c>
      <c r="AU1715" s="78" t="str">
        <f t="shared" si="290"/>
        <v/>
      </c>
      <c r="AV1715" s="64" t="str">
        <f ca="1">IFERROR(__xludf.DUMMYFUNCTION("IF(TRIM(AU1715)="""","""",AU1715/INDEX(FILTER(AT$3:AT1715,TRIM(AT$3:AT1715)&lt;&gt;""""),ROWS(FILTER(AT$3:AT1715,TRIM(AT$3:AT1715)&lt;&gt;"""")))-1)"),"")</f>
        <v/>
      </c>
      <c r="AW1715" s="65" t="e">
        <f t="shared" ca="1" si="283"/>
        <v>#VALUE!</v>
      </c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</row>
    <row r="1716" spans="1:68" ht="19" x14ac:dyDescent="0.25">
      <c r="A1716" s="5"/>
      <c r="B1716" s="5"/>
      <c r="C1716" s="5"/>
      <c r="D1716" s="5"/>
      <c r="E1716" s="5"/>
      <c r="F1716" s="5"/>
      <c r="G1716" s="5"/>
      <c r="H1716" s="6"/>
      <c r="I1716" s="5"/>
      <c r="J1716" s="88"/>
      <c r="K1716" s="88"/>
      <c r="L1716" s="88"/>
      <c r="M1716" s="88"/>
      <c r="N1716" s="88"/>
      <c r="O1716" s="88"/>
      <c r="P1716" s="88"/>
      <c r="Q1716" s="89"/>
      <c r="R1716" s="88"/>
      <c r="S1716" s="88"/>
      <c r="T1716" s="90"/>
      <c r="U1716" s="6"/>
      <c r="V1716" s="92"/>
      <c r="W1716" s="77"/>
      <c r="X1716" s="91"/>
      <c r="Y1716" s="77"/>
      <c r="Z1716" s="5"/>
      <c r="AA1716" s="5"/>
      <c r="AB1716" s="5"/>
      <c r="AC1716" s="5"/>
      <c r="AD1716" s="5"/>
      <c r="AE1716" s="5"/>
      <c r="AF1716" s="5"/>
      <c r="AG1716" s="5"/>
      <c r="AH1716" s="6"/>
      <c r="AI1716" s="92"/>
      <c r="AJ1716" s="93"/>
      <c r="AK1716" s="94"/>
      <c r="AL1716" s="95"/>
      <c r="AM1716" s="56"/>
      <c r="AN1716" s="57">
        <f t="shared" si="282"/>
        <v>0</v>
      </c>
      <c r="AO1716" s="76">
        <f t="shared" si="284"/>
        <v>0</v>
      </c>
      <c r="AP1716" s="63" t="str">
        <f t="shared" si="285"/>
        <v/>
      </c>
      <c r="AQ1716" s="63" t="str">
        <f t="shared" si="286"/>
        <v/>
      </c>
      <c r="AR1716" s="63" t="str">
        <f t="shared" si="287"/>
        <v/>
      </c>
      <c r="AS1716" s="63" t="str">
        <f t="shared" si="288"/>
        <v/>
      </c>
      <c r="AT1716" s="78" t="str">
        <f t="shared" si="289"/>
        <v/>
      </c>
      <c r="AU1716" s="78" t="str">
        <f t="shared" si="290"/>
        <v/>
      </c>
      <c r="AV1716" s="64" t="str">
        <f ca="1">IFERROR(__xludf.DUMMYFUNCTION("IF(TRIM(AU1716)="""","""",AU1716/INDEX(FILTER(AT$3:AT1716,TRIM(AT$3:AT1716)&lt;&gt;""""),ROWS(FILTER(AT$3:AT1716,TRIM(AT$3:AT1716)&lt;&gt;"""")))-1)"),"")</f>
        <v/>
      </c>
      <c r="AW1716" s="65" t="e">
        <f t="shared" ca="1" si="283"/>
        <v>#VALUE!</v>
      </c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</row>
    <row r="1717" spans="1:68" ht="19" x14ac:dyDescent="0.25">
      <c r="A1717" s="5"/>
      <c r="B1717" s="5"/>
      <c r="C1717" s="5"/>
      <c r="D1717" s="5"/>
      <c r="E1717" s="5"/>
      <c r="F1717" s="5"/>
      <c r="G1717" s="5"/>
      <c r="H1717" s="6"/>
      <c r="I1717" s="5"/>
      <c r="J1717" s="88"/>
      <c r="K1717" s="88"/>
      <c r="L1717" s="88"/>
      <c r="M1717" s="88"/>
      <c r="N1717" s="88"/>
      <c r="O1717" s="88"/>
      <c r="P1717" s="88"/>
      <c r="Q1717" s="89"/>
      <c r="R1717" s="88"/>
      <c r="S1717" s="88"/>
      <c r="T1717" s="90"/>
      <c r="U1717" s="6"/>
      <c r="V1717" s="92"/>
      <c r="W1717" s="77"/>
      <c r="X1717" s="91"/>
      <c r="Y1717" s="77"/>
      <c r="Z1717" s="5"/>
      <c r="AA1717" s="5"/>
      <c r="AB1717" s="5"/>
      <c r="AC1717" s="5"/>
      <c r="AD1717" s="5"/>
      <c r="AE1717" s="5"/>
      <c r="AF1717" s="5"/>
      <c r="AG1717" s="5"/>
      <c r="AH1717" s="6"/>
      <c r="AI1717" s="92"/>
      <c r="AJ1717" s="93"/>
      <c r="AK1717" s="94"/>
      <c r="AL1717" s="95"/>
      <c r="AM1717" s="56"/>
      <c r="AN1717" s="57">
        <f t="shared" si="282"/>
        <v>0</v>
      </c>
      <c r="AO1717" s="76">
        <f t="shared" si="284"/>
        <v>0</v>
      </c>
      <c r="AP1717" s="63" t="str">
        <f t="shared" si="285"/>
        <v/>
      </c>
      <c r="AQ1717" s="63" t="str">
        <f t="shared" si="286"/>
        <v/>
      </c>
      <c r="AR1717" s="63" t="str">
        <f t="shared" si="287"/>
        <v/>
      </c>
      <c r="AS1717" s="63" t="str">
        <f t="shared" si="288"/>
        <v/>
      </c>
      <c r="AT1717" s="78" t="str">
        <f t="shared" si="289"/>
        <v/>
      </c>
      <c r="AU1717" s="78" t="str">
        <f t="shared" si="290"/>
        <v/>
      </c>
      <c r="AV1717" s="64" t="str">
        <f ca="1">IFERROR(__xludf.DUMMYFUNCTION("IF(TRIM(AU1717)="""","""",AU1717/INDEX(FILTER(AT$3:AT1717,TRIM(AT$3:AT1717)&lt;&gt;""""),ROWS(FILTER(AT$3:AT1717,TRIM(AT$3:AT1717)&lt;&gt;"""")))-1)"),"")</f>
        <v/>
      </c>
      <c r="AW1717" s="65" t="e">
        <f t="shared" ca="1" si="283"/>
        <v>#VALUE!</v>
      </c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</row>
    <row r="1718" spans="1:68" ht="19" x14ac:dyDescent="0.25">
      <c r="A1718" s="5"/>
      <c r="B1718" s="5"/>
      <c r="C1718" s="5"/>
      <c r="D1718" s="5"/>
      <c r="E1718" s="5"/>
      <c r="F1718" s="5"/>
      <c r="G1718" s="5"/>
      <c r="H1718" s="6"/>
      <c r="I1718" s="5"/>
      <c r="J1718" s="88"/>
      <c r="K1718" s="88"/>
      <c r="L1718" s="88"/>
      <c r="M1718" s="88"/>
      <c r="N1718" s="88"/>
      <c r="O1718" s="88"/>
      <c r="P1718" s="88"/>
      <c r="Q1718" s="89"/>
      <c r="R1718" s="88"/>
      <c r="S1718" s="88"/>
      <c r="T1718" s="90"/>
      <c r="U1718" s="6"/>
      <c r="V1718" s="92"/>
      <c r="W1718" s="77"/>
      <c r="X1718" s="91"/>
      <c r="Y1718" s="77"/>
      <c r="Z1718" s="5"/>
      <c r="AA1718" s="5"/>
      <c r="AB1718" s="5"/>
      <c r="AC1718" s="5"/>
      <c r="AD1718" s="5"/>
      <c r="AE1718" s="5"/>
      <c r="AF1718" s="5"/>
      <c r="AG1718" s="5"/>
      <c r="AH1718" s="6"/>
      <c r="AI1718" s="92"/>
      <c r="AJ1718" s="93"/>
      <c r="AK1718" s="94"/>
      <c r="AL1718" s="95"/>
      <c r="AM1718" s="56"/>
      <c r="AN1718" s="57">
        <f t="shared" si="282"/>
        <v>0</v>
      </c>
      <c r="AO1718" s="76">
        <f t="shared" si="284"/>
        <v>0</v>
      </c>
      <c r="AP1718" s="63" t="str">
        <f t="shared" si="285"/>
        <v/>
      </c>
      <c r="AQ1718" s="63" t="str">
        <f t="shared" si="286"/>
        <v/>
      </c>
      <c r="AR1718" s="63" t="str">
        <f t="shared" si="287"/>
        <v/>
      </c>
      <c r="AS1718" s="63" t="str">
        <f t="shared" si="288"/>
        <v/>
      </c>
      <c r="AT1718" s="78" t="str">
        <f t="shared" si="289"/>
        <v/>
      </c>
      <c r="AU1718" s="78" t="str">
        <f t="shared" si="290"/>
        <v/>
      </c>
      <c r="AV1718" s="64" t="str">
        <f ca="1">IFERROR(__xludf.DUMMYFUNCTION("IF(TRIM(AU1718)="""","""",AU1718/INDEX(FILTER(AT$3:AT1718,TRIM(AT$3:AT1718)&lt;&gt;""""),ROWS(FILTER(AT$3:AT1718,TRIM(AT$3:AT1718)&lt;&gt;"""")))-1)"),"")</f>
        <v/>
      </c>
      <c r="AW1718" s="65" t="e">
        <f t="shared" ca="1" si="283"/>
        <v>#VALUE!</v>
      </c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</row>
    <row r="1719" spans="1:68" ht="19" x14ac:dyDescent="0.25">
      <c r="A1719" s="5"/>
      <c r="B1719" s="5"/>
      <c r="C1719" s="5"/>
      <c r="D1719" s="5"/>
      <c r="E1719" s="5"/>
      <c r="F1719" s="5"/>
      <c r="G1719" s="5"/>
      <c r="H1719" s="6"/>
      <c r="I1719" s="5"/>
      <c r="J1719" s="88"/>
      <c r="K1719" s="88"/>
      <c r="L1719" s="88"/>
      <c r="M1719" s="88"/>
      <c r="N1719" s="88"/>
      <c r="O1719" s="88"/>
      <c r="P1719" s="88"/>
      <c r="Q1719" s="89"/>
      <c r="R1719" s="88"/>
      <c r="S1719" s="88"/>
      <c r="T1719" s="90"/>
      <c r="U1719" s="6"/>
      <c r="V1719" s="92"/>
      <c r="W1719" s="77"/>
      <c r="X1719" s="91"/>
      <c r="Y1719" s="77"/>
      <c r="Z1719" s="5"/>
      <c r="AA1719" s="5"/>
      <c r="AB1719" s="5"/>
      <c r="AC1719" s="5"/>
      <c r="AD1719" s="5"/>
      <c r="AE1719" s="5"/>
      <c r="AF1719" s="5"/>
      <c r="AG1719" s="5"/>
      <c r="AH1719" s="6"/>
      <c r="AI1719" s="92"/>
      <c r="AJ1719" s="93"/>
      <c r="AK1719" s="94"/>
      <c r="AL1719" s="95"/>
      <c r="AM1719" s="56"/>
      <c r="AN1719" s="57">
        <f t="shared" si="282"/>
        <v>0</v>
      </c>
      <c r="AO1719" s="76">
        <f t="shared" si="284"/>
        <v>0</v>
      </c>
      <c r="AP1719" s="63" t="str">
        <f t="shared" si="285"/>
        <v/>
      </c>
      <c r="AQ1719" s="63" t="str">
        <f t="shared" si="286"/>
        <v/>
      </c>
      <c r="AR1719" s="63" t="str">
        <f t="shared" si="287"/>
        <v/>
      </c>
      <c r="AS1719" s="63" t="str">
        <f t="shared" si="288"/>
        <v/>
      </c>
      <c r="AT1719" s="78" t="str">
        <f t="shared" si="289"/>
        <v/>
      </c>
      <c r="AU1719" s="78" t="str">
        <f t="shared" si="290"/>
        <v/>
      </c>
      <c r="AV1719" s="64" t="str">
        <f ca="1">IFERROR(__xludf.DUMMYFUNCTION("IF(TRIM(AU1719)="""","""",AU1719/INDEX(FILTER(AT$3:AT1719,TRIM(AT$3:AT1719)&lt;&gt;""""),ROWS(FILTER(AT$3:AT1719,TRIM(AT$3:AT1719)&lt;&gt;"""")))-1)"),"")</f>
        <v/>
      </c>
      <c r="AW1719" s="65" t="e">
        <f t="shared" ca="1" si="283"/>
        <v>#VALUE!</v>
      </c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</row>
    <row r="1720" spans="1:68" ht="19" x14ac:dyDescent="0.25">
      <c r="A1720" s="5"/>
      <c r="B1720" s="5"/>
      <c r="C1720" s="5"/>
      <c r="D1720" s="5"/>
      <c r="E1720" s="5"/>
      <c r="F1720" s="5"/>
      <c r="G1720" s="5"/>
      <c r="H1720" s="6"/>
      <c r="I1720" s="5"/>
      <c r="J1720" s="88"/>
      <c r="K1720" s="88"/>
      <c r="L1720" s="88"/>
      <c r="M1720" s="88"/>
      <c r="N1720" s="88"/>
      <c r="O1720" s="88"/>
      <c r="P1720" s="88"/>
      <c r="Q1720" s="89"/>
      <c r="R1720" s="88"/>
      <c r="S1720" s="88"/>
      <c r="T1720" s="90"/>
      <c r="U1720" s="6"/>
      <c r="V1720" s="92"/>
      <c r="W1720" s="77"/>
      <c r="X1720" s="91"/>
      <c r="Y1720" s="77"/>
      <c r="Z1720" s="5"/>
      <c r="AA1720" s="5"/>
      <c r="AB1720" s="5"/>
      <c r="AC1720" s="5"/>
      <c r="AD1720" s="5"/>
      <c r="AE1720" s="5"/>
      <c r="AF1720" s="5"/>
      <c r="AG1720" s="5"/>
      <c r="AH1720" s="6"/>
      <c r="AI1720" s="92"/>
      <c r="AJ1720" s="93"/>
      <c r="AK1720" s="94"/>
      <c r="AL1720" s="95"/>
      <c r="AM1720" s="56"/>
      <c r="AN1720" s="57">
        <f t="shared" si="282"/>
        <v>0</v>
      </c>
      <c r="AO1720" s="76">
        <f t="shared" si="284"/>
        <v>0</v>
      </c>
      <c r="AP1720" s="63" t="str">
        <f t="shared" si="285"/>
        <v/>
      </c>
      <c r="AQ1720" s="63" t="str">
        <f t="shared" si="286"/>
        <v/>
      </c>
      <c r="AR1720" s="63" t="str">
        <f t="shared" si="287"/>
        <v/>
      </c>
      <c r="AS1720" s="63" t="str">
        <f t="shared" si="288"/>
        <v/>
      </c>
      <c r="AT1720" s="78" t="str">
        <f t="shared" si="289"/>
        <v/>
      </c>
      <c r="AU1720" s="78" t="str">
        <f t="shared" si="290"/>
        <v/>
      </c>
      <c r="AV1720" s="64" t="str">
        <f ca="1">IFERROR(__xludf.DUMMYFUNCTION("IF(TRIM(AU1720)="""","""",AU1720/INDEX(FILTER(AT$3:AT1720,TRIM(AT$3:AT1720)&lt;&gt;""""),ROWS(FILTER(AT$3:AT1720,TRIM(AT$3:AT1720)&lt;&gt;"""")))-1)"),"")</f>
        <v/>
      </c>
      <c r="AW1720" s="65" t="e">
        <f t="shared" ca="1" si="283"/>
        <v>#VALUE!</v>
      </c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</row>
    <row r="1721" spans="1:68" ht="19" x14ac:dyDescent="0.25">
      <c r="A1721" s="5"/>
      <c r="B1721" s="5"/>
      <c r="C1721" s="5"/>
      <c r="D1721" s="5"/>
      <c r="E1721" s="5"/>
      <c r="F1721" s="5"/>
      <c r="G1721" s="5"/>
      <c r="H1721" s="6"/>
      <c r="I1721" s="5"/>
      <c r="J1721" s="88"/>
      <c r="K1721" s="88"/>
      <c r="L1721" s="88"/>
      <c r="M1721" s="88"/>
      <c r="N1721" s="88"/>
      <c r="O1721" s="88"/>
      <c r="P1721" s="88"/>
      <c r="Q1721" s="89"/>
      <c r="R1721" s="88"/>
      <c r="S1721" s="88"/>
      <c r="T1721" s="90"/>
      <c r="U1721" s="6"/>
      <c r="V1721" s="92"/>
      <c r="W1721" s="77"/>
      <c r="X1721" s="91"/>
      <c r="Y1721" s="77"/>
      <c r="Z1721" s="5"/>
      <c r="AA1721" s="5"/>
      <c r="AB1721" s="5"/>
      <c r="AC1721" s="5"/>
      <c r="AD1721" s="5"/>
      <c r="AE1721" s="5"/>
      <c r="AF1721" s="5"/>
      <c r="AG1721" s="5"/>
      <c r="AH1721" s="6"/>
      <c r="AI1721" s="92"/>
      <c r="AJ1721" s="93"/>
      <c r="AK1721" s="94"/>
      <c r="AL1721" s="95"/>
      <c r="AM1721" s="56"/>
      <c r="AN1721" s="57">
        <f t="shared" si="282"/>
        <v>0</v>
      </c>
      <c r="AO1721" s="76">
        <f t="shared" si="284"/>
        <v>0</v>
      </c>
      <c r="AP1721" s="63" t="str">
        <f t="shared" si="285"/>
        <v/>
      </c>
      <c r="AQ1721" s="63" t="str">
        <f t="shared" si="286"/>
        <v/>
      </c>
      <c r="AR1721" s="63" t="str">
        <f t="shared" si="287"/>
        <v/>
      </c>
      <c r="AS1721" s="63" t="str">
        <f t="shared" si="288"/>
        <v/>
      </c>
      <c r="AT1721" s="78" t="str">
        <f t="shared" si="289"/>
        <v/>
      </c>
      <c r="AU1721" s="78" t="str">
        <f t="shared" si="290"/>
        <v/>
      </c>
      <c r="AV1721" s="64" t="str">
        <f ca="1">IFERROR(__xludf.DUMMYFUNCTION("IF(TRIM(AU1721)="""","""",AU1721/INDEX(FILTER(AT$3:AT1721,TRIM(AT$3:AT1721)&lt;&gt;""""),ROWS(FILTER(AT$3:AT1721,TRIM(AT$3:AT1721)&lt;&gt;"""")))-1)"),"")</f>
        <v/>
      </c>
      <c r="AW1721" s="65" t="e">
        <f t="shared" ca="1" si="283"/>
        <v>#VALUE!</v>
      </c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</row>
    <row r="1722" spans="1:68" ht="19" x14ac:dyDescent="0.25">
      <c r="A1722" s="5"/>
      <c r="B1722" s="5"/>
      <c r="C1722" s="5"/>
      <c r="D1722" s="5"/>
      <c r="E1722" s="5"/>
      <c r="F1722" s="5"/>
      <c r="G1722" s="5"/>
      <c r="H1722" s="6"/>
      <c r="I1722" s="5"/>
      <c r="J1722" s="88"/>
      <c r="K1722" s="88"/>
      <c r="L1722" s="88"/>
      <c r="M1722" s="88"/>
      <c r="N1722" s="88"/>
      <c r="O1722" s="88"/>
      <c r="P1722" s="88"/>
      <c r="Q1722" s="89"/>
      <c r="R1722" s="88"/>
      <c r="S1722" s="88"/>
      <c r="T1722" s="90"/>
      <c r="U1722" s="6"/>
      <c r="V1722" s="92"/>
      <c r="W1722" s="77"/>
      <c r="X1722" s="91"/>
      <c r="Y1722" s="77"/>
      <c r="Z1722" s="5"/>
      <c r="AA1722" s="5"/>
      <c r="AB1722" s="5"/>
      <c r="AC1722" s="5"/>
      <c r="AD1722" s="5"/>
      <c r="AE1722" s="5"/>
      <c r="AF1722" s="5"/>
      <c r="AG1722" s="5"/>
      <c r="AH1722" s="6"/>
      <c r="AI1722" s="92"/>
      <c r="AJ1722" s="93"/>
      <c r="AK1722" s="94"/>
      <c r="AL1722" s="95"/>
      <c r="AM1722" s="56"/>
      <c r="AN1722" s="57">
        <f t="shared" si="282"/>
        <v>0</v>
      </c>
      <c r="AO1722" s="76">
        <f t="shared" si="284"/>
        <v>0</v>
      </c>
      <c r="AP1722" s="63" t="str">
        <f t="shared" si="285"/>
        <v/>
      </c>
      <c r="AQ1722" s="63" t="str">
        <f t="shared" si="286"/>
        <v/>
      </c>
      <c r="AR1722" s="63" t="str">
        <f t="shared" si="287"/>
        <v/>
      </c>
      <c r="AS1722" s="63" t="str">
        <f t="shared" si="288"/>
        <v/>
      </c>
      <c r="AT1722" s="78" t="str">
        <f t="shared" si="289"/>
        <v/>
      </c>
      <c r="AU1722" s="78" t="str">
        <f t="shared" si="290"/>
        <v/>
      </c>
      <c r="AV1722" s="64" t="str">
        <f ca="1">IFERROR(__xludf.DUMMYFUNCTION("IF(TRIM(AU1722)="""","""",AU1722/INDEX(FILTER(AT$3:AT1722,TRIM(AT$3:AT1722)&lt;&gt;""""),ROWS(FILTER(AT$3:AT1722,TRIM(AT$3:AT1722)&lt;&gt;"""")))-1)"),"")</f>
        <v/>
      </c>
      <c r="AW1722" s="65" t="e">
        <f t="shared" ca="1" si="283"/>
        <v>#VALUE!</v>
      </c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</row>
    <row r="1723" spans="1:68" ht="19" x14ac:dyDescent="0.25">
      <c r="A1723" s="5"/>
      <c r="B1723" s="5"/>
      <c r="C1723" s="5"/>
      <c r="D1723" s="5"/>
      <c r="E1723" s="5"/>
      <c r="F1723" s="5"/>
      <c r="G1723" s="5"/>
      <c r="H1723" s="6"/>
      <c r="I1723" s="5"/>
      <c r="J1723" s="88"/>
      <c r="K1723" s="88"/>
      <c r="L1723" s="88"/>
      <c r="M1723" s="88"/>
      <c r="N1723" s="88"/>
      <c r="O1723" s="88"/>
      <c r="P1723" s="88"/>
      <c r="Q1723" s="89"/>
      <c r="R1723" s="88"/>
      <c r="S1723" s="88"/>
      <c r="T1723" s="90"/>
      <c r="U1723" s="6"/>
      <c r="V1723" s="92"/>
      <c r="W1723" s="77"/>
      <c r="X1723" s="91"/>
      <c r="Y1723" s="77"/>
      <c r="Z1723" s="5"/>
      <c r="AA1723" s="5"/>
      <c r="AB1723" s="5"/>
      <c r="AC1723" s="5"/>
      <c r="AD1723" s="5"/>
      <c r="AE1723" s="5"/>
      <c r="AF1723" s="5"/>
      <c r="AG1723" s="5"/>
      <c r="AH1723" s="6"/>
      <c r="AI1723" s="92"/>
      <c r="AJ1723" s="93"/>
      <c r="AK1723" s="94"/>
      <c r="AL1723" s="95"/>
      <c r="AM1723" s="56"/>
      <c r="AN1723" s="57">
        <f t="shared" si="282"/>
        <v>0</v>
      </c>
      <c r="AO1723" s="76">
        <f t="shared" si="284"/>
        <v>0</v>
      </c>
      <c r="AP1723" s="63" t="str">
        <f t="shared" si="285"/>
        <v/>
      </c>
      <c r="AQ1723" s="63" t="str">
        <f t="shared" si="286"/>
        <v/>
      </c>
      <c r="AR1723" s="63" t="str">
        <f t="shared" si="287"/>
        <v/>
      </c>
      <c r="AS1723" s="63" t="str">
        <f t="shared" si="288"/>
        <v/>
      </c>
      <c r="AT1723" s="78" t="str">
        <f t="shared" si="289"/>
        <v/>
      </c>
      <c r="AU1723" s="78" t="str">
        <f t="shared" si="290"/>
        <v/>
      </c>
      <c r="AV1723" s="64" t="str">
        <f ca="1">IFERROR(__xludf.DUMMYFUNCTION("IF(TRIM(AU1723)="""","""",AU1723/INDEX(FILTER(AT$3:AT1723,TRIM(AT$3:AT1723)&lt;&gt;""""),ROWS(FILTER(AT$3:AT1723,TRIM(AT$3:AT1723)&lt;&gt;"""")))-1)"),"")</f>
        <v/>
      </c>
      <c r="AW1723" s="65" t="e">
        <f t="shared" ca="1" si="283"/>
        <v>#VALUE!</v>
      </c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</row>
    <row r="1724" spans="1:68" ht="19" x14ac:dyDescent="0.25">
      <c r="A1724" s="5"/>
      <c r="B1724" s="5"/>
      <c r="C1724" s="5"/>
      <c r="D1724" s="5"/>
      <c r="E1724" s="5"/>
      <c r="F1724" s="5"/>
      <c r="G1724" s="5"/>
      <c r="H1724" s="6"/>
      <c r="I1724" s="5"/>
      <c r="J1724" s="88"/>
      <c r="K1724" s="88"/>
      <c r="L1724" s="88"/>
      <c r="M1724" s="88"/>
      <c r="N1724" s="88"/>
      <c r="O1724" s="88"/>
      <c r="P1724" s="88"/>
      <c r="Q1724" s="89"/>
      <c r="R1724" s="88"/>
      <c r="S1724" s="88"/>
      <c r="T1724" s="90"/>
      <c r="U1724" s="6"/>
      <c r="V1724" s="92"/>
      <c r="W1724" s="77"/>
      <c r="X1724" s="91"/>
      <c r="Y1724" s="77"/>
      <c r="Z1724" s="5"/>
      <c r="AA1724" s="5"/>
      <c r="AB1724" s="5"/>
      <c r="AC1724" s="5"/>
      <c r="AD1724" s="5"/>
      <c r="AE1724" s="5"/>
      <c r="AF1724" s="5"/>
      <c r="AG1724" s="5"/>
      <c r="AH1724" s="6"/>
      <c r="AI1724" s="92"/>
      <c r="AJ1724" s="93"/>
      <c r="AK1724" s="94"/>
      <c r="AL1724" s="95"/>
      <c r="AM1724" s="56"/>
      <c r="AN1724" s="57">
        <f t="shared" si="282"/>
        <v>0</v>
      </c>
      <c r="AO1724" s="76">
        <f t="shared" si="284"/>
        <v>0</v>
      </c>
      <c r="AP1724" s="63" t="str">
        <f t="shared" si="285"/>
        <v/>
      </c>
      <c r="AQ1724" s="63" t="str">
        <f t="shared" si="286"/>
        <v/>
      </c>
      <c r="AR1724" s="63" t="str">
        <f t="shared" si="287"/>
        <v/>
      </c>
      <c r="AS1724" s="63" t="str">
        <f t="shared" si="288"/>
        <v/>
      </c>
      <c r="AT1724" s="78" t="str">
        <f t="shared" si="289"/>
        <v/>
      </c>
      <c r="AU1724" s="78" t="str">
        <f t="shared" si="290"/>
        <v/>
      </c>
      <c r="AV1724" s="64" t="str">
        <f ca="1">IFERROR(__xludf.DUMMYFUNCTION("IF(TRIM(AU1724)="""","""",AU1724/INDEX(FILTER(AT$3:AT1724,TRIM(AT$3:AT1724)&lt;&gt;""""),ROWS(FILTER(AT$3:AT1724,TRIM(AT$3:AT1724)&lt;&gt;"""")))-1)"),"")</f>
        <v/>
      </c>
      <c r="AW1724" s="65" t="e">
        <f t="shared" ca="1" si="283"/>
        <v>#VALUE!</v>
      </c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</row>
    <row r="1725" spans="1:68" ht="19" x14ac:dyDescent="0.25">
      <c r="A1725" s="5"/>
      <c r="B1725" s="5"/>
      <c r="C1725" s="5"/>
      <c r="D1725" s="5"/>
      <c r="E1725" s="5"/>
      <c r="F1725" s="5"/>
      <c r="G1725" s="5"/>
      <c r="H1725" s="6"/>
      <c r="I1725" s="5"/>
      <c r="J1725" s="88"/>
      <c r="K1725" s="88"/>
      <c r="L1725" s="88"/>
      <c r="M1725" s="88"/>
      <c r="N1725" s="88"/>
      <c r="O1725" s="88"/>
      <c r="P1725" s="88"/>
      <c r="Q1725" s="89"/>
      <c r="R1725" s="88"/>
      <c r="S1725" s="88"/>
      <c r="T1725" s="90"/>
      <c r="U1725" s="6"/>
      <c r="V1725" s="92"/>
      <c r="W1725" s="77"/>
      <c r="X1725" s="91"/>
      <c r="Y1725" s="77"/>
      <c r="Z1725" s="5"/>
      <c r="AA1725" s="5"/>
      <c r="AB1725" s="5"/>
      <c r="AC1725" s="5"/>
      <c r="AD1725" s="5"/>
      <c r="AE1725" s="5"/>
      <c r="AF1725" s="5"/>
      <c r="AG1725" s="5"/>
      <c r="AH1725" s="6"/>
      <c r="AI1725" s="92"/>
      <c r="AJ1725" s="93"/>
      <c r="AK1725" s="94"/>
      <c r="AL1725" s="95"/>
      <c r="AM1725" s="56"/>
      <c r="AN1725" s="57">
        <f t="shared" si="282"/>
        <v>0</v>
      </c>
      <c r="AO1725" s="76">
        <f t="shared" si="284"/>
        <v>0</v>
      </c>
      <c r="AP1725" s="63" t="str">
        <f t="shared" si="285"/>
        <v/>
      </c>
      <c r="AQ1725" s="63" t="str">
        <f t="shared" si="286"/>
        <v/>
      </c>
      <c r="AR1725" s="63" t="str">
        <f t="shared" si="287"/>
        <v/>
      </c>
      <c r="AS1725" s="63" t="str">
        <f t="shared" si="288"/>
        <v/>
      </c>
      <c r="AT1725" s="78" t="str">
        <f t="shared" si="289"/>
        <v/>
      </c>
      <c r="AU1725" s="78" t="str">
        <f t="shared" si="290"/>
        <v/>
      </c>
      <c r="AV1725" s="64" t="str">
        <f ca="1">IFERROR(__xludf.DUMMYFUNCTION("IF(TRIM(AU1725)="""","""",AU1725/INDEX(FILTER(AT$3:AT1725,TRIM(AT$3:AT1725)&lt;&gt;""""),ROWS(FILTER(AT$3:AT1725,TRIM(AT$3:AT1725)&lt;&gt;"""")))-1)"),"")</f>
        <v/>
      </c>
      <c r="AW1725" s="65" t="e">
        <f t="shared" ca="1" si="283"/>
        <v>#VALUE!</v>
      </c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</row>
    <row r="1726" spans="1:68" ht="19" x14ac:dyDescent="0.25">
      <c r="A1726" s="5"/>
      <c r="B1726" s="5"/>
      <c r="C1726" s="5"/>
      <c r="D1726" s="5"/>
      <c r="E1726" s="5"/>
      <c r="F1726" s="5"/>
      <c r="G1726" s="5"/>
      <c r="H1726" s="6"/>
      <c r="I1726" s="5"/>
      <c r="J1726" s="88"/>
      <c r="K1726" s="88"/>
      <c r="L1726" s="88"/>
      <c r="M1726" s="88"/>
      <c r="N1726" s="88"/>
      <c r="O1726" s="88"/>
      <c r="P1726" s="88"/>
      <c r="Q1726" s="89"/>
      <c r="R1726" s="88"/>
      <c r="S1726" s="88"/>
      <c r="T1726" s="90"/>
      <c r="U1726" s="6"/>
      <c r="V1726" s="92"/>
      <c r="W1726" s="77"/>
      <c r="X1726" s="91"/>
      <c r="Y1726" s="77"/>
      <c r="Z1726" s="5"/>
      <c r="AA1726" s="5"/>
      <c r="AB1726" s="5"/>
      <c r="AC1726" s="5"/>
      <c r="AD1726" s="5"/>
      <c r="AE1726" s="5"/>
      <c r="AF1726" s="5"/>
      <c r="AG1726" s="5"/>
      <c r="AH1726" s="6"/>
      <c r="AI1726" s="92"/>
      <c r="AJ1726" s="93"/>
      <c r="AK1726" s="94"/>
      <c r="AL1726" s="95"/>
      <c r="AM1726" s="56"/>
      <c r="AN1726" s="57">
        <f t="shared" si="282"/>
        <v>0</v>
      </c>
      <c r="AO1726" s="76">
        <f t="shared" si="284"/>
        <v>0</v>
      </c>
      <c r="AP1726" s="63" t="str">
        <f t="shared" si="285"/>
        <v/>
      </c>
      <c r="AQ1726" s="63" t="str">
        <f t="shared" si="286"/>
        <v/>
      </c>
      <c r="AR1726" s="63" t="str">
        <f t="shared" si="287"/>
        <v/>
      </c>
      <c r="AS1726" s="63" t="str">
        <f t="shared" si="288"/>
        <v/>
      </c>
      <c r="AT1726" s="78" t="str">
        <f t="shared" si="289"/>
        <v/>
      </c>
      <c r="AU1726" s="78" t="str">
        <f t="shared" si="290"/>
        <v/>
      </c>
      <c r="AV1726" s="64" t="str">
        <f ca="1">IFERROR(__xludf.DUMMYFUNCTION("IF(TRIM(AU1726)="""","""",AU1726/INDEX(FILTER(AT$3:AT1726,TRIM(AT$3:AT1726)&lt;&gt;""""),ROWS(FILTER(AT$3:AT1726,TRIM(AT$3:AT1726)&lt;&gt;"""")))-1)"),"")</f>
        <v/>
      </c>
      <c r="AW1726" s="65" t="e">
        <f t="shared" ca="1" si="283"/>
        <v>#VALUE!</v>
      </c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</row>
    <row r="1727" spans="1:68" ht="19" x14ac:dyDescent="0.25">
      <c r="A1727" s="5"/>
      <c r="B1727" s="5"/>
      <c r="C1727" s="5"/>
      <c r="D1727" s="5"/>
      <c r="E1727" s="5"/>
      <c r="F1727" s="5"/>
      <c r="G1727" s="5"/>
      <c r="H1727" s="6"/>
      <c r="I1727" s="5"/>
      <c r="J1727" s="88"/>
      <c r="K1727" s="88"/>
      <c r="L1727" s="88"/>
      <c r="M1727" s="88"/>
      <c r="N1727" s="88"/>
      <c r="O1727" s="88"/>
      <c r="P1727" s="88"/>
      <c r="Q1727" s="89"/>
      <c r="R1727" s="88"/>
      <c r="S1727" s="88"/>
      <c r="T1727" s="90"/>
      <c r="U1727" s="6"/>
      <c r="V1727" s="92"/>
      <c r="W1727" s="77"/>
      <c r="X1727" s="91"/>
      <c r="Y1727" s="77"/>
      <c r="Z1727" s="5"/>
      <c r="AA1727" s="5"/>
      <c r="AB1727" s="5"/>
      <c r="AC1727" s="5"/>
      <c r="AD1727" s="5"/>
      <c r="AE1727" s="5"/>
      <c r="AF1727" s="5"/>
      <c r="AG1727" s="5"/>
      <c r="AH1727" s="6"/>
      <c r="AI1727" s="92"/>
      <c r="AJ1727" s="93"/>
      <c r="AK1727" s="94"/>
      <c r="AL1727" s="95"/>
      <c r="AM1727" s="56"/>
      <c r="AN1727" s="57">
        <f t="shared" si="282"/>
        <v>0</v>
      </c>
      <c r="AO1727" s="76">
        <f t="shared" si="284"/>
        <v>0</v>
      </c>
      <c r="AP1727" s="63" t="str">
        <f t="shared" si="285"/>
        <v/>
      </c>
      <c r="AQ1727" s="63" t="str">
        <f t="shared" si="286"/>
        <v/>
      </c>
      <c r="AR1727" s="63" t="str">
        <f t="shared" si="287"/>
        <v/>
      </c>
      <c r="AS1727" s="63" t="str">
        <f t="shared" si="288"/>
        <v/>
      </c>
      <c r="AT1727" s="78" t="str">
        <f t="shared" si="289"/>
        <v/>
      </c>
      <c r="AU1727" s="78" t="str">
        <f t="shared" si="290"/>
        <v/>
      </c>
      <c r="AV1727" s="64" t="str">
        <f ca="1">IFERROR(__xludf.DUMMYFUNCTION("IF(TRIM(AU1727)="""","""",AU1727/INDEX(FILTER(AT$3:AT1727,TRIM(AT$3:AT1727)&lt;&gt;""""),ROWS(FILTER(AT$3:AT1727,TRIM(AT$3:AT1727)&lt;&gt;"""")))-1)"),"")</f>
        <v/>
      </c>
      <c r="AW1727" s="65" t="e">
        <f t="shared" ca="1" si="283"/>
        <v>#VALUE!</v>
      </c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</row>
    <row r="1728" spans="1:68" ht="19" x14ac:dyDescent="0.25">
      <c r="A1728" s="5"/>
      <c r="B1728" s="5"/>
      <c r="C1728" s="5"/>
      <c r="D1728" s="5"/>
      <c r="E1728" s="5"/>
      <c r="F1728" s="5"/>
      <c r="G1728" s="5"/>
      <c r="H1728" s="6"/>
      <c r="I1728" s="5"/>
      <c r="J1728" s="88"/>
      <c r="K1728" s="88"/>
      <c r="L1728" s="88"/>
      <c r="M1728" s="88"/>
      <c r="N1728" s="88"/>
      <c r="O1728" s="88"/>
      <c r="P1728" s="88"/>
      <c r="Q1728" s="89"/>
      <c r="R1728" s="88"/>
      <c r="S1728" s="88"/>
      <c r="T1728" s="90"/>
      <c r="U1728" s="6"/>
      <c r="V1728" s="92"/>
      <c r="W1728" s="77"/>
      <c r="X1728" s="91"/>
      <c r="Y1728" s="77"/>
      <c r="Z1728" s="5"/>
      <c r="AA1728" s="5"/>
      <c r="AB1728" s="5"/>
      <c r="AC1728" s="5"/>
      <c r="AD1728" s="5"/>
      <c r="AE1728" s="5"/>
      <c r="AF1728" s="5"/>
      <c r="AG1728" s="5"/>
      <c r="AH1728" s="6"/>
      <c r="AI1728" s="92"/>
      <c r="AJ1728" s="93"/>
      <c r="AK1728" s="94"/>
      <c r="AL1728" s="95"/>
      <c r="AM1728" s="56"/>
      <c r="AN1728" s="57">
        <f t="shared" si="282"/>
        <v>0</v>
      </c>
      <c r="AO1728" s="76">
        <f t="shared" si="284"/>
        <v>0</v>
      </c>
      <c r="AP1728" s="63" t="str">
        <f t="shared" si="285"/>
        <v/>
      </c>
      <c r="AQ1728" s="63" t="str">
        <f t="shared" si="286"/>
        <v/>
      </c>
      <c r="AR1728" s="63" t="str">
        <f t="shared" si="287"/>
        <v/>
      </c>
      <c r="AS1728" s="63" t="str">
        <f t="shared" si="288"/>
        <v/>
      </c>
      <c r="AT1728" s="78" t="str">
        <f t="shared" si="289"/>
        <v/>
      </c>
      <c r="AU1728" s="78" t="str">
        <f t="shared" si="290"/>
        <v/>
      </c>
      <c r="AV1728" s="64" t="str">
        <f ca="1">IFERROR(__xludf.DUMMYFUNCTION("IF(TRIM(AU1728)="""","""",AU1728/INDEX(FILTER(AT$3:AT1728,TRIM(AT$3:AT1728)&lt;&gt;""""),ROWS(FILTER(AT$3:AT1728,TRIM(AT$3:AT1728)&lt;&gt;"""")))-1)"),"")</f>
        <v/>
      </c>
      <c r="AW1728" s="65" t="e">
        <f t="shared" ca="1" si="283"/>
        <v>#VALUE!</v>
      </c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</row>
    <row r="1729" spans="1:68" ht="19" x14ac:dyDescent="0.25">
      <c r="A1729" s="5"/>
      <c r="B1729" s="5"/>
      <c r="C1729" s="5"/>
      <c r="D1729" s="5"/>
      <c r="E1729" s="5"/>
      <c r="F1729" s="5"/>
      <c r="G1729" s="5"/>
      <c r="H1729" s="6"/>
      <c r="I1729" s="5"/>
      <c r="J1729" s="88"/>
      <c r="K1729" s="88"/>
      <c r="L1729" s="88"/>
      <c r="M1729" s="88"/>
      <c r="N1729" s="88"/>
      <c r="O1729" s="88"/>
      <c r="P1729" s="88"/>
      <c r="Q1729" s="89"/>
      <c r="R1729" s="88"/>
      <c r="S1729" s="88"/>
      <c r="T1729" s="90"/>
      <c r="U1729" s="6"/>
      <c r="V1729" s="92"/>
      <c r="W1729" s="77"/>
      <c r="X1729" s="91"/>
      <c r="Y1729" s="77"/>
      <c r="Z1729" s="5"/>
      <c r="AA1729" s="5"/>
      <c r="AB1729" s="5"/>
      <c r="AC1729" s="5"/>
      <c r="AD1729" s="5"/>
      <c r="AE1729" s="5"/>
      <c r="AF1729" s="5"/>
      <c r="AG1729" s="5"/>
      <c r="AH1729" s="6"/>
      <c r="AI1729" s="92"/>
      <c r="AJ1729" s="93"/>
      <c r="AK1729" s="94"/>
      <c r="AL1729" s="95"/>
      <c r="AM1729" s="56"/>
      <c r="AN1729" s="57">
        <f t="shared" si="282"/>
        <v>0</v>
      </c>
      <c r="AO1729" s="76">
        <f t="shared" si="284"/>
        <v>0</v>
      </c>
      <c r="AP1729" s="63" t="str">
        <f t="shared" si="285"/>
        <v/>
      </c>
      <c r="AQ1729" s="63" t="str">
        <f t="shared" si="286"/>
        <v/>
      </c>
      <c r="AR1729" s="63" t="str">
        <f t="shared" si="287"/>
        <v/>
      </c>
      <c r="AS1729" s="63" t="str">
        <f t="shared" si="288"/>
        <v/>
      </c>
      <c r="AT1729" s="78" t="str">
        <f t="shared" si="289"/>
        <v/>
      </c>
      <c r="AU1729" s="78" t="str">
        <f t="shared" si="290"/>
        <v/>
      </c>
      <c r="AV1729" s="64" t="str">
        <f ca="1">IFERROR(__xludf.DUMMYFUNCTION("IF(TRIM(AU1729)="""","""",AU1729/INDEX(FILTER(AT$3:AT1729,TRIM(AT$3:AT1729)&lt;&gt;""""),ROWS(FILTER(AT$3:AT1729,TRIM(AT$3:AT1729)&lt;&gt;"""")))-1)"),"")</f>
        <v/>
      </c>
      <c r="AW1729" s="65" t="e">
        <f t="shared" ca="1" si="283"/>
        <v>#VALUE!</v>
      </c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</row>
    <row r="1730" spans="1:68" ht="19" x14ac:dyDescent="0.25">
      <c r="A1730" s="5"/>
      <c r="B1730" s="5"/>
      <c r="C1730" s="5"/>
      <c r="D1730" s="5"/>
      <c r="E1730" s="5"/>
      <c r="F1730" s="5"/>
      <c r="G1730" s="5"/>
      <c r="H1730" s="6"/>
      <c r="I1730" s="5"/>
      <c r="J1730" s="88"/>
      <c r="K1730" s="88"/>
      <c r="L1730" s="88"/>
      <c r="M1730" s="88"/>
      <c r="N1730" s="88"/>
      <c r="O1730" s="88"/>
      <c r="P1730" s="88"/>
      <c r="Q1730" s="89"/>
      <c r="R1730" s="88"/>
      <c r="S1730" s="88"/>
      <c r="T1730" s="90"/>
      <c r="U1730" s="6"/>
      <c r="V1730" s="92"/>
      <c r="W1730" s="77"/>
      <c r="X1730" s="91"/>
      <c r="Y1730" s="77"/>
      <c r="Z1730" s="5"/>
      <c r="AA1730" s="5"/>
      <c r="AB1730" s="5"/>
      <c r="AC1730" s="5"/>
      <c r="AD1730" s="5"/>
      <c r="AE1730" s="5"/>
      <c r="AF1730" s="5"/>
      <c r="AG1730" s="5"/>
      <c r="AH1730" s="6"/>
      <c r="AI1730" s="92"/>
      <c r="AJ1730" s="93"/>
      <c r="AK1730" s="94"/>
      <c r="AL1730" s="95"/>
      <c r="AM1730" s="56"/>
      <c r="AN1730" s="57">
        <f t="shared" si="282"/>
        <v>0</v>
      </c>
      <c r="AO1730" s="76">
        <f t="shared" si="284"/>
        <v>0</v>
      </c>
      <c r="AP1730" s="63" t="str">
        <f t="shared" si="285"/>
        <v/>
      </c>
      <c r="AQ1730" s="63" t="str">
        <f t="shared" si="286"/>
        <v/>
      </c>
      <c r="AR1730" s="63" t="str">
        <f t="shared" si="287"/>
        <v/>
      </c>
      <c r="AS1730" s="63" t="str">
        <f t="shared" si="288"/>
        <v/>
      </c>
      <c r="AT1730" s="78" t="str">
        <f t="shared" si="289"/>
        <v/>
      </c>
      <c r="AU1730" s="78" t="str">
        <f t="shared" si="290"/>
        <v/>
      </c>
      <c r="AV1730" s="64" t="str">
        <f ca="1">IFERROR(__xludf.DUMMYFUNCTION("IF(TRIM(AU1730)="""","""",AU1730/INDEX(FILTER(AT$3:AT1730,TRIM(AT$3:AT1730)&lt;&gt;""""),ROWS(FILTER(AT$3:AT1730,TRIM(AT$3:AT1730)&lt;&gt;"""")))-1)"),"")</f>
        <v/>
      </c>
      <c r="AW1730" s="65" t="e">
        <f t="shared" ca="1" si="283"/>
        <v>#VALUE!</v>
      </c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</row>
    <row r="1731" spans="1:68" ht="19" x14ac:dyDescent="0.25">
      <c r="A1731" s="5"/>
      <c r="B1731" s="5"/>
      <c r="C1731" s="5"/>
      <c r="D1731" s="5"/>
      <c r="E1731" s="5"/>
      <c r="F1731" s="5"/>
      <c r="G1731" s="5"/>
      <c r="H1731" s="6"/>
      <c r="I1731" s="5"/>
      <c r="J1731" s="88"/>
      <c r="K1731" s="88"/>
      <c r="L1731" s="88"/>
      <c r="M1731" s="88"/>
      <c r="N1731" s="88"/>
      <c r="O1731" s="88"/>
      <c r="P1731" s="88"/>
      <c r="Q1731" s="89"/>
      <c r="R1731" s="88"/>
      <c r="S1731" s="88"/>
      <c r="T1731" s="90"/>
      <c r="U1731" s="6"/>
      <c r="V1731" s="92"/>
      <c r="W1731" s="77"/>
      <c r="X1731" s="91"/>
      <c r="Y1731" s="77"/>
      <c r="Z1731" s="5"/>
      <c r="AA1731" s="5"/>
      <c r="AB1731" s="5"/>
      <c r="AC1731" s="5"/>
      <c r="AD1731" s="5"/>
      <c r="AE1731" s="5"/>
      <c r="AF1731" s="5"/>
      <c r="AG1731" s="5"/>
      <c r="AH1731" s="6"/>
      <c r="AI1731" s="92"/>
      <c r="AJ1731" s="93"/>
      <c r="AK1731" s="94"/>
      <c r="AL1731" s="95"/>
      <c r="AM1731" s="56"/>
      <c r="AN1731" s="57">
        <f t="shared" ref="AN1731:AN1794" si="291">AM1731-AL1731</f>
        <v>0</v>
      </c>
      <c r="AO1731" s="76">
        <f t="shared" si="284"/>
        <v>0</v>
      </c>
      <c r="AP1731" s="63" t="str">
        <f t="shared" si="285"/>
        <v/>
      </c>
      <c r="AQ1731" s="63" t="str">
        <f t="shared" si="286"/>
        <v/>
      </c>
      <c r="AR1731" s="63" t="str">
        <f t="shared" si="287"/>
        <v/>
      </c>
      <c r="AS1731" s="63" t="str">
        <f t="shared" si="288"/>
        <v/>
      </c>
      <c r="AT1731" s="78" t="str">
        <f t="shared" si="289"/>
        <v/>
      </c>
      <c r="AU1731" s="78" t="str">
        <f t="shared" si="290"/>
        <v/>
      </c>
      <c r="AV1731" s="64" t="str">
        <f ca="1">IFERROR(__xludf.DUMMYFUNCTION("IF(TRIM(AU1731)="""","""",AU1731/INDEX(FILTER(AT$3:AT1731,TRIM(AT$3:AT1731)&lt;&gt;""""),ROWS(FILTER(AT$3:AT1731,TRIM(AT$3:AT1731)&lt;&gt;"""")))-1)"),"")</f>
        <v/>
      </c>
      <c r="AW1731" s="65" t="e">
        <f t="shared" ref="AW1731:AW1794" ca="1" si="292">AW1730*(1+AV1731)</f>
        <v>#VALUE!</v>
      </c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</row>
    <row r="1732" spans="1:68" ht="19" x14ac:dyDescent="0.25">
      <c r="A1732" s="5"/>
      <c r="B1732" s="5"/>
      <c r="C1732" s="5"/>
      <c r="D1732" s="5"/>
      <c r="E1732" s="5"/>
      <c r="F1732" s="5"/>
      <c r="G1732" s="5"/>
      <c r="H1732" s="6"/>
      <c r="I1732" s="5"/>
      <c r="J1732" s="88"/>
      <c r="K1732" s="88"/>
      <c r="L1732" s="88"/>
      <c r="M1732" s="88"/>
      <c r="N1732" s="88"/>
      <c r="O1732" s="88"/>
      <c r="P1732" s="88"/>
      <c r="Q1732" s="89"/>
      <c r="R1732" s="88"/>
      <c r="S1732" s="88"/>
      <c r="T1732" s="90"/>
      <c r="U1732" s="6"/>
      <c r="V1732" s="92"/>
      <c r="W1732" s="77"/>
      <c r="X1732" s="91"/>
      <c r="Y1732" s="77"/>
      <c r="Z1732" s="5"/>
      <c r="AA1732" s="5"/>
      <c r="AB1732" s="5"/>
      <c r="AC1732" s="5"/>
      <c r="AD1732" s="5"/>
      <c r="AE1732" s="5"/>
      <c r="AF1732" s="5"/>
      <c r="AG1732" s="5"/>
      <c r="AH1732" s="6"/>
      <c r="AI1732" s="92"/>
      <c r="AJ1732" s="93"/>
      <c r="AK1732" s="94"/>
      <c r="AL1732" s="95"/>
      <c r="AM1732" s="56"/>
      <c r="AN1732" s="57">
        <f t="shared" si="291"/>
        <v>0</v>
      </c>
      <c r="AO1732" s="76">
        <f t="shared" si="284"/>
        <v>0</v>
      </c>
      <c r="AP1732" s="63" t="str">
        <f t="shared" si="285"/>
        <v/>
      </c>
      <c r="AQ1732" s="63" t="str">
        <f t="shared" si="286"/>
        <v/>
      </c>
      <c r="AR1732" s="63" t="str">
        <f t="shared" si="287"/>
        <v/>
      </c>
      <c r="AS1732" s="63" t="str">
        <f t="shared" si="288"/>
        <v/>
      </c>
      <c r="AT1732" s="78" t="str">
        <f t="shared" si="289"/>
        <v/>
      </c>
      <c r="AU1732" s="78" t="str">
        <f t="shared" si="290"/>
        <v/>
      </c>
      <c r="AV1732" s="64" t="str">
        <f ca="1">IFERROR(__xludf.DUMMYFUNCTION("IF(TRIM(AU1732)="""","""",AU1732/INDEX(FILTER(AT$3:AT1732,TRIM(AT$3:AT1732)&lt;&gt;""""),ROWS(FILTER(AT$3:AT1732,TRIM(AT$3:AT1732)&lt;&gt;"""")))-1)"),"")</f>
        <v/>
      </c>
      <c r="AW1732" s="65" t="e">
        <f t="shared" ca="1" si="292"/>
        <v>#VALUE!</v>
      </c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</row>
    <row r="1733" spans="1:68" ht="19" x14ac:dyDescent="0.25">
      <c r="A1733" s="5"/>
      <c r="B1733" s="5"/>
      <c r="C1733" s="5"/>
      <c r="D1733" s="5"/>
      <c r="E1733" s="5"/>
      <c r="F1733" s="5"/>
      <c r="G1733" s="5"/>
      <c r="H1733" s="6"/>
      <c r="I1733" s="5"/>
      <c r="J1733" s="88"/>
      <c r="K1733" s="88"/>
      <c r="L1733" s="88"/>
      <c r="M1733" s="88"/>
      <c r="N1733" s="88"/>
      <c r="O1733" s="88"/>
      <c r="P1733" s="88"/>
      <c r="Q1733" s="89"/>
      <c r="R1733" s="88"/>
      <c r="S1733" s="88"/>
      <c r="T1733" s="90"/>
      <c r="U1733" s="6"/>
      <c r="V1733" s="92"/>
      <c r="W1733" s="77"/>
      <c r="X1733" s="91"/>
      <c r="Y1733" s="77"/>
      <c r="Z1733" s="5"/>
      <c r="AA1733" s="5"/>
      <c r="AB1733" s="5"/>
      <c r="AC1733" s="5"/>
      <c r="AD1733" s="5"/>
      <c r="AE1733" s="5"/>
      <c r="AF1733" s="5"/>
      <c r="AG1733" s="5"/>
      <c r="AH1733" s="6"/>
      <c r="AI1733" s="92"/>
      <c r="AJ1733" s="93"/>
      <c r="AK1733" s="94"/>
      <c r="AL1733" s="95"/>
      <c r="AM1733" s="56"/>
      <c r="AN1733" s="57">
        <f t="shared" si="291"/>
        <v>0</v>
      </c>
      <c r="AO1733" s="76">
        <f t="shared" si="284"/>
        <v>0</v>
      </c>
      <c r="AP1733" s="63" t="str">
        <f t="shared" si="285"/>
        <v/>
      </c>
      <c r="AQ1733" s="63" t="str">
        <f t="shared" si="286"/>
        <v/>
      </c>
      <c r="AR1733" s="63" t="str">
        <f t="shared" si="287"/>
        <v/>
      </c>
      <c r="AS1733" s="63" t="str">
        <f t="shared" si="288"/>
        <v/>
      </c>
      <c r="AT1733" s="78" t="str">
        <f t="shared" si="289"/>
        <v/>
      </c>
      <c r="AU1733" s="78" t="str">
        <f t="shared" si="290"/>
        <v/>
      </c>
      <c r="AV1733" s="64" t="str">
        <f ca="1">IFERROR(__xludf.DUMMYFUNCTION("IF(TRIM(AU1733)="""","""",AU1733/INDEX(FILTER(AT$3:AT1733,TRIM(AT$3:AT1733)&lt;&gt;""""),ROWS(FILTER(AT$3:AT1733,TRIM(AT$3:AT1733)&lt;&gt;"""")))-1)"),"")</f>
        <v/>
      </c>
      <c r="AW1733" s="65" t="e">
        <f t="shared" ca="1" si="292"/>
        <v>#VALUE!</v>
      </c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</row>
    <row r="1734" spans="1:68" ht="19" x14ac:dyDescent="0.25">
      <c r="A1734" s="5"/>
      <c r="B1734" s="5"/>
      <c r="C1734" s="5"/>
      <c r="D1734" s="5"/>
      <c r="E1734" s="5"/>
      <c r="F1734" s="5"/>
      <c r="G1734" s="5"/>
      <c r="H1734" s="6"/>
      <c r="I1734" s="5"/>
      <c r="J1734" s="88"/>
      <c r="K1734" s="88"/>
      <c r="L1734" s="88"/>
      <c r="M1734" s="88"/>
      <c r="N1734" s="88"/>
      <c r="O1734" s="88"/>
      <c r="P1734" s="88"/>
      <c r="Q1734" s="89"/>
      <c r="R1734" s="88"/>
      <c r="S1734" s="88"/>
      <c r="T1734" s="90"/>
      <c r="U1734" s="6"/>
      <c r="V1734" s="92"/>
      <c r="W1734" s="77"/>
      <c r="X1734" s="91"/>
      <c r="Y1734" s="77"/>
      <c r="Z1734" s="5"/>
      <c r="AA1734" s="5"/>
      <c r="AB1734" s="5"/>
      <c r="AC1734" s="5"/>
      <c r="AD1734" s="5"/>
      <c r="AE1734" s="5"/>
      <c r="AF1734" s="5"/>
      <c r="AG1734" s="5"/>
      <c r="AH1734" s="6"/>
      <c r="AI1734" s="92"/>
      <c r="AJ1734" s="93"/>
      <c r="AK1734" s="94"/>
      <c r="AL1734" s="95"/>
      <c r="AM1734" s="56"/>
      <c r="AN1734" s="57">
        <f t="shared" si="291"/>
        <v>0</v>
      </c>
      <c r="AO1734" s="76">
        <f t="shared" si="284"/>
        <v>0</v>
      </c>
      <c r="AP1734" s="63" t="str">
        <f t="shared" si="285"/>
        <v/>
      </c>
      <c r="AQ1734" s="63" t="str">
        <f t="shared" si="286"/>
        <v/>
      </c>
      <c r="AR1734" s="63" t="str">
        <f t="shared" si="287"/>
        <v/>
      </c>
      <c r="AS1734" s="63" t="str">
        <f t="shared" si="288"/>
        <v/>
      </c>
      <c r="AT1734" s="78" t="str">
        <f t="shared" si="289"/>
        <v/>
      </c>
      <c r="AU1734" s="78" t="str">
        <f t="shared" si="290"/>
        <v/>
      </c>
      <c r="AV1734" s="64" t="str">
        <f ca="1">IFERROR(__xludf.DUMMYFUNCTION("IF(TRIM(AU1734)="""","""",AU1734/INDEX(FILTER(AT$3:AT1734,TRIM(AT$3:AT1734)&lt;&gt;""""),ROWS(FILTER(AT$3:AT1734,TRIM(AT$3:AT1734)&lt;&gt;"""")))-1)"),"")</f>
        <v/>
      </c>
      <c r="AW1734" s="65" t="e">
        <f t="shared" ca="1" si="292"/>
        <v>#VALUE!</v>
      </c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</row>
    <row r="1735" spans="1:68" ht="19" x14ac:dyDescent="0.25">
      <c r="A1735" s="5"/>
      <c r="B1735" s="5"/>
      <c r="C1735" s="5"/>
      <c r="D1735" s="5"/>
      <c r="E1735" s="5"/>
      <c r="F1735" s="5"/>
      <c r="G1735" s="5"/>
      <c r="H1735" s="6"/>
      <c r="I1735" s="5"/>
      <c r="J1735" s="88"/>
      <c r="K1735" s="88"/>
      <c r="L1735" s="88"/>
      <c r="M1735" s="88"/>
      <c r="N1735" s="88"/>
      <c r="O1735" s="88"/>
      <c r="P1735" s="88"/>
      <c r="Q1735" s="89"/>
      <c r="R1735" s="88"/>
      <c r="S1735" s="88"/>
      <c r="T1735" s="90"/>
      <c r="U1735" s="6"/>
      <c r="V1735" s="92"/>
      <c r="W1735" s="77"/>
      <c r="X1735" s="91"/>
      <c r="Y1735" s="77"/>
      <c r="Z1735" s="5"/>
      <c r="AA1735" s="5"/>
      <c r="AB1735" s="5"/>
      <c r="AC1735" s="5"/>
      <c r="AD1735" s="5"/>
      <c r="AE1735" s="5"/>
      <c r="AF1735" s="5"/>
      <c r="AG1735" s="5"/>
      <c r="AH1735" s="6"/>
      <c r="AI1735" s="92"/>
      <c r="AJ1735" s="93"/>
      <c r="AK1735" s="94"/>
      <c r="AL1735" s="95"/>
      <c r="AM1735" s="56"/>
      <c r="AN1735" s="57">
        <f t="shared" si="291"/>
        <v>0</v>
      </c>
      <c r="AO1735" s="76">
        <f t="shared" ref="AO1735:AO1798" si="293">AVERAGE(AN1731:AN1735)</f>
        <v>0</v>
      </c>
      <c r="AP1735" s="63" t="str">
        <f t="shared" ref="AP1735:AP1798" si="294">IF(AO1735&gt;0,"Buy Stocks","")</f>
        <v/>
      </c>
      <c r="AQ1735" s="63" t="str">
        <f t="shared" ref="AQ1735:AQ1798" si="295">IF(AO1735&lt;0,"Sell Stocks","")</f>
        <v/>
      </c>
      <c r="AR1735" s="63" t="str">
        <f t="shared" ref="AR1735:AR1798" si="296">IF(AND(AP1735="Buy Stocks",AP1734=""),"Buy Stocks","")</f>
        <v/>
      </c>
      <c r="AS1735" s="63" t="str">
        <f t="shared" ref="AS1735:AS1798" si="297">IF(AND(AQ1735="Sell Stocks",AQ1734=""),"Sell Stocks","")</f>
        <v/>
      </c>
      <c r="AT1735" s="78" t="str">
        <f t="shared" ref="AT1735:AT1798" si="298">IF(AR1735="Buy Stocks",AJ1735,"")</f>
        <v/>
      </c>
      <c r="AU1735" s="78" t="str">
        <f t="shared" ref="AU1735:AU1798" si="299">IF(AS1735="Sell Stocks",AJ1735,"")</f>
        <v/>
      </c>
      <c r="AV1735" s="64" t="str">
        <f ca="1">IFERROR(__xludf.DUMMYFUNCTION("IF(TRIM(AU1735)="""","""",AU1735/INDEX(FILTER(AT$3:AT1735,TRIM(AT$3:AT1735)&lt;&gt;""""),ROWS(FILTER(AT$3:AT1735,TRIM(AT$3:AT1735)&lt;&gt;"""")))-1)"),"")</f>
        <v/>
      </c>
      <c r="AW1735" s="65" t="e">
        <f t="shared" ca="1" si="292"/>
        <v>#VALUE!</v>
      </c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</row>
    <row r="1736" spans="1:68" ht="19" x14ac:dyDescent="0.25">
      <c r="A1736" s="5"/>
      <c r="B1736" s="5"/>
      <c r="C1736" s="5"/>
      <c r="D1736" s="5"/>
      <c r="E1736" s="5"/>
      <c r="F1736" s="5"/>
      <c r="G1736" s="5"/>
      <c r="H1736" s="6"/>
      <c r="I1736" s="5"/>
      <c r="J1736" s="88"/>
      <c r="K1736" s="88"/>
      <c r="L1736" s="88"/>
      <c r="M1736" s="88"/>
      <c r="N1736" s="88"/>
      <c r="O1736" s="88"/>
      <c r="P1736" s="88"/>
      <c r="Q1736" s="89"/>
      <c r="R1736" s="88"/>
      <c r="S1736" s="88"/>
      <c r="T1736" s="90"/>
      <c r="U1736" s="6"/>
      <c r="V1736" s="92"/>
      <c r="W1736" s="77"/>
      <c r="X1736" s="91"/>
      <c r="Y1736" s="77"/>
      <c r="Z1736" s="5"/>
      <c r="AA1736" s="5"/>
      <c r="AB1736" s="5"/>
      <c r="AC1736" s="5"/>
      <c r="AD1736" s="5"/>
      <c r="AE1736" s="5"/>
      <c r="AF1736" s="5"/>
      <c r="AG1736" s="5"/>
      <c r="AH1736" s="6"/>
      <c r="AI1736" s="92"/>
      <c r="AJ1736" s="93"/>
      <c r="AK1736" s="94"/>
      <c r="AL1736" s="95"/>
      <c r="AM1736" s="56"/>
      <c r="AN1736" s="57">
        <f t="shared" si="291"/>
        <v>0</v>
      </c>
      <c r="AO1736" s="76">
        <f t="shared" si="293"/>
        <v>0</v>
      </c>
      <c r="AP1736" s="63" t="str">
        <f t="shared" si="294"/>
        <v/>
      </c>
      <c r="AQ1736" s="63" t="str">
        <f t="shared" si="295"/>
        <v/>
      </c>
      <c r="AR1736" s="63" t="str">
        <f t="shared" si="296"/>
        <v/>
      </c>
      <c r="AS1736" s="63" t="str">
        <f t="shared" si="297"/>
        <v/>
      </c>
      <c r="AT1736" s="78" t="str">
        <f t="shared" si="298"/>
        <v/>
      </c>
      <c r="AU1736" s="78" t="str">
        <f t="shared" si="299"/>
        <v/>
      </c>
      <c r="AV1736" s="64" t="str">
        <f ca="1">IFERROR(__xludf.DUMMYFUNCTION("IF(TRIM(AU1736)="""","""",AU1736/INDEX(FILTER(AT$3:AT1736,TRIM(AT$3:AT1736)&lt;&gt;""""),ROWS(FILTER(AT$3:AT1736,TRIM(AT$3:AT1736)&lt;&gt;"""")))-1)"),"")</f>
        <v/>
      </c>
      <c r="AW1736" s="65" t="e">
        <f t="shared" ca="1" si="292"/>
        <v>#VALUE!</v>
      </c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</row>
    <row r="1737" spans="1:68" ht="19" x14ac:dyDescent="0.25">
      <c r="A1737" s="5"/>
      <c r="B1737" s="5"/>
      <c r="C1737" s="5"/>
      <c r="D1737" s="5"/>
      <c r="E1737" s="5"/>
      <c r="F1737" s="5"/>
      <c r="G1737" s="5"/>
      <c r="H1737" s="6"/>
      <c r="I1737" s="5"/>
      <c r="J1737" s="88"/>
      <c r="K1737" s="88"/>
      <c r="L1737" s="88"/>
      <c r="M1737" s="88"/>
      <c r="N1737" s="88"/>
      <c r="O1737" s="88"/>
      <c r="P1737" s="88"/>
      <c r="Q1737" s="89"/>
      <c r="R1737" s="88"/>
      <c r="S1737" s="88"/>
      <c r="T1737" s="90"/>
      <c r="U1737" s="6"/>
      <c r="V1737" s="92"/>
      <c r="W1737" s="77"/>
      <c r="X1737" s="91"/>
      <c r="Y1737" s="77"/>
      <c r="Z1737" s="5"/>
      <c r="AA1737" s="5"/>
      <c r="AB1737" s="5"/>
      <c r="AC1737" s="5"/>
      <c r="AD1737" s="5"/>
      <c r="AE1737" s="5"/>
      <c r="AF1737" s="5"/>
      <c r="AG1737" s="5"/>
      <c r="AH1737" s="6"/>
      <c r="AI1737" s="92"/>
      <c r="AJ1737" s="93"/>
      <c r="AK1737" s="94"/>
      <c r="AL1737" s="95"/>
      <c r="AM1737" s="56"/>
      <c r="AN1737" s="57">
        <f t="shared" si="291"/>
        <v>0</v>
      </c>
      <c r="AO1737" s="76">
        <f t="shared" si="293"/>
        <v>0</v>
      </c>
      <c r="AP1737" s="63" t="str">
        <f t="shared" si="294"/>
        <v/>
      </c>
      <c r="AQ1737" s="63" t="str">
        <f t="shared" si="295"/>
        <v/>
      </c>
      <c r="AR1737" s="63" t="str">
        <f t="shared" si="296"/>
        <v/>
      </c>
      <c r="AS1737" s="63" t="str">
        <f t="shared" si="297"/>
        <v/>
      </c>
      <c r="AT1737" s="78" t="str">
        <f t="shared" si="298"/>
        <v/>
      </c>
      <c r="AU1737" s="78" t="str">
        <f t="shared" si="299"/>
        <v/>
      </c>
      <c r="AV1737" s="64" t="str">
        <f ca="1">IFERROR(__xludf.DUMMYFUNCTION("IF(TRIM(AU1737)="""","""",AU1737/INDEX(FILTER(AT$3:AT1737,TRIM(AT$3:AT1737)&lt;&gt;""""),ROWS(FILTER(AT$3:AT1737,TRIM(AT$3:AT1737)&lt;&gt;"""")))-1)"),"")</f>
        <v/>
      </c>
      <c r="AW1737" s="65" t="e">
        <f t="shared" ca="1" si="292"/>
        <v>#VALUE!</v>
      </c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</row>
    <row r="1738" spans="1:68" ht="19" x14ac:dyDescent="0.25">
      <c r="A1738" s="5"/>
      <c r="B1738" s="5"/>
      <c r="C1738" s="5"/>
      <c r="D1738" s="5"/>
      <c r="E1738" s="5"/>
      <c r="F1738" s="5"/>
      <c r="G1738" s="5"/>
      <c r="H1738" s="6"/>
      <c r="I1738" s="5"/>
      <c r="J1738" s="88"/>
      <c r="K1738" s="88"/>
      <c r="L1738" s="88"/>
      <c r="M1738" s="88"/>
      <c r="N1738" s="88"/>
      <c r="O1738" s="88"/>
      <c r="P1738" s="88"/>
      <c r="Q1738" s="89"/>
      <c r="R1738" s="88"/>
      <c r="S1738" s="88"/>
      <c r="T1738" s="90"/>
      <c r="U1738" s="6"/>
      <c r="V1738" s="92"/>
      <c r="W1738" s="77"/>
      <c r="X1738" s="91"/>
      <c r="Y1738" s="77"/>
      <c r="Z1738" s="5"/>
      <c r="AA1738" s="5"/>
      <c r="AB1738" s="5"/>
      <c r="AC1738" s="5"/>
      <c r="AD1738" s="5"/>
      <c r="AE1738" s="5"/>
      <c r="AF1738" s="5"/>
      <c r="AG1738" s="5"/>
      <c r="AH1738" s="6"/>
      <c r="AI1738" s="92"/>
      <c r="AJ1738" s="93"/>
      <c r="AK1738" s="94"/>
      <c r="AL1738" s="95"/>
      <c r="AM1738" s="56"/>
      <c r="AN1738" s="57">
        <f t="shared" si="291"/>
        <v>0</v>
      </c>
      <c r="AO1738" s="76">
        <f t="shared" si="293"/>
        <v>0</v>
      </c>
      <c r="AP1738" s="63" t="str">
        <f t="shared" si="294"/>
        <v/>
      </c>
      <c r="AQ1738" s="63" t="str">
        <f t="shared" si="295"/>
        <v/>
      </c>
      <c r="AR1738" s="63" t="str">
        <f t="shared" si="296"/>
        <v/>
      </c>
      <c r="AS1738" s="63" t="str">
        <f t="shared" si="297"/>
        <v/>
      </c>
      <c r="AT1738" s="78" t="str">
        <f t="shared" si="298"/>
        <v/>
      </c>
      <c r="AU1738" s="78" t="str">
        <f t="shared" si="299"/>
        <v/>
      </c>
      <c r="AV1738" s="64" t="str">
        <f ca="1">IFERROR(__xludf.DUMMYFUNCTION("IF(TRIM(AU1738)="""","""",AU1738/INDEX(FILTER(AT$3:AT1738,TRIM(AT$3:AT1738)&lt;&gt;""""),ROWS(FILTER(AT$3:AT1738,TRIM(AT$3:AT1738)&lt;&gt;"""")))-1)"),"")</f>
        <v/>
      </c>
      <c r="AW1738" s="65" t="e">
        <f t="shared" ca="1" si="292"/>
        <v>#VALUE!</v>
      </c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</row>
    <row r="1739" spans="1:68" ht="19" x14ac:dyDescent="0.25">
      <c r="A1739" s="5"/>
      <c r="B1739" s="5"/>
      <c r="C1739" s="5"/>
      <c r="D1739" s="5"/>
      <c r="E1739" s="5"/>
      <c r="F1739" s="5"/>
      <c r="G1739" s="5"/>
      <c r="H1739" s="6"/>
      <c r="I1739" s="5"/>
      <c r="J1739" s="88"/>
      <c r="K1739" s="88"/>
      <c r="L1739" s="88"/>
      <c r="M1739" s="88"/>
      <c r="N1739" s="88"/>
      <c r="O1739" s="88"/>
      <c r="P1739" s="88"/>
      <c r="Q1739" s="89"/>
      <c r="R1739" s="88"/>
      <c r="S1739" s="88"/>
      <c r="T1739" s="90"/>
      <c r="U1739" s="6"/>
      <c r="V1739" s="92"/>
      <c r="W1739" s="77"/>
      <c r="X1739" s="91"/>
      <c r="Y1739" s="77"/>
      <c r="Z1739" s="5"/>
      <c r="AA1739" s="5"/>
      <c r="AB1739" s="5"/>
      <c r="AC1739" s="5"/>
      <c r="AD1739" s="5"/>
      <c r="AE1739" s="5"/>
      <c r="AF1739" s="5"/>
      <c r="AG1739" s="5"/>
      <c r="AH1739" s="6"/>
      <c r="AI1739" s="92"/>
      <c r="AJ1739" s="93"/>
      <c r="AK1739" s="94"/>
      <c r="AL1739" s="95"/>
      <c r="AM1739" s="56"/>
      <c r="AN1739" s="57">
        <f t="shared" si="291"/>
        <v>0</v>
      </c>
      <c r="AO1739" s="76">
        <f t="shared" si="293"/>
        <v>0</v>
      </c>
      <c r="AP1739" s="63" t="str">
        <f t="shared" si="294"/>
        <v/>
      </c>
      <c r="AQ1739" s="63" t="str">
        <f t="shared" si="295"/>
        <v/>
      </c>
      <c r="AR1739" s="63" t="str">
        <f t="shared" si="296"/>
        <v/>
      </c>
      <c r="AS1739" s="63" t="str">
        <f t="shared" si="297"/>
        <v/>
      </c>
      <c r="AT1739" s="78" t="str">
        <f t="shared" si="298"/>
        <v/>
      </c>
      <c r="AU1739" s="78" t="str">
        <f t="shared" si="299"/>
        <v/>
      </c>
      <c r="AV1739" s="64" t="str">
        <f ca="1">IFERROR(__xludf.DUMMYFUNCTION("IF(TRIM(AU1739)="""","""",AU1739/INDEX(FILTER(AT$3:AT1739,TRIM(AT$3:AT1739)&lt;&gt;""""),ROWS(FILTER(AT$3:AT1739,TRIM(AT$3:AT1739)&lt;&gt;"""")))-1)"),"")</f>
        <v/>
      </c>
      <c r="AW1739" s="65" t="e">
        <f t="shared" ca="1" si="292"/>
        <v>#VALUE!</v>
      </c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</row>
    <row r="1740" spans="1:68" ht="19" x14ac:dyDescent="0.25">
      <c r="A1740" s="5"/>
      <c r="B1740" s="5"/>
      <c r="C1740" s="5"/>
      <c r="D1740" s="5"/>
      <c r="E1740" s="5"/>
      <c r="F1740" s="5"/>
      <c r="G1740" s="5"/>
      <c r="H1740" s="6"/>
      <c r="I1740" s="5"/>
      <c r="J1740" s="88"/>
      <c r="K1740" s="88"/>
      <c r="L1740" s="88"/>
      <c r="M1740" s="88"/>
      <c r="N1740" s="88"/>
      <c r="O1740" s="88"/>
      <c r="P1740" s="88"/>
      <c r="Q1740" s="89"/>
      <c r="R1740" s="88"/>
      <c r="S1740" s="88"/>
      <c r="T1740" s="90"/>
      <c r="U1740" s="6"/>
      <c r="V1740" s="92"/>
      <c r="W1740" s="77"/>
      <c r="X1740" s="91"/>
      <c r="Y1740" s="77"/>
      <c r="Z1740" s="5"/>
      <c r="AA1740" s="5"/>
      <c r="AB1740" s="5"/>
      <c r="AC1740" s="5"/>
      <c r="AD1740" s="5"/>
      <c r="AE1740" s="5"/>
      <c r="AF1740" s="5"/>
      <c r="AG1740" s="5"/>
      <c r="AH1740" s="6"/>
      <c r="AI1740" s="92"/>
      <c r="AJ1740" s="93"/>
      <c r="AK1740" s="94"/>
      <c r="AL1740" s="95"/>
      <c r="AM1740" s="56"/>
      <c r="AN1740" s="57">
        <f t="shared" si="291"/>
        <v>0</v>
      </c>
      <c r="AO1740" s="76">
        <f t="shared" si="293"/>
        <v>0</v>
      </c>
      <c r="AP1740" s="63" t="str">
        <f t="shared" si="294"/>
        <v/>
      </c>
      <c r="AQ1740" s="63" t="str">
        <f t="shared" si="295"/>
        <v/>
      </c>
      <c r="AR1740" s="63" t="str">
        <f t="shared" si="296"/>
        <v/>
      </c>
      <c r="AS1740" s="63" t="str">
        <f t="shared" si="297"/>
        <v/>
      </c>
      <c r="AT1740" s="78" t="str">
        <f t="shared" si="298"/>
        <v/>
      </c>
      <c r="AU1740" s="78" t="str">
        <f t="shared" si="299"/>
        <v/>
      </c>
      <c r="AV1740" s="64" t="str">
        <f ca="1">IFERROR(__xludf.DUMMYFUNCTION("IF(TRIM(AU1740)="""","""",AU1740/INDEX(FILTER(AT$3:AT1740,TRIM(AT$3:AT1740)&lt;&gt;""""),ROWS(FILTER(AT$3:AT1740,TRIM(AT$3:AT1740)&lt;&gt;"""")))-1)"),"")</f>
        <v/>
      </c>
      <c r="AW1740" s="65" t="e">
        <f t="shared" ca="1" si="292"/>
        <v>#VALUE!</v>
      </c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</row>
    <row r="1741" spans="1:68" ht="19" x14ac:dyDescent="0.25">
      <c r="A1741" s="5"/>
      <c r="B1741" s="5"/>
      <c r="C1741" s="5"/>
      <c r="D1741" s="5"/>
      <c r="E1741" s="5"/>
      <c r="F1741" s="5"/>
      <c r="G1741" s="5"/>
      <c r="H1741" s="6"/>
      <c r="I1741" s="5"/>
      <c r="J1741" s="88"/>
      <c r="K1741" s="88"/>
      <c r="L1741" s="88"/>
      <c r="M1741" s="88"/>
      <c r="N1741" s="88"/>
      <c r="O1741" s="88"/>
      <c r="P1741" s="88"/>
      <c r="Q1741" s="89"/>
      <c r="R1741" s="88"/>
      <c r="S1741" s="88"/>
      <c r="T1741" s="90"/>
      <c r="U1741" s="6"/>
      <c r="V1741" s="92"/>
      <c r="W1741" s="77"/>
      <c r="X1741" s="91"/>
      <c r="Y1741" s="77"/>
      <c r="Z1741" s="5"/>
      <c r="AA1741" s="5"/>
      <c r="AB1741" s="5"/>
      <c r="AC1741" s="5"/>
      <c r="AD1741" s="5"/>
      <c r="AE1741" s="5"/>
      <c r="AF1741" s="5"/>
      <c r="AG1741" s="5"/>
      <c r="AH1741" s="6"/>
      <c r="AI1741" s="92"/>
      <c r="AJ1741" s="93"/>
      <c r="AK1741" s="94"/>
      <c r="AL1741" s="95"/>
      <c r="AM1741" s="56"/>
      <c r="AN1741" s="57">
        <f t="shared" si="291"/>
        <v>0</v>
      </c>
      <c r="AO1741" s="76">
        <f t="shared" si="293"/>
        <v>0</v>
      </c>
      <c r="AP1741" s="63" t="str">
        <f t="shared" si="294"/>
        <v/>
      </c>
      <c r="AQ1741" s="63" t="str">
        <f t="shared" si="295"/>
        <v/>
      </c>
      <c r="AR1741" s="63" t="str">
        <f t="shared" si="296"/>
        <v/>
      </c>
      <c r="AS1741" s="63" t="str">
        <f t="shared" si="297"/>
        <v/>
      </c>
      <c r="AT1741" s="78" t="str">
        <f t="shared" si="298"/>
        <v/>
      </c>
      <c r="AU1741" s="78" t="str">
        <f t="shared" si="299"/>
        <v/>
      </c>
      <c r="AV1741" s="64" t="str">
        <f ca="1">IFERROR(__xludf.DUMMYFUNCTION("IF(TRIM(AU1741)="""","""",AU1741/INDEX(FILTER(AT$3:AT1741,TRIM(AT$3:AT1741)&lt;&gt;""""),ROWS(FILTER(AT$3:AT1741,TRIM(AT$3:AT1741)&lt;&gt;"""")))-1)"),"")</f>
        <v/>
      </c>
      <c r="AW1741" s="65" t="e">
        <f t="shared" ca="1" si="292"/>
        <v>#VALUE!</v>
      </c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</row>
    <row r="1742" spans="1:68" ht="19" x14ac:dyDescent="0.25">
      <c r="A1742" s="5"/>
      <c r="B1742" s="5"/>
      <c r="C1742" s="5"/>
      <c r="D1742" s="5"/>
      <c r="E1742" s="5"/>
      <c r="F1742" s="5"/>
      <c r="G1742" s="5"/>
      <c r="H1742" s="6"/>
      <c r="I1742" s="5"/>
      <c r="J1742" s="88"/>
      <c r="K1742" s="88"/>
      <c r="L1742" s="88"/>
      <c r="M1742" s="88"/>
      <c r="N1742" s="88"/>
      <c r="O1742" s="88"/>
      <c r="P1742" s="88"/>
      <c r="Q1742" s="89"/>
      <c r="R1742" s="88"/>
      <c r="S1742" s="88"/>
      <c r="T1742" s="90"/>
      <c r="U1742" s="6"/>
      <c r="V1742" s="92"/>
      <c r="W1742" s="77"/>
      <c r="X1742" s="91"/>
      <c r="Y1742" s="77"/>
      <c r="Z1742" s="5"/>
      <c r="AA1742" s="5"/>
      <c r="AB1742" s="5"/>
      <c r="AC1742" s="5"/>
      <c r="AD1742" s="5"/>
      <c r="AE1742" s="5"/>
      <c r="AF1742" s="5"/>
      <c r="AG1742" s="5"/>
      <c r="AH1742" s="6"/>
      <c r="AI1742" s="92"/>
      <c r="AJ1742" s="93"/>
      <c r="AK1742" s="94"/>
      <c r="AL1742" s="95"/>
      <c r="AM1742" s="56"/>
      <c r="AN1742" s="57">
        <f t="shared" si="291"/>
        <v>0</v>
      </c>
      <c r="AO1742" s="76">
        <f t="shared" si="293"/>
        <v>0</v>
      </c>
      <c r="AP1742" s="63" t="str">
        <f t="shared" si="294"/>
        <v/>
      </c>
      <c r="AQ1742" s="63" t="str">
        <f t="shared" si="295"/>
        <v/>
      </c>
      <c r="AR1742" s="63" t="str">
        <f t="shared" si="296"/>
        <v/>
      </c>
      <c r="AS1742" s="63" t="str">
        <f t="shared" si="297"/>
        <v/>
      </c>
      <c r="AT1742" s="78" t="str">
        <f t="shared" si="298"/>
        <v/>
      </c>
      <c r="AU1742" s="78" t="str">
        <f t="shared" si="299"/>
        <v/>
      </c>
      <c r="AV1742" s="64" t="str">
        <f ca="1">IFERROR(__xludf.DUMMYFUNCTION("IF(TRIM(AU1742)="""","""",AU1742/INDEX(FILTER(AT$3:AT1742,TRIM(AT$3:AT1742)&lt;&gt;""""),ROWS(FILTER(AT$3:AT1742,TRIM(AT$3:AT1742)&lt;&gt;"""")))-1)"),"")</f>
        <v/>
      </c>
      <c r="AW1742" s="65" t="e">
        <f t="shared" ca="1" si="292"/>
        <v>#VALUE!</v>
      </c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</row>
    <row r="1743" spans="1:68" ht="19" x14ac:dyDescent="0.25">
      <c r="A1743" s="5"/>
      <c r="B1743" s="5"/>
      <c r="C1743" s="5"/>
      <c r="D1743" s="5"/>
      <c r="E1743" s="5"/>
      <c r="F1743" s="5"/>
      <c r="G1743" s="5"/>
      <c r="H1743" s="6"/>
      <c r="I1743" s="5"/>
      <c r="J1743" s="88"/>
      <c r="K1743" s="88"/>
      <c r="L1743" s="88"/>
      <c r="M1743" s="88"/>
      <c r="N1743" s="88"/>
      <c r="O1743" s="88"/>
      <c r="P1743" s="88"/>
      <c r="Q1743" s="89"/>
      <c r="R1743" s="88"/>
      <c r="S1743" s="88"/>
      <c r="T1743" s="90"/>
      <c r="U1743" s="6"/>
      <c r="V1743" s="92"/>
      <c r="W1743" s="77"/>
      <c r="X1743" s="91"/>
      <c r="Y1743" s="77"/>
      <c r="Z1743" s="5"/>
      <c r="AA1743" s="5"/>
      <c r="AB1743" s="5"/>
      <c r="AC1743" s="5"/>
      <c r="AD1743" s="5"/>
      <c r="AE1743" s="5"/>
      <c r="AF1743" s="5"/>
      <c r="AG1743" s="5"/>
      <c r="AH1743" s="6"/>
      <c r="AI1743" s="92"/>
      <c r="AJ1743" s="93"/>
      <c r="AK1743" s="94"/>
      <c r="AL1743" s="95"/>
      <c r="AM1743" s="56"/>
      <c r="AN1743" s="57">
        <f t="shared" si="291"/>
        <v>0</v>
      </c>
      <c r="AO1743" s="76">
        <f t="shared" si="293"/>
        <v>0</v>
      </c>
      <c r="AP1743" s="63" t="str">
        <f t="shared" si="294"/>
        <v/>
      </c>
      <c r="AQ1743" s="63" t="str">
        <f t="shared" si="295"/>
        <v/>
      </c>
      <c r="AR1743" s="63" t="str">
        <f t="shared" si="296"/>
        <v/>
      </c>
      <c r="AS1743" s="63" t="str">
        <f t="shared" si="297"/>
        <v/>
      </c>
      <c r="AT1743" s="78" t="str">
        <f t="shared" si="298"/>
        <v/>
      </c>
      <c r="AU1743" s="78" t="str">
        <f t="shared" si="299"/>
        <v/>
      </c>
      <c r="AV1743" s="64" t="str">
        <f ca="1">IFERROR(__xludf.DUMMYFUNCTION("IF(TRIM(AU1743)="""","""",AU1743/INDEX(FILTER(AT$3:AT1743,TRIM(AT$3:AT1743)&lt;&gt;""""),ROWS(FILTER(AT$3:AT1743,TRIM(AT$3:AT1743)&lt;&gt;"""")))-1)"),"")</f>
        <v/>
      </c>
      <c r="AW1743" s="65" t="e">
        <f t="shared" ca="1" si="292"/>
        <v>#VALUE!</v>
      </c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</row>
    <row r="1744" spans="1:68" ht="19" x14ac:dyDescent="0.25">
      <c r="A1744" s="5"/>
      <c r="B1744" s="5"/>
      <c r="C1744" s="5"/>
      <c r="D1744" s="5"/>
      <c r="E1744" s="5"/>
      <c r="F1744" s="5"/>
      <c r="G1744" s="5"/>
      <c r="H1744" s="6"/>
      <c r="I1744" s="5"/>
      <c r="J1744" s="88"/>
      <c r="K1744" s="88"/>
      <c r="L1744" s="88"/>
      <c r="M1744" s="88"/>
      <c r="N1744" s="88"/>
      <c r="O1744" s="88"/>
      <c r="P1744" s="88"/>
      <c r="Q1744" s="89"/>
      <c r="R1744" s="88"/>
      <c r="S1744" s="88"/>
      <c r="T1744" s="90"/>
      <c r="U1744" s="6"/>
      <c r="V1744" s="92"/>
      <c r="W1744" s="77"/>
      <c r="X1744" s="91"/>
      <c r="Y1744" s="77"/>
      <c r="Z1744" s="5"/>
      <c r="AA1744" s="5"/>
      <c r="AB1744" s="5"/>
      <c r="AC1744" s="5"/>
      <c r="AD1744" s="5"/>
      <c r="AE1744" s="5"/>
      <c r="AF1744" s="5"/>
      <c r="AG1744" s="5"/>
      <c r="AH1744" s="6"/>
      <c r="AI1744" s="92"/>
      <c r="AJ1744" s="93"/>
      <c r="AK1744" s="94"/>
      <c r="AL1744" s="95"/>
      <c r="AM1744" s="56"/>
      <c r="AN1744" s="57">
        <f t="shared" si="291"/>
        <v>0</v>
      </c>
      <c r="AO1744" s="76">
        <f t="shared" si="293"/>
        <v>0</v>
      </c>
      <c r="AP1744" s="63" t="str">
        <f t="shared" si="294"/>
        <v/>
      </c>
      <c r="AQ1744" s="63" t="str">
        <f t="shared" si="295"/>
        <v/>
      </c>
      <c r="AR1744" s="63" t="str">
        <f t="shared" si="296"/>
        <v/>
      </c>
      <c r="AS1744" s="63" t="str">
        <f t="shared" si="297"/>
        <v/>
      </c>
      <c r="AT1744" s="78" t="str">
        <f t="shared" si="298"/>
        <v/>
      </c>
      <c r="AU1744" s="78" t="str">
        <f t="shared" si="299"/>
        <v/>
      </c>
      <c r="AV1744" s="64" t="str">
        <f ca="1">IFERROR(__xludf.DUMMYFUNCTION("IF(TRIM(AU1744)="""","""",AU1744/INDEX(FILTER(AT$3:AT1744,TRIM(AT$3:AT1744)&lt;&gt;""""),ROWS(FILTER(AT$3:AT1744,TRIM(AT$3:AT1744)&lt;&gt;"""")))-1)"),"")</f>
        <v/>
      </c>
      <c r="AW1744" s="65" t="e">
        <f t="shared" ca="1" si="292"/>
        <v>#VALUE!</v>
      </c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</row>
    <row r="1745" spans="1:68" ht="19" x14ac:dyDescent="0.25">
      <c r="A1745" s="5"/>
      <c r="B1745" s="5"/>
      <c r="C1745" s="5"/>
      <c r="D1745" s="5"/>
      <c r="E1745" s="5"/>
      <c r="F1745" s="5"/>
      <c r="G1745" s="5"/>
      <c r="H1745" s="6"/>
      <c r="I1745" s="5"/>
      <c r="J1745" s="88"/>
      <c r="K1745" s="88"/>
      <c r="L1745" s="88"/>
      <c r="M1745" s="88"/>
      <c r="N1745" s="88"/>
      <c r="O1745" s="88"/>
      <c r="P1745" s="88"/>
      <c r="Q1745" s="89"/>
      <c r="R1745" s="88"/>
      <c r="S1745" s="88"/>
      <c r="T1745" s="90"/>
      <c r="U1745" s="6"/>
      <c r="V1745" s="92"/>
      <c r="W1745" s="77"/>
      <c r="X1745" s="91"/>
      <c r="Y1745" s="77"/>
      <c r="Z1745" s="5"/>
      <c r="AA1745" s="5"/>
      <c r="AB1745" s="5"/>
      <c r="AC1745" s="5"/>
      <c r="AD1745" s="5"/>
      <c r="AE1745" s="5"/>
      <c r="AF1745" s="5"/>
      <c r="AG1745" s="5"/>
      <c r="AH1745" s="6"/>
      <c r="AI1745" s="92"/>
      <c r="AJ1745" s="93"/>
      <c r="AK1745" s="94"/>
      <c r="AL1745" s="95"/>
      <c r="AM1745" s="56"/>
      <c r="AN1745" s="57">
        <f t="shared" si="291"/>
        <v>0</v>
      </c>
      <c r="AO1745" s="76">
        <f t="shared" si="293"/>
        <v>0</v>
      </c>
      <c r="AP1745" s="63" t="str">
        <f t="shared" si="294"/>
        <v/>
      </c>
      <c r="AQ1745" s="63" t="str">
        <f t="shared" si="295"/>
        <v/>
      </c>
      <c r="AR1745" s="63" t="str">
        <f t="shared" si="296"/>
        <v/>
      </c>
      <c r="AS1745" s="63" t="str">
        <f t="shared" si="297"/>
        <v/>
      </c>
      <c r="AT1745" s="78" t="str">
        <f t="shared" si="298"/>
        <v/>
      </c>
      <c r="AU1745" s="78" t="str">
        <f t="shared" si="299"/>
        <v/>
      </c>
      <c r="AV1745" s="64" t="str">
        <f ca="1">IFERROR(__xludf.DUMMYFUNCTION("IF(TRIM(AU1745)="""","""",AU1745/INDEX(FILTER(AT$3:AT1745,TRIM(AT$3:AT1745)&lt;&gt;""""),ROWS(FILTER(AT$3:AT1745,TRIM(AT$3:AT1745)&lt;&gt;"""")))-1)"),"")</f>
        <v/>
      </c>
      <c r="AW1745" s="65" t="e">
        <f t="shared" ca="1" si="292"/>
        <v>#VALUE!</v>
      </c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</row>
    <row r="1746" spans="1:68" ht="19" x14ac:dyDescent="0.25">
      <c r="A1746" s="5"/>
      <c r="B1746" s="5"/>
      <c r="C1746" s="5"/>
      <c r="D1746" s="5"/>
      <c r="E1746" s="5"/>
      <c r="F1746" s="5"/>
      <c r="G1746" s="5"/>
      <c r="H1746" s="6"/>
      <c r="I1746" s="5"/>
      <c r="J1746" s="88"/>
      <c r="K1746" s="88"/>
      <c r="L1746" s="88"/>
      <c r="M1746" s="88"/>
      <c r="N1746" s="88"/>
      <c r="O1746" s="88"/>
      <c r="P1746" s="88"/>
      <c r="Q1746" s="89"/>
      <c r="R1746" s="88"/>
      <c r="S1746" s="88"/>
      <c r="T1746" s="90"/>
      <c r="U1746" s="6"/>
      <c r="V1746" s="92"/>
      <c r="W1746" s="77"/>
      <c r="X1746" s="91"/>
      <c r="Y1746" s="77"/>
      <c r="Z1746" s="5"/>
      <c r="AA1746" s="5"/>
      <c r="AB1746" s="5"/>
      <c r="AC1746" s="5"/>
      <c r="AD1746" s="5"/>
      <c r="AE1746" s="5"/>
      <c r="AF1746" s="5"/>
      <c r="AG1746" s="5"/>
      <c r="AH1746" s="6"/>
      <c r="AI1746" s="92"/>
      <c r="AJ1746" s="93"/>
      <c r="AK1746" s="94"/>
      <c r="AL1746" s="95"/>
      <c r="AM1746" s="56"/>
      <c r="AN1746" s="57">
        <f t="shared" si="291"/>
        <v>0</v>
      </c>
      <c r="AO1746" s="76">
        <f t="shared" si="293"/>
        <v>0</v>
      </c>
      <c r="AP1746" s="63" t="str">
        <f t="shared" si="294"/>
        <v/>
      </c>
      <c r="AQ1746" s="63" t="str">
        <f t="shared" si="295"/>
        <v/>
      </c>
      <c r="AR1746" s="63" t="str">
        <f t="shared" si="296"/>
        <v/>
      </c>
      <c r="AS1746" s="63" t="str">
        <f t="shared" si="297"/>
        <v/>
      </c>
      <c r="AT1746" s="78" t="str">
        <f t="shared" si="298"/>
        <v/>
      </c>
      <c r="AU1746" s="78" t="str">
        <f t="shared" si="299"/>
        <v/>
      </c>
      <c r="AV1746" s="64" t="str">
        <f ca="1">IFERROR(__xludf.DUMMYFUNCTION("IF(TRIM(AU1746)="""","""",AU1746/INDEX(FILTER(AT$3:AT1746,TRIM(AT$3:AT1746)&lt;&gt;""""),ROWS(FILTER(AT$3:AT1746,TRIM(AT$3:AT1746)&lt;&gt;"""")))-1)"),"")</f>
        <v/>
      </c>
      <c r="AW1746" s="65" t="e">
        <f t="shared" ca="1" si="292"/>
        <v>#VALUE!</v>
      </c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</row>
    <row r="1747" spans="1:68" ht="19" x14ac:dyDescent="0.25">
      <c r="A1747" s="5"/>
      <c r="B1747" s="5"/>
      <c r="C1747" s="5"/>
      <c r="D1747" s="5"/>
      <c r="E1747" s="5"/>
      <c r="F1747" s="5"/>
      <c r="G1747" s="5"/>
      <c r="H1747" s="6"/>
      <c r="I1747" s="5"/>
      <c r="J1747" s="88"/>
      <c r="K1747" s="88"/>
      <c r="L1747" s="88"/>
      <c r="M1747" s="88"/>
      <c r="N1747" s="88"/>
      <c r="O1747" s="88"/>
      <c r="P1747" s="88"/>
      <c r="Q1747" s="89"/>
      <c r="R1747" s="88"/>
      <c r="S1747" s="88"/>
      <c r="T1747" s="90"/>
      <c r="U1747" s="6"/>
      <c r="V1747" s="92"/>
      <c r="W1747" s="77"/>
      <c r="X1747" s="91"/>
      <c r="Y1747" s="77"/>
      <c r="Z1747" s="5"/>
      <c r="AA1747" s="5"/>
      <c r="AB1747" s="5"/>
      <c r="AC1747" s="5"/>
      <c r="AD1747" s="5"/>
      <c r="AE1747" s="5"/>
      <c r="AF1747" s="5"/>
      <c r="AG1747" s="5"/>
      <c r="AH1747" s="6"/>
      <c r="AI1747" s="92"/>
      <c r="AJ1747" s="93"/>
      <c r="AK1747" s="94"/>
      <c r="AL1747" s="95"/>
      <c r="AM1747" s="56"/>
      <c r="AN1747" s="57">
        <f t="shared" si="291"/>
        <v>0</v>
      </c>
      <c r="AO1747" s="76">
        <f t="shared" si="293"/>
        <v>0</v>
      </c>
      <c r="AP1747" s="63" t="str">
        <f t="shared" si="294"/>
        <v/>
      </c>
      <c r="AQ1747" s="63" t="str">
        <f t="shared" si="295"/>
        <v/>
      </c>
      <c r="AR1747" s="63" t="str">
        <f t="shared" si="296"/>
        <v/>
      </c>
      <c r="AS1747" s="63" t="str">
        <f t="shared" si="297"/>
        <v/>
      </c>
      <c r="AT1747" s="78" t="str">
        <f t="shared" si="298"/>
        <v/>
      </c>
      <c r="AU1747" s="78" t="str">
        <f t="shared" si="299"/>
        <v/>
      </c>
      <c r="AV1747" s="64" t="str">
        <f ca="1">IFERROR(__xludf.DUMMYFUNCTION("IF(TRIM(AU1747)="""","""",AU1747/INDEX(FILTER(AT$3:AT1747,TRIM(AT$3:AT1747)&lt;&gt;""""),ROWS(FILTER(AT$3:AT1747,TRIM(AT$3:AT1747)&lt;&gt;"""")))-1)"),"")</f>
        <v/>
      </c>
      <c r="AW1747" s="65" t="e">
        <f t="shared" ca="1" si="292"/>
        <v>#VALUE!</v>
      </c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</row>
    <row r="1748" spans="1:68" ht="19" x14ac:dyDescent="0.25">
      <c r="A1748" s="5"/>
      <c r="B1748" s="5"/>
      <c r="C1748" s="5"/>
      <c r="D1748" s="5"/>
      <c r="E1748" s="5"/>
      <c r="F1748" s="5"/>
      <c r="G1748" s="5"/>
      <c r="H1748" s="6"/>
      <c r="I1748" s="5"/>
      <c r="J1748" s="88"/>
      <c r="K1748" s="88"/>
      <c r="L1748" s="88"/>
      <c r="M1748" s="88"/>
      <c r="N1748" s="88"/>
      <c r="O1748" s="88"/>
      <c r="P1748" s="88"/>
      <c r="Q1748" s="89"/>
      <c r="R1748" s="88"/>
      <c r="S1748" s="88"/>
      <c r="T1748" s="90"/>
      <c r="U1748" s="6"/>
      <c r="V1748" s="92"/>
      <c r="W1748" s="77"/>
      <c r="X1748" s="91"/>
      <c r="Y1748" s="77"/>
      <c r="Z1748" s="5"/>
      <c r="AA1748" s="5"/>
      <c r="AB1748" s="5"/>
      <c r="AC1748" s="5"/>
      <c r="AD1748" s="5"/>
      <c r="AE1748" s="5"/>
      <c r="AF1748" s="5"/>
      <c r="AG1748" s="5"/>
      <c r="AH1748" s="6"/>
      <c r="AI1748" s="92"/>
      <c r="AJ1748" s="93"/>
      <c r="AK1748" s="94"/>
      <c r="AL1748" s="95"/>
      <c r="AM1748" s="56"/>
      <c r="AN1748" s="57">
        <f t="shared" si="291"/>
        <v>0</v>
      </c>
      <c r="AO1748" s="76">
        <f t="shared" si="293"/>
        <v>0</v>
      </c>
      <c r="AP1748" s="63" t="str">
        <f t="shared" si="294"/>
        <v/>
      </c>
      <c r="AQ1748" s="63" t="str">
        <f t="shared" si="295"/>
        <v/>
      </c>
      <c r="AR1748" s="63" t="str">
        <f t="shared" si="296"/>
        <v/>
      </c>
      <c r="AS1748" s="63" t="str">
        <f t="shared" si="297"/>
        <v/>
      </c>
      <c r="AT1748" s="78" t="str">
        <f t="shared" si="298"/>
        <v/>
      </c>
      <c r="AU1748" s="78" t="str">
        <f t="shared" si="299"/>
        <v/>
      </c>
      <c r="AV1748" s="64" t="str">
        <f ca="1">IFERROR(__xludf.DUMMYFUNCTION("IF(TRIM(AU1748)="""","""",AU1748/INDEX(FILTER(AT$3:AT1748,TRIM(AT$3:AT1748)&lt;&gt;""""),ROWS(FILTER(AT$3:AT1748,TRIM(AT$3:AT1748)&lt;&gt;"""")))-1)"),"")</f>
        <v/>
      </c>
      <c r="AW1748" s="65" t="e">
        <f t="shared" ca="1" si="292"/>
        <v>#VALUE!</v>
      </c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</row>
    <row r="1749" spans="1:68" ht="19" x14ac:dyDescent="0.25">
      <c r="A1749" s="5"/>
      <c r="B1749" s="5"/>
      <c r="C1749" s="5"/>
      <c r="D1749" s="5"/>
      <c r="E1749" s="5"/>
      <c r="F1749" s="5"/>
      <c r="G1749" s="5"/>
      <c r="H1749" s="6"/>
      <c r="I1749" s="5"/>
      <c r="J1749" s="88"/>
      <c r="K1749" s="88"/>
      <c r="L1749" s="88"/>
      <c r="M1749" s="88"/>
      <c r="N1749" s="88"/>
      <c r="O1749" s="88"/>
      <c r="P1749" s="88"/>
      <c r="Q1749" s="89"/>
      <c r="R1749" s="88"/>
      <c r="S1749" s="88"/>
      <c r="T1749" s="90"/>
      <c r="U1749" s="6"/>
      <c r="V1749" s="92"/>
      <c r="W1749" s="77"/>
      <c r="X1749" s="91"/>
      <c r="Y1749" s="77"/>
      <c r="Z1749" s="5"/>
      <c r="AA1749" s="5"/>
      <c r="AB1749" s="5"/>
      <c r="AC1749" s="5"/>
      <c r="AD1749" s="5"/>
      <c r="AE1749" s="5"/>
      <c r="AF1749" s="5"/>
      <c r="AG1749" s="5"/>
      <c r="AH1749" s="6"/>
      <c r="AI1749" s="92"/>
      <c r="AJ1749" s="93"/>
      <c r="AK1749" s="94"/>
      <c r="AL1749" s="95"/>
      <c r="AM1749" s="56"/>
      <c r="AN1749" s="57">
        <f t="shared" si="291"/>
        <v>0</v>
      </c>
      <c r="AO1749" s="76">
        <f t="shared" si="293"/>
        <v>0</v>
      </c>
      <c r="AP1749" s="63" t="str">
        <f t="shared" si="294"/>
        <v/>
      </c>
      <c r="AQ1749" s="63" t="str">
        <f t="shared" si="295"/>
        <v/>
      </c>
      <c r="AR1749" s="63" t="str">
        <f t="shared" si="296"/>
        <v/>
      </c>
      <c r="AS1749" s="63" t="str">
        <f t="shared" si="297"/>
        <v/>
      </c>
      <c r="AT1749" s="78" t="str">
        <f t="shared" si="298"/>
        <v/>
      </c>
      <c r="AU1749" s="78" t="str">
        <f t="shared" si="299"/>
        <v/>
      </c>
      <c r="AV1749" s="64" t="str">
        <f ca="1">IFERROR(__xludf.DUMMYFUNCTION("IF(TRIM(AU1749)="""","""",AU1749/INDEX(FILTER(AT$3:AT1749,TRIM(AT$3:AT1749)&lt;&gt;""""),ROWS(FILTER(AT$3:AT1749,TRIM(AT$3:AT1749)&lt;&gt;"""")))-1)"),"")</f>
        <v/>
      </c>
      <c r="AW1749" s="65" t="e">
        <f t="shared" ca="1" si="292"/>
        <v>#VALUE!</v>
      </c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</row>
    <row r="1750" spans="1:68" ht="19" x14ac:dyDescent="0.25">
      <c r="A1750" s="5"/>
      <c r="B1750" s="5"/>
      <c r="C1750" s="5"/>
      <c r="D1750" s="5"/>
      <c r="E1750" s="5"/>
      <c r="F1750" s="5"/>
      <c r="G1750" s="5"/>
      <c r="H1750" s="6"/>
      <c r="I1750" s="5"/>
      <c r="J1750" s="88"/>
      <c r="K1750" s="88"/>
      <c r="L1750" s="88"/>
      <c r="M1750" s="88"/>
      <c r="N1750" s="88"/>
      <c r="O1750" s="88"/>
      <c r="P1750" s="88"/>
      <c r="Q1750" s="89"/>
      <c r="R1750" s="88"/>
      <c r="S1750" s="88"/>
      <c r="T1750" s="90"/>
      <c r="U1750" s="6"/>
      <c r="V1750" s="92"/>
      <c r="W1750" s="77"/>
      <c r="X1750" s="91"/>
      <c r="Y1750" s="77"/>
      <c r="Z1750" s="5"/>
      <c r="AA1750" s="5"/>
      <c r="AB1750" s="5"/>
      <c r="AC1750" s="5"/>
      <c r="AD1750" s="5"/>
      <c r="AE1750" s="5"/>
      <c r="AF1750" s="5"/>
      <c r="AG1750" s="5"/>
      <c r="AH1750" s="6"/>
      <c r="AI1750" s="92"/>
      <c r="AJ1750" s="93"/>
      <c r="AK1750" s="94"/>
      <c r="AL1750" s="95"/>
      <c r="AM1750" s="56"/>
      <c r="AN1750" s="57">
        <f t="shared" si="291"/>
        <v>0</v>
      </c>
      <c r="AO1750" s="76">
        <f t="shared" si="293"/>
        <v>0</v>
      </c>
      <c r="AP1750" s="63" t="str">
        <f t="shared" si="294"/>
        <v/>
      </c>
      <c r="AQ1750" s="63" t="str">
        <f t="shared" si="295"/>
        <v/>
      </c>
      <c r="AR1750" s="63" t="str">
        <f t="shared" si="296"/>
        <v/>
      </c>
      <c r="AS1750" s="63" t="str">
        <f t="shared" si="297"/>
        <v/>
      </c>
      <c r="AT1750" s="78" t="str">
        <f t="shared" si="298"/>
        <v/>
      </c>
      <c r="AU1750" s="78" t="str">
        <f t="shared" si="299"/>
        <v/>
      </c>
      <c r="AV1750" s="64" t="str">
        <f ca="1">IFERROR(__xludf.DUMMYFUNCTION("IF(TRIM(AU1750)="""","""",AU1750/INDEX(FILTER(AT$3:AT1750,TRIM(AT$3:AT1750)&lt;&gt;""""),ROWS(FILTER(AT$3:AT1750,TRIM(AT$3:AT1750)&lt;&gt;"""")))-1)"),"")</f>
        <v/>
      </c>
      <c r="AW1750" s="65" t="e">
        <f t="shared" ca="1" si="292"/>
        <v>#VALUE!</v>
      </c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</row>
    <row r="1751" spans="1:68" ht="19" x14ac:dyDescent="0.25">
      <c r="A1751" s="5"/>
      <c r="B1751" s="5"/>
      <c r="C1751" s="5"/>
      <c r="D1751" s="5"/>
      <c r="E1751" s="5"/>
      <c r="F1751" s="5"/>
      <c r="G1751" s="5"/>
      <c r="H1751" s="6"/>
      <c r="I1751" s="5"/>
      <c r="J1751" s="88"/>
      <c r="K1751" s="88"/>
      <c r="L1751" s="88"/>
      <c r="M1751" s="88"/>
      <c r="N1751" s="88"/>
      <c r="O1751" s="88"/>
      <c r="P1751" s="88"/>
      <c r="Q1751" s="89"/>
      <c r="R1751" s="88"/>
      <c r="S1751" s="88"/>
      <c r="T1751" s="90"/>
      <c r="U1751" s="6"/>
      <c r="V1751" s="92"/>
      <c r="W1751" s="77"/>
      <c r="X1751" s="91"/>
      <c r="Y1751" s="77"/>
      <c r="Z1751" s="5"/>
      <c r="AA1751" s="5"/>
      <c r="AB1751" s="5"/>
      <c r="AC1751" s="5"/>
      <c r="AD1751" s="5"/>
      <c r="AE1751" s="5"/>
      <c r="AF1751" s="5"/>
      <c r="AG1751" s="5"/>
      <c r="AH1751" s="6"/>
      <c r="AI1751" s="92"/>
      <c r="AJ1751" s="93"/>
      <c r="AK1751" s="94"/>
      <c r="AL1751" s="95"/>
      <c r="AM1751" s="56"/>
      <c r="AN1751" s="57">
        <f t="shared" si="291"/>
        <v>0</v>
      </c>
      <c r="AO1751" s="76">
        <f t="shared" si="293"/>
        <v>0</v>
      </c>
      <c r="AP1751" s="63" t="str">
        <f t="shared" si="294"/>
        <v/>
      </c>
      <c r="AQ1751" s="63" t="str">
        <f t="shared" si="295"/>
        <v/>
      </c>
      <c r="AR1751" s="63" t="str">
        <f t="shared" si="296"/>
        <v/>
      </c>
      <c r="AS1751" s="63" t="str">
        <f t="shared" si="297"/>
        <v/>
      </c>
      <c r="AT1751" s="78" t="str">
        <f t="shared" si="298"/>
        <v/>
      </c>
      <c r="AU1751" s="78" t="str">
        <f t="shared" si="299"/>
        <v/>
      </c>
      <c r="AV1751" s="64" t="str">
        <f ca="1">IFERROR(__xludf.DUMMYFUNCTION("IF(TRIM(AU1751)="""","""",AU1751/INDEX(FILTER(AT$3:AT1751,TRIM(AT$3:AT1751)&lt;&gt;""""),ROWS(FILTER(AT$3:AT1751,TRIM(AT$3:AT1751)&lt;&gt;"""")))-1)"),"")</f>
        <v/>
      </c>
      <c r="AW1751" s="65" t="e">
        <f t="shared" ca="1" si="292"/>
        <v>#VALUE!</v>
      </c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</row>
    <row r="1752" spans="1:68" ht="19" x14ac:dyDescent="0.25">
      <c r="A1752" s="5"/>
      <c r="B1752" s="5"/>
      <c r="C1752" s="5"/>
      <c r="D1752" s="5"/>
      <c r="E1752" s="5"/>
      <c r="F1752" s="5"/>
      <c r="G1752" s="5"/>
      <c r="H1752" s="6"/>
      <c r="I1752" s="5"/>
      <c r="J1752" s="88"/>
      <c r="K1752" s="88"/>
      <c r="L1752" s="88"/>
      <c r="M1752" s="88"/>
      <c r="N1752" s="88"/>
      <c r="O1752" s="88"/>
      <c r="P1752" s="88"/>
      <c r="Q1752" s="89"/>
      <c r="R1752" s="88"/>
      <c r="S1752" s="88"/>
      <c r="T1752" s="90"/>
      <c r="U1752" s="6"/>
      <c r="V1752" s="92"/>
      <c r="W1752" s="77"/>
      <c r="X1752" s="91"/>
      <c r="Y1752" s="77"/>
      <c r="Z1752" s="5"/>
      <c r="AA1752" s="5"/>
      <c r="AB1752" s="5"/>
      <c r="AC1752" s="5"/>
      <c r="AD1752" s="5"/>
      <c r="AE1752" s="5"/>
      <c r="AF1752" s="5"/>
      <c r="AG1752" s="5"/>
      <c r="AH1752" s="6"/>
      <c r="AI1752" s="92"/>
      <c r="AJ1752" s="93"/>
      <c r="AK1752" s="94"/>
      <c r="AL1752" s="95"/>
      <c r="AM1752" s="56"/>
      <c r="AN1752" s="57">
        <f t="shared" si="291"/>
        <v>0</v>
      </c>
      <c r="AO1752" s="76">
        <f t="shared" si="293"/>
        <v>0</v>
      </c>
      <c r="AP1752" s="63" t="str">
        <f t="shared" si="294"/>
        <v/>
      </c>
      <c r="AQ1752" s="63" t="str">
        <f t="shared" si="295"/>
        <v/>
      </c>
      <c r="AR1752" s="63" t="str">
        <f t="shared" si="296"/>
        <v/>
      </c>
      <c r="AS1752" s="63" t="str">
        <f t="shared" si="297"/>
        <v/>
      </c>
      <c r="AT1752" s="78" t="str">
        <f t="shared" si="298"/>
        <v/>
      </c>
      <c r="AU1752" s="78" t="str">
        <f t="shared" si="299"/>
        <v/>
      </c>
      <c r="AV1752" s="64" t="str">
        <f ca="1">IFERROR(__xludf.DUMMYFUNCTION("IF(TRIM(AU1752)="""","""",AU1752/INDEX(FILTER(AT$3:AT1752,TRIM(AT$3:AT1752)&lt;&gt;""""),ROWS(FILTER(AT$3:AT1752,TRIM(AT$3:AT1752)&lt;&gt;"""")))-1)"),"")</f>
        <v/>
      </c>
      <c r="AW1752" s="65" t="e">
        <f t="shared" ca="1" si="292"/>
        <v>#VALUE!</v>
      </c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</row>
    <row r="1753" spans="1:68" ht="19" x14ac:dyDescent="0.25">
      <c r="A1753" s="5"/>
      <c r="B1753" s="5"/>
      <c r="C1753" s="5"/>
      <c r="D1753" s="5"/>
      <c r="E1753" s="5"/>
      <c r="F1753" s="5"/>
      <c r="G1753" s="5"/>
      <c r="H1753" s="6"/>
      <c r="I1753" s="5"/>
      <c r="J1753" s="88"/>
      <c r="K1753" s="88"/>
      <c r="L1753" s="88"/>
      <c r="M1753" s="88"/>
      <c r="N1753" s="88"/>
      <c r="O1753" s="88"/>
      <c r="P1753" s="88"/>
      <c r="Q1753" s="89"/>
      <c r="R1753" s="88"/>
      <c r="S1753" s="88"/>
      <c r="T1753" s="90"/>
      <c r="U1753" s="6"/>
      <c r="V1753" s="92"/>
      <c r="W1753" s="77"/>
      <c r="X1753" s="91"/>
      <c r="Y1753" s="77"/>
      <c r="Z1753" s="5"/>
      <c r="AA1753" s="5"/>
      <c r="AB1753" s="5"/>
      <c r="AC1753" s="5"/>
      <c r="AD1753" s="5"/>
      <c r="AE1753" s="5"/>
      <c r="AF1753" s="5"/>
      <c r="AG1753" s="5"/>
      <c r="AH1753" s="6"/>
      <c r="AI1753" s="92"/>
      <c r="AJ1753" s="93"/>
      <c r="AK1753" s="94"/>
      <c r="AL1753" s="95"/>
      <c r="AM1753" s="56"/>
      <c r="AN1753" s="57">
        <f t="shared" si="291"/>
        <v>0</v>
      </c>
      <c r="AO1753" s="76">
        <f t="shared" si="293"/>
        <v>0</v>
      </c>
      <c r="AP1753" s="63" t="str">
        <f t="shared" si="294"/>
        <v/>
      </c>
      <c r="AQ1753" s="63" t="str">
        <f t="shared" si="295"/>
        <v/>
      </c>
      <c r="AR1753" s="63" t="str">
        <f t="shared" si="296"/>
        <v/>
      </c>
      <c r="AS1753" s="63" t="str">
        <f t="shared" si="297"/>
        <v/>
      </c>
      <c r="AT1753" s="78" t="str">
        <f t="shared" si="298"/>
        <v/>
      </c>
      <c r="AU1753" s="78" t="str">
        <f t="shared" si="299"/>
        <v/>
      </c>
      <c r="AV1753" s="64" t="str">
        <f ca="1">IFERROR(__xludf.DUMMYFUNCTION("IF(TRIM(AU1753)="""","""",AU1753/INDEX(FILTER(AT$3:AT1753,TRIM(AT$3:AT1753)&lt;&gt;""""),ROWS(FILTER(AT$3:AT1753,TRIM(AT$3:AT1753)&lt;&gt;"""")))-1)"),"")</f>
        <v/>
      </c>
      <c r="AW1753" s="65" t="e">
        <f t="shared" ca="1" si="292"/>
        <v>#VALUE!</v>
      </c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</row>
    <row r="1754" spans="1:68" ht="19" x14ac:dyDescent="0.25">
      <c r="A1754" s="5"/>
      <c r="B1754" s="5"/>
      <c r="C1754" s="5"/>
      <c r="D1754" s="5"/>
      <c r="E1754" s="5"/>
      <c r="F1754" s="5"/>
      <c r="G1754" s="5"/>
      <c r="H1754" s="6"/>
      <c r="I1754" s="5"/>
      <c r="J1754" s="88"/>
      <c r="K1754" s="88"/>
      <c r="L1754" s="88"/>
      <c r="M1754" s="88"/>
      <c r="N1754" s="88"/>
      <c r="O1754" s="88"/>
      <c r="P1754" s="88"/>
      <c r="Q1754" s="89"/>
      <c r="R1754" s="88"/>
      <c r="S1754" s="88"/>
      <c r="T1754" s="90"/>
      <c r="U1754" s="6"/>
      <c r="V1754" s="92"/>
      <c r="W1754" s="77"/>
      <c r="X1754" s="91"/>
      <c r="Y1754" s="77"/>
      <c r="Z1754" s="5"/>
      <c r="AA1754" s="5"/>
      <c r="AB1754" s="5"/>
      <c r="AC1754" s="5"/>
      <c r="AD1754" s="5"/>
      <c r="AE1754" s="5"/>
      <c r="AF1754" s="5"/>
      <c r="AG1754" s="5"/>
      <c r="AH1754" s="6"/>
      <c r="AI1754" s="92"/>
      <c r="AJ1754" s="93"/>
      <c r="AK1754" s="94"/>
      <c r="AL1754" s="95"/>
      <c r="AM1754" s="56"/>
      <c r="AN1754" s="57">
        <f t="shared" si="291"/>
        <v>0</v>
      </c>
      <c r="AO1754" s="76">
        <f t="shared" si="293"/>
        <v>0</v>
      </c>
      <c r="AP1754" s="63" t="str">
        <f t="shared" si="294"/>
        <v/>
      </c>
      <c r="AQ1754" s="63" t="str">
        <f t="shared" si="295"/>
        <v/>
      </c>
      <c r="AR1754" s="63" t="str">
        <f t="shared" si="296"/>
        <v/>
      </c>
      <c r="AS1754" s="63" t="str">
        <f t="shared" si="297"/>
        <v/>
      </c>
      <c r="AT1754" s="78" t="str">
        <f t="shared" si="298"/>
        <v/>
      </c>
      <c r="AU1754" s="78" t="str">
        <f t="shared" si="299"/>
        <v/>
      </c>
      <c r="AV1754" s="64" t="str">
        <f ca="1">IFERROR(__xludf.DUMMYFUNCTION("IF(TRIM(AU1754)="""","""",AU1754/INDEX(FILTER(AT$3:AT1754,TRIM(AT$3:AT1754)&lt;&gt;""""),ROWS(FILTER(AT$3:AT1754,TRIM(AT$3:AT1754)&lt;&gt;"""")))-1)"),"")</f>
        <v/>
      </c>
      <c r="AW1754" s="65" t="e">
        <f t="shared" ca="1" si="292"/>
        <v>#VALUE!</v>
      </c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</row>
    <row r="1755" spans="1:68" ht="19" x14ac:dyDescent="0.25">
      <c r="A1755" s="5"/>
      <c r="B1755" s="5"/>
      <c r="C1755" s="5"/>
      <c r="D1755" s="5"/>
      <c r="E1755" s="5"/>
      <c r="F1755" s="5"/>
      <c r="G1755" s="5"/>
      <c r="H1755" s="6"/>
      <c r="I1755" s="5"/>
      <c r="J1755" s="88"/>
      <c r="K1755" s="88"/>
      <c r="L1755" s="88"/>
      <c r="M1755" s="88"/>
      <c r="N1755" s="88"/>
      <c r="O1755" s="88"/>
      <c r="P1755" s="88"/>
      <c r="Q1755" s="89"/>
      <c r="R1755" s="88"/>
      <c r="S1755" s="88"/>
      <c r="T1755" s="90"/>
      <c r="U1755" s="6"/>
      <c r="V1755" s="92"/>
      <c r="W1755" s="77"/>
      <c r="X1755" s="91"/>
      <c r="Y1755" s="77"/>
      <c r="Z1755" s="5"/>
      <c r="AA1755" s="5"/>
      <c r="AB1755" s="5"/>
      <c r="AC1755" s="5"/>
      <c r="AD1755" s="5"/>
      <c r="AE1755" s="5"/>
      <c r="AF1755" s="5"/>
      <c r="AG1755" s="5"/>
      <c r="AH1755" s="6"/>
      <c r="AI1755" s="92"/>
      <c r="AJ1755" s="93"/>
      <c r="AK1755" s="94"/>
      <c r="AL1755" s="95"/>
      <c r="AM1755" s="56"/>
      <c r="AN1755" s="57">
        <f t="shared" si="291"/>
        <v>0</v>
      </c>
      <c r="AO1755" s="76">
        <f t="shared" si="293"/>
        <v>0</v>
      </c>
      <c r="AP1755" s="63" t="str">
        <f t="shared" si="294"/>
        <v/>
      </c>
      <c r="AQ1755" s="63" t="str">
        <f t="shared" si="295"/>
        <v/>
      </c>
      <c r="AR1755" s="63" t="str">
        <f t="shared" si="296"/>
        <v/>
      </c>
      <c r="AS1755" s="63" t="str">
        <f t="shared" si="297"/>
        <v/>
      </c>
      <c r="AT1755" s="78" t="str">
        <f t="shared" si="298"/>
        <v/>
      </c>
      <c r="AU1755" s="78" t="str">
        <f t="shared" si="299"/>
        <v/>
      </c>
      <c r="AV1755" s="64" t="str">
        <f ca="1">IFERROR(__xludf.DUMMYFUNCTION("IF(TRIM(AU1755)="""","""",AU1755/INDEX(FILTER(AT$3:AT1755,TRIM(AT$3:AT1755)&lt;&gt;""""),ROWS(FILTER(AT$3:AT1755,TRIM(AT$3:AT1755)&lt;&gt;"""")))-1)"),"")</f>
        <v/>
      </c>
      <c r="AW1755" s="65" t="e">
        <f t="shared" ca="1" si="292"/>
        <v>#VALUE!</v>
      </c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</row>
    <row r="1756" spans="1:68" ht="19" x14ac:dyDescent="0.25">
      <c r="A1756" s="5"/>
      <c r="B1756" s="5"/>
      <c r="C1756" s="5"/>
      <c r="D1756" s="5"/>
      <c r="E1756" s="5"/>
      <c r="F1756" s="5"/>
      <c r="G1756" s="5"/>
      <c r="H1756" s="6"/>
      <c r="I1756" s="5"/>
      <c r="J1756" s="88"/>
      <c r="K1756" s="88"/>
      <c r="L1756" s="88"/>
      <c r="M1756" s="88"/>
      <c r="N1756" s="88"/>
      <c r="O1756" s="88"/>
      <c r="P1756" s="88"/>
      <c r="Q1756" s="89"/>
      <c r="R1756" s="88"/>
      <c r="S1756" s="88"/>
      <c r="T1756" s="90"/>
      <c r="U1756" s="6"/>
      <c r="V1756" s="92"/>
      <c r="W1756" s="77"/>
      <c r="X1756" s="91"/>
      <c r="Y1756" s="77"/>
      <c r="Z1756" s="5"/>
      <c r="AA1756" s="5"/>
      <c r="AB1756" s="5"/>
      <c r="AC1756" s="5"/>
      <c r="AD1756" s="5"/>
      <c r="AE1756" s="5"/>
      <c r="AF1756" s="5"/>
      <c r="AG1756" s="5"/>
      <c r="AH1756" s="6"/>
      <c r="AI1756" s="92"/>
      <c r="AJ1756" s="93"/>
      <c r="AK1756" s="94"/>
      <c r="AL1756" s="95"/>
      <c r="AM1756" s="56"/>
      <c r="AN1756" s="57">
        <f t="shared" si="291"/>
        <v>0</v>
      </c>
      <c r="AO1756" s="76">
        <f t="shared" si="293"/>
        <v>0</v>
      </c>
      <c r="AP1756" s="63" t="str">
        <f t="shared" si="294"/>
        <v/>
      </c>
      <c r="AQ1756" s="63" t="str">
        <f t="shared" si="295"/>
        <v/>
      </c>
      <c r="AR1756" s="63" t="str">
        <f t="shared" si="296"/>
        <v/>
      </c>
      <c r="AS1756" s="63" t="str">
        <f t="shared" si="297"/>
        <v/>
      </c>
      <c r="AT1756" s="78" t="str">
        <f t="shared" si="298"/>
        <v/>
      </c>
      <c r="AU1756" s="78" t="str">
        <f t="shared" si="299"/>
        <v/>
      </c>
      <c r="AV1756" s="64" t="str">
        <f ca="1">IFERROR(__xludf.DUMMYFUNCTION("IF(TRIM(AU1756)="""","""",AU1756/INDEX(FILTER(AT$3:AT1756,TRIM(AT$3:AT1756)&lt;&gt;""""),ROWS(FILTER(AT$3:AT1756,TRIM(AT$3:AT1756)&lt;&gt;"""")))-1)"),"")</f>
        <v/>
      </c>
      <c r="AW1756" s="65" t="e">
        <f t="shared" ca="1" si="292"/>
        <v>#VALUE!</v>
      </c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</row>
    <row r="1757" spans="1:68" ht="19" x14ac:dyDescent="0.25">
      <c r="A1757" s="5"/>
      <c r="B1757" s="5"/>
      <c r="C1757" s="5"/>
      <c r="D1757" s="5"/>
      <c r="E1757" s="5"/>
      <c r="F1757" s="5"/>
      <c r="G1757" s="5"/>
      <c r="H1757" s="6"/>
      <c r="I1757" s="5"/>
      <c r="J1757" s="88"/>
      <c r="K1757" s="88"/>
      <c r="L1757" s="88"/>
      <c r="M1757" s="88"/>
      <c r="N1757" s="88"/>
      <c r="O1757" s="88"/>
      <c r="P1757" s="88"/>
      <c r="Q1757" s="89"/>
      <c r="R1757" s="88"/>
      <c r="S1757" s="88"/>
      <c r="T1757" s="90"/>
      <c r="U1757" s="6"/>
      <c r="V1757" s="92"/>
      <c r="W1757" s="77"/>
      <c r="X1757" s="91"/>
      <c r="Y1757" s="77"/>
      <c r="Z1757" s="5"/>
      <c r="AA1757" s="5"/>
      <c r="AB1757" s="5"/>
      <c r="AC1757" s="5"/>
      <c r="AD1757" s="5"/>
      <c r="AE1757" s="5"/>
      <c r="AF1757" s="5"/>
      <c r="AG1757" s="5"/>
      <c r="AH1757" s="6"/>
      <c r="AI1757" s="92"/>
      <c r="AJ1757" s="93"/>
      <c r="AK1757" s="94"/>
      <c r="AL1757" s="95"/>
      <c r="AM1757" s="56"/>
      <c r="AN1757" s="57">
        <f t="shared" si="291"/>
        <v>0</v>
      </c>
      <c r="AO1757" s="76">
        <f t="shared" si="293"/>
        <v>0</v>
      </c>
      <c r="AP1757" s="63" t="str">
        <f t="shared" si="294"/>
        <v/>
      </c>
      <c r="AQ1757" s="63" t="str">
        <f t="shared" si="295"/>
        <v/>
      </c>
      <c r="AR1757" s="63" t="str">
        <f t="shared" si="296"/>
        <v/>
      </c>
      <c r="AS1757" s="63" t="str">
        <f t="shared" si="297"/>
        <v/>
      </c>
      <c r="AT1757" s="78" t="str">
        <f t="shared" si="298"/>
        <v/>
      </c>
      <c r="AU1757" s="78" t="str">
        <f t="shared" si="299"/>
        <v/>
      </c>
      <c r="AV1757" s="64" t="str">
        <f ca="1">IFERROR(__xludf.DUMMYFUNCTION("IF(TRIM(AU1757)="""","""",AU1757/INDEX(FILTER(AT$3:AT1757,TRIM(AT$3:AT1757)&lt;&gt;""""),ROWS(FILTER(AT$3:AT1757,TRIM(AT$3:AT1757)&lt;&gt;"""")))-1)"),"")</f>
        <v/>
      </c>
      <c r="AW1757" s="65" t="e">
        <f t="shared" ca="1" si="292"/>
        <v>#VALUE!</v>
      </c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</row>
    <row r="1758" spans="1:68" ht="19" x14ac:dyDescent="0.25">
      <c r="A1758" s="5"/>
      <c r="B1758" s="5"/>
      <c r="C1758" s="5"/>
      <c r="D1758" s="5"/>
      <c r="E1758" s="5"/>
      <c r="F1758" s="5"/>
      <c r="G1758" s="5"/>
      <c r="H1758" s="6"/>
      <c r="I1758" s="5"/>
      <c r="J1758" s="88"/>
      <c r="K1758" s="88"/>
      <c r="L1758" s="88"/>
      <c r="M1758" s="88"/>
      <c r="N1758" s="88"/>
      <c r="O1758" s="88"/>
      <c r="P1758" s="88"/>
      <c r="Q1758" s="89"/>
      <c r="R1758" s="88"/>
      <c r="S1758" s="88"/>
      <c r="T1758" s="90"/>
      <c r="U1758" s="6"/>
      <c r="V1758" s="92"/>
      <c r="W1758" s="77"/>
      <c r="X1758" s="91"/>
      <c r="Y1758" s="77"/>
      <c r="Z1758" s="5"/>
      <c r="AA1758" s="5"/>
      <c r="AB1758" s="5"/>
      <c r="AC1758" s="5"/>
      <c r="AD1758" s="5"/>
      <c r="AE1758" s="5"/>
      <c r="AF1758" s="5"/>
      <c r="AG1758" s="5"/>
      <c r="AH1758" s="6"/>
      <c r="AI1758" s="92"/>
      <c r="AJ1758" s="93"/>
      <c r="AK1758" s="94"/>
      <c r="AL1758" s="95"/>
      <c r="AM1758" s="56"/>
      <c r="AN1758" s="57">
        <f t="shared" si="291"/>
        <v>0</v>
      </c>
      <c r="AO1758" s="76">
        <f t="shared" si="293"/>
        <v>0</v>
      </c>
      <c r="AP1758" s="63" t="str">
        <f t="shared" si="294"/>
        <v/>
      </c>
      <c r="AQ1758" s="63" t="str">
        <f t="shared" si="295"/>
        <v/>
      </c>
      <c r="AR1758" s="63" t="str">
        <f t="shared" si="296"/>
        <v/>
      </c>
      <c r="AS1758" s="63" t="str">
        <f t="shared" si="297"/>
        <v/>
      </c>
      <c r="AT1758" s="78" t="str">
        <f t="shared" si="298"/>
        <v/>
      </c>
      <c r="AU1758" s="78" t="str">
        <f t="shared" si="299"/>
        <v/>
      </c>
      <c r="AV1758" s="64" t="str">
        <f ca="1">IFERROR(__xludf.DUMMYFUNCTION("IF(TRIM(AU1758)="""","""",AU1758/INDEX(FILTER(AT$3:AT1758,TRIM(AT$3:AT1758)&lt;&gt;""""),ROWS(FILTER(AT$3:AT1758,TRIM(AT$3:AT1758)&lt;&gt;"""")))-1)"),"")</f>
        <v/>
      </c>
      <c r="AW1758" s="65" t="e">
        <f t="shared" ca="1" si="292"/>
        <v>#VALUE!</v>
      </c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</row>
    <row r="1759" spans="1:68" ht="19" x14ac:dyDescent="0.25">
      <c r="A1759" s="5"/>
      <c r="B1759" s="5"/>
      <c r="C1759" s="5"/>
      <c r="D1759" s="5"/>
      <c r="E1759" s="5"/>
      <c r="F1759" s="5"/>
      <c r="G1759" s="5"/>
      <c r="H1759" s="6"/>
      <c r="I1759" s="5"/>
      <c r="J1759" s="88"/>
      <c r="K1759" s="88"/>
      <c r="L1759" s="88"/>
      <c r="M1759" s="88"/>
      <c r="N1759" s="88"/>
      <c r="O1759" s="88"/>
      <c r="P1759" s="88"/>
      <c r="Q1759" s="89"/>
      <c r="R1759" s="88"/>
      <c r="S1759" s="88"/>
      <c r="T1759" s="90"/>
      <c r="U1759" s="6"/>
      <c r="V1759" s="92"/>
      <c r="W1759" s="77"/>
      <c r="X1759" s="91"/>
      <c r="Y1759" s="77"/>
      <c r="Z1759" s="5"/>
      <c r="AA1759" s="5"/>
      <c r="AB1759" s="5"/>
      <c r="AC1759" s="5"/>
      <c r="AD1759" s="5"/>
      <c r="AE1759" s="5"/>
      <c r="AF1759" s="5"/>
      <c r="AG1759" s="5"/>
      <c r="AH1759" s="6"/>
      <c r="AI1759" s="92"/>
      <c r="AJ1759" s="93"/>
      <c r="AK1759" s="94"/>
      <c r="AL1759" s="95"/>
      <c r="AM1759" s="56"/>
      <c r="AN1759" s="57">
        <f t="shared" si="291"/>
        <v>0</v>
      </c>
      <c r="AO1759" s="76">
        <f t="shared" si="293"/>
        <v>0</v>
      </c>
      <c r="AP1759" s="63" t="str">
        <f t="shared" si="294"/>
        <v/>
      </c>
      <c r="AQ1759" s="63" t="str">
        <f t="shared" si="295"/>
        <v/>
      </c>
      <c r="AR1759" s="63" t="str">
        <f t="shared" si="296"/>
        <v/>
      </c>
      <c r="AS1759" s="63" t="str">
        <f t="shared" si="297"/>
        <v/>
      </c>
      <c r="AT1759" s="78" t="str">
        <f t="shared" si="298"/>
        <v/>
      </c>
      <c r="AU1759" s="78" t="str">
        <f t="shared" si="299"/>
        <v/>
      </c>
      <c r="AV1759" s="64" t="str">
        <f ca="1">IFERROR(__xludf.DUMMYFUNCTION("IF(TRIM(AU1759)="""","""",AU1759/INDEX(FILTER(AT$3:AT1759,TRIM(AT$3:AT1759)&lt;&gt;""""),ROWS(FILTER(AT$3:AT1759,TRIM(AT$3:AT1759)&lt;&gt;"""")))-1)"),"")</f>
        <v/>
      </c>
      <c r="AW1759" s="65" t="e">
        <f t="shared" ca="1" si="292"/>
        <v>#VALUE!</v>
      </c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</row>
    <row r="1760" spans="1:68" ht="19" x14ac:dyDescent="0.25">
      <c r="A1760" s="5"/>
      <c r="B1760" s="5"/>
      <c r="C1760" s="5"/>
      <c r="D1760" s="5"/>
      <c r="E1760" s="5"/>
      <c r="F1760" s="5"/>
      <c r="G1760" s="5"/>
      <c r="H1760" s="6"/>
      <c r="I1760" s="5"/>
      <c r="J1760" s="88"/>
      <c r="K1760" s="88"/>
      <c r="L1760" s="88"/>
      <c r="M1760" s="88"/>
      <c r="N1760" s="88"/>
      <c r="O1760" s="88"/>
      <c r="P1760" s="88"/>
      <c r="Q1760" s="89"/>
      <c r="R1760" s="88"/>
      <c r="S1760" s="88"/>
      <c r="T1760" s="90"/>
      <c r="U1760" s="6"/>
      <c r="V1760" s="92"/>
      <c r="W1760" s="77"/>
      <c r="X1760" s="91"/>
      <c r="Y1760" s="77"/>
      <c r="Z1760" s="5"/>
      <c r="AA1760" s="5"/>
      <c r="AB1760" s="5"/>
      <c r="AC1760" s="5"/>
      <c r="AD1760" s="5"/>
      <c r="AE1760" s="5"/>
      <c r="AF1760" s="5"/>
      <c r="AG1760" s="5"/>
      <c r="AH1760" s="6"/>
      <c r="AI1760" s="92"/>
      <c r="AJ1760" s="93"/>
      <c r="AK1760" s="94"/>
      <c r="AL1760" s="95"/>
      <c r="AM1760" s="56"/>
      <c r="AN1760" s="57">
        <f t="shared" si="291"/>
        <v>0</v>
      </c>
      <c r="AO1760" s="76">
        <f t="shared" si="293"/>
        <v>0</v>
      </c>
      <c r="AP1760" s="63" t="str">
        <f t="shared" si="294"/>
        <v/>
      </c>
      <c r="AQ1760" s="63" t="str">
        <f t="shared" si="295"/>
        <v/>
      </c>
      <c r="AR1760" s="63" t="str">
        <f t="shared" si="296"/>
        <v/>
      </c>
      <c r="AS1760" s="63" t="str">
        <f t="shared" si="297"/>
        <v/>
      </c>
      <c r="AT1760" s="78" t="str">
        <f t="shared" si="298"/>
        <v/>
      </c>
      <c r="AU1760" s="78" t="str">
        <f t="shared" si="299"/>
        <v/>
      </c>
      <c r="AV1760" s="64" t="str">
        <f ca="1">IFERROR(__xludf.DUMMYFUNCTION("IF(TRIM(AU1760)="""","""",AU1760/INDEX(FILTER(AT$3:AT1760,TRIM(AT$3:AT1760)&lt;&gt;""""),ROWS(FILTER(AT$3:AT1760,TRIM(AT$3:AT1760)&lt;&gt;"""")))-1)"),"")</f>
        <v/>
      </c>
      <c r="AW1760" s="65" t="e">
        <f t="shared" ca="1" si="292"/>
        <v>#VALUE!</v>
      </c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</row>
    <row r="1761" spans="1:68" ht="19" x14ac:dyDescent="0.25">
      <c r="A1761" s="5"/>
      <c r="B1761" s="5"/>
      <c r="C1761" s="5"/>
      <c r="D1761" s="5"/>
      <c r="E1761" s="5"/>
      <c r="F1761" s="5"/>
      <c r="G1761" s="5"/>
      <c r="H1761" s="6"/>
      <c r="I1761" s="5"/>
      <c r="J1761" s="88"/>
      <c r="K1761" s="88"/>
      <c r="L1761" s="88"/>
      <c r="M1761" s="88"/>
      <c r="N1761" s="88"/>
      <c r="O1761" s="88"/>
      <c r="P1761" s="88"/>
      <c r="Q1761" s="89"/>
      <c r="R1761" s="88"/>
      <c r="S1761" s="88"/>
      <c r="T1761" s="90"/>
      <c r="U1761" s="6"/>
      <c r="V1761" s="92"/>
      <c r="W1761" s="77"/>
      <c r="X1761" s="91"/>
      <c r="Y1761" s="77"/>
      <c r="Z1761" s="5"/>
      <c r="AA1761" s="5"/>
      <c r="AB1761" s="5"/>
      <c r="AC1761" s="5"/>
      <c r="AD1761" s="5"/>
      <c r="AE1761" s="5"/>
      <c r="AF1761" s="5"/>
      <c r="AG1761" s="5"/>
      <c r="AH1761" s="6"/>
      <c r="AI1761" s="92"/>
      <c r="AJ1761" s="93"/>
      <c r="AK1761" s="94"/>
      <c r="AL1761" s="95"/>
      <c r="AM1761" s="56"/>
      <c r="AN1761" s="57">
        <f t="shared" si="291"/>
        <v>0</v>
      </c>
      <c r="AO1761" s="76">
        <f t="shared" si="293"/>
        <v>0</v>
      </c>
      <c r="AP1761" s="63" t="str">
        <f t="shared" si="294"/>
        <v/>
      </c>
      <c r="AQ1761" s="63" t="str">
        <f t="shared" si="295"/>
        <v/>
      </c>
      <c r="AR1761" s="63" t="str">
        <f t="shared" si="296"/>
        <v/>
      </c>
      <c r="AS1761" s="63" t="str">
        <f t="shared" si="297"/>
        <v/>
      </c>
      <c r="AT1761" s="78" t="str">
        <f t="shared" si="298"/>
        <v/>
      </c>
      <c r="AU1761" s="78" t="str">
        <f t="shared" si="299"/>
        <v/>
      </c>
      <c r="AV1761" s="64" t="str">
        <f ca="1">IFERROR(__xludf.DUMMYFUNCTION("IF(TRIM(AU1761)="""","""",AU1761/INDEX(FILTER(AT$3:AT1761,TRIM(AT$3:AT1761)&lt;&gt;""""),ROWS(FILTER(AT$3:AT1761,TRIM(AT$3:AT1761)&lt;&gt;"""")))-1)"),"")</f>
        <v/>
      </c>
      <c r="AW1761" s="65" t="e">
        <f t="shared" ca="1" si="292"/>
        <v>#VALUE!</v>
      </c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</row>
    <row r="1762" spans="1:68" ht="19" x14ac:dyDescent="0.25">
      <c r="A1762" s="5"/>
      <c r="B1762" s="5"/>
      <c r="C1762" s="5"/>
      <c r="D1762" s="5"/>
      <c r="E1762" s="5"/>
      <c r="F1762" s="5"/>
      <c r="G1762" s="5"/>
      <c r="H1762" s="6"/>
      <c r="I1762" s="5"/>
      <c r="J1762" s="88"/>
      <c r="K1762" s="88"/>
      <c r="L1762" s="88"/>
      <c r="M1762" s="88"/>
      <c r="N1762" s="88"/>
      <c r="O1762" s="88"/>
      <c r="P1762" s="88"/>
      <c r="Q1762" s="89"/>
      <c r="R1762" s="88"/>
      <c r="S1762" s="88"/>
      <c r="T1762" s="90"/>
      <c r="U1762" s="6"/>
      <c r="V1762" s="92"/>
      <c r="W1762" s="77"/>
      <c r="X1762" s="91"/>
      <c r="Y1762" s="77"/>
      <c r="Z1762" s="5"/>
      <c r="AA1762" s="5"/>
      <c r="AB1762" s="5"/>
      <c r="AC1762" s="5"/>
      <c r="AD1762" s="5"/>
      <c r="AE1762" s="5"/>
      <c r="AF1762" s="5"/>
      <c r="AG1762" s="5"/>
      <c r="AH1762" s="6"/>
      <c r="AI1762" s="92"/>
      <c r="AJ1762" s="93"/>
      <c r="AK1762" s="94"/>
      <c r="AL1762" s="95"/>
      <c r="AM1762" s="56"/>
      <c r="AN1762" s="57">
        <f t="shared" si="291"/>
        <v>0</v>
      </c>
      <c r="AO1762" s="76">
        <f t="shared" si="293"/>
        <v>0</v>
      </c>
      <c r="AP1762" s="63" t="str">
        <f t="shared" si="294"/>
        <v/>
      </c>
      <c r="AQ1762" s="63" t="str">
        <f t="shared" si="295"/>
        <v/>
      </c>
      <c r="AR1762" s="63" t="str">
        <f t="shared" si="296"/>
        <v/>
      </c>
      <c r="AS1762" s="63" t="str">
        <f t="shared" si="297"/>
        <v/>
      </c>
      <c r="AT1762" s="78" t="str">
        <f t="shared" si="298"/>
        <v/>
      </c>
      <c r="AU1762" s="78" t="str">
        <f t="shared" si="299"/>
        <v/>
      </c>
      <c r="AV1762" s="64" t="str">
        <f ca="1">IFERROR(__xludf.DUMMYFUNCTION("IF(TRIM(AU1762)="""","""",AU1762/INDEX(FILTER(AT$3:AT1762,TRIM(AT$3:AT1762)&lt;&gt;""""),ROWS(FILTER(AT$3:AT1762,TRIM(AT$3:AT1762)&lt;&gt;"""")))-1)"),"")</f>
        <v/>
      </c>
      <c r="AW1762" s="65" t="e">
        <f t="shared" ca="1" si="292"/>
        <v>#VALUE!</v>
      </c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</row>
    <row r="1763" spans="1:68" ht="19" x14ac:dyDescent="0.25">
      <c r="A1763" s="5"/>
      <c r="B1763" s="5"/>
      <c r="C1763" s="5"/>
      <c r="D1763" s="5"/>
      <c r="E1763" s="5"/>
      <c r="F1763" s="5"/>
      <c r="G1763" s="5"/>
      <c r="H1763" s="6"/>
      <c r="I1763" s="5"/>
      <c r="J1763" s="88"/>
      <c r="K1763" s="88"/>
      <c r="L1763" s="88"/>
      <c r="M1763" s="88"/>
      <c r="N1763" s="88"/>
      <c r="O1763" s="88"/>
      <c r="P1763" s="88"/>
      <c r="Q1763" s="89"/>
      <c r="R1763" s="88"/>
      <c r="S1763" s="88"/>
      <c r="T1763" s="90"/>
      <c r="U1763" s="6"/>
      <c r="V1763" s="92"/>
      <c r="W1763" s="77"/>
      <c r="X1763" s="91"/>
      <c r="Y1763" s="77"/>
      <c r="Z1763" s="5"/>
      <c r="AA1763" s="5"/>
      <c r="AB1763" s="5"/>
      <c r="AC1763" s="5"/>
      <c r="AD1763" s="5"/>
      <c r="AE1763" s="5"/>
      <c r="AF1763" s="5"/>
      <c r="AG1763" s="5"/>
      <c r="AH1763" s="6"/>
      <c r="AI1763" s="92"/>
      <c r="AJ1763" s="93"/>
      <c r="AK1763" s="94"/>
      <c r="AL1763" s="95"/>
      <c r="AM1763" s="56"/>
      <c r="AN1763" s="57">
        <f t="shared" si="291"/>
        <v>0</v>
      </c>
      <c r="AO1763" s="76">
        <f t="shared" si="293"/>
        <v>0</v>
      </c>
      <c r="AP1763" s="63" t="str">
        <f t="shared" si="294"/>
        <v/>
      </c>
      <c r="AQ1763" s="63" t="str">
        <f t="shared" si="295"/>
        <v/>
      </c>
      <c r="AR1763" s="63" t="str">
        <f t="shared" si="296"/>
        <v/>
      </c>
      <c r="AS1763" s="63" t="str">
        <f t="shared" si="297"/>
        <v/>
      </c>
      <c r="AT1763" s="78" t="str">
        <f t="shared" si="298"/>
        <v/>
      </c>
      <c r="AU1763" s="78" t="str">
        <f t="shared" si="299"/>
        <v/>
      </c>
      <c r="AV1763" s="64" t="str">
        <f ca="1">IFERROR(__xludf.DUMMYFUNCTION("IF(TRIM(AU1763)="""","""",AU1763/INDEX(FILTER(AT$3:AT1763,TRIM(AT$3:AT1763)&lt;&gt;""""),ROWS(FILTER(AT$3:AT1763,TRIM(AT$3:AT1763)&lt;&gt;"""")))-1)"),"")</f>
        <v/>
      </c>
      <c r="AW1763" s="65" t="e">
        <f t="shared" ca="1" si="292"/>
        <v>#VALUE!</v>
      </c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</row>
    <row r="1764" spans="1:68" ht="19" x14ac:dyDescent="0.25">
      <c r="A1764" s="5"/>
      <c r="B1764" s="5"/>
      <c r="C1764" s="5"/>
      <c r="D1764" s="5"/>
      <c r="E1764" s="5"/>
      <c r="F1764" s="5"/>
      <c r="G1764" s="5"/>
      <c r="H1764" s="6"/>
      <c r="I1764" s="5"/>
      <c r="J1764" s="88"/>
      <c r="K1764" s="88"/>
      <c r="L1764" s="88"/>
      <c r="M1764" s="88"/>
      <c r="N1764" s="88"/>
      <c r="O1764" s="88"/>
      <c r="P1764" s="88"/>
      <c r="Q1764" s="89"/>
      <c r="R1764" s="88"/>
      <c r="S1764" s="88"/>
      <c r="T1764" s="90"/>
      <c r="U1764" s="6"/>
      <c r="V1764" s="92"/>
      <c r="W1764" s="77"/>
      <c r="X1764" s="91"/>
      <c r="Y1764" s="77"/>
      <c r="Z1764" s="5"/>
      <c r="AA1764" s="5"/>
      <c r="AB1764" s="5"/>
      <c r="AC1764" s="5"/>
      <c r="AD1764" s="5"/>
      <c r="AE1764" s="5"/>
      <c r="AF1764" s="5"/>
      <c r="AG1764" s="5"/>
      <c r="AH1764" s="6"/>
      <c r="AI1764" s="92"/>
      <c r="AJ1764" s="93"/>
      <c r="AK1764" s="94"/>
      <c r="AL1764" s="95"/>
      <c r="AM1764" s="56"/>
      <c r="AN1764" s="57">
        <f t="shared" si="291"/>
        <v>0</v>
      </c>
      <c r="AO1764" s="76">
        <f t="shared" si="293"/>
        <v>0</v>
      </c>
      <c r="AP1764" s="63" t="str">
        <f t="shared" si="294"/>
        <v/>
      </c>
      <c r="AQ1764" s="63" t="str">
        <f t="shared" si="295"/>
        <v/>
      </c>
      <c r="AR1764" s="63" t="str">
        <f t="shared" si="296"/>
        <v/>
      </c>
      <c r="AS1764" s="63" t="str">
        <f t="shared" si="297"/>
        <v/>
      </c>
      <c r="AT1764" s="78" t="str">
        <f t="shared" si="298"/>
        <v/>
      </c>
      <c r="AU1764" s="78" t="str">
        <f t="shared" si="299"/>
        <v/>
      </c>
      <c r="AV1764" s="64" t="str">
        <f ca="1">IFERROR(__xludf.DUMMYFUNCTION("IF(TRIM(AU1764)="""","""",AU1764/INDEX(FILTER(AT$3:AT1764,TRIM(AT$3:AT1764)&lt;&gt;""""),ROWS(FILTER(AT$3:AT1764,TRIM(AT$3:AT1764)&lt;&gt;"""")))-1)"),"")</f>
        <v/>
      </c>
      <c r="AW1764" s="65" t="e">
        <f t="shared" ca="1" si="292"/>
        <v>#VALUE!</v>
      </c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</row>
    <row r="1765" spans="1:68" ht="19" x14ac:dyDescent="0.25">
      <c r="A1765" s="5"/>
      <c r="B1765" s="5"/>
      <c r="C1765" s="5"/>
      <c r="D1765" s="5"/>
      <c r="E1765" s="5"/>
      <c r="F1765" s="5"/>
      <c r="G1765" s="5"/>
      <c r="H1765" s="6"/>
      <c r="I1765" s="5"/>
      <c r="J1765" s="88"/>
      <c r="K1765" s="88"/>
      <c r="L1765" s="88"/>
      <c r="M1765" s="88"/>
      <c r="N1765" s="88"/>
      <c r="O1765" s="88"/>
      <c r="P1765" s="88"/>
      <c r="Q1765" s="89"/>
      <c r="R1765" s="88"/>
      <c r="S1765" s="88"/>
      <c r="T1765" s="90"/>
      <c r="U1765" s="6"/>
      <c r="V1765" s="92"/>
      <c r="W1765" s="77"/>
      <c r="X1765" s="91"/>
      <c r="Y1765" s="77"/>
      <c r="Z1765" s="5"/>
      <c r="AA1765" s="5"/>
      <c r="AB1765" s="5"/>
      <c r="AC1765" s="5"/>
      <c r="AD1765" s="5"/>
      <c r="AE1765" s="5"/>
      <c r="AF1765" s="5"/>
      <c r="AG1765" s="5"/>
      <c r="AH1765" s="6"/>
      <c r="AI1765" s="92"/>
      <c r="AJ1765" s="93"/>
      <c r="AK1765" s="94"/>
      <c r="AL1765" s="95"/>
      <c r="AM1765" s="56"/>
      <c r="AN1765" s="57">
        <f t="shared" si="291"/>
        <v>0</v>
      </c>
      <c r="AO1765" s="76">
        <f t="shared" si="293"/>
        <v>0</v>
      </c>
      <c r="AP1765" s="63" t="str">
        <f t="shared" si="294"/>
        <v/>
      </c>
      <c r="AQ1765" s="63" t="str">
        <f t="shared" si="295"/>
        <v/>
      </c>
      <c r="AR1765" s="63" t="str">
        <f t="shared" si="296"/>
        <v/>
      </c>
      <c r="AS1765" s="63" t="str">
        <f t="shared" si="297"/>
        <v/>
      </c>
      <c r="AT1765" s="78" t="str">
        <f t="shared" si="298"/>
        <v/>
      </c>
      <c r="AU1765" s="78" t="str">
        <f t="shared" si="299"/>
        <v/>
      </c>
      <c r="AV1765" s="64" t="str">
        <f ca="1">IFERROR(__xludf.DUMMYFUNCTION("IF(TRIM(AU1765)="""","""",AU1765/INDEX(FILTER(AT$3:AT1765,TRIM(AT$3:AT1765)&lt;&gt;""""),ROWS(FILTER(AT$3:AT1765,TRIM(AT$3:AT1765)&lt;&gt;"""")))-1)"),"")</f>
        <v/>
      </c>
      <c r="AW1765" s="65" t="e">
        <f t="shared" ca="1" si="292"/>
        <v>#VALUE!</v>
      </c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</row>
    <row r="1766" spans="1:68" ht="19" x14ac:dyDescent="0.25">
      <c r="A1766" s="5"/>
      <c r="B1766" s="5"/>
      <c r="C1766" s="5"/>
      <c r="D1766" s="5"/>
      <c r="E1766" s="5"/>
      <c r="F1766" s="5"/>
      <c r="G1766" s="5"/>
      <c r="H1766" s="6"/>
      <c r="I1766" s="5"/>
      <c r="J1766" s="88"/>
      <c r="K1766" s="88"/>
      <c r="L1766" s="88"/>
      <c r="M1766" s="88"/>
      <c r="N1766" s="88"/>
      <c r="O1766" s="88"/>
      <c r="P1766" s="88"/>
      <c r="Q1766" s="89"/>
      <c r="R1766" s="88"/>
      <c r="S1766" s="88"/>
      <c r="T1766" s="90"/>
      <c r="U1766" s="6"/>
      <c r="V1766" s="92"/>
      <c r="W1766" s="77"/>
      <c r="X1766" s="91"/>
      <c r="Y1766" s="77"/>
      <c r="Z1766" s="5"/>
      <c r="AA1766" s="5"/>
      <c r="AB1766" s="5"/>
      <c r="AC1766" s="5"/>
      <c r="AD1766" s="5"/>
      <c r="AE1766" s="5"/>
      <c r="AF1766" s="5"/>
      <c r="AG1766" s="5"/>
      <c r="AH1766" s="6"/>
      <c r="AI1766" s="92"/>
      <c r="AJ1766" s="93"/>
      <c r="AK1766" s="94"/>
      <c r="AL1766" s="95"/>
      <c r="AM1766" s="56"/>
      <c r="AN1766" s="57">
        <f t="shared" si="291"/>
        <v>0</v>
      </c>
      <c r="AO1766" s="76">
        <f t="shared" si="293"/>
        <v>0</v>
      </c>
      <c r="AP1766" s="63" t="str">
        <f t="shared" si="294"/>
        <v/>
      </c>
      <c r="AQ1766" s="63" t="str">
        <f t="shared" si="295"/>
        <v/>
      </c>
      <c r="AR1766" s="63" t="str">
        <f t="shared" si="296"/>
        <v/>
      </c>
      <c r="AS1766" s="63" t="str">
        <f t="shared" si="297"/>
        <v/>
      </c>
      <c r="AT1766" s="78" t="str">
        <f t="shared" si="298"/>
        <v/>
      </c>
      <c r="AU1766" s="78" t="str">
        <f t="shared" si="299"/>
        <v/>
      </c>
      <c r="AV1766" s="64" t="str">
        <f ca="1">IFERROR(__xludf.DUMMYFUNCTION("IF(TRIM(AU1766)="""","""",AU1766/INDEX(FILTER(AT$3:AT1766,TRIM(AT$3:AT1766)&lt;&gt;""""),ROWS(FILTER(AT$3:AT1766,TRIM(AT$3:AT1766)&lt;&gt;"""")))-1)"),"")</f>
        <v/>
      </c>
      <c r="AW1766" s="65" t="e">
        <f t="shared" ca="1" si="292"/>
        <v>#VALUE!</v>
      </c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</row>
    <row r="1767" spans="1:68" ht="19" x14ac:dyDescent="0.25">
      <c r="A1767" s="5"/>
      <c r="B1767" s="5"/>
      <c r="C1767" s="5"/>
      <c r="D1767" s="5"/>
      <c r="E1767" s="5"/>
      <c r="F1767" s="5"/>
      <c r="G1767" s="5"/>
      <c r="H1767" s="6"/>
      <c r="I1767" s="5"/>
      <c r="J1767" s="88"/>
      <c r="K1767" s="88"/>
      <c r="L1767" s="88"/>
      <c r="M1767" s="88"/>
      <c r="N1767" s="88"/>
      <c r="O1767" s="88"/>
      <c r="P1767" s="88"/>
      <c r="Q1767" s="89"/>
      <c r="R1767" s="88"/>
      <c r="S1767" s="88"/>
      <c r="T1767" s="90"/>
      <c r="U1767" s="6"/>
      <c r="V1767" s="92"/>
      <c r="W1767" s="77"/>
      <c r="X1767" s="91"/>
      <c r="Y1767" s="77"/>
      <c r="Z1767" s="5"/>
      <c r="AA1767" s="5"/>
      <c r="AB1767" s="5"/>
      <c r="AC1767" s="5"/>
      <c r="AD1767" s="5"/>
      <c r="AE1767" s="5"/>
      <c r="AF1767" s="5"/>
      <c r="AG1767" s="5"/>
      <c r="AH1767" s="6"/>
      <c r="AI1767" s="92"/>
      <c r="AJ1767" s="93"/>
      <c r="AK1767" s="94"/>
      <c r="AL1767" s="95"/>
      <c r="AM1767" s="56"/>
      <c r="AN1767" s="57">
        <f t="shared" si="291"/>
        <v>0</v>
      </c>
      <c r="AO1767" s="76">
        <f t="shared" si="293"/>
        <v>0</v>
      </c>
      <c r="AP1767" s="63" t="str">
        <f t="shared" si="294"/>
        <v/>
      </c>
      <c r="AQ1767" s="63" t="str">
        <f t="shared" si="295"/>
        <v/>
      </c>
      <c r="AR1767" s="63" t="str">
        <f t="shared" si="296"/>
        <v/>
      </c>
      <c r="AS1767" s="63" t="str">
        <f t="shared" si="297"/>
        <v/>
      </c>
      <c r="AT1767" s="78" t="str">
        <f t="shared" si="298"/>
        <v/>
      </c>
      <c r="AU1767" s="78" t="str">
        <f t="shared" si="299"/>
        <v/>
      </c>
      <c r="AV1767" s="64" t="str">
        <f ca="1">IFERROR(__xludf.DUMMYFUNCTION("IF(TRIM(AU1767)="""","""",AU1767/INDEX(FILTER(AT$3:AT1767,TRIM(AT$3:AT1767)&lt;&gt;""""),ROWS(FILTER(AT$3:AT1767,TRIM(AT$3:AT1767)&lt;&gt;"""")))-1)"),"")</f>
        <v/>
      </c>
      <c r="AW1767" s="65" t="e">
        <f t="shared" ca="1" si="292"/>
        <v>#VALUE!</v>
      </c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</row>
    <row r="1768" spans="1:68" ht="19" x14ac:dyDescent="0.25">
      <c r="A1768" s="5"/>
      <c r="B1768" s="5"/>
      <c r="C1768" s="5"/>
      <c r="D1768" s="5"/>
      <c r="E1768" s="5"/>
      <c r="F1768" s="5"/>
      <c r="G1768" s="5"/>
      <c r="H1768" s="6"/>
      <c r="I1768" s="5"/>
      <c r="J1768" s="88"/>
      <c r="K1768" s="88"/>
      <c r="L1768" s="88"/>
      <c r="M1768" s="88"/>
      <c r="N1768" s="88"/>
      <c r="O1768" s="88"/>
      <c r="P1768" s="88"/>
      <c r="Q1768" s="89"/>
      <c r="R1768" s="88"/>
      <c r="S1768" s="88"/>
      <c r="T1768" s="90"/>
      <c r="U1768" s="6"/>
      <c r="V1768" s="92"/>
      <c r="W1768" s="77"/>
      <c r="X1768" s="91"/>
      <c r="Y1768" s="77"/>
      <c r="Z1768" s="5"/>
      <c r="AA1768" s="5"/>
      <c r="AB1768" s="5"/>
      <c r="AC1768" s="5"/>
      <c r="AD1768" s="5"/>
      <c r="AE1768" s="5"/>
      <c r="AF1768" s="5"/>
      <c r="AG1768" s="5"/>
      <c r="AH1768" s="6"/>
      <c r="AI1768" s="92"/>
      <c r="AJ1768" s="93"/>
      <c r="AK1768" s="94"/>
      <c r="AL1768" s="95"/>
      <c r="AM1768" s="56"/>
      <c r="AN1768" s="57">
        <f t="shared" si="291"/>
        <v>0</v>
      </c>
      <c r="AO1768" s="76">
        <f t="shared" si="293"/>
        <v>0</v>
      </c>
      <c r="AP1768" s="63" t="str">
        <f t="shared" si="294"/>
        <v/>
      </c>
      <c r="AQ1768" s="63" t="str">
        <f t="shared" si="295"/>
        <v/>
      </c>
      <c r="AR1768" s="63" t="str">
        <f t="shared" si="296"/>
        <v/>
      </c>
      <c r="AS1768" s="63" t="str">
        <f t="shared" si="297"/>
        <v/>
      </c>
      <c r="AT1768" s="78" t="str">
        <f t="shared" si="298"/>
        <v/>
      </c>
      <c r="AU1768" s="78" t="str">
        <f t="shared" si="299"/>
        <v/>
      </c>
      <c r="AV1768" s="64" t="str">
        <f ca="1">IFERROR(__xludf.DUMMYFUNCTION("IF(TRIM(AU1768)="""","""",AU1768/INDEX(FILTER(AT$3:AT1768,TRIM(AT$3:AT1768)&lt;&gt;""""),ROWS(FILTER(AT$3:AT1768,TRIM(AT$3:AT1768)&lt;&gt;"""")))-1)"),"")</f>
        <v/>
      </c>
      <c r="AW1768" s="65" t="e">
        <f t="shared" ca="1" si="292"/>
        <v>#VALUE!</v>
      </c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</row>
    <row r="1769" spans="1:68" ht="19" x14ac:dyDescent="0.25">
      <c r="A1769" s="5"/>
      <c r="B1769" s="5"/>
      <c r="C1769" s="5"/>
      <c r="D1769" s="5"/>
      <c r="E1769" s="5"/>
      <c r="F1769" s="5"/>
      <c r="G1769" s="5"/>
      <c r="H1769" s="6"/>
      <c r="I1769" s="5"/>
      <c r="J1769" s="88"/>
      <c r="K1769" s="88"/>
      <c r="L1769" s="88"/>
      <c r="M1769" s="88"/>
      <c r="N1769" s="88"/>
      <c r="O1769" s="88"/>
      <c r="P1769" s="88"/>
      <c r="Q1769" s="89"/>
      <c r="R1769" s="88"/>
      <c r="S1769" s="88"/>
      <c r="T1769" s="90"/>
      <c r="U1769" s="6"/>
      <c r="V1769" s="92"/>
      <c r="W1769" s="77"/>
      <c r="X1769" s="91"/>
      <c r="Y1769" s="77"/>
      <c r="Z1769" s="5"/>
      <c r="AA1769" s="5"/>
      <c r="AB1769" s="5"/>
      <c r="AC1769" s="5"/>
      <c r="AD1769" s="5"/>
      <c r="AE1769" s="5"/>
      <c r="AF1769" s="5"/>
      <c r="AG1769" s="5"/>
      <c r="AH1769" s="6"/>
      <c r="AI1769" s="92"/>
      <c r="AJ1769" s="93"/>
      <c r="AK1769" s="94"/>
      <c r="AL1769" s="95"/>
      <c r="AM1769" s="56"/>
      <c r="AN1769" s="57">
        <f t="shared" si="291"/>
        <v>0</v>
      </c>
      <c r="AO1769" s="76">
        <f t="shared" si="293"/>
        <v>0</v>
      </c>
      <c r="AP1769" s="63" t="str">
        <f t="shared" si="294"/>
        <v/>
      </c>
      <c r="AQ1769" s="63" t="str">
        <f t="shared" si="295"/>
        <v/>
      </c>
      <c r="AR1769" s="63" t="str">
        <f t="shared" si="296"/>
        <v/>
      </c>
      <c r="AS1769" s="63" t="str">
        <f t="shared" si="297"/>
        <v/>
      </c>
      <c r="AT1769" s="78" t="str">
        <f t="shared" si="298"/>
        <v/>
      </c>
      <c r="AU1769" s="78" t="str">
        <f t="shared" si="299"/>
        <v/>
      </c>
      <c r="AV1769" s="64" t="str">
        <f ca="1">IFERROR(__xludf.DUMMYFUNCTION("IF(TRIM(AU1769)="""","""",AU1769/INDEX(FILTER(AT$3:AT1769,TRIM(AT$3:AT1769)&lt;&gt;""""),ROWS(FILTER(AT$3:AT1769,TRIM(AT$3:AT1769)&lt;&gt;"""")))-1)"),"")</f>
        <v/>
      </c>
      <c r="AW1769" s="65" t="e">
        <f t="shared" ca="1" si="292"/>
        <v>#VALUE!</v>
      </c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</row>
    <row r="1770" spans="1:68" ht="19" x14ac:dyDescent="0.25">
      <c r="A1770" s="5"/>
      <c r="B1770" s="5"/>
      <c r="C1770" s="5"/>
      <c r="D1770" s="5"/>
      <c r="E1770" s="5"/>
      <c r="F1770" s="5"/>
      <c r="G1770" s="5"/>
      <c r="H1770" s="6"/>
      <c r="I1770" s="5"/>
      <c r="J1770" s="88"/>
      <c r="K1770" s="88"/>
      <c r="L1770" s="88"/>
      <c r="M1770" s="88"/>
      <c r="N1770" s="88"/>
      <c r="O1770" s="88"/>
      <c r="P1770" s="88"/>
      <c r="Q1770" s="89"/>
      <c r="R1770" s="88"/>
      <c r="S1770" s="88"/>
      <c r="T1770" s="90"/>
      <c r="U1770" s="6"/>
      <c r="V1770" s="92"/>
      <c r="W1770" s="77"/>
      <c r="X1770" s="91"/>
      <c r="Y1770" s="77"/>
      <c r="Z1770" s="5"/>
      <c r="AA1770" s="5"/>
      <c r="AB1770" s="5"/>
      <c r="AC1770" s="5"/>
      <c r="AD1770" s="5"/>
      <c r="AE1770" s="5"/>
      <c r="AF1770" s="5"/>
      <c r="AG1770" s="5"/>
      <c r="AH1770" s="6"/>
      <c r="AI1770" s="92"/>
      <c r="AJ1770" s="93"/>
      <c r="AK1770" s="94"/>
      <c r="AL1770" s="95"/>
      <c r="AM1770" s="56"/>
      <c r="AN1770" s="57">
        <f t="shared" si="291"/>
        <v>0</v>
      </c>
      <c r="AO1770" s="76">
        <f t="shared" si="293"/>
        <v>0</v>
      </c>
      <c r="AP1770" s="63" t="str">
        <f t="shared" si="294"/>
        <v/>
      </c>
      <c r="AQ1770" s="63" t="str">
        <f t="shared" si="295"/>
        <v/>
      </c>
      <c r="AR1770" s="63" t="str">
        <f t="shared" si="296"/>
        <v/>
      </c>
      <c r="AS1770" s="63" t="str">
        <f t="shared" si="297"/>
        <v/>
      </c>
      <c r="AT1770" s="78" t="str">
        <f t="shared" si="298"/>
        <v/>
      </c>
      <c r="AU1770" s="78" t="str">
        <f t="shared" si="299"/>
        <v/>
      </c>
      <c r="AV1770" s="64" t="str">
        <f ca="1">IFERROR(__xludf.DUMMYFUNCTION("IF(TRIM(AU1770)="""","""",AU1770/INDEX(FILTER(AT$3:AT1770,TRIM(AT$3:AT1770)&lt;&gt;""""),ROWS(FILTER(AT$3:AT1770,TRIM(AT$3:AT1770)&lt;&gt;"""")))-1)"),"")</f>
        <v/>
      </c>
      <c r="AW1770" s="65" t="e">
        <f t="shared" ca="1" si="292"/>
        <v>#VALUE!</v>
      </c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</row>
    <row r="1771" spans="1:68" ht="19" x14ac:dyDescent="0.25">
      <c r="A1771" s="5"/>
      <c r="B1771" s="5"/>
      <c r="C1771" s="5"/>
      <c r="D1771" s="5"/>
      <c r="E1771" s="5"/>
      <c r="F1771" s="5"/>
      <c r="G1771" s="5"/>
      <c r="H1771" s="6"/>
      <c r="I1771" s="5"/>
      <c r="J1771" s="88"/>
      <c r="K1771" s="88"/>
      <c r="L1771" s="88"/>
      <c r="M1771" s="88"/>
      <c r="N1771" s="88"/>
      <c r="O1771" s="88"/>
      <c r="P1771" s="88"/>
      <c r="Q1771" s="89"/>
      <c r="R1771" s="88"/>
      <c r="S1771" s="88"/>
      <c r="T1771" s="90"/>
      <c r="U1771" s="6"/>
      <c r="V1771" s="92"/>
      <c r="W1771" s="77"/>
      <c r="X1771" s="91"/>
      <c r="Y1771" s="77"/>
      <c r="Z1771" s="5"/>
      <c r="AA1771" s="5"/>
      <c r="AB1771" s="5"/>
      <c r="AC1771" s="5"/>
      <c r="AD1771" s="5"/>
      <c r="AE1771" s="5"/>
      <c r="AF1771" s="5"/>
      <c r="AG1771" s="5"/>
      <c r="AH1771" s="6"/>
      <c r="AI1771" s="92"/>
      <c r="AJ1771" s="93"/>
      <c r="AK1771" s="94"/>
      <c r="AL1771" s="95"/>
      <c r="AM1771" s="56"/>
      <c r="AN1771" s="57">
        <f t="shared" si="291"/>
        <v>0</v>
      </c>
      <c r="AO1771" s="76">
        <f t="shared" si="293"/>
        <v>0</v>
      </c>
      <c r="AP1771" s="63" t="str">
        <f t="shared" si="294"/>
        <v/>
      </c>
      <c r="AQ1771" s="63" t="str">
        <f t="shared" si="295"/>
        <v/>
      </c>
      <c r="AR1771" s="63" t="str">
        <f t="shared" si="296"/>
        <v/>
      </c>
      <c r="AS1771" s="63" t="str">
        <f t="shared" si="297"/>
        <v/>
      </c>
      <c r="AT1771" s="78" t="str">
        <f t="shared" si="298"/>
        <v/>
      </c>
      <c r="AU1771" s="78" t="str">
        <f t="shared" si="299"/>
        <v/>
      </c>
      <c r="AV1771" s="64" t="str">
        <f ca="1">IFERROR(__xludf.DUMMYFUNCTION("IF(TRIM(AU1771)="""","""",AU1771/INDEX(FILTER(AT$3:AT1771,TRIM(AT$3:AT1771)&lt;&gt;""""),ROWS(FILTER(AT$3:AT1771,TRIM(AT$3:AT1771)&lt;&gt;"""")))-1)"),"")</f>
        <v/>
      </c>
      <c r="AW1771" s="65" t="e">
        <f t="shared" ca="1" si="292"/>
        <v>#VALUE!</v>
      </c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</row>
    <row r="1772" spans="1:68" ht="19" x14ac:dyDescent="0.25">
      <c r="A1772" s="5"/>
      <c r="B1772" s="5"/>
      <c r="C1772" s="5"/>
      <c r="D1772" s="5"/>
      <c r="E1772" s="5"/>
      <c r="F1772" s="5"/>
      <c r="G1772" s="5"/>
      <c r="H1772" s="6"/>
      <c r="I1772" s="5"/>
      <c r="J1772" s="88"/>
      <c r="K1772" s="88"/>
      <c r="L1772" s="88"/>
      <c r="M1772" s="88"/>
      <c r="N1772" s="88"/>
      <c r="O1772" s="88"/>
      <c r="P1772" s="88"/>
      <c r="Q1772" s="89"/>
      <c r="R1772" s="88"/>
      <c r="S1772" s="88"/>
      <c r="T1772" s="90"/>
      <c r="U1772" s="6"/>
      <c r="V1772" s="92"/>
      <c r="W1772" s="77"/>
      <c r="X1772" s="91"/>
      <c r="Y1772" s="77"/>
      <c r="Z1772" s="5"/>
      <c r="AA1772" s="5"/>
      <c r="AB1772" s="5"/>
      <c r="AC1772" s="5"/>
      <c r="AD1772" s="5"/>
      <c r="AE1772" s="5"/>
      <c r="AF1772" s="5"/>
      <c r="AG1772" s="5"/>
      <c r="AH1772" s="6"/>
      <c r="AI1772" s="92"/>
      <c r="AJ1772" s="93"/>
      <c r="AK1772" s="94"/>
      <c r="AL1772" s="95"/>
      <c r="AM1772" s="56"/>
      <c r="AN1772" s="57">
        <f t="shared" si="291"/>
        <v>0</v>
      </c>
      <c r="AO1772" s="76">
        <f t="shared" si="293"/>
        <v>0</v>
      </c>
      <c r="AP1772" s="63" t="str">
        <f t="shared" si="294"/>
        <v/>
      </c>
      <c r="AQ1772" s="63" t="str">
        <f t="shared" si="295"/>
        <v/>
      </c>
      <c r="AR1772" s="63" t="str">
        <f t="shared" si="296"/>
        <v/>
      </c>
      <c r="AS1772" s="63" t="str">
        <f t="shared" si="297"/>
        <v/>
      </c>
      <c r="AT1772" s="78" t="str">
        <f t="shared" si="298"/>
        <v/>
      </c>
      <c r="AU1772" s="78" t="str">
        <f t="shared" si="299"/>
        <v/>
      </c>
      <c r="AV1772" s="64" t="str">
        <f ca="1">IFERROR(__xludf.DUMMYFUNCTION("IF(TRIM(AU1772)="""","""",AU1772/INDEX(FILTER(AT$3:AT1772,TRIM(AT$3:AT1772)&lt;&gt;""""),ROWS(FILTER(AT$3:AT1772,TRIM(AT$3:AT1772)&lt;&gt;"""")))-1)"),"")</f>
        <v/>
      </c>
      <c r="AW1772" s="65" t="e">
        <f t="shared" ca="1" si="292"/>
        <v>#VALUE!</v>
      </c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</row>
    <row r="1773" spans="1:68" ht="19" x14ac:dyDescent="0.25">
      <c r="A1773" s="5"/>
      <c r="B1773" s="5"/>
      <c r="C1773" s="5"/>
      <c r="D1773" s="5"/>
      <c r="E1773" s="5"/>
      <c r="F1773" s="5"/>
      <c r="G1773" s="5"/>
      <c r="H1773" s="6"/>
      <c r="I1773" s="5"/>
      <c r="J1773" s="88"/>
      <c r="K1773" s="88"/>
      <c r="L1773" s="88"/>
      <c r="M1773" s="88"/>
      <c r="N1773" s="88"/>
      <c r="O1773" s="88"/>
      <c r="P1773" s="88"/>
      <c r="Q1773" s="89"/>
      <c r="R1773" s="88"/>
      <c r="S1773" s="88"/>
      <c r="T1773" s="90"/>
      <c r="U1773" s="6"/>
      <c r="V1773" s="92"/>
      <c r="W1773" s="77"/>
      <c r="X1773" s="91"/>
      <c r="Y1773" s="77"/>
      <c r="Z1773" s="5"/>
      <c r="AA1773" s="5"/>
      <c r="AB1773" s="5"/>
      <c r="AC1773" s="5"/>
      <c r="AD1773" s="5"/>
      <c r="AE1773" s="5"/>
      <c r="AF1773" s="5"/>
      <c r="AG1773" s="5"/>
      <c r="AH1773" s="6"/>
      <c r="AI1773" s="92"/>
      <c r="AJ1773" s="93"/>
      <c r="AK1773" s="94"/>
      <c r="AL1773" s="95"/>
      <c r="AM1773" s="56"/>
      <c r="AN1773" s="57">
        <f t="shared" si="291"/>
        <v>0</v>
      </c>
      <c r="AO1773" s="76">
        <f t="shared" si="293"/>
        <v>0</v>
      </c>
      <c r="AP1773" s="63" t="str">
        <f t="shared" si="294"/>
        <v/>
      </c>
      <c r="AQ1773" s="63" t="str">
        <f t="shared" si="295"/>
        <v/>
      </c>
      <c r="AR1773" s="63" t="str">
        <f t="shared" si="296"/>
        <v/>
      </c>
      <c r="AS1773" s="63" t="str">
        <f t="shared" si="297"/>
        <v/>
      </c>
      <c r="AT1773" s="78" t="str">
        <f t="shared" si="298"/>
        <v/>
      </c>
      <c r="AU1773" s="78" t="str">
        <f t="shared" si="299"/>
        <v/>
      </c>
      <c r="AV1773" s="64" t="str">
        <f ca="1">IFERROR(__xludf.DUMMYFUNCTION("IF(TRIM(AU1773)="""","""",AU1773/INDEX(FILTER(AT$3:AT1773,TRIM(AT$3:AT1773)&lt;&gt;""""),ROWS(FILTER(AT$3:AT1773,TRIM(AT$3:AT1773)&lt;&gt;"""")))-1)"),"")</f>
        <v/>
      </c>
      <c r="AW1773" s="65" t="e">
        <f t="shared" ca="1" si="292"/>
        <v>#VALUE!</v>
      </c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</row>
    <row r="1774" spans="1:68" ht="19" x14ac:dyDescent="0.25">
      <c r="A1774" s="5"/>
      <c r="B1774" s="5"/>
      <c r="C1774" s="5"/>
      <c r="D1774" s="5"/>
      <c r="E1774" s="5"/>
      <c r="F1774" s="5"/>
      <c r="G1774" s="5"/>
      <c r="H1774" s="6"/>
      <c r="I1774" s="5"/>
      <c r="J1774" s="88"/>
      <c r="K1774" s="88"/>
      <c r="L1774" s="88"/>
      <c r="M1774" s="88"/>
      <c r="N1774" s="88"/>
      <c r="O1774" s="88"/>
      <c r="P1774" s="88"/>
      <c r="Q1774" s="89"/>
      <c r="R1774" s="88"/>
      <c r="S1774" s="88"/>
      <c r="T1774" s="90"/>
      <c r="U1774" s="6"/>
      <c r="V1774" s="92"/>
      <c r="W1774" s="77"/>
      <c r="X1774" s="91"/>
      <c r="Y1774" s="77"/>
      <c r="Z1774" s="5"/>
      <c r="AA1774" s="5"/>
      <c r="AB1774" s="5"/>
      <c r="AC1774" s="5"/>
      <c r="AD1774" s="5"/>
      <c r="AE1774" s="5"/>
      <c r="AF1774" s="5"/>
      <c r="AG1774" s="5"/>
      <c r="AH1774" s="6"/>
      <c r="AI1774" s="92"/>
      <c r="AJ1774" s="93"/>
      <c r="AK1774" s="94"/>
      <c r="AL1774" s="95"/>
      <c r="AM1774" s="56"/>
      <c r="AN1774" s="57">
        <f t="shared" si="291"/>
        <v>0</v>
      </c>
      <c r="AO1774" s="76">
        <f t="shared" si="293"/>
        <v>0</v>
      </c>
      <c r="AP1774" s="63" t="str">
        <f t="shared" si="294"/>
        <v/>
      </c>
      <c r="AQ1774" s="63" t="str">
        <f t="shared" si="295"/>
        <v/>
      </c>
      <c r="AR1774" s="63" t="str">
        <f t="shared" si="296"/>
        <v/>
      </c>
      <c r="AS1774" s="63" t="str">
        <f t="shared" si="297"/>
        <v/>
      </c>
      <c r="AT1774" s="78" t="str">
        <f t="shared" si="298"/>
        <v/>
      </c>
      <c r="AU1774" s="78" t="str">
        <f t="shared" si="299"/>
        <v/>
      </c>
      <c r="AV1774" s="64" t="str">
        <f ca="1">IFERROR(__xludf.DUMMYFUNCTION("IF(TRIM(AU1774)="""","""",AU1774/INDEX(FILTER(AT$3:AT1774,TRIM(AT$3:AT1774)&lt;&gt;""""),ROWS(FILTER(AT$3:AT1774,TRIM(AT$3:AT1774)&lt;&gt;"""")))-1)"),"")</f>
        <v/>
      </c>
      <c r="AW1774" s="65" t="e">
        <f t="shared" ca="1" si="292"/>
        <v>#VALUE!</v>
      </c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</row>
    <row r="1775" spans="1:68" ht="19" x14ac:dyDescent="0.25">
      <c r="A1775" s="5"/>
      <c r="B1775" s="5"/>
      <c r="C1775" s="5"/>
      <c r="D1775" s="5"/>
      <c r="E1775" s="5"/>
      <c r="F1775" s="5"/>
      <c r="G1775" s="5"/>
      <c r="H1775" s="6"/>
      <c r="I1775" s="5"/>
      <c r="J1775" s="88"/>
      <c r="K1775" s="88"/>
      <c r="L1775" s="88"/>
      <c r="M1775" s="88"/>
      <c r="N1775" s="88"/>
      <c r="O1775" s="88"/>
      <c r="P1775" s="88"/>
      <c r="Q1775" s="89"/>
      <c r="R1775" s="88"/>
      <c r="S1775" s="88"/>
      <c r="T1775" s="90"/>
      <c r="U1775" s="6"/>
      <c r="V1775" s="92"/>
      <c r="W1775" s="77"/>
      <c r="X1775" s="91"/>
      <c r="Y1775" s="77"/>
      <c r="Z1775" s="5"/>
      <c r="AA1775" s="5"/>
      <c r="AB1775" s="5"/>
      <c r="AC1775" s="5"/>
      <c r="AD1775" s="5"/>
      <c r="AE1775" s="5"/>
      <c r="AF1775" s="5"/>
      <c r="AG1775" s="5"/>
      <c r="AH1775" s="6"/>
      <c r="AI1775" s="92"/>
      <c r="AJ1775" s="93"/>
      <c r="AK1775" s="94"/>
      <c r="AL1775" s="95"/>
      <c r="AM1775" s="56"/>
      <c r="AN1775" s="57">
        <f t="shared" si="291"/>
        <v>0</v>
      </c>
      <c r="AO1775" s="76">
        <f t="shared" si="293"/>
        <v>0</v>
      </c>
      <c r="AP1775" s="63" t="str">
        <f t="shared" si="294"/>
        <v/>
      </c>
      <c r="AQ1775" s="63" t="str">
        <f t="shared" si="295"/>
        <v/>
      </c>
      <c r="AR1775" s="63" t="str">
        <f t="shared" si="296"/>
        <v/>
      </c>
      <c r="AS1775" s="63" t="str">
        <f t="shared" si="297"/>
        <v/>
      </c>
      <c r="AT1775" s="78" t="str">
        <f t="shared" si="298"/>
        <v/>
      </c>
      <c r="AU1775" s="78" t="str">
        <f t="shared" si="299"/>
        <v/>
      </c>
      <c r="AV1775" s="64" t="str">
        <f ca="1">IFERROR(__xludf.DUMMYFUNCTION("IF(TRIM(AU1775)="""","""",AU1775/INDEX(FILTER(AT$3:AT1775,TRIM(AT$3:AT1775)&lt;&gt;""""),ROWS(FILTER(AT$3:AT1775,TRIM(AT$3:AT1775)&lt;&gt;"""")))-1)"),"")</f>
        <v/>
      </c>
      <c r="AW1775" s="65" t="e">
        <f t="shared" ca="1" si="292"/>
        <v>#VALUE!</v>
      </c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</row>
    <row r="1776" spans="1:68" ht="19" x14ac:dyDescent="0.25">
      <c r="A1776" s="5"/>
      <c r="B1776" s="5"/>
      <c r="C1776" s="5"/>
      <c r="D1776" s="5"/>
      <c r="E1776" s="5"/>
      <c r="F1776" s="5"/>
      <c r="G1776" s="5"/>
      <c r="H1776" s="6"/>
      <c r="I1776" s="5"/>
      <c r="J1776" s="88"/>
      <c r="K1776" s="88"/>
      <c r="L1776" s="88"/>
      <c r="M1776" s="88"/>
      <c r="N1776" s="88"/>
      <c r="O1776" s="88"/>
      <c r="P1776" s="88"/>
      <c r="Q1776" s="89"/>
      <c r="R1776" s="88"/>
      <c r="S1776" s="88"/>
      <c r="T1776" s="90"/>
      <c r="U1776" s="6"/>
      <c r="V1776" s="92"/>
      <c r="W1776" s="77"/>
      <c r="X1776" s="91"/>
      <c r="Y1776" s="77"/>
      <c r="Z1776" s="5"/>
      <c r="AA1776" s="5"/>
      <c r="AB1776" s="5"/>
      <c r="AC1776" s="5"/>
      <c r="AD1776" s="5"/>
      <c r="AE1776" s="5"/>
      <c r="AF1776" s="5"/>
      <c r="AG1776" s="5"/>
      <c r="AH1776" s="6"/>
      <c r="AI1776" s="92"/>
      <c r="AJ1776" s="93"/>
      <c r="AK1776" s="94"/>
      <c r="AL1776" s="95"/>
      <c r="AM1776" s="56"/>
      <c r="AN1776" s="57">
        <f t="shared" si="291"/>
        <v>0</v>
      </c>
      <c r="AO1776" s="76">
        <f t="shared" si="293"/>
        <v>0</v>
      </c>
      <c r="AP1776" s="63" t="str">
        <f t="shared" si="294"/>
        <v/>
      </c>
      <c r="AQ1776" s="63" t="str">
        <f t="shared" si="295"/>
        <v/>
      </c>
      <c r="AR1776" s="63" t="str">
        <f t="shared" si="296"/>
        <v/>
      </c>
      <c r="AS1776" s="63" t="str">
        <f t="shared" si="297"/>
        <v/>
      </c>
      <c r="AT1776" s="78" t="str">
        <f t="shared" si="298"/>
        <v/>
      </c>
      <c r="AU1776" s="78" t="str">
        <f t="shared" si="299"/>
        <v/>
      </c>
      <c r="AV1776" s="64" t="str">
        <f ca="1">IFERROR(__xludf.DUMMYFUNCTION("IF(TRIM(AU1776)="""","""",AU1776/INDEX(FILTER(AT$3:AT1776,TRIM(AT$3:AT1776)&lt;&gt;""""),ROWS(FILTER(AT$3:AT1776,TRIM(AT$3:AT1776)&lt;&gt;"""")))-1)"),"")</f>
        <v/>
      </c>
      <c r="AW1776" s="65" t="e">
        <f t="shared" ca="1" si="292"/>
        <v>#VALUE!</v>
      </c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</row>
    <row r="1777" spans="1:68" ht="19" x14ac:dyDescent="0.25">
      <c r="A1777" s="5"/>
      <c r="B1777" s="5"/>
      <c r="C1777" s="5"/>
      <c r="D1777" s="5"/>
      <c r="E1777" s="5"/>
      <c r="F1777" s="5"/>
      <c r="G1777" s="5"/>
      <c r="H1777" s="6"/>
      <c r="I1777" s="5"/>
      <c r="J1777" s="88"/>
      <c r="K1777" s="88"/>
      <c r="L1777" s="88"/>
      <c r="M1777" s="88"/>
      <c r="N1777" s="88"/>
      <c r="O1777" s="88"/>
      <c r="P1777" s="88"/>
      <c r="Q1777" s="89"/>
      <c r="R1777" s="88"/>
      <c r="S1777" s="88"/>
      <c r="T1777" s="90"/>
      <c r="U1777" s="6"/>
      <c r="V1777" s="92"/>
      <c r="W1777" s="77"/>
      <c r="X1777" s="91"/>
      <c r="Y1777" s="77"/>
      <c r="Z1777" s="5"/>
      <c r="AA1777" s="5"/>
      <c r="AB1777" s="5"/>
      <c r="AC1777" s="5"/>
      <c r="AD1777" s="5"/>
      <c r="AE1777" s="5"/>
      <c r="AF1777" s="5"/>
      <c r="AG1777" s="5"/>
      <c r="AH1777" s="6"/>
      <c r="AI1777" s="92"/>
      <c r="AJ1777" s="93"/>
      <c r="AK1777" s="94"/>
      <c r="AL1777" s="95"/>
      <c r="AM1777" s="56"/>
      <c r="AN1777" s="57">
        <f t="shared" si="291"/>
        <v>0</v>
      </c>
      <c r="AO1777" s="76">
        <f t="shared" si="293"/>
        <v>0</v>
      </c>
      <c r="AP1777" s="63" t="str">
        <f t="shared" si="294"/>
        <v/>
      </c>
      <c r="AQ1777" s="63" t="str">
        <f t="shared" si="295"/>
        <v/>
      </c>
      <c r="AR1777" s="63" t="str">
        <f t="shared" si="296"/>
        <v/>
      </c>
      <c r="AS1777" s="63" t="str">
        <f t="shared" si="297"/>
        <v/>
      </c>
      <c r="AT1777" s="78" t="str">
        <f t="shared" si="298"/>
        <v/>
      </c>
      <c r="AU1777" s="78" t="str">
        <f t="shared" si="299"/>
        <v/>
      </c>
      <c r="AV1777" s="64" t="str">
        <f ca="1">IFERROR(__xludf.DUMMYFUNCTION("IF(TRIM(AU1777)="""","""",AU1777/INDEX(FILTER(AT$3:AT1777,TRIM(AT$3:AT1777)&lt;&gt;""""),ROWS(FILTER(AT$3:AT1777,TRIM(AT$3:AT1777)&lt;&gt;"""")))-1)"),"")</f>
        <v/>
      </c>
      <c r="AW1777" s="65" t="e">
        <f t="shared" ca="1" si="292"/>
        <v>#VALUE!</v>
      </c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</row>
    <row r="1778" spans="1:68" ht="19" x14ac:dyDescent="0.25">
      <c r="A1778" s="5"/>
      <c r="B1778" s="5"/>
      <c r="C1778" s="5"/>
      <c r="D1778" s="5"/>
      <c r="E1778" s="5"/>
      <c r="F1778" s="5"/>
      <c r="G1778" s="5"/>
      <c r="H1778" s="6"/>
      <c r="I1778" s="5"/>
      <c r="J1778" s="88"/>
      <c r="K1778" s="88"/>
      <c r="L1778" s="88"/>
      <c r="M1778" s="88"/>
      <c r="N1778" s="88"/>
      <c r="O1778" s="88"/>
      <c r="P1778" s="88"/>
      <c r="Q1778" s="89"/>
      <c r="R1778" s="88"/>
      <c r="S1778" s="88"/>
      <c r="T1778" s="90"/>
      <c r="U1778" s="6"/>
      <c r="V1778" s="92"/>
      <c r="W1778" s="77"/>
      <c r="X1778" s="91"/>
      <c r="Y1778" s="77"/>
      <c r="Z1778" s="5"/>
      <c r="AA1778" s="5"/>
      <c r="AB1778" s="5"/>
      <c r="AC1778" s="5"/>
      <c r="AD1778" s="5"/>
      <c r="AE1778" s="5"/>
      <c r="AF1778" s="5"/>
      <c r="AG1778" s="5"/>
      <c r="AH1778" s="6"/>
      <c r="AI1778" s="92"/>
      <c r="AJ1778" s="93"/>
      <c r="AK1778" s="94"/>
      <c r="AL1778" s="95"/>
      <c r="AM1778" s="56"/>
      <c r="AN1778" s="57">
        <f t="shared" si="291"/>
        <v>0</v>
      </c>
      <c r="AO1778" s="76">
        <f t="shared" si="293"/>
        <v>0</v>
      </c>
      <c r="AP1778" s="63" t="str">
        <f t="shared" si="294"/>
        <v/>
      </c>
      <c r="AQ1778" s="63" t="str">
        <f t="shared" si="295"/>
        <v/>
      </c>
      <c r="AR1778" s="63" t="str">
        <f t="shared" si="296"/>
        <v/>
      </c>
      <c r="AS1778" s="63" t="str">
        <f t="shared" si="297"/>
        <v/>
      </c>
      <c r="AT1778" s="78" t="str">
        <f t="shared" si="298"/>
        <v/>
      </c>
      <c r="AU1778" s="78" t="str">
        <f t="shared" si="299"/>
        <v/>
      </c>
      <c r="AV1778" s="64" t="str">
        <f ca="1">IFERROR(__xludf.DUMMYFUNCTION("IF(TRIM(AU1778)="""","""",AU1778/INDEX(FILTER(AT$3:AT1778,TRIM(AT$3:AT1778)&lt;&gt;""""),ROWS(FILTER(AT$3:AT1778,TRIM(AT$3:AT1778)&lt;&gt;"""")))-1)"),"")</f>
        <v/>
      </c>
      <c r="AW1778" s="65" t="e">
        <f t="shared" ca="1" si="292"/>
        <v>#VALUE!</v>
      </c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</row>
    <row r="1779" spans="1:68" ht="19" x14ac:dyDescent="0.25">
      <c r="A1779" s="5"/>
      <c r="B1779" s="5"/>
      <c r="C1779" s="5"/>
      <c r="D1779" s="5"/>
      <c r="E1779" s="5"/>
      <c r="F1779" s="5"/>
      <c r="G1779" s="5"/>
      <c r="H1779" s="6"/>
      <c r="I1779" s="5"/>
      <c r="J1779" s="88"/>
      <c r="K1779" s="88"/>
      <c r="L1779" s="88"/>
      <c r="M1779" s="88"/>
      <c r="N1779" s="88"/>
      <c r="O1779" s="88"/>
      <c r="P1779" s="88"/>
      <c r="Q1779" s="89"/>
      <c r="R1779" s="88"/>
      <c r="S1779" s="88"/>
      <c r="T1779" s="90"/>
      <c r="U1779" s="6"/>
      <c r="V1779" s="92"/>
      <c r="W1779" s="77"/>
      <c r="X1779" s="91"/>
      <c r="Y1779" s="77"/>
      <c r="Z1779" s="5"/>
      <c r="AA1779" s="5"/>
      <c r="AB1779" s="5"/>
      <c r="AC1779" s="5"/>
      <c r="AD1779" s="5"/>
      <c r="AE1779" s="5"/>
      <c r="AF1779" s="5"/>
      <c r="AG1779" s="5"/>
      <c r="AH1779" s="6"/>
      <c r="AI1779" s="92"/>
      <c r="AJ1779" s="93"/>
      <c r="AK1779" s="94"/>
      <c r="AL1779" s="95"/>
      <c r="AM1779" s="56"/>
      <c r="AN1779" s="57">
        <f t="shared" si="291"/>
        <v>0</v>
      </c>
      <c r="AO1779" s="76">
        <f t="shared" si="293"/>
        <v>0</v>
      </c>
      <c r="AP1779" s="63" t="str">
        <f t="shared" si="294"/>
        <v/>
      </c>
      <c r="AQ1779" s="63" t="str">
        <f t="shared" si="295"/>
        <v/>
      </c>
      <c r="AR1779" s="63" t="str">
        <f t="shared" si="296"/>
        <v/>
      </c>
      <c r="AS1779" s="63" t="str">
        <f t="shared" si="297"/>
        <v/>
      </c>
      <c r="AT1779" s="78" t="str">
        <f t="shared" si="298"/>
        <v/>
      </c>
      <c r="AU1779" s="78" t="str">
        <f t="shared" si="299"/>
        <v/>
      </c>
      <c r="AV1779" s="64" t="str">
        <f ca="1">IFERROR(__xludf.DUMMYFUNCTION("IF(TRIM(AU1779)="""","""",AU1779/INDEX(FILTER(AT$3:AT1779,TRIM(AT$3:AT1779)&lt;&gt;""""),ROWS(FILTER(AT$3:AT1779,TRIM(AT$3:AT1779)&lt;&gt;"""")))-1)"),"")</f>
        <v/>
      </c>
      <c r="AW1779" s="65" t="e">
        <f t="shared" ca="1" si="292"/>
        <v>#VALUE!</v>
      </c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</row>
    <row r="1780" spans="1:68" ht="19" x14ac:dyDescent="0.25">
      <c r="A1780" s="5"/>
      <c r="B1780" s="5"/>
      <c r="C1780" s="5"/>
      <c r="D1780" s="5"/>
      <c r="E1780" s="5"/>
      <c r="F1780" s="5"/>
      <c r="G1780" s="5"/>
      <c r="H1780" s="6"/>
      <c r="I1780" s="5"/>
      <c r="J1780" s="88"/>
      <c r="K1780" s="88"/>
      <c r="L1780" s="88"/>
      <c r="M1780" s="88"/>
      <c r="N1780" s="88"/>
      <c r="O1780" s="88"/>
      <c r="P1780" s="88"/>
      <c r="Q1780" s="89"/>
      <c r="R1780" s="88"/>
      <c r="S1780" s="88"/>
      <c r="T1780" s="90"/>
      <c r="U1780" s="6"/>
      <c r="V1780" s="92"/>
      <c r="W1780" s="77"/>
      <c r="X1780" s="91"/>
      <c r="Y1780" s="77"/>
      <c r="Z1780" s="5"/>
      <c r="AA1780" s="5"/>
      <c r="AB1780" s="5"/>
      <c r="AC1780" s="5"/>
      <c r="AD1780" s="5"/>
      <c r="AE1780" s="5"/>
      <c r="AF1780" s="5"/>
      <c r="AG1780" s="5"/>
      <c r="AH1780" s="6"/>
      <c r="AI1780" s="92"/>
      <c r="AJ1780" s="93"/>
      <c r="AK1780" s="94"/>
      <c r="AL1780" s="95"/>
      <c r="AM1780" s="56"/>
      <c r="AN1780" s="57">
        <f t="shared" si="291"/>
        <v>0</v>
      </c>
      <c r="AO1780" s="76">
        <f t="shared" si="293"/>
        <v>0</v>
      </c>
      <c r="AP1780" s="63" t="str">
        <f t="shared" si="294"/>
        <v/>
      </c>
      <c r="AQ1780" s="63" t="str">
        <f t="shared" si="295"/>
        <v/>
      </c>
      <c r="AR1780" s="63" t="str">
        <f t="shared" si="296"/>
        <v/>
      </c>
      <c r="AS1780" s="63" t="str">
        <f t="shared" si="297"/>
        <v/>
      </c>
      <c r="AT1780" s="78" t="str">
        <f t="shared" si="298"/>
        <v/>
      </c>
      <c r="AU1780" s="78" t="str">
        <f t="shared" si="299"/>
        <v/>
      </c>
      <c r="AV1780" s="64" t="str">
        <f ca="1">IFERROR(__xludf.DUMMYFUNCTION("IF(TRIM(AU1780)="""","""",AU1780/INDEX(FILTER(AT$3:AT1780,TRIM(AT$3:AT1780)&lt;&gt;""""),ROWS(FILTER(AT$3:AT1780,TRIM(AT$3:AT1780)&lt;&gt;"""")))-1)"),"")</f>
        <v/>
      </c>
      <c r="AW1780" s="65" t="e">
        <f t="shared" ca="1" si="292"/>
        <v>#VALUE!</v>
      </c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</row>
    <row r="1781" spans="1:68" ht="19" x14ac:dyDescent="0.25">
      <c r="A1781" s="5"/>
      <c r="B1781" s="5"/>
      <c r="C1781" s="5"/>
      <c r="D1781" s="5"/>
      <c r="E1781" s="5"/>
      <c r="F1781" s="5"/>
      <c r="G1781" s="5"/>
      <c r="H1781" s="6"/>
      <c r="I1781" s="5"/>
      <c r="J1781" s="88"/>
      <c r="K1781" s="88"/>
      <c r="L1781" s="88"/>
      <c r="M1781" s="88"/>
      <c r="N1781" s="88"/>
      <c r="O1781" s="88"/>
      <c r="P1781" s="88"/>
      <c r="Q1781" s="89"/>
      <c r="R1781" s="88"/>
      <c r="S1781" s="88"/>
      <c r="T1781" s="90"/>
      <c r="U1781" s="6"/>
      <c r="V1781" s="92"/>
      <c r="W1781" s="77"/>
      <c r="X1781" s="91"/>
      <c r="Y1781" s="77"/>
      <c r="Z1781" s="5"/>
      <c r="AA1781" s="5"/>
      <c r="AB1781" s="5"/>
      <c r="AC1781" s="5"/>
      <c r="AD1781" s="5"/>
      <c r="AE1781" s="5"/>
      <c r="AF1781" s="5"/>
      <c r="AG1781" s="5"/>
      <c r="AH1781" s="6"/>
      <c r="AI1781" s="92"/>
      <c r="AJ1781" s="93"/>
      <c r="AK1781" s="94"/>
      <c r="AL1781" s="95"/>
      <c r="AM1781" s="56"/>
      <c r="AN1781" s="57">
        <f t="shared" si="291"/>
        <v>0</v>
      </c>
      <c r="AO1781" s="76">
        <f t="shared" si="293"/>
        <v>0</v>
      </c>
      <c r="AP1781" s="63" t="str">
        <f t="shared" si="294"/>
        <v/>
      </c>
      <c r="AQ1781" s="63" t="str">
        <f t="shared" si="295"/>
        <v/>
      </c>
      <c r="AR1781" s="63" t="str">
        <f t="shared" si="296"/>
        <v/>
      </c>
      <c r="AS1781" s="63" t="str">
        <f t="shared" si="297"/>
        <v/>
      </c>
      <c r="AT1781" s="78" t="str">
        <f t="shared" si="298"/>
        <v/>
      </c>
      <c r="AU1781" s="78" t="str">
        <f t="shared" si="299"/>
        <v/>
      </c>
      <c r="AV1781" s="64" t="str">
        <f ca="1">IFERROR(__xludf.DUMMYFUNCTION("IF(TRIM(AU1781)="""","""",AU1781/INDEX(FILTER(AT$3:AT1781,TRIM(AT$3:AT1781)&lt;&gt;""""),ROWS(FILTER(AT$3:AT1781,TRIM(AT$3:AT1781)&lt;&gt;"""")))-1)"),"")</f>
        <v/>
      </c>
      <c r="AW1781" s="65" t="e">
        <f t="shared" ca="1" si="292"/>
        <v>#VALUE!</v>
      </c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</row>
    <row r="1782" spans="1:68" ht="19" x14ac:dyDescent="0.25">
      <c r="A1782" s="5"/>
      <c r="B1782" s="5"/>
      <c r="C1782" s="5"/>
      <c r="D1782" s="5"/>
      <c r="E1782" s="5"/>
      <c r="F1782" s="5"/>
      <c r="G1782" s="5"/>
      <c r="H1782" s="6"/>
      <c r="I1782" s="5"/>
      <c r="J1782" s="88"/>
      <c r="K1782" s="88"/>
      <c r="L1782" s="88"/>
      <c r="M1782" s="88"/>
      <c r="N1782" s="88"/>
      <c r="O1782" s="88"/>
      <c r="P1782" s="88"/>
      <c r="Q1782" s="89"/>
      <c r="R1782" s="88"/>
      <c r="S1782" s="88"/>
      <c r="T1782" s="90"/>
      <c r="U1782" s="6"/>
      <c r="V1782" s="92"/>
      <c r="W1782" s="77"/>
      <c r="X1782" s="91"/>
      <c r="Y1782" s="77"/>
      <c r="Z1782" s="5"/>
      <c r="AA1782" s="5"/>
      <c r="AB1782" s="5"/>
      <c r="AC1782" s="5"/>
      <c r="AD1782" s="5"/>
      <c r="AE1782" s="5"/>
      <c r="AF1782" s="5"/>
      <c r="AG1782" s="5"/>
      <c r="AH1782" s="6"/>
      <c r="AI1782" s="92"/>
      <c r="AJ1782" s="93"/>
      <c r="AK1782" s="94"/>
      <c r="AL1782" s="95"/>
      <c r="AM1782" s="56"/>
      <c r="AN1782" s="57">
        <f t="shared" si="291"/>
        <v>0</v>
      </c>
      <c r="AO1782" s="76">
        <f t="shared" si="293"/>
        <v>0</v>
      </c>
      <c r="AP1782" s="63" t="str">
        <f t="shared" si="294"/>
        <v/>
      </c>
      <c r="AQ1782" s="63" t="str">
        <f t="shared" si="295"/>
        <v/>
      </c>
      <c r="AR1782" s="63" t="str">
        <f t="shared" si="296"/>
        <v/>
      </c>
      <c r="AS1782" s="63" t="str">
        <f t="shared" si="297"/>
        <v/>
      </c>
      <c r="AT1782" s="78" t="str">
        <f t="shared" si="298"/>
        <v/>
      </c>
      <c r="AU1782" s="78" t="str">
        <f t="shared" si="299"/>
        <v/>
      </c>
      <c r="AV1782" s="64" t="str">
        <f ca="1">IFERROR(__xludf.DUMMYFUNCTION("IF(TRIM(AU1782)="""","""",AU1782/INDEX(FILTER(AT$3:AT1782,TRIM(AT$3:AT1782)&lt;&gt;""""),ROWS(FILTER(AT$3:AT1782,TRIM(AT$3:AT1782)&lt;&gt;"""")))-1)"),"")</f>
        <v/>
      </c>
      <c r="AW1782" s="65" t="e">
        <f t="shared" ca="1" si="292"/>
        <v>#VALUE!</v>
      </c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</row>
    <row r="1783" spans="1:68" ht="19" x14ac:dyDescent="0.25">
      <c r="A1783" s="5"/>
      <c r="B1783" s="5"/>
      <c r="C1783" s="5"/>
      <c r="D1783" s="5"/>
      <c r="E1783" s="5"/>
      <c r="F1783" s="5"/>
      <c r="G1783" s="5"/>
      <c r="H1783" s="6"/>
      <c r="I1783" s="5"/>
      <c r="J1783" s="88"/>
      <c r="K1783" s="88"/>
      <c r="L1783" s="88"/>
      <c r="M1783" s="88"/>
      <c r="N1783" s="88"/>
      <c r="O1783" s="88"/>
      <c r="P1783" s="88"/>
      <c r="Q1783" s="89"/>
      <c r="R1783" s="88"/>
      <c r="S1783" s="88"/>
      <c r="T1783" s="90"/>
      <c r="U1783" s="6"/>
      <c r="V1783" s="92"/>
      <c r="W1783" s="77"/>
      <c r="X1783" s="91"/>
      <c r="Y1783" s="77"/>
      <c r="Z1783" s="5"/>
      <c r="AA1783" s="5"/>
      <c r="AB1783" s="5"/>
      <c r="AC1783" s="5"/>
      <c r="AD1783" s="5"/>
      <c r="AE1783" s="5"/>
      <c r="AF1783" s="5"/>
      <c r="AG1783" s="5"/>
      <c r="AH1783" s="6"/>
      <c r="AI1783" s="92"/>
      <c r="AJ1783" s="93"/>
      <c r="AK1783" s="94"/>
      <c r="AL1783" s="95"/>
      <c r="AM1783" s="56"/>
      <c r="AN1783" s="57">
        <f t="shared" si="291"/>
        <v>0</v>
      </c>
      <c r="AO1783" s="76">
        <f t="shared" si="293"/>
        <v>0</v>
      </c>
      <c r="AP1783" s="63" t="str">
        <f t="shared" si="294"/>
        <v/>
      </c>
      <c r="AQ1783" s="63" t="str">
        <f t="shared" si="295"/>
        <v/>
      </c>
      <c r="AR1783" s="63" t="str">
        <f t="shared" si="296"/>
        <v/>
      </c>
      <c r="AS1783" s="63" t="str">
        <f t="shared" si="297"/>
        <v/>
      </c>
      <c r="AT1783" s="78" t="str">
        <f t="shared" si="298"/>
        <v/>
      </c>
      <c r="AU1783" s="78" t="str">
        <f t="shared" si="299"/>
        <v/>
      </c>
      <c r="AV1783" s="64" t="str">
        <f ca="1">IFERROR(__xludf.DUMMYFUNCTION("IF(TRIM(AU1783)="""","""",AU1783/INDEX(FILTER(AT$3:AT1783,TRIM(AT$3:AT1783)&lt;&gt;""""),ROWS(FILTER(AT$3:AT1783,TRIM(AT$3:AT1783)&lt;&gt;"""")))-1)"),"")</f>
        <v/>
      </c>
      <c r="AW1783" s="65" t="e">
        <f t="shared" ca="1" si="292"/>
        <v>#VALUE!</v>
      </c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</row>
    <row r="1784" spans="1:68" ht="19" x14ac:dyDescent="0.25">
      <c r="A1784" s="5"/>
      <c r="B1784" s="5"/>
      <c r="C1784" s="5"/>
      <c r="D1784" s="5"/>
      <c r="E1784" s="5"/>
      <c r="F1784" s="5"/>
      <c r="G1784" s="5"/>
      <c r="H1784" s="6"/>
      <c r="I1784" s="5"/>
      <c r="J1784" s="88"/>
      <c r="K1784" s="88"/>
      <c r="L1784" s="88"/>
      <c r="M1784" s="88"/>
      <c r="N1784" s="88"/>
      <c r="O1784" s="88"/>
      <c r="P1784" s="88"/>
      <c r="Q1784" s="89"/>
      <c r="R1784" s="88"/>
      <c r="S1784" s="88"/>
      <c r="T1784" s="90"/>
      <c r="U1784" s="6"/>
      <c r="V1784" s="92"/>
      <c r="W1784" s="77"/>
      <c r="X1784" s="91"/>
      <c r="Y1784" s="77"/>
      <c r="Z1784" s="5"/>
      <c r="AA1784" s="5"/>
      <c r="AB1784" s="5"/>
      <c r="AC1784" s="5"/>
      <c r="AD1784" s="5"/>
      <c r="AE1784" s="5"/>
      <c r="AF1784" s="5"/>
      <c r="AG1784" s="5"/>
      <c r="AH1784" s="6"/>
      <c r="AI1784" s="92"/>
      <c r="AJ1784" s="93"/>
      <c r="AK1784" s="94"/>
      <c r="AL1784" s="95"/>
      <c r="AM1784" s="56"/>
      <c r="AN1784" s="57">
        <f t="shared" si="291"/>
        <v>0</v>
      </c>
      <c r="AO1784" s="76">
        <f t="shared" si="293"/>
        <v>0</v>
      </c>
      <c r="AP1784" s="63" t="str">
        <f t="shared" si="294"/>
        <v/>
      </c>
      <c r="AQ1784" s="63" t="str">
        <f t="shared" si="295"/>
        <v/>
      </c>
      <c r="AR1784" s="63" t="str">
        <f t="shared" si="296"/>
        <v/>
      </c>
      <c r="AS1784" s="63" t="str">
        <f t="shared" si="297"/>
        <v/>
      </c>
      <c r="AT1784" s="78" t="str">
        <f t="shared" si="298"/>
        <v/>
      </c>
      <c r="AU1784" s="78" t="str">
        <f t="shared" si="299"/>
        <v/>
      </c>
      <c r="AV1784" s="64" t="str">
        <f ca="1">IFERROR(__xludf.DUMMYFUNCTION("IF(TRIM(AU1784)="""","""",AU1784/INDEX(FILTER(AT$3:AT1784,TRIM(AT$3:AT1784)&lt;&gt;""""),ROWS(FILTER(AT$3:AT1784,TRIM(AT$3:AT1784)&lt;&gt;"""")))-1)"),"")</f>
        <v/>
      </c>
      <c r="AW1784" s="65" t="e">
        <f t="shared" ca="1" si="292"/>
        <v>#VALUE!</v>
      </c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</row>
    <row r="1785" spans="1:68" ht="19" x14ac:dyDescent="0.25">
      <c r="A1785" s="5"/>
      <c r="B1785" s="5"/>
      <c r="C1785" s="5"/>
      <c r="D1785" s="5"/>
      <c r="E1785" s="5"/>
      <c r="F1785" s="5"/>
      <c r="G1785" s="5"/>
      <c r="H1785" s="6"/>
      <c r="I1785" s="5"/>
      <c r="J1785" s="88"/>
      <c r="K1785" s="88"/>
      <c r="L1785" s="88"/>
      <c r="M1785" s="88"/>
      <c r="N1785" s="88"/>
      <c r="O1785" s="88"/>
      <c r="P1785" s="88"/>
      <c r="Q1785" s="89"/>
      <c r="R1785" s="88"/>
      <c r="S1785" s="88"/>
      <c r="T1785" s="90"/>
      <c r="U1785" s="6"/>
      <c r="V1785" s="92"/>
      <c r="W1785" s="77"/>
      <c r="X1785" s="91"/>
      <c r="Y1785" s="77"/>
      <c r="Z1785" s="5"/>
      <c r="AA1785" s="5"/>
      <c r="AB1785" s="5"/>
      <c r="AC1785" s="5"/>
      <c r="AD1785" s="5"/>
      <c r="AE1785" s="5"/>
      <c r="AF1785" s="5"/>
      <c r="AG1785" s="5"/>
      <c r="AH1785" s="6"/>
      <c r="AI1785" s="92"/>
      <c r="AJ1785" s="93"/>
      <c r="AK1785" s="94"/>
      <c r="AL1785" s="95"/>
      <c r="AM1785" s="56"/>
      <c r="AN1785" s="57">
        <f t="shared" si="291"/>
        <v>0</v>
      </c>
      <c r="AO1785" s="76">
        <f t="shared" si="293"/>
        <v>0</v>
      </c>
      <c r="AP1785" s="63" t="str">
        <f t="shared" si="294"/>
        <v/>
      </c>
      <c r="AQ1785" s="63" t="str">
        <f t="shared" si="295"/>
        <v/>
      </c>
      <c r="AR1785" s="63" t="str">
        <f t="shared" si="296"/>
        <v/>
      </c>
      <c r="AS1785" s="63" t="str">
        <f t="shared" si="297"/>
        <v/>
      </c>
      <c r="AT1785" s="78" t="str">
        <f t="shared" si="298"/>
        <v/>
      </c>
      <c r="AU1785" s="78" t="str">
        <f t="shared" si="299"/>
        <v/>
      </c>
      <c r="AV1785" s="64" t="str">
        <f ca="1">IFERROR(__xludf.DUMMYFUNCTION("IF(TRIM(AU1785)="""","""",AU1785/INDEX(FILTER(AT$3:AT1785,TRIM(AT$3:AT1785)&lt;&gt;""""),ROWS(FILTER(AT$3:AT1785,TRIM(AT$3:AT1785)&lt;&gt;"""")))-1)"),"")</f>
        <v/>
      </c>
      <c r="AW1785" s="65" t="e">
        <f t="shared" ca="1" si="292"/>
        <v>#VALUE!</v>
      </c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</row>
    <row r="1786" spans="1:68" ht="19" x14ac:dyDescent="0.25">
      <c r="A1786" s="5"/>
      <c r="B1786" s="5"/>
      <c r="C1786" s="5"/>
      <c r="D1786" s="5"/>
      <c r="E1786" s="5"/>
      <c r="F1786" s="5"/>
      <c r="G1786" s="5"/>
      <c r="H1786" s="6"/>
      <c r="I1786" s="5"/>
      <c r="J1786" s="88"/>
      <c r="K1786" s="88"/>
      <c r="L1786" s="88"/>
      <c r="M1786" s="88"/>
      <c r="N1786" s="88"/>
      <c r="O1786" s="88"/>
      <c r="P1786" s="88"/>
      <c r="Q1786" s="89"/>
      <c r="R1786" s="88"/>
      <c r="S1786" s="88"/>
      <c r="T1786" s="90"/>
      <c r="U1786" s="6"/>
      <c r="V1786" s="92"/>
      <c r="W1786" s="77"/>
      <c r="X1786" s="91"/>
      <c r="Y1786" s="77"/>
      <c r="Z1786" s="5"/>
      <c r="AA1786" s="5"/>
      <c r="AB1786" s="5"/>
      <c r="AC1786" s="5"/>
      <c r="AD1786" s="5"/>
      <c r="AE1786" s="5"/>
      <c r="AF1786" s="5"/>
      <c r="AG1786" s="5"/>
      <c r="AH1786" s="6"/>
      <c r="AI1786" s="92"/>
      <c r="AJ1786" s="93"/>
      <c r="AK1786" s="94"/>
      <c r="AL1786" s="95"/>
      <c r="AM1786" s="56"/>
      <c r="AN1786" s="57">
        <f t="shared" si="291"/>
        <v>0</v>
      </c>
      <c r="AO1786" s="76">
        <f t="shared" si="293"/>
        <v>0</v>
      </c>
      <c r="AP1786" s="63" t="str">
        <f t="shared" si="294"/>
        <v/>
      </c>
      <c r="AQ1786" s="63" t="str">
        <f t="shared" si="295"/>
        <v/>
      </c>
      <c r="AR1786" s="63" t="str">
        <f t="shared" si="296"/>
        <v/>
      </c>
      <c r="AS1786" s="63" t="str">
        <f t="shared" si="297"/>
        <v/>
      </c>
      <c r="AT1786" s="78" t="str">
        <f t="shared" si="298"/>
        <v/>
      </c>
      <c r="AU1786" s="78" t="str">
        <f t="shared" si="299"/>
        <v/>
      </c>
      <c r="AV1786" s="64" t="str">
        <f ca="1">IFERROR(__xludf.DUMMYFUNCTION("IF(TRIM(AU1786)="""","""",AU1786/INDEX(FILTER(AT$3:AT1786,TRIM(AT$3:AT1786)&lt;&gt;""""),ROWS(FILTER(AT$3:AT1786,TRIM(AT$3:AT1786)&lt;&gt;"""")))-1)"),"")</f>
        <v/>
      </c>
      <c r="AW1786" s="65" t="e">
        <f t="shared" ca="1" si="292"/>
        <v>#VALUE!</v>
      </c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</row>
    <row r="1787" spans="1:68" ht="19" x14ac:dyDescent="0.25">
      <c r="A1787" s="5"/>
      <c r="B1787" s="5"/>
      <c r="C1787" s="5"/>
      <c r="D1787" s="5"/>
      <c r="E1787" s="5"/>
      <c r="F1787" s="5"/>
      <c r="G1787" s="5"/>
      <c r="H1787" s="6"/>
      <c r="I1787" s="5"/>
      <c r="J1787" s="88"/>
      <c r="K1787" s="88"/>
      <c r="L1787" s="88"/>
      <c r="M1787" s="88"/>
      <c r="N1787" s="88"/>
      <c r="O1787" s="88"/>
      <c r="P1787" s="88"/>
      <c r="Q1787" s="89"/>
      <c r="R1787" s="88"/>
      <c r="S1787" s="88"/>
      <c r="T1787" s="90"/>
      <c r="U1787" s="6"/>
      <c r="V1787" s="92"/>
      <c r="W1787" s="77"/>
      <c r="X1787" s="91"/>
      <c r="Y1787" s="77"/>
      <c r="Z1787" s="5"/>
      <c r="AA1787" s="5"/>
      <c r="AB1787" s="5"/>
      <c r="AC1787" s="5"/>
      <c r="AD1787" s="5"/>
      <c r="AE1787" s="5"/>
      <c r="AF1787" s="5"/>
      <c r="AG1787" s="5"/>
      <c r="AH1787" s="6"/>
      <c r="AI1787" s="92"/>
      <c r="AJ1787" s="93"/>
      <c r="AK1787" s="94"/>
      <c r="AL1787" s="95"/>
      <c r="AM1787" s="56"/>
      <c r="AN1787" s="57">
        <f t="shared" si="291"/>
        <v>0</v>
      </c>
      <c r="AO1787" s="76">
        <f t="shared" si="293"/>
        <v>0</v>
      </c>
      <c r="AP1787" s="63" t="str">
        <f t="shared" si="294"/>
        <v/>
      </c>
      <c r="AQ1787" s="63" t="str">
        <f t="shared" si="295"/>
        <v/>
      </c>
      <c r="AR1787" s="63" t="str">
        <f t="shared" si="296"/>
        <v/>
      </c>
      <c r="AS1787" s="63" t="str">
        <f t="shared" si="297"/>
        <v/>
      </c>
      <c r="AT1787" s="78" t="str">
        <f t="shared" si="298"/>
        <v/>
      </c>
      <c r="AU1787" s="78" t="str">
        <f t="shared" si="299"/>
        <v/>
      </c>
      <c r="AV1787" s="64" t="str">
        <f ca="1">IFERROR(__xludf.DUMMYFUNCTION("IF(TRIM(AU1787)="""","""",AU1787/INDEX(FILTER(AT$3:AT1787,TRIM(AT$3:AT1787)&lt;&gt;""""),ROWS(FILTER(AT$3:AT1787,TRIM(AT$3:AT1787)&lt;&gt;"""")))-1)"),"")</f>
        <v/>
      </c>
      <c r="AW1787" s="65" t="e">
        <f t="shared" ca="1" si="292"/>
        <v>#VALUE!</v>
      </c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</row>
    <row r="1788" spans="1:68" ht="19" x14ac:dyDescent="0.25">
      <c r="A1788" s="5"/>
      <c r="B1788" s="5"/>
      <c r="C1788" s="5"/>
      <c r="D1788" s="5"/>
      <c r="E1788" s="5"/>
      <c r="F1788" s="5"/>
      <c r="G1788" s="5"/>
      <c r="H1788" s="6"/>
      <c r="I1788" s="5"/>
      <c r="J1788" s="88"/>
      <c r="K1788" s="88"/>
      <c r="L1788" s="88"/>
      <c r="M1788" s="88"/>
      <c r="N1788" s="88"/>
      <c r="O1788" s="88"/>
      <c r="P1788" s="88"/>
      <c r="Q1788" s="89"/>
      <c r="R1788" s="88"/>
      <c r="S1788" s="88"/>
      <c r="T1788" s="90"/>
      <c r="U1788" s="6"/>
      <c r="V1788" s="92"/>
      <c r="W1788" s="77"/>
      <c r="X1788" s="91"/>
      <c r="Y1788" s="77"/>
      <c r="Z1788" s="5"/>
      <c r="AA1788" s="5"/>
      <c r="AB1788" s="5"/>
      <c r="AC1788" s="5"/>
      <c r="AD1788" s="5"/>
      <c r="AE1788" s="5"/>
      <c r="AF1788" s="5"/>
      <c r="AG1788" s="5"/>
      <c r="AH1788" s="6"/>
      <c r="AI1788" s="92"/>
      <c r="AJ1788" s="93"/>
      <c r="AK1788" s="94"/>
      <c r="AL1788" s="95"/>
      <c r="AM1788" s="56"/>
      <c r="AN1788" s="57">
        <f t="shared" si="291"/>
        <v>0</v>
      </c>
      <c r="AO1788" s="76">
        <f t="shared" si="293"/>
        <v>0</v>
      </c>
      <c r="AP1788" s="63" t="str">
        <f t="shared" si="294"/>
        <v/>
      </c>
      <c r="AQ1788" s="63" t="str">
        <f t="shared" si="295"/>
        <v/>
      </c>
      <c r="AR1788" s="63" t="str">
        <f t="shared" si="296"/>
        <v/>
      </c>
      <c r="AS1788" s="63" t="str">
        <f t="shared" si="297"/>
        <v/>
      </c>
      <c r="AT1788" s="78" t="str">
        <f t="shared" si="298"/>
        <v/>
      </c>
      <c r="AU1788" s="78" t="str">
        <f t="shared" si="299"/>
        <v/>
      </c>
      <c r="AV1788" s="64" t="str">
        <f ca="1">IFERROR(__xludf.DUMMYFUNCTION("IF(TRIM(AU1788)="""","""",AU1788/INDEX(FILTER(AT$3:AT1788,TRIM(AT$3:AT1788)&lt;&gt;""""),ROWS(FILTER(AT$3:AT1788,TRIM(AT$3:AT1788)&lt;&gt;"""")))-1)"),"")</f>
        <v/>
      </c>
      <c r="AW1788" s="65" t="e">
        <f t="shared" ca="1" si="292"/>
        <v>#VALUE!</v>
      </c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</row>
    <row r="1789" spans="1:68" ht="19" x14ac:dyDescent="0.25">
      <c r="A1789" s="5"/>
      <c r="B1789" s="5"/>
      <c r="C1789" s="5"/>
      <c r="D1789" s="5"/>
      <c r="E1789" s="5"/>
      <c r="F1789" s="5"/>
      <c r="G1789" s="5"/>
      <c r="H1789" s="6"/>
      <c r="I1789" s="5"/>
      <c r="J1789" s="88"/>
      <c r="K1789" s="88"/>
      <c r="L1789" s="88"/>
      <c r="M1789" s="88"/>
      <c r="N1789" s="88"/>
      <c r="O1789" s="88"/>
      <c r="P1789" s="88"/>
      <c r="Q1789" s="89"/>
      <c r="R1789" s="88"/>
      <c r="S1789" s="88"/>
      <c r="T1789" s="90"/>
      <c r="U1789" s="6"/>
      <c r="V1789" s="92"/>
      <c r="W1789" s="77"/>
      <c r="X1789" s="91"/>
      <c r="Y1789" s="77"/>
      <c r="Z1789" s="5"/>
      <c r="AA1789" s="5"/>
      <c r="AB1789" s="5"/>
      <c r="AC1789" s="5"/>
      <c r="AD1789" s="5"/>
      <c r="AE1789" s="5"/>
      <c r="AF1789" s="5"/>
      <c r="AG1789" s="5"/>
      <c r="AH1789" s="6"/>
      <c r="AI1789" s="92"/>
      <c r="AJ1789" s="93"/>
      <c r="AK1789" s="94"/>
      <c r="AL1789" s="95"/>
      <c r="AM1789" s="56"/>
      <c r="AN1789" s="57">
        <f t="shared" si="291"/>
        <v>0</v>
      </c>
      <c r="AO1789" s="76">
        <f t="shared" si="293"/>
        <v>0</v>
      </c>
      <c r="AP1789" s="63" t="str">
        <f t="shared" si="294"/>
        <v/>
      </c>
      <c r="AQ1789" s="63" t="str">
        <f t="shared" si="295"/>
        <v/>
      </c>
      <c r="AR1789" s="63" t="str">
        <f t="shared" si="296"/>
        <v/>
      </c>
      <c r="AS1789" s="63" t="str">
        <f t="shared" si="297"/>
        <v/>
      </c>
      <c r="AT1789" s="78" t="str">
        <f t="shared" si="298"/>
        <v/>
      </c>
      <c r="AU1789" s="78" t="str">
        <f t="shared" si="299"/>
        <v/>
      </c>
      <c r="AV1789" s="64" t="str">
        <f ca="1">IFERROR(__xludf.DUMMYFUNCTION("IF(TRIM(AU1789)="""","""",AU1789/INDEX(FILTER(AT$3:AT1789,TRIM(AT$3:AT1789)&lt;&gt;""""),ROWS(FILTER(AT$3:AT1789,TRIM(AT$3:AT1789)&lt;&gt;"""")))-1)"),"")</f>
        <v/>
      </c>
      <c r="AW1789" s="65" t="e">
        <f t="shared" ca="1" si="292"/>
        <v>#VALUE!</v>
      </c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</row>
    <row r="1790" spans="1:68" ht="19" x14ac:dyDescent="0.25">
      <c r="A1790" s="5"/>
      <c r="B1790" s="5"/>
      <c r="C1790" s="5"/>
      <c r="D1790" s="5"/>
      <c r="E1790" s="5"/>
      <c r="F1790" s="5"/>
      <c r="G1790" s="5"/>
      <c r="H1790" s="6"/>
      <c r="I1790" s="5"/>
      <c r="J1790" s="88"/>
      <c r="K1790" s="88"/>
      <c r="L1790" s="88"/>
      <c r="M1790" s="88"/>
      <c r="N1790" s="88"/>
      <c r="O1790" s="88"/>
      <c r="P1790" s="88"/>
      <c r="Q1790" s="89"/>
      <c r="R1790" s="88"/>
      <c r="S1790" s="88"/>
      <c r="T1790" s="90"/>
      <c r="U1790" s="6"/>
      <c r="V1790" s="92"/>
      <c r="W1790" s="77"/>
      <c r="X1790" s="91"/>
      <c r="Y1790" s="77"/>
      <c r="Z1790" s="5"/>
      <c r="AA1790" s="5"/>
      <c r="AB1790" s="5"/>
      <c r="AC1790" s="5"/>
      <c r="AD1790" s="5"/>
      <c r="AE1790" s="5"/>
      <c r="AF1790" s="5"/>
      <c r="AG1790" s="5"/>
      <c r="AH1790" s="6"/>
      <c r="AI1790" s="92"/>
      <c r="AJ1790" s="93"/>
      <c r="AK1790" s="94"/>
      <c r="AL1790" s="95"/>
      <c r="AM1790" s="56"/>
      <c r="AN1790" s="57">
        <f t="shared" si="291"/>
        <v>0</v>
      </c>
      <c r="AO1790" s="76">
        <f t="shared" si="293"/>
        <v>0</v>
      </c>
      <c r="AP1790" s="63" t="str">
        <f t="shared" si="294"/>
        <v/>
      </c>
      <c r="AQ1790" s="63" t="str">
        <f t="shared" si="295"/>
        <v/>
      </c>
      <c r="AR1790" s="63" t="str">
        <f t="shared" si="296"/>
        <v/>
      </c>
      <c r="AS1790" s="63" t="str">
        <f t="shared" si="297"/>
        <v/>
      </c>
      <c r="AT1790" s="78" t="str">
        <f t="shared" si="298"/>
        <v/>
      </c>
      <c r="AU1790" s="78" t="str">
        <f t="shared" si="299"/>
        <v/>
      </c>
      <c r="AV1790" s="64" t="str">
        <f ca="1">IFERROR(__xludf.DUMMYFUNCTION("IF(TRIM(AU1790)="""","""",AU1790/INDEX(FILTER(AT$3:AT1790,TRIM(AT$3:AT1790)&lt;&gt;""""),ROWS(FILTER(AT$3:AT1790,TRIM(AT$3:AT1790)&lt;&gt;"""")))-1)"),"")</f>
        <v/>
      </c>
      <c r="AW1790" s="65" t="e">
        <f t="shared" ca="1" si="292"/>
        <v>#VALUE!</v>
      </c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</row>
    <row r="1791" spans="1:68" ht="19" x14ac:dyDescent="0.25">
      <c r="A1791" s="5"/>
      <c r="B1791" s="5"/>
      <c r="C1791" s="5"/>
      <c r="D1791" s="5"/>
      <c r="E1791" s="5"/>
      <c r="F1791" s="5"/>
      <c r="G1791" s="5"/>
      <c r="H1791" s="6"/>
      <c r="I1791" s="5"/>
      <c r="J1791" s="88"/>
      <c r="K1791" s="88"/>
      <c r="L1791" s="88"/>
      <c r="M1791" s="88"/>
      <c r="N1791" s="88"/>
      <c r="O1791" s="88"/>
      <c r="P1791" s="88"/>
      <c r="Q1791" s="89"/>
      <c r="R1791" s="88"/>
      <c r="S1791" s="88"/>
      <c r="T1791" s="90"/>
      <c r="U1791" s="6"/>
      <c r="V1791" s="92"/>
      <c r="W1791" s="77"/>
      <c r="X1791" s="91"/>
      <c r="Y1791" s="77"/>
      <c r="Z1791" s="5"/>
      <c r="AA1791" s="5"/>
      <c r="AB1791" s="5"/>
      <c r="AC1791" s="5"/>
      <c r="AD1791" s="5"/>
      <c r="AE1791" s="5"/>
      <c r="AF1791" s="5"/>
      <c r="AG1791" s="5"/>
      <c r="AH1791" s="6"/>
      <c r="AI1791" s="92"/>
      <c r="AJ1791" s="93"/>
      <c r="AK1791" s="94"/>
      <c r="AL1791" s="95"/>
      <c r="AM1791" s="56"/>
      <c r="AN1791" s="57">
        <f t="shared" si="291"/>
        <v>0</v>
      </c>
      <c r="AO1791" s="76">
        <f t="shared" si="293"/>
        <v>0</v>
      </c>
      <c r="AP1791" s="63" t="str">
        <f t="shared" si="294"/>
        <v/>
      </c>
      <c r="AQ1791" s="63" t="str">
        <f t="shared" si="295"/>
        <v/>
      </c>
      <c r="AR1791" s="63" t="str">
        <f t="shared" si="296"/>
        <v/>
      </c>
      <c r="AS1791" s="63" t="str">
        <f t="shared" si="297"/>
        <v/>
      </c>
      <c r="AT1791" s="78" t="str">
        <f t="shared" si="298"/>
        <v/>
      </c>
      <c r="AU1791" s="78" t="str">
        <f t="shared" si="299"/>
        <v/>
      </c>
      <c r="AV1791" s="64" t="str">
        <f ca="1">IFERROR(__xludf.DUMMYFUNCTION("IF(TRIM(AU1791)="""","""",AU1791/INDEX(FILTER(AT$3:AT1791,TRIM(AT$3:AT1791)&lt;&gt;""""),ROWS(FILTER(AT$3:AT1791,TRIM(AT$3:AT1791)&lt;&gt;"""")))-1)"),"")</f>
        <v/>
      </c>
      <c r="AW1791" s="65" t="e">
        <f t="shared" ca="1" si="292"/>
        <v>#VALUE!</v>
      </c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</row>
    <row r="1792" spans="1:68" ht="19" x14ac:dyDescent="0.25">
      <c r="A1792" s="5"/>
      <c r="B1792" s="5"/>
      <c r="C1792" s="5"/>
      <c r="D1792" s="5"/>
      <c r="E1792" s="5"/>
      <c r="F1792" s="5"/>
      <c r="G1792" s="5"/>
      <c r="H1792" s="6"/>
      <c r="I1792" s="5"/>
      <c r="J1792" s="88"/>
      <c r="K1792" s="88"/>
      <c r="L1792" s="88"/>
      <c r="M1792" s="88"/>
      <c r="N1792" s="88"/>
      <c r="O1792" s="88"/>
      <c r="P1792" s="88"/>
      <c r="Q1792" s="89"/>
      <c r="R1792" s="88"/>
      <c r="S1792" s="88"/>
      <c r="T1792" s="90"/>
      <c r="U1792" s="6"/>
      <c r="V1792" s="92"/>
      <c r="W1792" s="77"/>
      <c r="X1792" s="91"/>
      <c r="Y1792" s="77"/>
      <c r="Z1792" s="5"/>
      <c r="AA1792" s="5"/>
      <c r="AB1792" s="5"/>
      <c r="AC1792" s="5"/>
      <c r="AD1792" s="5"/>
      <c r="AE1792" s="5"/>
      <c r="AF1792" s="5"/>
      <c r="AG1792" s="5"/>
      <c r="AH1792" s="6"/>
      <c r="AI1792" s="92"/>
      <c r="AJ1792" s="93"/>
      <c r="AK1792" s="94"/>
      <c r="AL1792" s="95"/>
      <c r="AM1792" s="56"/>
      <c r="AN1792" s="57">
        <f t="shared" si="291"/>
        <v>0</v>
      </c>
      <c r="AO1792" s="76">
        <f t="shared" si="293"/>
        <v>0</v>
      </c>
      <c r="AP1792" s="63" t="str">
        <f t="shared" si="294"/>
        <v/>
      </c>
      <c r="AQ1792" s="63" t="str">
        <f t="shared" si="295"/>
        <v/>
      </c>
      <c r="AR1792" s="63" t="str">
        <f t="shared" si="296"/>
        <v/>
      </c>
      <c r="AS1792" s="63" t="str">
        <f t="shared" si="297"/>
        <v/>
      </c>
      <c r="AT1792" s="78" t="str">
        <f t="shared" si="298"/>
        <v/>
      </c>
      <c r="AU1792" s="78" t="str">
        <f t="shared" si="299"/>
        <v/>
      </c>
      <c r="AV1792" s="64" t="str">
        <f ca="1">IFERROR(__xludf.DUMMYFUNCTION("IF(TRIM(AU1792)="""","""",AU1792/INDEX(FILTER(AT$3:AT1792,TRIM(AT$3:AT1792)&lt;&gt;""""),ROWS(FILTER(AT$3:AT1792,TRIM(AT$3:AT1792)&lt;&gt;"""")))-1)"),"")</f>
        <v/>
      </c>
      <c r="AW1792" s="65" t="e">
        <f t="shared" ca="1" si="292"/>
        <v>#VALUE!</v>
      </c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</row>
    <row r="1793" spans="1:68" ht="19" x14ac:dyDescent="0.25">
      <c r="A1793" s="5"/>
      <c r="B1793" s="5"/>
      <c r="C1793" s="5"/>
      <c r="D1793" s="5"/>
      <c r="E1793" s="5"/>
      <c r="F1793" s="5"/>
      <c r="G1793" s="5"/>
      <c r="H1793" s="6"/>
      <c r="I1793" s="5"/>
      <c r="J1793" s="88"/>
      <c r="K1793" s="88"/>
      <c r="L1793" s="88"/>
      <c r="M1793" s="88"/>
      <c r="N1793" s="88"/>
      <c r="O1793" s="88"/>
      <c r="P1793" s="88"/>
      <c r="Q1793" s="89"/>
      <c r="R1793" s="88"/>
      <c r="S1793" s="88"/>
      <c r="T1793" s="90"/>
      <c r="U1793" s="6"/>
      <c r="V1793" s="92"/>
      <c r="W1793" s="77"/>
      <c r="X1793" s="91"/>
      <c r="Y1793" s="77"/>
      <c r="Z1793" s="5"/>
      <c r="AA1793" s="5"/>
      <c r="AB1793" s="5"/>
      <c r="AC1793" s="5"/>
      <c r="AD1793" s="5"/>
      <c r="AE1793" s="5"/>
      <c r="AF1793" s="5"/>
      <c r="AG1793" s="5"/>
      <c r="AH1793" s="6"/>
      <c r="AI1793" s="92"/>
      <c r="AJ1793" s="93"/>
      <c r="AK1793" s="94"/>
      <c r="AL1793" s="95"/>
      <c r="AM1793" s="56"/>
      <c r="AN1793" s="57">
        <f t="shared" si="291"/>
        <v>0</v>
      </c>
      <c r="AO1793" s="76">
        <f t="shared" si="293"/>
        <v>0</v>
      </c>
      <c r="AP1793" s="63" t="str">
        <f t="shared" si="294"/>
        <v/>
      </c>
      <c r="AQ1793" s="63" t="str">
        <f t="shared" si="295"/>
        <v/>
      </c>
      <c r="AR1793" s="63" t="str">
        <f t="shared" si="296"/>
        <v/>
      </c>
      <c r="AS1793" s="63" t="str">
        <f t="shared" si="297"/>
        <v/>
      </c>
      <c r="AT1793" s="78" t="str">
        <f t="shared" si="298"/>
        <v/>
      </c>
      <c r="AU1793" s="78" t="str">
        <f t="shared" si="299"/>
        <v/>
      </c>
      <c r="AV1793" s="64" t="str">
        <f ca="1">IFERROR(__xludf.DUMMYFUNCTION("IF(TRIM(AU1793)="""","""",AU1793/INDEX(FILTER(AT$3:AT1793,TRIM(AT$3:AT1793)&lt;&gt;""""),ROWS(FILTER(AT$3:AT1793,TRIM(AT$3:AT1793)&lt;&gt;"""")))-1)"),"")</f>
        <v/>
      </c>
      <c r="AW1793" s="65" t="e">
        <f t="shared" ca="1" si="292"/>
        <v>#VALUE!</v>
      </c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</row>
    <row r="1794" spans="1:68" ht="19" x14ac:dyDescent="0.25">
      <c r="A1794" s="5"/>
      <c r="B1794" s="5"/>
      <c r="C1794" s="5"/>
      <c r="D1794" s="5"/>
      <c r="E1794" s="5"/>
      <c r="F1794" s="5"/>
      <c r="G1794" s="5"/>
      <c r="H1794" s="6"/>
      <c r="I1794" s="5"/>
      <c r="J1794" s="88"/>
      <c r="K1794" s="88"/>
      <c r="L1794" s="88"/>
      <c r="M1794" s="88"/>
      <c r="N1794" s="88"/>
      <c r="O1794" s="88"/>
      <c r="P1794" s="88"/>
      <c r="Q1794" s="89"/>
      <c r="R1794" s="88"/>
      <c r="S1794" s="88"/>
      <c r="T1794" s="90"/>
      <c r="U1794" s="6"/>
      <c r="V1794" s="92"/>
      <c r="W1794" s="77"/>
      <c r="X1794" s="91"/>
      <c r="Y1794" s="77"/>
      <c r="Z1794" s="5"/>
      <c r="AA1794" s="5"/>
      <c r="AB1794" s="5"/>
      <c r="AC1794" s="5"/>
      <c r="AD1794" s="5"/>
      <c r="AE1794" s="5"/>
      <c r="AF1794" s="5"/>
      <c r="AG1794" s="5"/>
      <c r="AH1794" s="6"/>
      <c r="AI1794" s="92"/>
      <c r="AJ1794" s="93"/>
      <c r="AK1794" s="94"/>
      <c r="AL1794" s="95"/>
      <c r="AM1794" s="56"/>
      <c r="AN1794" s="57">
        <f t="shared" si="291"/>
        <v>0</v>
      </c>
      <c r="AO1794" s="76">
        <f t="shared" si="293"/>
        <v>0</v>
      </c>
      <c r="AP1794" s="63" t="str">
        <f t="shared" si="294"/>
        <v/>
      </c>
      <c r="AQ1794" s="63" t="str">
        <f t="shared" si="295"/>
        <v/>
      </c>
      <c r="AR1794" s="63" t="str">
        <f t="shared" si="296"/>
        <v/>
      </c>
      <c r="AS1794" s="63" t="str">
        <f t="shared" si="297"/>
        <v/>
      </c>
      <c r="AT1794" s="78" t="str">
        <f t="shared" si="298"/>
        <v/>
      </c>
      <c r="AU1794" s="78" t="str">
        <f t="shared" si="299"/>
        <v/>
      </c>
      <c r="AV1794" s="64" t="str">
        <f ca="1">IFERROR(__xludf.DUMMYFUNCTION("IF(TRIM(AU1794)="""","""",AU1794/INDEX(FILTER(AT$3:AT1794,TRIM(AT$3:AT1794)&lt;&gt;""""),ROWS(FILTER(AT$3:AT1794,TRIM(AT$3:AT1794)&lt;&gt;"""")))-1)"),"")</f>
        <v/>
      </c>
      <c r="AW1794" s="65" t="e">
        <f t="shared" ca="1" si="292"/>
        <v>#VALUE!</v>
      </c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</row>
    <row r="1795" spans="1:68" ht="19" x14ac:dyDescent="0.25">
      <c r="A1795" s="5"/>
      <c r="B1795" s="5"/>
      <c r="C1795" s="5"/>
      <c r="D1795" s="5"/>
      <c r="E1795" s="5"/>
      <c r="F1795" s="5"/>
      <c r="G1795" s="5"/>
      <c r="H1795" s="6"/>
      <c r="I1795" s="5"/>
      <c r="J1795" s="88"/>
      <c r="K1795" s="88"/>
      <c r="L1795" s="88"/>
      <c r="M1795" s="88"/>
      <c r="N1795" s="88"/>
      <c r="O1795" s="88"/>
      <c r="P1795" s="88"/>
      <c r="Q1795" s="89"/>
      <c r="R1795" s="88"/>
      <c r="S1795" s="88"/>
      <c r="T1795" s="90"/>
      <c r="U1795" s="6"/>
      <c r="V1795" s="92"/>
      <c r="W1795" s="77"/>
      <c r="X1795" s="91"/>
      <c r="Y1795" s="77"/>
      <c r="Z1795" s="5"/>
      <c r="AA1795" s="5"/>
      <c r="AB1795" s="5"/>
      <c r="AC1795" s="5"/>
      <c r="AD1795" s="5"/>
      <c r="AE1795" s="5"/>
      <c r="AF1795" s="5"/>
      <c r="AG1795" s="5"/>
      <c r="AH1795" s="6"/>
      <c r="AI1795" s="92"/>
      <c r="AJ1795" s="93"/>
      <c r="AK1795" s="94"/>
      <c r="AL1795" s="95"/>
      <c r="AM1795" s="56"/>
      <c r="AN1795" s="57">
        <f t="shared" ref="AN1795:AN1858" si="300">AM1795-AL1795</f>
        <v>0</v>
      </c>
      <c r="AO1795" s="76">
        <f t="shared" si="293"/>
        <v>0</v>
      </c>
      <c r="AP1795" s="63" t="str">
        <f t="shared" si="294"/>
        <v/>
      </c>
      <c r="AQ1795" s="63" t="str">
        <f t="shared" si="295"/>
        <v/>
      </c>
      <c r="AR1795" s="63" t="str">
        <f t="shared" si="296"/>
        <v/>
      </c>
      <c r="AS1795" s="63" t="str">
        <f t="shared" si="297"/>
        <v/>
      </c>
      <c r="AT1795" s="78" t="str">
        <f t="shared" si="298"/>
        <v/>
      </c>
      <c r="AU1795" s="78" t="str">
        <f t="shared" si="299"/>
        <v/>
      </c>
      <c r="AV1795" s="64" t="str">
        <f ca="1">IFERROR(__xludf.DUMMYFUNCTION("IF(TRIM(AU1795)="""","""",AU1795/INDEX(FILTER(AT$3:AT1795,TRIM(AT$3:AT1795)&lt;&gt;""""),ROWS(FILTER(AT$3:AT1795,TRIM(AT$3:AT1795)&lt;&gt;"""")))-1)"),"")</f>
        <v/>
      </c>
      <c r="AW1795" s="65" t="e">
        <f t="shared" ref="AW1795:AW1858" ca="1" si="301">AW1794*(1+AV1795)</f>
        <v>#VALUE!</v>
      </c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</row>
    <row r="1796" spans="1:68" ht="19" x14ac:dyDescent="0.25">
      <c r="A1796" s="5"/>
      <c r="B1796" s="5"/>
      <c r="C1796" s="5"/>
      <c r="D1796" s="5"/>
      <c r="E1796" s="5"/>
      <c r="F1796" s="5"/>
      <c r="G1796" s="5"/>
      <c r="H1796" s="6"/>
      <c r="I1796" s="5"/>
      <c r="J1796" s="88"/>
      <c r="K1796" s="88"/>
      <c r="L1796" s="88"/>
      <c r="M1796" s="88"/>
      <c r="N1796" s="88"/>
      <c r="O1796" s="88"/>
      <c r="P1796" s="88"/>
      <c r="Q1796" s="89"/>
      <c r="R1796" s="88"/>
      <c r="S1796" s="88"/>
      <c r="T1796" s="90"/>
      <c r="U1796" s="6"/>
      <c r="V1796" s="92"/>
      <c r="W1796" s="77"/>
      <c r="X1796" s="91"/>
      <c r="Y1796" s="77"/>
      <c r="Z1796" s="5"/>
      <c r="AA1796" s="5"/>
      <c r="AB1796" s="5"/>
      <c r="AC1796" s="5"/>
      <c r="AD1796" s="5"/>
      <c r="AE1796" s="5"/>
      <c r="AF1796" s="5"/>
      <c r="AG1796" s="5"/>
      <c r="AH1796" s="6"/>
      <c r="AI1796" s="92"/>
      <c r="AJ1796" s="93"/>
      <c r="AK1796" s="94"/>
      <c r="AL1796" s="95"/>
      <c r="AM1796" s="56"/>
      <c r="AN1796" s="57">
        <f t="shared" si="300"/>
        <v>0</v>
      </c>
      <c r="AO1796" s="76">
        <f t="shared" si="293"/>
        <v>0</v>
      </c>
      <c r="AP1796" s="63" t="str">
        <f t="shared" si="294"/>
        <v/>
      </c>
      <c r="AQ1796" s="63" t="str">
        <f t="shared" si="295"/>
        <v/>
      </c>
      <c r="AR1796" s="63" t="str">
        <f t="shared" si="296"/>
        <v/>
      </c>
      <c r="AS1796" s="63" t="str">
        <f t="shared" si="297"/>
        <v/>
      </c>
      <c r="AT1796" s="78" t="str">
        <f t="shared" si="298"/>
        <v/>
      </c>
      <c r="AU1796" s="78" t="str">
        <f t="shared" si="299"/>
        <v/>
      </c>
      <c r="AV1796" s="64" t="str">
        <f ca="1">IFERROR(__xludf.DUMMYFUNCTION("IF(TRIM(AU1796)="""","""",AU1796/INDEX(FILTER(AT$3:AT1796,TRIM(AT$3:AT1796)&lt;&gt;""""),ROWS(FILTER(AT$3:AT1796,TRIM(AT$3:AT1796)&lt;&gt;"""")))-1)"),"")</f>
        <v/>
      </c>
      <c r="AW1796" s="65" t="e">
        <f t="shared" ca="1" si="301"/>
        <v>#VALUE!</v>
      </c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</row>
    <row r="1797" spans="1:68" ht="19" x14ac:dyDescent="0.25">
      <c r="A1797" s="5"/>
      <c r="B1797" s="5"/>
      <c r="C1797" s="5"/>
      <c r="D1797" s="5"/>
      <c r="E1797" s="5"/>
      <c r="F1797" s="5"/>
      <c r="G1797" s="5"/>
      <c r="H1797" s="6"/>
      <c r="I1797" s="5"/>
      <c r="J1797" s="88"/>
      <c r="K1797" s="88"/>
      <c r="L1797" s="88"/>
      <c r="M1797" s="88"/>
      <c r="N1797" s="88"/>
      <c r="O1797" s="88"/>
      <c r="P1797" s="88"/>
      <c r="Q1797" s="89"/>
      <c r="R1797" s="88"/>
      <c r="S1797" s="88"/>
      <c r="T1797" s="90"/>
      <c r="U1797" s="6"/>
      <c r="V1797" s="92"/>
      <c r="W1797" s="77"/>
      <c r="X1797" s="91"/>
      <c r="Y1797" s="77"/>
      <c r="Z1797" s="5"/>
      <c r="AA1797" s="5"/>
      <c r="AB1797" s="5"/>
      <c r="AC1797" s="5"/>
      <c r="AD1797" s="5"/>
      <c r="AE1797" s="5"/>
      <c r="AF1797" s="5"/>
      <c r="AG1797" s="5"/>
      <c r="AH1797" s="6"/>
      <c r="AI1797" s="92"/>
      <c r="AJ1797" s="93"/>
      <c r="AK1797" s="94"/>
      <c r="AL1797" s="95"/>
      <c r="AM1797" s="56"/>
      <c r="AN1797" s="57">
        <f t="shared" si="300"/>
        <v>0</v>
      </c>
      <c r="AO1797" s="76">
        <f t="shared" si="293"/>
        <v>0</v>
      </c>
      <c r="AP1797" s="63" t="str">
        <f t="shared" si="294"/>
        <v/>
      </c>
      <c r="AQ1797" s="63" t="str">
        <f t="shared" si="295"/>
        <v/>
      </c>
      <c r="AR1797" s="63" t="str">
        <f t="shared" si="296"/>
        <v/>
      </c>
      <c r="AS1797" s="63" t="str">
        <f t="shared" si="297"/>
        <v/>
      </c>
      <c r="AT1797" s="78" t="str">
        <f t="shared" si="298"/>
        <v/>
      </c>
      <c r="AU1797" s="78" t="str">
        <f t="shared" si="299"/>
        <v/>
      </c>
      <c r="AV1797" s="64" t="str">
        <f ca="1">IFERROR(__xludf.DUMMYFUNCTION("IF(TRIM(AU1797)="""","""",AU1797/INDEX(FILTER(AT$3:AT1797,TRIM(AT$3:AT1797)&lt;&gt;""""),ROWS(FILTER(AT$3:AT1797,TRIM(AT$3:AT1797)&lt;&gt;"""")))-1)"),"")</f>
        <v/>
      </c>
      <c r="AW1797" s="65" t="e">
        <f t="shared" ca="1" si="301"/>
        <v>#VALUE!</v>
      </c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</row>
    <row r="1798" spans="1:68" ht="19" x14ac:dyDescent="0.25">
      <c r="A1798" s="5"/>
      <c r="B1798" s="5"/>
      <c r="C1798" s="5"/>
      <c r="D1798" s="5"/>
      <c r="E1798" s="5"/>
      <c r="F1798" s="5"/>
      <c r="G1798" s="5"/>
      <c r="H1798" s="6"/>
      <c r="I1798" s="5"/>
      <c r="J1798" s="88"/>
      <c r="K1798" s="88"/>
      <c r="L1798" s="88"/>
      <c r="M1798" s="88"/>
      <c r="N1798" s="88"/>
      <c r="O1798" s="88"/>
      <c r="P1798" s="88"/>
      <c r="Q1798" s="89"/>
      <c r="R1798" s="88"/>
      <c r="S1798" s="88"/>
      <c r="T1798" s="90"/>
      <c r="U1798" s="6"/>
      <c r="V1798" s="92"/>
      <c r="W1798" s="77"/>
      <c r="X1798" s="91"/>
      <c r="Y1798" s="77"/>
      <c r="Z1798" s="5"/>
      <c r="AA1798" s="5"/>
      <c r="AB1798" s="5"/>
      <c r="AC1798" s="5"/>
      <c r="AD1798" s="5"/>
      <c r="AE1798" s="5"/>
      <c r="AF1798" s="5"/>
      <c r="AG1798" s="5"/>
      <c r="AH1798" s="6"/>
      <c r="AI1798" s="92"/>
      <c r="AJ1798" s="93"/>
      <c r="AK1798" s="94"/>
      <c r="AL1798" s="95"/>
      <c r="AM1798" s="56"/>
      <c r="AN1798" s="57">
        <f t="shared" si="300"/>
        <v>0</v>
      </c>
      <c r="AO1798" s="76">
        <f t="shared" si="293"/>
        <v>0</v>
      </c>
      <c r="AP1798" s="63" t="str">
        <f t="shared" si="294"/>
        <v/>
      </c>
      <c r="AQ1798" s="63" t="str">
        <f t="shared" si="295"/>
        <v/>
      </c>
      <c r="AR1798" s="63" t="str">
        <f t="shared" si="296"/>
        <v/>
      </c>
      <c r="AS1798" s="63" t="str">
        <f t="shared" si="297"/>
        <v/>
      </c>
      <c r="AT1798" s="78" t="str">
        <f t="shared" si="298"/>
        <v/>
      </c>
      <c r="AU1798" s="78" t="str">
        <f t="shared" si="299"/>
        <v/>
      </c>
      <c r="AV1798" s="64" t="str">
        <f ca="1">IFERROR(__xludf.DUMMYFUNCTION("IF(TRIM(AU1798)="""","""",AU1798/INDEX(FILTER(AT$3:AT1798,TRIM(AT$3:AT1798)&lt;&gt;""""),ROWS(FILTER(AT$3:AT1798,TRIM(AT$3:AT1798)&lt;&gt;"""")))-1)"),"")</f>
        <v/>
      </c>
      <c r="AW1798" s="65" t="e">
        <f t="shared" ca="1" si="301"/>
        <v>#VALUE!</v>
      </c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</row>
    <row r="1799" spans="1:68" ht="19" x14ac:dyDescent="0.25">
      <c r="A1799" s="5"/>
      <c r="B1799" s="5"/>
      <c r="C1799" s="5"/>
      <c r="D1799" s="5"/>
      <c r="E1799" s="5"/>
      <c r="F1799" s="5"/>
      <c r="G1799" s="5"/>
      <c r="H1799" s="6"/>
      <c r="I1799" s="5"/>
      <c r="J1799" s="88"/>
      <c r="K1799" s="88"/>
      <c r="L1799" s="88"/>
      <c r="M1799" s="88"/>
      <c r="N1799" s="88"/>
      <c r="O1799" s="88"/>
      <c r="P1799" s="88"/>
      <c r="Q1799" s="89"/>
      <c r="R1799" s="88"/>
      <c r="S1799" s="88"/>
      <c r="T1799" s="90"/>
      <c r="U1799" s="6"/>
      <c r="V1799" s="92"/>
      <c r="W1799" s="77"/>
      <c r="X1799" s="91"/>
      <c r="Y1799" s="77"/>
      <c r="Z1799" s="5"/>
      <c r="AA1799" s="5"/>
      <c r="AB1799" s="5"/>
      <c r="AC1799" s="5"/>
      <c r="AD1799" s="5"/>
      <c r="AE1799" s="5"/>
      <c r="AF1799" s="5"/>
      <c r="AG1799" s="5"/>
      <c r="AH1799" s="6"/>
      <c r="AI1799" s="92"/>
      <c r="AJ1799" s="93"/>
      <c r="AK1799" s="94"/>
      <c r="AL1799" s="95"/>
      <c r="AM1799" s="56"/>
      <c r="AN1799" s="57">
        <f t="shared" si="300"/>
        <v>0</v>
      </c>
      <c r="AO1799" s="76">
        <f t="shared" ref="AO1799:AO1862" si="302">AVERAGE(AN1795:AN1799)</f>
        <v>0</v>
      </c>
      <c r="AP1799" s="63" t="str">
        <f t="shared" ref="AP1799:AP1862" si="303">IF(AO1799&gt;0,"Buy Stocks","")</f>
        <v/>
      </c>
      <c r="AQ1799" s="63" t="str">
        <f t="shared" ref="AQ1799:AQ1862" si="304">IF(AO1799&lt;0,"Sell Stocks","")</f>
        <v/>
      </c>
      <c r="AR1799" s="63" t="str">
        <f t="shared" ref="AR1799:AR1862" si="305">IF(AND(AP1799="Buy Stocks",AP1798=""),"Buy Stocks","")</f>
        <v/>
      </c>
      <c r="AS1799" s="63" t="str">
        <f t="shared" ref="AS1799:AS1862" si="306">IF(AND(AQ1799="Sell Stocks",AQ1798=""),"Sell Stocks","")</f>
        <v/>
      </c>
      <c r="AT1799" s="78" t="str">
        <f t="shared" ref="AT1799:AT1862" si="307">IF(AR1799="Buy Stocks",AJ1799,"")</f>
        <v/>
      </c>
      <c r="AU1799" s="78" t="str">
        <f t="shared" ref="AU1799:AU1862" si="308">IF(AS1799="Sell Stocks",AJ1799,"")</f>
        <v/>
      </c>
      <c r="AV1799" s="64" t="str">
        <f ca="1">IFERROR(__xludf.DUMMYFUNCTION("IF(TRIM(AU1799)="""","""",AU1799/INDEX(FILTER(AT$3:AT1799,TRIM(AT$3:AT1799)&lt;&gt;""""),ROWS(FILTER(AT$3:AT1799,TRIM(AT$3:AT1799)&lt;&gt;"""")))-1)"),"")</f>
        <v/>
      </c>
      <c r="AW1799" s="65" t="e">
        <f t="shared" ca="1" si="301"/>
        <v>#VALUE!</v>
      </c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</row>
    <row r="1800" spans="1:68" ht="19" x14ac:dyDescent="0.25">
      <c r="A1800" s="5"/>
      <c r="B1800" s="5"/>
      <c r="C1800" s="5"/>
      <c r="D1800" s="5"/>
      <c r="E1800" s="5"/>
      <c r="F1800" s="5"/>
      <c r="G1800" s="5"/>
      <c r="H1800" s="6"/>
      <c r="I1800" s="5"/>
      <c r="J1800" s="88"/>
      <c r="K1800" s="88"/>
      <c r="L1800" s="88"/>
      <c r="M1800" s="88"/>
      <c r="N1800" s="88"/>
      <c r="O1800" s="88"/>
      <c r="P1800" s="88"/>
      <c r="Q1800" s="89"/>
      <c r="R1800" s="88"/>
      <c r="S1800" s="88"/>
      <c r="T1800" s="90"/>
      <c r="U1800" s="6"/>
      <c r="V1800" s="92"/>
      <c r="W1800" s="77"/>
      <c r="X1800" s="91"/>
      <c r="Y1800" s="77"/>
      <c r="Z1800" s="5"/>
      <c r="AA1800" s="5"/>
      <c r="AB1800" s="5"/>
      <c r="AC1800" s="5"/>
      <c r="AD1800" s="5"/>
      <c r="AE1800" s="5"/>
      <c r="AF1800" s="5"/>
      <c r="AG1800" s="5"/>
      <c r="AH1800" s="6"/>
      <c r="AI1800" s="92"/>
      <c r="AJ1800" s="93"/>
      <c r="AK1800" s="94"/>
      <c r="AL1800" s="95"/>
      <c r="AM1800" s="56"/>
      <c r="AN1800" s="57">
        <f t="shared" si="300"/>
        <v>0</v>
      </c>
      <c r="AO1800" s="76">
        <f t="shared" si="302"/>
        <v>0</v>
      </c>
      <c r="AP1800" s="63" t="str">
        <f t="shared" si="303"/>
        <v/>
      </c>
      <c r="AQ1800" s="63" t="str">
        <f t="shared" si="304"/>
        <v/>
      </c>
      <c r="AR1800" s="63" t="str">
        <f t="shared" si="305"/>
        <v/>
      </c>
      <c r="AS1800" s="63" t="str">
        <f t="shared" si="306"/>
        <v/>
      </c>
      <c r="AT1800" s="78" t="str">
        <f t="shared" si="307"/>
        <v/>
      </c>
      <c r="AU1800" s="78" t="str">
        <f t="shared" si="308"/>
        <v/>
      </c>
      <c r="AV1800" s="64" t="str">
        <f ca="1">IFERROR(__xludf.DUMMYFUNCTION("IF(TRIM(AU1800)="""","""",AU1800/INDEX(FILTER(AT$3:AT1800,TRIM(AT$3:AT1800)&lt;&gt;""""),ROWS(FILTER(AT$3:AT1800,TRIM(AT$3:AT1800)&lt;&gt;"""")))-1)"),"")</f>
        <v/>
      </c>
      <c r="AW1800" s="65" t="e">
        <f t="shared" ca="1" si="301"/>
        <v>#VALUE!</v>
      </c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</row>
    <row r="1801" spans="1:68" ht="19" x14ac:dyDescent="0.25">
      <c r="A1801" s="5"/>
      <c r="B1801" s="5"/>
      <c r="C1801" s="5"/>
      <c r="D1801" s="5"/>
      <c r="E1801" s="5"/>
      <c r="F1801" s="5"/>
      <c r="G1801" s="5"/>
      <c r="H1801" s="6"/>
      <c r="I1801" s="5"/>
      <c r="J1801" s="88"/>
      <c r="K1801" s="88"/>
      <c r="L1801" s="88"/>
      <c r="M1801" s="88"/>
      <c r="N1801" s="88"/>
      <c r="O1801" s="88"/>
      <c r="P1801" s="88"/>
      <c r="Q1801" s="89"/>
      <c r="R1801" s="88"/>
      <c r="S1801" s="88"/>
      <c r="T1801" s="90"/>
      <c r="U1801" s="6"/>
      <c r="V1801" s="92"/>
      <c r="W1801" s="77"/>
      <c r="X1801" s="91"/>
      <c r="Y1801" s="77"/>
      <c r="Z1801" s="5"/>
      <c r="AA1801" s="5"/>
      <c r="AB1801" s="5"/>
      <c r="AC1801" s="5"/>
      <c r="AD1801" s="5"/>
      <c r="AE1801" s="5"/>
      <c r="AF1801" s="5"/>
      <c r="AG1801" s="5"/>
      <c r="AH1801" s="6"/>
      <c r="AI1801" s="92"/>
      <c r="AJ1801" s="93"/>
      <c r="AK1801" s="94"/>
      <c r="AL1801" s="95"/>
      <c r="AM1801" s="56"/>
      <c r="AN1801" s="57">
        <f t="shared" si="300"/>
        <v>0</v>
      </c>
      <c r="AO1801" s="76">
        <f t="shared" si="302"/>
        <v>0</v>
      </c>
      <c r="AP1801" s="63" t="str">
        <f t="shared" si="303"/>
        <v/>
      </c>
      <c r="AQ1801" s="63" t="str">
        <f t="shared" si="304"/>
        <v/>
      </c>
      <c r="AR1801" s="63" t="str">
        <f t="shared" si="305"/>
        <v/>
      </c>
      <c r="AS1801" s="63" t="str">
        <f t="shared" si="306"/>
        <v/>
      </c>
      <c r="AT1801" s="78" t="str">
        <f t="shared" si="307"/>
        <v/>
      </c>
      <c r="AU1801" s="78" t="str">
        <f t="shared" si="308"/>
        <v/>
      </c>
      <c r="AV1801" s="64" t="str">
        <f ca="1">IFERROR(__xludf.DUMMYFUNCTION("IF(TRIM(AU1801)="""","""",AU1801/INDEX(FILTER(AT$3:AT1801,TRIM(AT$3:AT1801)&lt;&gt;""""),ROWS(FILTER(AT$3:AT1801,TRIM(AT$3:AT1801)&lt;&gt;"""")))-1)"),"")</f>
        <v/>
      </c>
      <c r="AW1801" s="65" t="e">
        <f t="shared" ca="1" si="301"/>
        <v>#VALUE!</v>
      </c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</row>
    <row r="1802" spans="1:68" ht="19" x14ac:dyDescent="0.25">
      <c r="A1802" s="5"/>
      <c r="B1802" s="5"/>
      <c r="C1802" s="5"/>
      <c r="D1802" s="5"/>
      <c r="E1802" s="5"/>
      <c r="F1802" s="5"/>
      <c r="G1802" s="5"/>
      <c r="H1802" s="6"/>
      <c r="I1802" s="5"/>
      <c r="J1802" s="88"/>
      <c r="K1802" s="88"/>
      <c r="L1802" s="88"/>
      <c r="M1802" s="88"/>
      <c r="N1802" s="88"/>
      <c r="O1802" s="88"/>
      <c r="P1802" s="88"/>
      <c r="Q1802" s="89"/>
      <c r="R1802" s="88"/>
      <c r="S1802" s="88"/>
      <c r="T1802" s="90"/>
      <c r="U1802" s="6"/>
      <c r="V1802" s="92"/>
      <c r="W1802" s="77"/>
      <c r="X1802" s="91"/>
      <c r="Y1802" s="77"/>
      <c r="Z1802" s="5"/>
      <c r="AA1802" s="5"/>
      <c r="AB1802" s="5"/>
      <c r="AC1802" s="5"/>
      <c r="AD1802" s="5"/>
      <c r="AE1802" s="5"/>
      <c r="AF1802" s="5"/>
      <c r="AG1802" s="5"/>
      <c r="AH1802" s="6"/>
      <c r="AI1802" s="92"/>
      <c r="AJ1802" s="93"/>
      <c r="AK1802" s="94"/>
      <c r="AL1802" s="95"/>
      <c r="AM1802" s="56"/>
      <c r="AN1802" s="57">
        <f t="shared" si="300"/>
        <v>0</v>
      </c>
      <c r="AO1802" s="76">
        <f t="shared" si="302"/>
        <v>0</v>
      </c>
      <c r="AP1802" s="63" t="str">
        <f t="shared" si="303"/>
        <v/>
      </c>
      <c r="AQ1802" s="63" t="str">
        <f t="shared" si="304"/>
        <v/>
      </c>
      <c r="AR1802" s="63" t="str">
        <f t="shared" si="305"/>
        <v/>
      </c>
      <c r="AS1802" s="63" t="str">
        <f t="shared" si="306"/>
        <v/>
      </c>
      <c r="AT1802" s="78" t="str">
        <f t="shared" si="307"/>
        <v/>
      </c>
      <c r="AU1802" s="78" t="str">
        <f t="shared" si="308"/>
        <v/>
      </c>
      <c r="AV1802" s="64" t="str">
        <f ca="1">IFERROR(__xludf.DUMMYFUNCTION("IF(TRIM(AU1802)="""","""",AU1802/INDEX(FILTER(AT$3:AT1802,TRIM(AT$3:AT1802)&lt;&gt;""""),ROWS(FILTER(AT$3:AT1802,TRIM(AT$3:AT1802)&lt;&gt;"""")))-1)"),"")</f>
        <v/>
      </c>
      <c r="AW1802" s="65" t="e">
        <f t="shared" ca="1" si="301"/>
        <v>#VALUE!</v>
      </c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</row>
    <row r="1803" spans="1:68" ht="19" x14ac:dyDescent="0.25">
      <c r="A1803" s="5"/>
      <c r="B1803" s="5"/>
      <c r="C1803" s="5"/>
      <c r="D1803" s="5"/>
      <c r="E1803" s="5"/>
      <c r="F1803" s="5"/>
      <c r="G1803" s="5"/>
      <c r="H1803" s="6"/>
      <c r="I1803" s="5"/>
      <c r="J1803" s="88"/>
      <c r="K1803" s="88"/>
      <c r="L1803" s="88"/>
      <c r="M1803" s="88"/>
      <c r="N1803" s="88"/>
      <c r="O1803" s="88"/>
      <c r="P1803" s="88"/>
      <c r="Q1803" s="89"/>
      <c r="R1803" s="88"/>
      <c r="S1803" s="88"/>
      <c r="T1803" s="90"/>
      <c r="U1803" s="6"/>
      <c r="V1803" s="92"/>
      <c r="W1803" s="77"/>
      <c r="X1803" s="91"/>
      <c r="Y1803" s="77"/>
      <c r="Z1803" s="5"/>
      <c r="AA1803" s="5"/>
      <c r="AB1803" s="5"/>
      <c r="AC1803" s="5"/>
      <c r="AD1803" s="5"/>
      <c r="AE1803" s="5"/>
      <c r="AF1803" s="5"/>
      <c r="AG1803" s="5"/>
      <c r="AH1803" s="6"/>
      <c r="AI1803" s="92"/>
      <c r="AJ1803" s="93"/>
      <c r="AK1803" s="94"/>
      <c r="AL1803" s="95"/>
      <c r="AM1803" s="56"/>
      <c r="AN1803" s="57">
        <f t="shared" si="300"/>
        <v>0</v>
      </c>
      <c r="AO1803" s="76">
        <f t="shared" si="302"/>
        <v>0</v>
      </c>
      <c r="AP1803" s="63" t="str">
        <f t="shared" si="303"/>
        <v/>
      </c>
      <c r="AQ1803" s="63" t="str">
        <f t="shared" si="304"/>
        <v/>
      </c>
      <c r="AR1803" s="63" t="str">
        <f t="shared" si="305"/>
        <v/>
      </c>
      <c r="AS1803" s="63" t="str">
        <f t="shared" si="306"/>
        <v/>
      </c>
      <c r="AT1803" s="78" t="str">
        <f t="shared" si="307"/>
        <v/>
      </c>
      <c r="AU1803" s="78" t="str">
        <f t="shared" si="308"/>
        <v/>
      </c>
      <c r="AV1803" s="64" t="str">
        <f ca="1">IFERROR(__xludf.DUMMYFUNCTION("IF(TRIM(AU1803)="""","""",AU1803/INDEX(FILTER(AT$3:AT1803,TRIM(AT$3:AT1803)&lt;&gt;""""),ROWS(FILTER(AT$3:AT1803,TRIM(AT$3:AT1803)&lt;&gt;"""")))-1)"),"")</f>
        <v/>
      </c>
      <c r="AW1803" s="65" t="e">
        <f t="shared" ca="1" si="301"/>
        <v>#VALUE!</v>
      </c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</row>
    <row r="1804" spans="1:68" ht="19" x14ac:dyDescent="0.25">
      <c r="A1804" s="5"/>
      <c r="B1804" s="5"/>
      <c r="C1804" s="5"/>
      <c r="D1804" s="5"/>
      <c r="E1804" s="5"/>
      <c r="F1804" s="5"/>
      <c r="G1804" s="5"/>
      <c r="H1804" s="6"/>
      <c r="I1804" s="5"/>
      <c r="J1804" s="88"/>
      <c r="K1804" s="88"/>
      <c r="L1804" s="88"/>
      <c r="M1804" s="88"/>
      <c r="N1804" s="88"/>
      <c r="O1804" s="88"/>
      <c r="P1804" s="88"/>
      <c r="Q1804" s="89"/>
      <c r="R1804" s="88"/>
      <c r="S1804" s="88"/>
      <c r="T1804" s="90"/>
      <c r="U1804" s="6"/>
      <c r="V1804" s="92"/>
      <c r="W1804" s="77"/>
      <c r="X1804" s="91"/>
      <c r="Y1804" s="77"/>
      <c r="Z1804" s="5"/>
      <c r="AA1804" s="5"/>
      <c r="AB1804" s="5"/>
      <c r="AC1804" s="5"/>
      <c r="AD1804" s="5"/>
      <c r="AE1804" s="5"/>
      <c r="AF1804" s="5"/>
      <c r="AG1804" s="5"/>
      <c r="AH1804" s="6"/>
      <c r="AI1804" s="92"/>
      <c r="AJ1804" s="93"/>
      <c r="AK1804" s="94"/>
      <c r="AL1804" s="95"/>
      <c r="AM1804" s="56"/>
      <c r="AN1804" s="57">
        <f t="shared" si="300"/>
        <v>0</v>
      </c>
      <c r="AO1804" s="76">
        <f t="shared" si="302"/>
        <v>0</v>
      </c>
      <c r="AP1804" s="63" t="str">
        <f t="shared" si="303"/>
        <v/>
      </c>
      <c r="AQ1804" s="63" t="str">
        <f t="shared" si="304"/>
        <v/>
      </c>
      <c r="AR1804" s="63" t="str">
        <f t="shared" si="305"/>
        <v/>
      </c>
      <c r="AS1804" s="63" t="str">
        <f t="shared" si="306"/>
        <v/>
      </c>
      <c r="AT1804" s="78" t="str">
        <f t="shared" si="307"/>
        <v/>
      </c>
      <c r="AU1804" s="78" t="str">
        <f t="shared" si="308"/>
        <v/>
      </c>
      <c r="AV1804" s="64" t="str">
        <f ca="1">IFERROR(__xludf.DUMMYFUNCTION("IF(TRIM(AU1804)="""","""",AU1804/INDEX(FILTER(AT$3:AT1804,TRIM(AT$3:AT1804)&lt;&gt;""""),ROWS(FILTER(AT$3:AT1804,TRIM(AT$3:AT1804)&lt;&gt;"""")))-1)"),"")</f>
        <v/>
      </c>
      <c r="AW1804" s="65" t="e">
        <f t="shared" ca="1" si="301"/>
        <v>#VALUE!</v>
      </c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</row>
    <row r="1805" spans="1:68" ht="19" x14ac:dyDescent="0.25">
      <c r="A1805" s="5"/>
      <c r="B1805" s="5"/>
      <c r="C1805" s="5"/>
      <c r="D1805" s="5"/>
      <c r="E1805" s="5"/>
      <c r="F1805" s="5"/>
      <c r="G1805" s="5"/>
      <c r="H1805" s="6"/>
      <c r="I1805" s="5"/>
      <c r="J1805" s="88"/>
      <c r="K1805" s="88"/>
      <c r="L1805" s="88"/>
      <c r="M1805" s="88"/>
      <c r="N1805" s="88"/>
      <c r="O1805" s="88"/>
      <c r="P1805" s="88"/>
      <c r="Q1805" s="89"/>
      <c r="R1805" s="88"/>
      <c r="S1805" s="88"/>
      <c r="T1805" s="90"/>
      <c r="U1805" s="6"/>
      <c r="V1805" s="92"/>
      <c r="W1805" s="77"/>
      <c r="X1805" s="91"/>
      <c r="Y1805" s="77"/>
      <c r="Z1805" s="5"/>
      <c r="AA1805" s="5"/>
      <c r="AB1805" s="5"/>
      <c r="AC1805" s="5"/>
      <c r="AD1805" s="5"/>
      <c r="AE1805" s="5"/>
      <c r="AF1805" s="5"/>
      <c r="AG1805" s="5"/>
      <c r="AH1805" s="6"/>
      <c r="AI1805" s="92"/>
      <c r="AJ1805" s="93"/>
      <c r="AK1805" s="94"/>
      <c r="AL1805" s="95"/>
      <c r="AM1805" s="56"/>
      <c r="AN1805" s="57">
        <f t="shared" si="300"/>
        <v>0</v>
      </c>
      <c r="AO1805" s="76">
        <f t="shared" si="302"/>
        <v>0</v>
      </c>
      <c r="AP1805" s="63" t="str">
        <f t="shared" si="303"/>
        <v/>
      </c>
      <c r="AQ1805" s="63" t="str">
        <f t="shared" si="304"/>
        <v/>
      </c>
      <c r="AR1805" s="63" t="str">
        <f t="shared" si="305"/>
        <v/>
      </c>
      <c r="AS1805" s="63" t="str">
        <f t="shared" si="306"/>
        <v/>
      </c>
      <c r="AT1805" s="78" t="str">
        <f t="shared" si="307"/>
        <v/>
      </c>
      <c r="AU1805" s="78" t="str">
        <f t="shared" si="308"/>
        <v/>
      </c>
      <c r="AV1805" s="64" t="str">
        <f ca="1">IFERROR(__xludf.DUMMYFUNCTION("IF(TRIM(AU1805)="""","""",AU1805/INDEX(FILTER(AT$3:AT1805,TRIM(AT$3:AT1805)&lt;&gt;""""),ROWS(FILTER(AT$3:AT1805,TRIM(AT$3:AT1805)&lt;&gt;"""")))-1)"),"")</f>
        <v/>
      </c>
      <c r="AW1805" s="65" t="e">
        <f t="shared" ca="1" si="301"/>
        <v>#VALUE!</v>
      </c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</row>
    <row r="1806" spans="1:68" ht="19" x14ac:dyDescent="0.25">
      <c r="A1806" s="5"/>
      <c r="B1806" s="5"/>
      <c r="C1806" s="5"/>
      <c r="D1806" s="5"/>
      <c r="E1806" s="5"/>
      <c r="F1806" s="5"/>
      <c r="G1806" s="5"/>
      <c r="H1806" s="6"/>
      <c r="I1806" s="5"/>
      <c r="J1806" s="88"/>
      <c r="K1806" s="88"/>
      <c r="L1806" s="88"/>
      <c r="M1806" s="88"/>
      <c r="N1806" s="88"/>
      <c r="O1806" s="88"/>
      <c r="P1806" s="88"/>
      <c r="Q1806" s="89"/>
      <c r="R1806" s="88"/>
      <c r="S1806" s="88"/>
      <c r="T1806" s="90"/>
      <c r="U1806" s="6"/>
      <c r="V1806" s="92"/>
      <c r="W1806" s="77"/>
      <c r="X1806" s="91"/>
      <c r="Y1806" s="77"/>
      <c r="Z1806" s="5"/>
      <c r="AA1806" s="5"/>
      <c r="AB1806" s="5"/>
      <c r="AC1806" s="5"/>
      <c r="AD1806" s="5"/>
      <c r="AE1806" s="5"/>
      <c r="AF1806" s="5"/>
      <c r="AG1806" s="5"/>
      <c r="AH1806" s="6"/>
      <c r="AI1806" s="92"/>
      <c r="AJ1806" s="93"/>
      <c r="AK1806" s="94"/>
      <c r="AL1806" s="95"/>
      <c r="AM1806" s="56"/>
      <c r="AN1806" s="57">
        <f t="shared" si="300"/>
        <v>0</v>
      </c>
      <c r="AO1806" s="76">
        <f t="shared" si="302"/>
        <v>0</v>
      </c>
      <c r="AP1806" s="63" t="str">
        <f t="shared" si="303"/>
        <v/>
      </c>
      <c r="AQ1806" s="63" t="str">
        <f t="shared" si="304"/>
        <v/>
      </c>
      <c r="AR1806" s="63" t="str">
        <f t="shared" si="305"/>
        <v/>
      </c>
      <c r="AS1806" s="63" t="str">
        <f t="shared" si="306"/>
        <v/>
      </c>
      <c r="AT1806" s="78" t="str">
        <f t="shared" si="307"/>
        <v/>
      </c>
      <c r="AU1806" s="78" t="str">
        <f t="shared" si="308"/>
        <v/>
      </c>
      <c r="AV1806" s="64" t="str">
        <f ca="1">IFERROR(__xludf.DUMMYFUNCTION("IF(TRIM(AU1806)="""","""",AU1806/INDEX(FILTER(AT$3:AT1806,TRIM(AT$3:AT1806)&lt;&gt;""""),ROWS(FILTER(AT$3:AT1806,TRIM(AT$3:AT1806)&lt;&gt;"""")))-1)"),"")</f>
        <v/>
      </c>
      <c r="AW1806" s="65" t="e">
        <f t="shared" ca="1" si="301"/>
        <v>#VALUE!</v>
      </c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</row>
    <row r="1807" spans="1:68" ht="19" x14ac:dyDescent="0.25">
      <c r="A1807" s="5"/>
      <c r="B1807" s="5"/>
      <c r="C1807" s="5"/>
      <c r="D1807" s="5"/>
      <c r="E1807" s="5"/>
      <c r="F1807" s="5"/>
      <c r="G1807" s="5"/>
      <c r="H1807" s="6"/>
      <c r="I1807" s="5"/>
      <c r="J1807" s="88"/>
      <c r="K1807" s="88"/>
      <c r="L1807" s="88"/>
      <c r="M1807" s="88"/>
      <c r="N1807" s="88"/>
      <c r="O1807" s="88"/>
      <c r="P1807" s="88"/>
      <c r="Q1807" s="89"/>
      <c r="R1807" s="88"/>
      <c r="S1807" s="88"/>
      <c r="T1807" s="90"/>
      <c r="U1807" s="6"/>
      <c r="V1807" s="92"/>
      <c r="W1807" s="77"/>
      <c r="X1807" s="91"/>
      <c r="Y1807" s="77"/>
      <c r="Z1807" s="5"/>
      <c r="AA1807" s="5"/>
      <c r="AB1807" s="5"/>
      <c r="AC1807" s="5"/>
      <c r="AD1807" s="5"/>
      <c r="AE1807" s="5"/>
      <c r="AF1807" s="5"/>
      <c r="AG1807" s="5"/>
      <c r="AH1807" s="6"/>
      <c r="AI1807" s="92"/>
      <c r="AJ1807" s="93"/>
      <c r="AK1807" s="94"/>
      <c r="AL1807" s="95"/>
      <c r="AM1807" s="56"/>
      <c r="AN1807" s="57">
        <f t="shared" si="300"/>
        <v>0</v>
      </c>
      <c r="AO1807" s="76">
        <f t="shared" si="302"/>
        <v>0</v>
      </c>
      <c r="AP1807" s="63" t="str">
        <f t="shared" si="303"/>
        <v/>
      </c>
      <c r="AQ1807" s="63" t="str">
        <f t="shared" si="304"/>
        <v/>
      </c>
      <c r="AR1807" s="63" t="str">
        <f t="shared" si="305"/>
        <v/>
      </c>
      <c r="AS1807" s="63" t="str">
        <f t="shared" si="306"/>
        <v/>
      </c>
      <c r="AT1807" s="78" t="str">
        <f t="shared" si="307"/>
        <v/>
      </c>
      <c r="AU1807" s="78" t="str">
        <f t="shared" si="308"/>
        <v/>
      </c>
      <c r="AV1807" s="64" t="str">
        <f ca="1">IFERROR(__xludf.DUMMYFUNCTION("IF(TRIM(AU1807)="""","""",AU1807/INDEX(FILTER(AT$3:AT1807,TRIM(AT$3:AT1807)&lt;&gt;""""),ROWS(FILTER(AT$3:AT1807,TRIM(AT$3:AT1807)&lt;&gt;"""")))-1)"),"")</f>
        <v/>
      </c>
      <c r="AW1807" s="65" t="e">
        <f t="shared" ca="1" si="301"/>
        <v>#VALUE!</v>
      </c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</row>
    <row r="1808" spans="1:68" ht="19" x14ac:dyDescent="0.25">
      <c r="A1808" s="5"/>
      <c r="B1808" s="5"/>
      <c r="C1808" s="5"/>
      <c r="D1808" s="5"/>
      <c r="E1808" s="5"/>
      <c r="F1808" s="5"/>
      <c r="G1808" s="5"/>
      <c r="H1808" s="6"/>
      <c r="I1808" s="5"/>
      <c r="J1808" s="88"/>
      <c r="K1808" s="88"/>
      <c r="L1808" s="88"/>
      <c r="M1808" s="88"/>
      <c r="N1808" s="88"/>
      <c r="O1808" s="88"/>
      <c r="P1808" s="88"/>
      <c r="Q1808" s="89"/>
      <c r="R1808" s="88"/>
      <c r="S1808" s="88"/>
      <c r="T1808" s="90"/>
      <c r="U1808" s="6"/>
      <c r="V1808" s="92"/>
      <c r="W1808" s="77"/>
      <c r="X1808" s="91"/>
      <c r="Y1808" s="77"/>
      <c r="Z1808" s="5"/>
      <c r="AA1808" s="5"/>
      <c r="AB1808" s="5"/>
      <c r="AC1808" s="5"/>
      <c r="AD1808" s="5"/>
      <c r="AE1808" s="5"/>
      <c r="AF1808" s="5"/>
      <c r="AG1808" s="5"/>
      <c r="AH1808" s="6"/>
      <c r="AI1808" s="92"/>
      <c r="AJ1808" s="93"/>
      <c r="AK1808" s="94"/>
      <c r="AL1808" s="95"/>
      <c r="AM1808" s="56"/>
      <c r="AN1808" s="57">
        <f t="shared" si="300"/>
        <v>0</v>
      </c>
      <c r="AO1808" s="76">
        <f t="shared" si="302"/>
        <v>0</v>
      </c>
      <c r="AP1808" s="63" t="str">
        <f t="shared" si="303"/>
        <v/>
      </c>
      <c r="AQ1808" s="63" t="str">
        <f t="shared" si="304"/>
        <v/>
      </c>
      <c r="AR1808" s="63" t="str">
        <f t="shared" si="305"/>
        <v/>
      </c>
      <c r="AS1808" s="63" t="str">
        <f t="shared" si="306"/>
        <v/>
      </c>
      <c r="AT1808" s="78" t="str">
        <f t="shared" si="307"/>
        <v/>
      </c>
      <c r="AU1808" s="78" t="str">
        <f t="shared" si="308"/>
        <v/>
      </c>
      <c r="AV1808" s="64" t="str">
        <f ca="1">IFERROR(__xludf.DUMMYFUNCTION("IF(TRIM(AU1808)="""","""",AU1808/INDEX(FILTER(AT$3:AT1808,TRIM(AT$3:AT1808)&lt;&gt;""""),ROWS(FILTER(AT$3:AT1808,TRIM(AT$3:AT1808)&lt;&gt;"""")))-1)"),"")</f>
        <v/>
      </c>
      <c r="AW1808" s="65" t="e">
        <f t="shared" ca="1" si="301"/>
        <v>#VALUE!</v>
      </c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</row>
    <row r="1809" spans="1:68" ht="19" x14ac:dyDescent="0.25">
      <c r="A1809" s="5"/>
      <c r="B1809" s="5"/>
      <c r="C1809" s="5"/>
      <c r="D1809" s="5"/>
      <c r="E1809" s="5"/>
      <c r="F1809" s="5"/>
      <c r="G1809" s="5"/>
      <c r="H1809" s="6"/>
      <c r="I1809" s="5"/>
      <c r="J1809" s="88"/>
      <c r="K1809" s="88"/>
      <c r="L1809" s="88"/>
      <c r="M1809" s="88"/>
      <c r="N1809" s="88"/>
      <c r="O1809" s="88"/>
      <c r="P1809" s="88"/>
      <c r="Q1809" s="89"/>
      <c r="R1809" s="88"/>
      <c r="S1809" s="88"/>
      <c r="T1809" s="90"/>
      <c r="U1809" s="6"/>
      <c r="V1809" s="96"/>
      <c r="W1809" s="77"/>
      <c r="X1809" s="91"/>
      <c r="Y1809" s="77"/>
      <c r="Z1809" s="5"/>
      <c r="AA1809" s="5"/>
      <c r="AB1809" s="5"/>
      <c r="AC1809" s="5"/>
      <c r="AD1809" s="5"/>
      <c r="AE1809" s="5"/>
      <c r="AF1809" s="5"/>
      <c r="AG1809" s="5"/>
      <c r="AH1809" s="6"/>
      <c r="AI1809" s="96"/>
      <c r="AJ1809" s="93"/>
      <c r="AK1809" s="94"/>
      <c r="AL1809" s="95"/>
      <c r="AM1809" s="56"/>
      <c r="AN1809" s="57">
        <f t="shared" si="300"/>
        <v>0</v>
      </c>
      <c r="AO1809" s="76">
        <f t="shared" si="302"/>
        <v>0</v>
      </c>
      <c r="AP1809" s="63" t="str">
        <f t="shared" si="303"/>
        <v/>
      </c>
      <c r="AQ1809" s="63" t="str">
        <f t="shared" si="304"/>
        <v/>
      </c>
      <c r="AR1809" s="63" t="str">
        <f t="shared" si="305"/>
        <v/>
      </c>
      <c r="AS1809" s="63" t="str">
        <f t="shared" si="306"/>
        <v/>
      </c>
      <c r="AT1809" s="78" t="str">
        <f t="shared" si="307"/>
        <v/>
      </c>
      <c r="AU1809" s="78" t="str">
        <f t="shared" si="308"/>
        <v/>
      </c>
      <c r="AV1809" s="64" t="str">
        <f ca="1">IFERROR(__xludf.DUMMYFUNCTION("IF(TRIM(AU1809)="""","""",AU1809/INDEX(FILTER(AT$3:AT1809,TRIM(AT$3:AT1809)&lt;&gt;""""),ROWS(FILTER(AT$3:AT1809,TRIM(AT$3:AT1809)&lt;&gt;"""")))-1)"),"")</f>
        <v/>
      </c>
      <c r="AW1809" s="65" t="e">
        <f t="shared" ca="1" si="301"/>
        <v>#VALUE!</v>
      </c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</row>
    <row r="1810" spans="1:68" ht="19" x14ac:dyDescent="0.25">
      <c r="A1810" s="5"/>
      <c r="B1810" s="5"/>
      <c r="C1810" s="5"/>
      <c r="D1810" s="5"/>
      <c r="E1810" s="5"/>
      <c r="F1810" s="5"/>
      <c r="G1810" s="5"/>
      <c r="H1810" s="6"/>
      <c r="I1810" s="5"/>
      <c r="J1810" s="88"/>
      <c r="K1810" s="88"/>
      <c r="L1810" s="88"/>
      <c r="M1810" s="88"/>
      <c r="N1810" s="88"/>
      <c r="O1810" s="88"/>
      <c r="P1810" s="88"/>
      <c r="Q1810" s="89"/>
      <c r="R1810" s="88"/>
      <c r="S1810" s="88"/>
      <c r="T1810" s="90"/>
      <c r="U1810" s="6"/>
      <c r="V1810" s="96"/>
      <c r="W1810" s="77"/>
      <c r="X1810" s="91"/>
      <c r="Y1810" s="77"/>
      <c r="Z1810" s="5"/>
      <c r="AA1810" s="5"/>
      <c r="AB1810" s="5"/>
      <c r="AC1810" s="5"/>
      <c r="AD1810" s="5"/>
      <c r="AE1810" s="5"/>
      <c r="AF1810" s="5"/>
      <c r="AG1810" s="5"/>
      <c r="AH1810" s="6"/>
      <c r="AI1810" s="96"/>
      <c r="AJ1810" s="93"/>
      <c r="AK1810" s="94"/>
      <c r="AL1810" s="95"/>
      <c r="AM1810" s="56"/>
      <c r="AN1810" s="57">
        <f t="shared" si="300"/>
        <v>0</v>
      </c>
      <c r="AO1810" s="76">
        <f t="shared" si="302"/>
        <v>0</v>
      </c>
      <c r="AP1810" s="63" t="str">
        <f t="shared" si="303"/>
        <v/>
      </c>
      <c r="AQ1810" s="63" t="str">
        <f t="shared" si="304"/>
        <v/>
      </c>
      <c r="AR1810" s="63" t="str">
        <f t="shared" si="305"/>
        <v/>
      </c>
      <c r="AS1810" s="63" t="str">
        <f t="shared" si="306"/>
        <v/>
      </c>
      <c r="AT1810" s="78" t="str">
        <f t="shared" si="307"/>
        <v/>
      </c>
      <c r="AU1810" s="78" t="str">
        <f t="shared" si="308"/>
        <v/>
      </c>
      <c r="AV1810" s="64" t="str">
        <f ca="1">IFERROR(__xludf.DUMMYFUNCTION("IF(TRIM(AU1810)="""","""",AU1810/INDEX(FILTER(AT$3:AT1810,TRIM(AT$3:AT1810)&lt;&gt;""""),ROWS(FILTER(AT$3:AT1810,TRIM(AT$3:AT1810)&lt;&gt;"""")))-1)"),"")</f>
        <v/>
      </c>
      <c r="AW1810" s="65" t="e">
        <f t="shared" ca="1" si="301"/>
        <v>#VALUE!</v>
      </c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</row>
    <row r="1811" spans="1:68" ht="19" x14ac:dyDescent="0.25">
      <c r="A1811" s="5"/>
      <c r="B1811" s="5"/>
      <c r="C1811" s="5"/>
      <c r="D1811" s="5"/>
      <c r="E1811" s="5"/>
      <c r="F1811" s="5"/>
      <c r="G1811" s="5"/>
      <c r="H1811" s="6"/>
      <c r="I1811" s="5"/>
      <c r="J1811" s="88"/>
      <c r="K1811" s="88"/>
      <c r="L1811" s="88"/>
      <c r="M1811" s="88"/>
      <c r="N1811" s="88"/>
      <c r="O1811" s="88"/>
      <c r="P1811" s="88"/>
      <c r="Q1811" s="89"/>
      <c r="R1811" s="88"/>
      <c r="S1811" s="88"/>
      <c r="T1811" s="90"/>
      <c r="U1811" s="6"/>
      <c r="V1811" s="96"/>
      <c r="W1811" s="77"/>
      <c r="X1811" s="91"/>
      <c r="Y1811" s="77"/>
      <c r="Z1811" s="5"/>
      <c r="AA1811" s="5"/>
      <c r="AB1811" s="5"/>
      <c r="AC1811" s="5"/>
      <c r="AD1811" s="5"/>
      <c r="AE1811" s="5"/>
      <c r="AF1811" s="5"/>
      <c r="AG1811" s="5"/>
      <c r="AH1811" s="6"/>
      <c r="AI1811" s="96"/>
      <c r="AJ1811" s="93"/>
      <c r="AK1811" s="94"/>
      <c r="AL1811" s="95"/>
      <c r="AM1811" s="56"/>
      <c r="AN1811" s="57">
        <f t="shared" si="300"/>
        <v>0</v>
      </c>
      <c r="AO1811" s="76">
        <f t="shared" si="302"/>
        <v>0</v>
      </c>
      <c r="AP1811" s="63" t="str">
        <f t="shared" si="303"/>
        <v/>
      </c>
      <c r="AQ1811" s="63" t="str">
        <f t="shared" si="304"/>
        <v/>
      </c>
      <c r="AR1811" s="63" t="str">
        <f t="shared" si="305"/>
        <v/>
      </c>
      <c r="AS1811" s="63" t="str">
        <f t="shared" si="306"/>
        <v/>
      </c>
      <c r="AT1811" s="78" t="str">
        <f t="shared" si="307"/>
        <v/>
      </c>
      <c r="AU1811" s="78" t="str">
        <f t="shared" si="308"/>
        <v/>
      </c>
      <c r="AV1811" s="64" t="str">
        <f ca="1">IFERROR(__xludf.DUMMYFUNCTION("IF(TRIM(AU1811)="""","""",AU1811/INDEX(FILTER(AT$3:AT1811,TRIM(AT$3:AT1811)&lt;&gt;""""),ROWS(FILTER(AT$3:AT1811,TRIM(AT$3:AT1811)&lt;&gt;"""")))-1)"),"")</f>
        <v/>
      </c>
      <c r="AW1811" s="65" t="e">
        <f t="shared" ca="1" si="301"/>
        <v>#VALUE!</v>
      </c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</row>
    <row r="1812" spans="1:68" ht="19" x14ac:dyDescent="0.25">
      <c r="A1812" s="5"/>
      <c r="B1812" s="5"/>
      <c r="C1812" s="5"/>
      <c r="D1812" s="5"/>
      <c r="E1812" s="5"/>
      <c r="F1812" s="5"/>
      <c r="G1812" s="5"/>
      <c r="H1812" s="6"/>
      <c r="I1812" s="5"/>
      <c r="J1812" s="88"/>
      <c r="K1812" s="88"/>
      <c r="L1812" s="88"/>
      <c r="M1812" s="88"/>
      <c r="N1812" s="88"/>
      <c r="O1812" s="88"/>
      <c r="P1812" s="88"/>
      <c r="Q1812" s="89"/>
      <c r="R1812" s="88"/>
      <c r="S1812" s="88"/>
      <c r="T1812" s="90"/>
      <c r="U1812" s="6"/>
      <c r="V1812" s="96"/>
      <c r="W1812" s="77"/>
      <c r="X1812" s="91"/>
      <c r="Y1812" s="77"/>
      <c r="Z1812" s="5"/>
      <c r="AA1812" s="5"/>
      <c r="AB1812" s="5"/>
      <c r="AC1812" s="5"/>
      <c r="AD1812" s="5"/>
      <c r="AE1812" s="5"/>
      <c r="AF1812" s="5"/>
      <c r="AG1812" s="5"/>
      <c r="AH1812" s="6"/>
      <c r="AI1812" s="96"/>
      <c r="AJ1812" s="93"/>
      <c r="AK1812" s="94"/>
      <c r="AL1812" s="95"/>
      <c r="AM1812" s="56"/>
      <c r="AN1812" s="57">
        <f t="shared" si="300"/>
        <v>0</v>
      </c>
      <c r="AO1812" s="76">
        <f t="shared" si="302"/>
        <v>0</v>
      </c>
      <c r="AP1812" s="63" t="str">
        <f t="shared" si="303"/>
        <v/>
      </c>
      <c r="AQ1812" s="63" t="str">
        <f t="shared" si="304"/>
        <v/>
      </c>
      <c r="AR1812" s="63" t="str">
        <f t="shared" si="305"/>
        <v/>
      </c>
      <c r="AS1812" s="63" t="str">
        <f t="shared" si="306"/>
        <v/>
      </c>
      <c r="AT1812" s="78" t="str">
        <f t="shared" si="307"/>
        <v/>
      </c>
      <c r="AU1812" s="78" t="str">
        <f t="shared" si="308"/>
        <v/>
      </c>
      <c r="AV1812" s="64" t="str">
        <f ca="1">IFERROR(__xludf.DUMMYFUNCTION("IF(TRIM(AU1812)="""","""",AU1812/INDEX(FILTER(AT$3:AT1812,TRIM(AT$3:AT1812)&lt;&gt;""""),ROWS(FILTER(AT$3:AT1812,TRIM(AT$3:AT1812)&lt;&gt;"""")))-1)"),"")</f>
        <v/>
      </c>
      <c r="AW1812" s="65" t="e">
        <f t="shared" ca="1" si="301"/>
        <v>#VALUE!</v>
      </c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</row>
    <row r="1813" spans="1:68" ht="19" x14ac:dyDescent="0.25">
      <c r="A1813" s="5"/>
      <c r="B1813" s="5"/>
      <c r="C1813" s="5"/>
      <c r="D1813" s="5"/>
      <c r="E1813" s="5"/>
      <c r="F1813" s="5"/>
      <c r="G1813" s="5"/>
      <c r="H1813" s="6"/>
      <c r="I1813" s="5"/>
      <c r="J1813" s="88"/>
      <c r="K1813" s="88"/>
      <c r="L1813" s="88"/>
      <c r="M1813" s="88"/>
      <c r="N1813" s="88"/>
      <c r="O1813" s="88"/>
      <c r="P1813" s="88"/>
      <c r="Q1813" s="89"/>
      <c r="R1813" s="88"/>
      <c r="S1813" s="88"/>
      <c r="T1813" s="90"/>
      <c r="U1813" s="6"/>
      <c r="V1813" s="96"/>
      <c r="W1813" s="77"/>
      <c r="X1813" s="91"/>
      <c r="Y1813" s="77"/>
      <c r="Z1813" s="5"/>
      <c r="AA1813" s="5"/>
      <c r="AB1813" s="5"/>
      <c r="AC1813" s="5"/>
      <c r="AD1813" s="5"/>
      <c r="AE1813" s="5"/>
      <c r="AF1813" s="5"/>
      <c r="AG1813" s="5"/>
      <c r="AH1813" s="6"/>
      <c r="AI1813" s="96"/>
      <c r="AJ1813" s="93"/>
      <c r="AK1813" s="94"/>
      <c r="AL1813" s="95"/>
      <c r="AM1813" s="56"/>
      <c r="AN1813" s="57">
        <f t="shared" si="300"/>
        <v>0</v>
      </c>
      <c r="AO1813" s="76">
        <f t="shared" si="302"/>
        <v>0</v>
      </c>
      <c r="AP1813" s="63" t="str">
        <f t="shared" si="303"/>
        <v/>
      </c>
      <c r="AQ1813" s="63" t="str">
        <f t="shared" si="304"/>
        <v/>
      </c>
      <c r="AR1813" s="63" t="str">
        <f t="shared" si="305"/>
        <v/>
      </c>
      <c r="AS1813" s="63" t="str">
        <f t="shared" si="306"/>
        <v/>
      </c>
      <c r="AT1813" s="78" t="str">
        <f t="shared" si="307"/>
        <v/>
      </c>
      <c r="AU1813" s="78" t="str">
        <f t="shared" si="308"/>
        <v/>
      </c>
      <c r="AV1813" s="64" t="str">
        <f ca="1">IFERROR(__xludf.DUMMYFUNCTION("IF(TRIM(AU1813)="""","""",AU1813/INDEX(FILTER(AT$3:AT1813,TRIM(AT$3:AT1813)&lt;&gt;""""),ROWS(FILTER(AT$3:AT1813,TRIM(AT$3:AT1813)&lt;&gt;"""")))-1)"),"")</f>
        <v/>
      </c>
      <c r="AW1813" s="65" t="e">
        <f t="shared" ca="1" si="301"/>
        <v>#VALUE!</v>
      </c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</row>
    <row r="1814" spans="1:68" ht="19" x14ac:dyDescent="0.25">
      <c r="A1814" s="5"/>
      <c r="B1814" s="5"/>
      <c r="C1814" s="5"/>
      <c r="D1814" s="5"/>
      <c r="E1814" s="5"/>
      <c r="F1814" s="5"/>
      <c r="G1814" s="5"/>
      <c r="H1814" s="6"/>
      <c r="I1814" s="5"/>
      <c r="J1814" s="88"/>
      <c r="K1814" s="88"/>
      <c r="L1814" s="88"/>
      <c r="M1814" s="88"/>
      <c r="N1814" s="88"/>
      <c r="O1814" s="88"/>
      <c r="P1814" s="88"/>
      <c r="Q1814" s="89"/>
      <c r="R1814" s="88"/>
      <c r="S1814" s="88"/>
      <c r="T1814" s="90"/>
      <c r="U1814" s="6"/>
      <c r="V1814" s="96"/>
      <c r="W1814" s="77"/>
      <c r="X1814" s="91"/>
      <c r="Y1814" s="77"/>
      <c r="Z1814" s="5"/>
      <c r="AA1814" s="5"/>
      <c r="AB1814" s="5"/>
      <c r="AC1814" s="5"/>
      <c r="AD1814" s="5"/>
      <c r="AE1814" s="5"/>
      <c r="AF1814" s="5"/>
      <c r="AG1814" s="5"/>
      <c r="AH1814" s="6"/>
      <c r="AI1814" s="96"/>
      <c r="AJ1814" s="93"/>
      <c r="AK1814" s="94"/>
      <c r="AL1814" s="95"/>
      <c r="AM1814" s="56"/>
      <c r="AN1814" s="57">
        <f t="shared" si="300"/>
        <v>0</v>
      </c>
      <c r="AO1814" s="76">
        <f t="shared" si="302"/>
        <v>0</v>
      </c>
      <c r="AP1814" s="63" t="str">
        <f t="shared" si="303"/>
        <v/>
      </c>
      <c r="AQ1814" s="63" t="str">
        <f t="shared" si="304"/>
        <v/>
      </c>
      <c r="AR1814" s="63" t="str">
        <f t="shared" si="305"/>
        <v/>
      </c>
      <c r="AS1814" s="63" t="str">
        <f t="shared" si="306"/>
        <v/>
      </c>
      <c r="AT1814" s="78" t="str">
        <f t="shared" si="307"/>
        <v/>
      </c>
      <c r="AU1814" s="78" t="str">
        <f t="shared" si="308"/>
        <v/>
      </c>
      <c r="AV1814" s="64" t="str">
        <f ca="1">IFERROR(__xludf.DUMMYFUNCTION("IF(TRIM(AU1814)="""","""",AU1814/INDEX(FILTER(AT$3:AT1814,TRIM(AT$3:AT1814)&lt;&gt;""""),ROWS(FILTER(AT$3:AT1814,TRIM(AT$3:AT1814)&lt;&gt;"""")))-1)"),"")</f>
        <v/>
      </c>
      <c r="AW1814" s="65" t="e">
        <f t="shared" ca="1" si="301"/>
        <v>#VALUE!</v>
      </c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</row>
    <row r="1815" spans="1:68" ht="19" x14ac:dyDescent="0.25">
      <c r="A1815" s="5"/>
      <c r="B1815" s="5"/>
      <c r="C1815" s="5"/>
      <c r="D1815" s="5"/>
      <c r="E1815" s="5"/>
      <c r="F1815" s="5"/>
      <c r="G1815" s="5"/>
      <c r="H1815" s="6"/>
      <c r="I1815" s="5"/>
      <c r="J1815" s="88"/>
      <c r="K1815" s="88"/>
      <c r="L1815" s="88"/>
      <c r="M1815" s="88"/>
      <c r="N1815" s="88"/>
      <c r="O1815" s="88"/>
      <c r="P1815" s="88"/>
      <c r="Q1815" s="89"/>
      <c r="R1815" s="88"/>
      <c r="S1815" s="88"/>
      <c r="T1815" s="90"/>
      <c r="U1815" s="6"/>
      <c r="V1815" s="96"/>
      <c r="W1815" s="77"/>
      <c r="X1815" s="91"/>
      <c r="Y1815" s="77"/>
      <c r="Z1815" s="5"/>
      <c r="AA1815" s="5"/>
      <c r="AB1815" s="5"/>
      <c r="AC1815" s="5"/>
      <c r="AD1815" s="5"/>
      <c r="AE1815" s="5"/>
      <c r="AF1815" s="5"/>
      <c r="AG1815" s="5"/>
      <c r="AH1815" s="6"/>
      <c r="AI1815" s="96"/>
      <c r="AJ1815" s="93"/>
      <c r="AK1815" s="94"/>
      <c r="AL1815" s="95"/>
      <c r="AM1815" s="56"/>
      <c r="AN1815" s="57">
        <f t="shared" si="300"/>
        <v>0</v>
      </c>
      <c r="AO1815" s="76">
        <f t="shared" si="302"/>
        <v>0</v>
      </c>
      <c r="AP1815" s="63" t="str">
        <f t="shared" si="303"/>
        <v/>
      </c>
      <c r="AQ1815" s="63" t="str">
        <f t="shared" si="304"/>
        <v/>
      </c>
      <c r="AR1815" s="63" t="str">
        <f t="shared" si="305"/>
        <v/>
      </c>
      <c r="AS1815" s="63" t="str">
        <f t="shared" si="306"/>
        <v/>
      </c>
      <c r="AT1815" s="78" t="str">
        <f t="shared" si="307"/>
        <v/>
      </c>
      <c r="AU1815" s="78" t="str">
        <f t="shared" si="308"/>
        <v/>
      </c>
      <c r="AV1815" s="64" t="str">
        <f ca="1">IFERROR(__xludf.DUMMYFUNCTION("IF(TRIM(AU1815)="""","""",AU1815/INDEX(FILTER(AT$3:AT1815,TRIM(AT$3:AT1815)&lt;&gt;""""),ROWS(FILTER(AT$3:AT1815,TRIM(AT$3:AT1815)&lt;&gt;"""")))-1)"),"")</f>
        <v/>
      </c>
      <c r="AW1815" s="65" t="e">
        <f t="shared" ca="1" si="301"/>
        <v>#VALUE!</v>
      </c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</row>
    <row r="1816" spans="1:68" ht="19" x14ac:dyDescent="0.25">
      <c r="A1816" s="5"/>
      <c r="B1816" s="5"/>
      <c r="C1816" s="5"/>
      <c r="D1816" s="5"/>
      <c r="E1816" s="5"/>
      <c r="F1816" s="5"/>
      <c r="G1816" s="5"/>
      <c r="H1816" s="6"/>
      <c r="I1816" s="5"/>
      <c r="J1816" s="88"/>
      <c r="K1816" s="88"/>
      <c r="L1816" s="88"/>
      <c r="M1816" s="88"/>
      <c r="N1816" s="88"/>
      <c r="O1816" s="88"/>
      <c r="P1816" s="88"/>
      <c r="Q1816" s="89"/>
      <c r="R1816" s="88"/>
      <c r="S1816" s="88"/>
      <c r="T1816" s="90"/>
      <c r="U1816" s="6"/>
      <c r="V1816" s="96"/>
      <c r="W1816" s="77"/>
      <c r="X1816" s="91"/>
      <c r="Y1816" s="77"/>
      <c r="Z1816" s="5"/>
      <c r="AA1816" s="5"/>
      <c r="AB1816" s="5"/>
      <c r="AC1816" s="5"/>
      <c r="AD1816" s="5"/>
      <c r="AE1816" s="5"/>
      <c r="AF1816" s="5"/>
      <c r="AG1816" s="5"/>
      <c r="AH1816" s="6"/>
      <c r="AI1816" s="96"/>
      <c r="AJ1816" s="93"/>
      <c r="AK1816" s="94"/>
      <c r="AL1816" s="95"/>
      <c r="AM1816" s="56"/>
      <c r="AN1816" s="57">
        <f t="shared" si="300"/>
        <v>0</v>
      </c>
      <c r="AO1816" s="76">
        <f t="shared" si="302"/>
        <v>0</v>
      </c>
      <c r="AP1816" s="63" t="str">
        <f t="shared" si="303"/>
        <v/>
      </c>
      <c r="AQ1816" s="63" t="str">
        <f t="shared" si="304"/>
        <v/>
      </c>
      <c r="AR1816" s="63" t="str">
        <f t="shared" si="305"/>
        <v/>
      </c>
      <c r="AS1816" s="63" t="str">
        <f t="shared" si="306"/>
        <v/>
      </c>
      <c r="AT1816" s="78" t="str">
        <f t="shared" si="307"/>
        <v/>
      </c>
      <c r="AU1816" s="78" t="str">
        <f t="shared" si="308"/>
        <v/>
      </c>
      <c r="AV1816" s="64" t="str">
        <f ca="1">IFERROR(__xludf.DUMMYFUNCTION("IF(TRIM(AU1816)="""","""",AU1816/INDEX(FILTER(AT$3:AT1816,TRIM(AT$3:AT1816)&lt;&gt;""""),ROWS(FILTER(AT$3:AT1816,TRIM(AT$3:AT1816)&lt;&gt;"""")))-1)"),"")</f>
        <v/>
      </c>
      <c r="AW1816" s="65" t="e">
        <f t="shared" ca="1" si="301"/>
        <v>#VALUE!</v>
      </c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</row>
    <row r="1817" spans="1:68" ht="19" x14ac:dyDescent="0.25">
      <c r="A1817" s="5"/>
      <c r="B1817" s="5"/>
      <c r="C1817" s="5"/>
      <c r="D1817" s="5"/>
      <c r="E1817" s="5"/>
      <c r="F1817" s="5"/>
      <c r="G1817" s="5"/>
      <c r="H1817" s="6"/>
      <c r="I1817" s="5"/>
      <c r="J1817" s="88"/>
      <c r="K1817" s="88"/>
      <c r="L1817" s="88"/>
      <c r="M1817" s="88"/>
      <c r="N1817" s="88"/>
      <c r="O1817" s="88"/>
      <c r="P1817" s="88"/>
      <c r="Q1817" s="89"/>
      <c r="R1817" s="88"/>
      <c r="S1817" s="88"/>
      <c r="T1817" s="90"/>
      <c r="U1817" s="6"/>
      <c r="V1817" s="96"/>
      <c r="W1817" s="77"/>
      <c r="X1817" s="91"/>
      <c r="Y1817" s="77"/>
      <c r="Z1817" s="5"/>
      <c r="AA1817" s="5"/>
      <c r="AB1817" s="5"/>
      <c r="AC1817" s="5"/>
      <c r="AD1817" s="5"/>
      <c r="AE1817" s="5"/>
      <c r="AF1817" s="5"/>
      <c r="AG1817" s="5"/>
      <c r="AH1817" s="6"/>
      <c r="AI1817" s="96"/>
      <c r="AJ1817" s="93"/>
      <c r="AK1817" s="94"/>
      <c r="AL1817" s="95"/>
      <c r="AM1817" s="56"/>
      <c r="AN1817" s="57">
        <f t="shared" si="300"/>
        <v>0</v>
      </c>
      <c r="AO1817" s="76">
        <f t="shared" si="302"/>
        <v>0</v>
      </c>
      <c r="AP1817" s="63" t="str">
        <f t="shared" si="303"/>
        <v/>
      </c>
      <c r="AQ1817" s="63" t="str">
        <f t="shared" si="304"/>
        <v/>
      </c>
      <c r="AR1817" s="63" t="str">
        <f t="shared" si="305"/>
        <v/>
      </c>
      <c r="AS1817" s="63" t="str">
        <f t="shared" si="306"/>
        <v/>
      </c>
      <c r="AT1817" s="78" t="str">
        <f t="shared" si="307"/>
        <v/>
      </c>
      <c r="AU1817" s="78" t="str">
        <f t="shared" si="308"/>
        <v/>
      </c>
      <c r="AV1817" s="64" t="str">
        <f ca="1">IFERROR(__xludf.DUMMYFUNCTION("IF(TRIM(AU1817)="""","""",AU1817/INDEX(FILTER(AT$3:AT1817,TRIM(AT$3:AT1817)&lt;&gt;""""),ROWS(FILTER(AT$3:AT1817,TRIM(AT$3:AT1817)&lt;&gt;"""")))-1)"),"")</f>
        <v/>
      </c>
      <c r="AW1817" s="65" t="e">
        <f t="shared" ca="1" si="301"/>
        <v>#VALUE!</v>
      </c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</row>
    <row r="1818" spans="1:68" ht="19" x14ac:dyDescent="0.25">
      <c r="A1818" s="5"/>
      <c r="B1818" s="5"/>
      <c r="C1818" s="5"/>
      <c r="D1818" s="5"/>
      <c r="E1818" s="5"/>
      <c r="F1818" s="5"/>
      <c r="G1818" s="5"/>
      <c r="H1818" s="6"/>
      <c r="I1818" s="5"/>
      <c r="J1818" s="88"/>
      <c r="K1818" s="88"/>
      <c r="L1818" s="88"/>
      <c r="M1818" s="88"/>
      <c r="N1818" s="88"/>
      <c r="O1818" s="88"/>
      <c r="P1818" s="88"/>
      <c r="Q1818" s="89"/>
      <c r="R1818" s="88"/>
      <c r="S1818" s="88"/>
      <c r="T1818" s="90"/>
      <c r="U1818" s="6"/>
      <c r="V1818" s="96"/>
      <c r="W1818" s="77"/>
      <c r="X1818" s="91"/>
      <c r="Y1818" s="77"/>
      <c r="Z1818" s="5"/>
      <c r="AA1818" s="5"/>
      <c r="AB1818" s="5"/>
      <c r="AC1818" s="5"/>
      <c r="AD1818" s="5"/>
      <c r="AE1818" s="5"/>
      <c r="AF1818" s="5"/>
      <c r="AG1818" s="5"/>
      <c r="AH1818" s="6"/>
      <c r="AI1818" s="96"/>
      <c r="AJ1818" s="93"/>
      <c r="AK1818" s="94"/>
      <c r="AL1818" s="95"/>
      <c r="AM1818" s="56"/>
      <c r="AN1818" s="57">
        <f t="shared" si="300"/>
        <v>0</v>
      </c>
      <c r="AO1818" s="76">
        <f t="shared" si="302"/>
        <v>0</v>
      </c>
      <c r="AP1818" s="63" t="str">
        <f t="shared" si="303"/>
        <v/>
      </c>
      <c r="AQ1818" s="63" t="str">
        <f t="shared" si="304"/>
        <v/>
      </c>
      <c r="AR1818" s="63" t="str">
        <f t="shared" si="305"/>
        <v/>
      </c>
      <c r="AS1818" s="63" t="str">
        <f t="shared" si="306"/>
        <v/>
      </c>
      <c r="AT1818" s="78" t="str">
        <f t="shared" si="307"/>
        <v/>
      </c>
      <c r="AU1818" s="78" t="str">
        <f t="shared" si="308"/>
        <v/>
      </c>
      <c r="AV1818" s="64" t="str">
        <f ca="1">IFERROR(__xludf.DUMMYFUNCTION("IF(TRIM(AU1818)="""","""",AU1818/INDEX(FILTER(AT$3:AT1818,TRIM(AT$3:AT1818)&lt;&gt;""""),ROWS(FILTER(AT$3:AT1818,TRIM(AT$3:AT1818)&lt;&gt;"""")))-1)"),"")</f>
        <v/>
      </c>
      <c r="AW1818" s="65" t="e">
        <f t="shared" ca="1" si="301"/>
        <v>#VALUE!</v>
      </c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</row>
    <row r="1819" spans="1:68" ht="19" x14ac:dyDescent="0.25">
      <c r="A1819" s="5"/>
      <c r="B1819" s="5"/>
      <c r="C1819" s="5"/>
      <c r="D1819" s="5"/>
      <c r="E1819" s="5"/>
      <c r="F1819" s="5"/>
      <c r="G1819" s="5"/>
      <c r="H1819" s="6"/>
      <c r="I1819" s="5"/>
      <c r="J1819" s="88"/>
      <c r="K1819" s="88"/>
      <c r="L1819" s="88"/>
      <c r="M1819" s="88"/>
      <c r="N1819" s="88"/>
      <c r="O1819" s="88"/>
      <c r="P1819" s="88"/>
      <c r="Q1819" s="89"/>
      <c r="R1819" s="88"/>
      <c r="S1819" s="88"/>
      <c r="T1819" s="90"/>
      <c r="U1819" s="6"/>
      <c r="V1819" s="96"/>
      <c r="W1819" s="77"/>
      <c r="X1819" s="91"/>
      <c r="Y1819" s="77"/>
      <c r="Z1819" s="5"/>
      <c r="AA1819" s="5"/>
      <c r="AB1819" s="5"/>
      <c r="AC1819" s="5"/>
      <c r="AD1819" s="5"/>
      <c r="AE1819" s="5"/>
      <c r="AF1819" s="5"/>
      <c r="AG1819" s="5"/>
      <c r="AH1819" s="6"/>
      <c r="AI1819" s="96"/>
      <c r="AJ1819" s="93"/>
      <c r="AK1819" s="94"/>
      <c r="AL1819" s="95"/>
      <c r="AM1819" s="56"/>
      <c r="AN1819" s="57">
        <f t="shared" si="300"/>
        <v>0</v>
      </c>
      <c r="AO1819" s="76">
        <f t="shared" si="302"/>
        <v>0</v>
      </c>
      <c r="AP1819" s="63" t="str">
        <f t="shared" si="303"/>
        <v/>
      </c>
      <c r="AQ1819" s="63" t="str">
        <f t="shared" si="304"/>
        <v/>
      </c>
      <c r="AR1819" s="63" t="str">
        <f t="shared" si="305"/>
        <v/>
      </c>
      <c r="AS1819" s="63" t="str">
        <f t="shared" si="306"/>
        <v/>
      </c>
      <c r="AT1819" s="78" t="str">
        <f t="shared" si="307"/>
        <v/>
      </c>
      <c r="AU1819" s="78" t="str">
        <f t="shared" si="308"/>
        <v/>
      </c>
      <c r="AV1819" s="64" t="str">
        <f ca="1">IFERROR(__xludf.DUMMYFUNCTION("IF(TRIM(AU1819)="""","""",AU1819/INDEX(FILTER(AT$3:AT1819,TRIM(AT$3:AT1819)&lt;&gt;""""),ROWS(FILTER(AT$3:AT1819,TRIM(AT$3:AT1819)&lt;&gt;"""")))-1)"),"")</f>
        <v/>
      </c>
      <c r="AW1819" s="65" t="e">
        <f t="shared" ca="1" si="301"/>
        <v>#VALUE!</v>
      </c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</row>
    <row r="1820" spans="1:68" ht="19" x14ac:dyDescent="0.25">
      <c r="A1820" s="5"/>
      <c r="B1820" s="5"/>
      <c r="C1820" s="5"/>
      <c r="D1820" s="5"/>
      <c r="E1820" s="5"/>
      <c r="F1820" s="5"/>
      <c r="G1820" s="5"/>
      <c r="H1820" s="6"/>
      <c r="I1820" s="5"/>
      <c r="J1820" s="88"/>
      <c r="K1820" s="88"/>
      <c r="L1820" s="88"/>
      <c r="M1820" s="88"/>
      <c r="N1820" s="88"/>
      <c r="O1820" s="88"/>
      <c r="P1820" s="88"/>
      <c r="Q1820" s="89"/>
      <c r="R1820" s="88"/>
      <c r="S1820" s="88"/>
      <c r="T1820" s="90"/>
      <c r="U1820" s="6"/>
      <c r="V1820" s="96"/>
      <c r="W1820" s="77"/>
      <c r="X1820" s="91"/>
      <c r="Y1820" s="77"/>
      <c r="Z1820" s="5"/>
      <c r="AA1820" s="5"/>
      <c r="AB1820" s="5"/>
      <c r="AC1820" s="5"/>
      <c r="AD1820" s="5"/>
      <c r="AE1820" s="5"/>
      <c r="AF1820" s="5"/>
      <c r="AG1820" s="5"/>
      <c r="AH1820" s="6"/>
      <c r="AI1820" s="96"/>
      <c r="AJ1820" s="93"/>
      <c r="AK1820" s="94"/>
      <c r="AL1820" s="95"/>
      <c r="AM1820" s="56"/>
      <c r="AN1820" s="57">
        <f t="shared" si="300"/>
        <v>0</v>
      </c>
      <c r="AO1820" s="76">
        <f t="shared" si="302"/>
        <v>0</v>
      </c>
      <c r="AP1820" s="63" t="str">
        <f t="shared" si="303"/>
        <v/>
      </c>
      <c r="AQ1820" s="63" t="str">
        <f t="shared" si="304"/>
        <v/>
      </c>
      <c r="AR1820" s="63" t="str">
        <f t="shared" si="305"/>
        <v/>
      </c>
      <c r="AS1820" s="63" t="str">
        <f t="shared" si="306"/>
        <v/>
      </c>
      <c r="AT1820" s="78" t="str">
        <f t="shared" si="307"/>
        <v/>
      </c>
      <c r="AU1820" s="78" t="str">
        <f t="shared" si="308"/>
        <v/>
      </c>
      <c r="AV1820" s="64" t="str">
        <f ca="1">IFERROR(__xludf.DUMMYFUNCTION("IF(TRIM(AU1820)="""","""",AU1820/INDEX(FILTER(AT$3:AT1820,TRIM(AT$3:AT1820)&lt;&gt;""""),ROWS(FILTER(AT$3:AT1820,TRIM(AT$3:AT1820)&lt;&gt;"""")))-1)"),"")</f>
        <v/>
      </c>
      <c r="AW1820" s="65" t="e">
        <f t="shared" ca="1" si="301"/>
        <v>#VALUE!</v>
      </c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</row>
    <row r="1821" spans="1:68" ht="19" x14ac:dyDescent="0.25">
      <c r="A1821" s="5"/>
      <c r="B1821" s="5"/>
      <c r="C1821" s="5"/>
      <c r="D1821" s="5"/>
      <c r="E1821" s="5"/>
      <c r="F1821" s="5"/>
      <c r="G1821" s="5"/>
      <c r="H1821" s="6"/>
      <c r="I1821" s="5"/>
      <c r="J1821" s="88"/>
      <c r="K1821" s="88"/>
      <c r="L1821" s="88"/>
      <c r="M1821" s="88"/>
      <c r="N1821" s="88"/>
      <c r="O1821" s="88"/>
      <c r="P1821" s="88"/>
      <c r="Q1821" s="89"/>
      <c r="R1821" s="88"/>
      <c r="S1821" s="88"/>
      <c r="T1821" s="90"/>
      <c r="U1821" s="6"/>
      <c r="V1821" s="96"/>
      <c r="W1821" s="77"/>
      <c r="X1821" s="91"/>
      <c r="Y1821" s="77"/>
      <c r="Z1821" s="5"/>
      <c r="AA1821" s="5"/>
      <c r="AB1821" s="5"/>
      <c r="AC1821" s="5"/>
      <c r="AD1821" s="5"/>
      <c r="AE1821" s="5"/>
      <c r="AF1821" s="5"/>
      <c r="AG1821" s="5"/>
      <c r="AH1821" s="6"/>
      <c r="AI1821" s="96"/>
      <c r="AJ1821" s="93"/>
      <c r="AK1821" s="94"/>
      <c r="AL1821" s="95"/>
      <c r="AM1821" s="56"/>
      <c r="AN1821" s="57">
        <f t="shared" si="300"/>
        <v>0</v>
      </c>
      <c r="AO1821" s="76">
        <f t="shared" si="302"/>
        <v>0</v>
      </c>
      <c r="AP1821" s="63" t="str">
        <f t="shared" si="303"/>
        <v/>
      </c>
      <c r="AQ1821" s="63" t="str">
        <f t="shared" si="304"/>
        <v/>
      </c>
      <c r="AR1821" s="63" t="str">
        <f t="shared" si="305"/>
        <v/>
      </c>
      <c r="AS1821" s="63" t="str">
        <f t="shared" si="306"/>
        <v/>
      </c>
      <c r="AT1821" s="78" t="str">
        <f t="shared" si="307"/>
        <v/>
      </c>
      <c r="AU1821" s="78" t="str">
        <f t="shared" si="308"/>
        <v/>
      </c>
      <c r="AV1821" s="64" t="str">
        <f ca="1">IFERROR(__xludf.DUMMYFUNCTION("IF(TRIM(AU1821)="""","""",AU1821/INDEX(FILTER(AT$3:AT1821,TRIM(AT$3:AT1821)&lt;&gt;""""),ROWS(FILTER(AT$3:AT1821,TRIM(AT$3:AT1821)&lt;&gt;"""")))-1)"),"")</f>
        <v/>
      </c>
      <c r="AW1821" s="65" t="e">
        <f t="shared" ca="1" si="301"/>
        <v>#VALUE!</v>
      </c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</row>
    <row r="1822" spans="1:68" ht="19" x14ac:dyDescent="0.25">
      <c r="A1822" s="5"/>
      <c r="B1822" s="5"/>
      <c r="C1822" s="5"/>
      <c r="D1822" s="5"/>
      <c r="E1822" s="5"/>
      <c r="F1822" s="5"/>
      <c r="G1822" s="5"/>
      <c r="H1822" s="6"/>
      <c r="I1822" s="5"/>
      <c r="J1822" s="88"/>
      <c r="K1822" s="88"/>
      <c r="L1822" s="88"/>
      <c r="M1822" s="88"/>
      <c r="N1822" s="88"/>
      <c r="O1822" s="88"/>
      <c r="P1822" s="88"/>
      <c r="Q1822" s="89"/>
      <c r="R1822" s="88"/>
      <c r="S1822" s="88"/>
      <c r="T1822" s="90"/>
      <c r="U1822" s="6"/>
      <c r="V1822" s="96"/>
      <c r="W1822" s="77"/>
      <c r="X1822" s="91"/>
      <c r="Y1822" s="77"/>
      <c r="Z1822" s="5"/>
      <c r="AA1822" s="5"/>
      <c r="AB1822" s="5"/>
      <c r="AC1822" s="5"/>
      <c r="AD1822" s="5"/>
      <c r="AE1822" s="5"/>
      <c r="AF1822" s="5"/>
      <c r="AG1822" s="5"/>
      <c r="AH1822" s="6"/>
      <c r="AI1822" s="96"/>
      <c r="AJ1822" s="93"/>
      <c r="AK1822" s="94"/>
      <c r="AL1822" s="95"/>
      <c r="AM1822" s="56"/>
      <c r="AN1822" s="57">
        <f t="shared" si="300"/>
        <v>0</v>
      </c>
      <c r="AO1822" s="76">
        <f t="shared" si="302"/>
        <v>0</v>
      </c>
      <c r="AP1822" s="63" t="str">
        <f t="shared" si="303"/>
        <v/>
      </c>
      <c r="AQ1822" s="63" t="str">
        <f t="shared" si="304"/>
        <v/>
      </c>
      <c r="AR1822" s="63" t="str">
        <f t="shared" si="305"/>
        <v/>
      </c>
      <c r="AS1822" s="63" t="str">
        <f t="shared" si="306"/>
        <v/>
      </c>
      <c r="AT1822" s="78" t="str">
        <f t="shared" si="307"/>
        <v/>
      </c>
      <c r="AU1822" s="78" t="str">
        <f t="shared" si="308"/>
        <v/>
      </c>
      <c r="AV1822" s="64" t="str">
        <f ca="1">IFERROR(__xludf.DUMMYFUNCTION("IF(TRIM(AU1822)="""","""",AU1822/INDEX(FILTER(AT$3:AT1822,TRIM(AT$3:AT1822)&lt;&gt;""""),ROWS(FILTER(AT$3:AT1822,TRIM(AT$3:AT1822)&lt;&gt;"""")))-1)"),"")</f>
        <v/>
      </c>
      <c r="AW1822" s="65" t="e">
        <f t="shared" ca="1" si="301"/>
        <v>#VALUE!</v>
      </c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</row>
    <row r="1823" spans="1:68" ht="19" x14ac:dyDescent="0.25">
      <c r="A1823" s="5"/>
      <c r="B1823" s="5"/>
      <c r="C1823" s="5"/>
      <c r="D1823" s="5"/>
      <c r="E1823" s="5"/>
      <c r="F1823" s="5"/>
      <c r="G1823" s="5"/>
      <c r="H1823" s="6"/>
      <c r="I1823" s="5"/>
      <c r="J1823" s="88"/>
      <c r="K1823" s="88"/>
      <c r="L1823" s="88"/>
      <c r="M1823" s="88"/>
      <c r="N1823" s="88"/>
      <c r="O1823" s="88"/>
      <c r="P1823" s="88"/>
      <c r="Q1823" s="89"/>
      <c r="R1823" s="88"/>
      <c r="S1823" s="88"/>
      <c r="T1823" s="90"/>
      <c r="U1823" s="6"/>
      <c r="V1823" s="96"/>
      <c r="W1823" s="77"/>
      <c r="X1823" s="91"/>
      <c r="Y1823" s="77"/>
      <c r="Z1823" s="5"/>
      <c r="AA1823" s="5"/>
      <c r="AB1823" s="5"/>
      <c r="AC1823" s="5"/>
      <c r="AD1823" s="5"/>
      <c r="AE1823" s="5"/>
      <c r="AF1823" s="5"/>
      <c r="AG1823" s="5"/>
      <c r="AH1823" s="6"/>
      <c r="AI1823" s="96"/>
      <c r="AJ1823" s="93"/>
      <c r="AK1823" s="94"/>
      <c r="AL1823" s="95"/>
      <c r="AM1823" s="56"/>
      <c r="AN1823" s="57">
        <f t="shared" si="300"/>
        <v>0</v>
      </c>
      <c r="AO1823" s="76">
        <f t="shared" si="302"/>
        <v>0</v>
      </c>
      <c r="AP1823" s="63" t="str">
        <f t="shared" si="303"/>
        <v/>
      </c>
      <c r="AQ1823" s="63" t="str">
        <f t="shared" si="304"/>
        <v/>
      </c>
      <c r="AR1823" s="63" t="str">
        <f t="shared" si="305"/>
        <v/>
      </c>
      <c r="AS1823" s="63" t="str">
        <f t="shared" si="306"/>
        <v/>
      </c>
      <c r="AT1823" s="78" t="str">
        <f t="shared" si="307"/>
        <v/>
      </c>
      <c r="AU1823" s="78" t="str">
        <f t="shared" si="308"/>
        <v/>
      </c>
      <c r="AV1823" s="64" t="str">
        <f ca="1">IFERROR(__xludf.DUMMYFUNCTION("IF(TRIM(AU1823)="""","""",AU1823/INDEX(FILTER(AT$3:AT1823,TRIM(AT$3:AT1823)&lt;&gt;""""),ROWS(FILTER(AT$3:AT1823,TRIM(AT$3:AT1823)&lt;&gt;"""")))-1)"),"")</f>
        <v/>
      </c>
      <c r="AW1823" s="65" t="e">
        <f t="shared" ca="1" si="301"/>
        <v>#VALUE!</v>
      </c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</row>
    <row r="1824" spans="1:68" ht="19" x14ac:dyDescent="0.25">
      <c r="A1824" s="5"/>
      <c r="B1824" s="5"/>
      <c r="C1824" s="5"/>
      <c r="D1824" s="5"/>
      <c r="E1824" s="5"/>
      <c r="F1824" s="5"/>
      <c r="G1824" s="5"/>
      <c r="H1824" s="6"/>
      <c r="I1824" s="5"/>
      <c r="J1824" s="88"/>
      <c r="K1824" s="88"/>
      <c r="L1824" s="88"/>
      <c r="M1824" s="88"/>
      <c r="N1824" s="88"/>
      <c r="O1824" s="88"/>
      <c r="P1824" s="88"/>
      <c r="Q1824" s="89"/>
      <c r="R1824" s="88"/>
      <c r="S1824" s="88"/>
      <c r="T1824" s="90"/>
      <c r="U1824" s="6"/>
      <c r="V1824" s="92"/>
      <c r="W1824" s="77"/>
      <c r="X1824" s="91"/>
      <c r="Y1824" s="77"/>
      <c r="Z1824" s="5"/>
      <c r="AA1824" s="5"/>
      <c r="AB1824" s="5"/>
      <c r="AC1824" s="5"/>
      <c r="AD1824" s="5"/>
      <c r="AE1824" s="5"/>
      <c r="AF1824" s="5"/>
      <c r="AG1824" s="5"/>
      <c r="AH1824" s="6"/>
      <c r="AI1824" s="92"/>
      <c r="AJ1824" s="93"/>
      <c r="AK1824" s="94"/>
      <c r="AL1824" s="95"/>
      <c r="AM1824" s="56"/>
      <c r="AN1824" s="57">
        <f t="shared" si="300"/>
        <v>0</v>
      </c>
      <c r="AO1824" s="76">
        <f t="shared" si="302"/>
        <v>0</v>
      </c>
      <c r="AP1824" s="63" t="str">
        <f t="shared" si="303"/>
        <v/>
      </c>
      <c r="AQ1824" s="63" t="str">
        <f t="shared" si="304"/>
        <v/>
      </c>
      <c r="AR1824" s="63" t="str">
        <f t="shared" si="305"/>
        <v/>
      </c>
      <c r="AS1824" s="63" t="str">
        <f t="shared" si="306"/>
        <v/>
      </c>
      <c r="AT1824" s="78" t="str">
        <f t="shared" si="307"/>
        <v/>
      </c>
      <c r="AU1824" s="78" t="str">
        <f t="shared" si="308"/>
        <v/>
      </c>
      <c r="AV1824" s="64" t="str">
        <f ca="1">IFERROR(__xludf.DUMMYFUNCTION("IF(TRIM(AU1824)="""","""",AU1824/INDEX(FILTER(AT$3:AT1824,TRIM(AT$3:AT1824)&lt;&gt;""""),ROWS(FILTER(AT$3:AT1824,TRIM(AT$3:AT1824)&lt;&gt;"""")))-1)"),"")</f>
        <v/>
      </c>
      <c r="AW1824" s="65" t="e">
        <f t="shared" ca="1" si="301"/>
        <v>#VALUE!</v>
      </c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</row>
    <row r="1825" spans="1:68" ht="19" x14ac:dyDescent="0.25">
      <c r="A1825" s="5"/>
      <c r="B1825" s="5"/>
      <c r="C1825" s="5"/>
      <c r="D1825" s="5"/>
      <c r="E1825" s="5"/>
      <c r="F1825" s="5"/>
      <c r="G1825" s="5"/>
      <c r="H1825" s="6"/>
      <c r="I1825" s="5"/>
      <c r="J1825" s="88"/>
      <c r="K1825" s="88"/>
      <c r="L1825" s="88"/>
      <c r="M1825" s="88"/>
      <c r="N1825" s="88"/>
      <c r="O1825" s="88"/>
      <c r="P1825" s="88"/>
      <c r="Q1825" s="89"/>
      <c r="R1825" s="88"/>
      <c r="S1825" s="88"/>
      <c r="T1825" s="90"/>
      <c r="U1825" s="6"/>
      <c r="V1825" s="92"/>
      <c r="W1825" s="77"/>
      <c r="X1825" s="91"/>
      <c r="Y1825" s="77"/>
      <c r="Z1825" s="5"/>
      <c r="AA1825" s="5"/>
      <c r="AB1825" s="5"/>
      <c r="AC1825" s="5"/>
      <c r="AD1825" s="5"/>
      <c r="AE1825" s="5"/>
      <c r="AF1825" s="5"/>
      <c r="AG1825" s="5"/>
      <c r="AH1825" s="6"/>
      <c r="AI1825" s="92"/>
      <c r="AJ1825" s="93"/>
      <c r="AK1825" s="94"/>
      <c r="AL1825" s="95"/>
      <c r="AM1825" s="56"/>
      <c r="AN1825" s="57">
        <f t="shared" si="300"/>
        <v>0</v>
      </c>
      <c r="AO1825" s="76">
        <f t="shared" si="302"/>
        <v>0</v>
      </c>
      <c r="AP1825" s="63" t="str">
        <f t="shared" si="303"/>
        <v/>
      </c>
      <c r="AQ1825" s="63" t="str">
        <f t="shared" si="304"/>
        <v/>
      </c>
      <c r="AR1825" s="63" t="str">
        <f t="shared" si="305"/>
        <v/>
      </c>
      <c r="AS1825" s="63" t="str">
        <f t="shared" si="306"/>
        <v/>
      </c>
      <c r="AT1825" s="78" t="str">
        <f t="shared" si="307"/>
        <v/>
      </c>
      <c r="AU1825" s="78" t="str">
        <f t="shared" si="308"/>
        <v/>
      </c>
      <c r="AV1825" s="64" t="str">
        <f ca="1">IFERROR(__xludf.DUMMYFUNCTION("IF(TRIM(AU1825)="""","""",AU1825/INDEX(FILTER(AT$3:AT1825,TRIM(AT$3:AT1825)&lt;&gt;""""),ROWS(FILTER(AT$3:AT1825,TRIM(AT$3:AT1825)&lt;&gt;"""")))-1)"),"")</f>
        <v/>
      </c>
      <c r="AW1825" s="65" t="e">
        <f t="shared" ca="1" si="301"/>
        <v>#VALUE!</v>
      </c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</row>
    <row r="1826" spans="1:68" ht="19" x14ac:dyDescent="0.25">
      <c r="A1826" s="5"/>
      <c r="B1826" s="5"/>
      <c r="C1826" s="5"/>
      <c r="D1826" s="5"/>
      <c r="E1826" s="5"/>
      <c r="F1826" s="5"/>
      <c r="G1826" s="5"/>
      <c r="H1826" s="6"/>
      <c r="I1826" s="5"/>
      <c r="J1826" s="88"/>
      <c r="K1826" s="88"/>
      <c r="L1826" s="88"/>
      <c r="M1826" s="88"/>
      <c r="N1826" s="88"/>
      <c r="O1826" s="88"/>
      <c r="P1826" s="88"/>
      <c r="Q1826" s="89"/>
      <c r="R1826" s="88"/>
      <c r="S1826" s="88"/>
      <c r="T1826" s="90"/>
      <c r="U1826" s="6"/>
      <c r="V1826" s="92"/>
      <c r="W1826" s="77"/>
      <c r="X1826" s="91"/>
      <c r="Y1826" s="77"/>
      <c r="Z1826" s="5"/>
      <c r="AA1826" s="5"/>
      <c r="AB1826" s="5"/>
      <c r="AC1826" s="5"/>
      <c r="AD1826" s="5"/>
      <c r="AE1826" s="5"/>
      <c r="AF1826" s="5"/>
      <c r="AG1826" s="5"/>
      <c r="AH1826" s="6"/>
      <c r="AI1826" s="92"/>
      <c r="AJ1826" s="93"/>
      <c r="AK1826" s="94"/>
      <c r="AL1826" s="95"/>
      <c r="AM1826" s="56"/>
      <c r="AN1826" s="57">
        <f t="shared" si="300"/>
        <v>0</v>
      </c>
      <c r="AO1826" s="76">
        <f t="shared" si="302"/>
        <v>0</v>
      </c>
      <c r="AP1826" s="63" t="str">
        <f t="shared" si="303"/>
        <v/>
      </c>
      <c r="AQ1826" s="63" t="str">
        <f t="shared" si="304"/>
        <v/>
      </c>
      <c r="AR1826" s="63" t="str">
        <f t="shared" si="305"/>
        <v/>
      </c>
      <c r="AS1826" s="63" t="str">
        <f t="shared" si="306"/>
        <v/>
      </c>
      <c r="AT1826" s="78" t="str">
        <f t="shared" si="307"/>
        <v/>
      </c>
      <c r="AU1826" s="78" t="str">
        <f t="shared" si="308"/>
        <v/>
      </c>
      <c r="AV1826" s="64" t="str">
        <f ca="1">IFERROR(__xludf.DUMMYFUNCTION("IF(TRIM(AU1826)="""","""",AU1826/INDEX(FILTER(AT$3:AT1826,TRIM(AT$3:AT1826)&lt;&gt;""""),ROWS(FILTER(AT$3:AT1826,TRIM(AT$3:AT1826)&lt;&gt;"""")))-1)"),"")</f>
        <v/>
      </c>
      <c r="AW1826" s="65" t="e">
        <f t="shared" ca="1" si="301"/>
        <v>#VALUE!</v>
      </c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</row>
    <row r="1827" spans="1:68" ht="19" x14ac:dyDescent="0.25">
      <c r="A1827" s="5"/>
      <c r="B1827" s="5"/>
      <c r="C1827" s="5"/>
      <c r="D1827" s="5"/>
      <c r="E1827" s="5"/>
      <c r="F1827" s="5"/>
      <c r="G1827" s="5"/>
      <c r="H1827" s="6"/>
      <c r="I1827" s="5"/>
      <c r="J1827" s="88"/>
      <c r="K1827" s="88"/>
      <c r="L1827" s="88"/>
      <c r="M1827" s="88"/>
      <c r="N1827" s="88"/>
      <c r="O1827" s="88"/>
      <c r="P1827" s="88"/>
      <c r="Q1827" s="89"/>
      <c r="R1827" s="88"/>
      <c r="S1827" s="88"/>
      <c r="T1827" s="90"/>
      <c r="U1827" s="6"/>
      <c r="V1827" s="92"/>
      <c r="W1827" s="77"/>
      <c r="X1827" s="91"/>
      <c r="Y1827" s="77"/>
      <c r="Z1827" s="5"/>
      <c r="AA1827" s="5"/>
      <c r="AB1827" s="5"/>
      <c r="AC1827" s="5"/>
      <c r="AD1827" s="5"/>
      <c r="AE1827" s="5"/>
      <c r="AF1827" s="5"/>
      <c r="AG1827" s="5"/>
      <c r="AH1827" s="6"/>
      <c r="AI1827" s="92"/>
      <c r="AJ1827" s="93"/>
      <c r="AK1827" s="94"/>
      <c r="AL1827" s="95"/>
      <c r="AM1827" s="56"/>
      <c r="AN1827" s="57">
        <f t="shared" si="300"/>
        <v>0</v>
      </c>
      <c r="AO1827" s="76">
        <f t="shared" si="302"/>
        <v>0</v>
      </c>
      <c r="AP1827" s="63" t="str">
        <f t="shared" si="303"/>
        <v/>
      </c>
      <c r="AQ1827" s="63" t="str">
        <f t="shared" si="304"/>
        <v/>
      </c>
      <c r="AR1827" s="63" t="str">
        <f t="shared" si="305"/>
        <v/>
      </c>
      <c r="AS1827" s="63" t="str">
        <f t="shared" si="306"/>
        <v/>
      </c>
      <c r="AT1827" s="78" t="str">
        <f t="shared" si="307"/>
        <v/>
      </c>
      <c r="AU1827" s="78" t="str">
        <f t="shared" si="308"/>
        <v/>
      </c>
      <c r="AV1827" s="64" t="str">
        <f ca="1">IFERROR(__xludf.DUMMYFUNCTION("IF(TRIM(AU1827)="""","""",AU1827/INDEX(FILTER(AT$3:AT1827,TRIM(AT$3:AT1827)&lt;&gt;""""),ROWS(FILTER(AT$3:AT1827,TRIM(AT$3:AT1827)&lt;&gt;"""")))-1)"),"")</f>
        <v/>
      </c>
      <c r="AW1827" s="65" t="e">
        <f t="shared" ca="1" si="301"/>
        <v>#VALUE!</v>
      </c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</row>
    <row r="1828" spans="1:68" ht="19" x14ac:dyDescent="0.25">
      <c r="A1828" s="5"/>
      <c r="B1828" s="5"/>
      <c r="C1828" s="5"/>
      <c r="D1828" s="5"/>
      <c r="E1828" s="5"/>
      <c r="F1828" s="5"/>
      <c r="G1828" s="5"/>
      <c r="H1828" s="6"/>
      <c r="I1828" s="5"/>
      <c r="J1828" s="88"/>
      <c r="K1828" s="88"/>
      <c r="L1828" s="88"/>
      <c r="M1828" s="88"/>
      <c r="N1828" s="88"/>
      <c r="O1828" s="88"/>
      <c r="P1828" s="88"/>
      <c r="Q1828" s="89"/>
      <c r="R1828" s="88"/>
      <c r="S1828" s="88"/>
      <c r="T1828" s="90"/>
      <c r="U1828" s="6"/>
      <c r="V1828" s="96"/>
      <c r="W1828" s="77"/>
      <c r="X1828" s="91"/>
      <c r="Y1828" s="77"/>
      <c r="Z1828" s="5"/>
      <c r="AA1828" s="5"/>
      <c r="AB1828" s="5"/>
      <c r="AC1828" s="5"/>
      <c r="AD1828" s="5"/>
      <c r="AE1828" s="5"/>
      <c r="AF1828" s="5"/>
      <c r="AG1828" s="5"/>
      <c r="AH1828" s="6"/>
      <c r="AI1828" s="96"/>
      <c r="AJ1828" s="93"/>
      <c r="AK1828" s="94"/>
      <c r="AL1828" s="95"/>
      <c r="AM1828" s="56"/>
      <c r="AN1828" s="57">
        <f t="shared" si="300"/>
        <v>0</v>
      </c>
      <c r="AO1828" s="76">
        <f t="shared" si="302"/>
        <v>0</v>
      </c>
      <c r="AP1828" s="63" t="str">
        <f t="shared" si="303"/>
        <v/>
      </c>
      <c r="AQ1828" s="63" t="str">
        <f t="shared" si="304"/>
        <v/>
      </c>
      <c r="AR1828" s="63" t="str">
        <f t="shared" si="305"/>
        <v/>
      </c>
      <c r="AS1828" s="63" t="str">
        <f t="shared" si="306"/>
        <v/>
      </c>
      <c r="AT1828" s="78" t="str">
        <f t="shared" si="307"/>
        <v/>
      </c>
      <c r="AU1828" s="78" t="str">
        <f t="shared" si="308"/>
        <v/>
      </c>
      <c r="AV1828" s="64" t="str">
        <f ca="1">IFERROR(__xludf.DUMMYFUNCTION("IF(TRIM(AU1828)="""","""",AU1828/INDEX(FILTER(AT$3:AT1828,TRIM(AT$3:AT1828)&lt;&gt;""""),ROWS(FILTER(AT$3:AT1828,TRIM(AT$3:AT1828)&lt;&gt;"""")))-1)"),"")</f>
        <v/>
      </c>
      <c r="AW1828" s="65" t="e">
        <f t="shared" ca="1" si="301"/>
        <v>#VALUE!</v>
      </c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</row>
    <row r="1829" spans="1:68" ht="19" x14ac:dyDescent="0.25">
      <c r="A1829" s="5"/>
      <c r="B1829" s="5"/>
      <c r="C1829" s="5"/>
      <c r="D1829" s="5"/>
      <c r="E1829" s="5"/>
      <c r="F1829" s="5"/>
      <c r="G1829" s="5"/>
      <c r="H1829" s="6"/>
      <c r="I1829" s="5"/>
      <c r="J1829" s="88"/>
      <c r="K1829" s="88"/>
      <c r="L1829" s="88"/>
      <c r="M1829" s="88"/>
      <c r="N1829" s="88"/>
      <c r="O1829" s="88"/>
      <c r="P1829" s="88"/>
      <c r="Q1829" s="89"/>
      <c r="R1829" s="88"/>
      <c r="S1829" s="88"/>
      <c r="T1829" s="90"/>
      <c r="U1829" s="6"/>
      <c r="V1829" s="96"/>
      <c r="W1829" s="77"/>
      <c r="X1829" s="91"/>
      <c r="Y1829" s="77"/>
      <c r="Z1829" s="5"/>
      <c r="AA1829" s="5"/>
      <c r="AB1829" s="5"/>
      <c r="AC1829" s="5"/>
      <c r="AD1829" s="5"/>
      <c r="AE1829" s="5"/>
      <c r="AF1829" s="5"/>
      <c r="AG1829" s="5"/>
      <c r="AH1829" s="6"/>
      <c r="AI1829" s="96"/>
      <c r="AJ1829" s="93"/>
      <c r="AK1829" s="94"/>
      <c r="AL1829" s="95"/>
      <c r="AM1829" s="56"/>
      <c r="AN1829" s="57">
        <f t="shared" si="300"/>
        <v>0</v>
      </c>
      <c r="AO1829" s="76">
        <f t="shared" si="302"/>
        <v>0</v>
      </c>
      <c r="AP1829" s="63" t="str">
        <f t="shared" si="303"/>
        <v/>
      </c>
      <c r="AQ1829" s="63" t="str">
        <f t="shared" si="304"/>
        <v/>
      </c>
      <c r="AR1829" s="63" t="str">
        <f t="shared" si="305"/>
        <v/>
      </c>
      <c r="AS1829" s="63" t="str">
        <f t="shared" si="306"/>
        <v/>
      </c>
      <c r="AT1829" s="78" t="str">
        <f t="shared" si="307"/>
        <v/>
      </c>
      <c r="AU1829" s="78" t="str">
        <f t="shared" si="308"/>
        <v/>
      </c>
      <c r="AV1829" s="64" t="str">
        <f ca="1">IFERROR(__xludf.DUMMYFUNCTION("IF(TRIM(AU1829)="""","""",AU1829/INDEX(FILTER(AT$3:AT1829,TRIM(AT$3:AT1829)&lt;&gt;""""),ROWS(FILTER(AT$3:AT1829,TRIM(AT$3:AT1829)&lt;&gt;"""")))-1)"),"")</f>
        <v/>
      </c>
      <c r="AW1829" s="65" t="e">
        <f t="shared" ca="1" si="301"/>
        <v>#VALUE!</v>
      </c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</row>
    <row r="1830" spans="1:68" ht="19" x14ac:dyDescent="0.25">
      <c r="A1830" s="5"/>
      <c r="B1830" s="5"/>
      <c r="C1830" s="5"/>
      <c r="D1830" s="5"/>
      <c r="E1830" s="5"/>
      <c r="F1830" s="5"/>
      <c r="G1830" s="5"/>
      <c r="H1830" s="6"/>
      <c r="I1830" s="5"/>
      <c r="J1830" s="88"/>
      <c r="K1830" s="88"/>
      <c r="L1830" s="88"/>
      <c r="M1830" s="88"/>
      <c r="N1830" s="88"/>
      <c r="O1830" s="88"/>
      <c r="P1830" s="88"/>
      <c r="Q1830" s="89"/>
      <c r="R1830" s="88"/>
      <c r="S1830" s="88"/>
      <c r="T1830" s="90"/>
      <c r="U1830" s="6"/>
      <c r="V1830" s="96"/>
      <c r="W1830" s="77"/>
      <c r="X1830" s="91"/>
      <c r="Y1830" s="77"/>
      <c r="Z1830" s="5"/>
      <c r="AA1830" s="5"/>
      <c r="AB1830" s="5"/>
      <c r="AC1830" s="5"/>
      <c r="AD1830" s="5"/>
      <c r="AE1830" s="5"/>
      <c r="AF1830" s="5"/>
      <c r="AG1830" s="5"/>
      <c r="AH1830" s="6"/>
      <c r="AI1830" s="96"/>
      <c r="AJ1830" s="93"/>
      <c r="AK1830" s="94"/>
      <c r="AL1830" s="95"/>
      <c r="AM1830" s="56"/>
      <c r="AN1830" s="57">
        <f t="shared" si="300"/>
        <v>0</v>
      </c>
      <c r="AO1830" s="76">
        <f t="shared" si="302"/>
        <v>0</v>
      </c>
      <c r="AP1830" s="63" t="str">
        <f t="shared" si="303"/>
        <v/>
      </c>
      <c r="AQ1830" s="63" t="str">
        <f t="shared" si="304"/>
        <v/>
      </c>
      <c r="AR1830" s="63" t="str">
        <f t="shared" si="305"/>
        <v/>
      </c>
      <c r="AS1830" s="63" t="str">
        <f t="shared" si="306"/>
        <v/>
      </c>
      <c r="AT1830" s="78" t="str">
        <f t="shared" si="307"/>
        <v/>
      </c>
      <c r="AU1830" s="78" t="str">
        <f t="shared" si="308"/>
        <v/>
      </c>
      <c r="AV1830" s="64" t="str">
        <f ca="1">IFERROR(__xludf.DUMMYFUNCTION("IF(TRIM(AU1830)="""","""",AU1830/INDEX(FILTER(AT$3:AT1830,TRIM(AT$3:AT1830)&lt;&gt;""""),ROWS(FILTER(AT$3:AT1830,TRIM(AT$3:AT1830)&lt;&gt;"""")))-1)"),"")</f>
        <v/>
      </c>
      <c r="AW1830" s="65" t="e">
        <f t="shared" ca="1" si="301"/>
        <v>#VALUE!</v>
      </c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</row>
    <row r="1831" spans="1:68" ht="19" x14ac:dyDescent="0.25">
      <c r="A1831" s="5"/>
      <c r="B1831" s="5"/>
      <c r="C1831" s="5"/>
      <c r="D1831" s="5"/>
      <c r="E1831" s="5"/>
      <c r="F1831" s="5"/>
      <c r="G1831" s="5"/>
      <c r="H1831" s="6"/>
      <c r="I1831" s="5"/>
      <c r="J1831" s="88"/>
      <c r="K1831" s="88"/>
      <c r="L1831" s="88"/>
      <c r="M1831" s="88"/>
      <c r="N1831" s="88"/>
      <c r="O1831" s="88"/>
      <c r="P1831" s="88"/>
      <c r="Q1831" s="89"/>
      <c r="R1831" s="88"/>
      <c r="S1831" s="88"/>
      <c r="T1831" s="90"/>
      <c r="U1831" s="6"/>
      <c r="V1831" s="96"/>
      <c r="W1831" s="77"/>
      <c r="X1831" s="91"/>
      <c r="Y1831" s="77"/>
      <c r="Z1831" s="5"/>
      <c r="AA1831" s="5"/>
      <c r="AB1831" s="5"/>
      <c r="AC1831" s="5"/>
      <c r="AD1831" s="5"/>
      <c r="AE1831" s="5"/>
      <c r="AF1831" s="5"/>
      <c r="AG1831" s="5"/>
      <c r="AH1831" s="6"/>
      <c r="AI1831" s="96"/>
      <c r="AJ1831" s="93"/>
      <c r="AK1831" s="94"/>
      <c r="AL1831" s="95"/>
      <c r="AM1831" s="56"/>
      <c r="AN1831" s="57">
        <f t="shared" si="300"/>
        <v>0</v>
      </c>
      <c r="AO1831" s="76">
        <f t="shared" si="302"/>
        <v>0</v>
      </c>
      <c r="AP1831" s="63" t="str">
        <f t="shared" si="303"/>
        <v/>
      </c>
      <c r="AQ1831" s="63" t="str">
        <f t="shared" si="304"/>
        <v/>
      </c>
      <c r="AR1831" s="63" t="str">
        <f t="shared" si="305"/>
        <v/>
      </c>
      <c r="AS1831" s="63" t="str">
        <f t="shared" si="306"/>
        <v/>
      </c>
      <c r="AT1831" s="78" t="str">
        <f t="shared" si="307"/>
        <v/>
      </c>
      <c r="AU1831" s="78" t="str">
        <f t="shared" si="308"/>
        <v/>
      </c>
      <c r="AV1831" s="64" t="str">
        <f ca="1">IFERROR(__xludf.DUMMYFUNCTION("IF(TRIM(AU1831)="""","""",AU1831/INDEX(FILTER(AT$3:AT1831,TRIM(AT$3:AT1831)&lt;&gt;""""),ROWS(FILTER(AT$3:AT1831,TRIM(AT$3:AT1831)&lt;&gt;"""")))-1)"),"")</f>
        <v/>
      </c>
      <c r="AW1831" s="65" t="e">
        <f t="shared" ca="1" si="301"/>
        <v>#VALUE!</v>
      </c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</row>
    <row r="1832" spans="1:68" ht="19" x14ac:dyDescent="0.25">
      <c r="A1832" s="5"/>
      <c r="B1832" s="5"/>
      <c r="C1832" s="5"/>
      <c r="D1832" s="5"/>
      <c r="E1832" s="5"/>
      <c r="F1832" s="5"/>
      <c r="G1832" s="5"/>
      <c r="H1832" s="6"/>
      <c r="I1832" s="5"/>
      <c r="J1832" s="88"/>
      <c r="K1832" s="88"/>
      <c r="L1832" s="88"/>
      <c r="M1832" s="88"/>
      <c r="N1832" s="88"/>
      <c r="O1832" s="88"/>
      <c r="P1832" s="88"/>
      <c r="Q1832" s="89"/>
      <c r="R1832" s="88"/>
      <c r="S1832" s="88"/>
      <c r="T1832" s="90"/>
      <c r="U1832" s="6"/>
      <c r="V1832" s="96"/>
      <c r="W1832" s="77"/>
      <c r="X1832" s="91"/>
      <c r="Y1832" s="77"/>
      <c r="Z1832" s="5"/>
      <c r="AA1832" s="5"/>
      <c r="AB1832" s="5"/>
      <c r="AC1832" s="5"/>
      <c r="AD1832" s="5"/>
      <c r="AE1832" s="5"/>
      <c r="AF1832" s="5"/>
      <c r="AG1832" s="5"/>
      <c r="AH1832" s="6"/>
      <c r="AI1832" s="96"/>
      <c r="AJ1832" s="93"/>
      <c r="AK1832" s="94"/>
      <c r="AL1832" s="95"/>
      <c r="AM1832" s="56"/>
      <c r="AN1832" s="57">
        <f t="shared" si="300"/>
        <v>0</v>
      </c>
      <c r="AO1832" s="76">
        <f t="shared" si="302"/>
        <v>0</v>
      </c>
      <c r="AP1832" s="63" t="str">
        <f t="shared" si="303"/>
        <v/>
      </c>
      <c r="AQ1832" s="63" t="str">
        <f t="shared" si="304"/>
        <v/>
      </c>
      <c r="AR1832" s="63" t="str">
        <f t="shared" si="305"/>
        <v/>
      </c>
      <c r="AS1832" s="63" t="str">
        <f t="shared" si="306"/>
        <v/>
      </c>
      <c r="AT1832" s="78" t="str">
        <f t="shared" si="307"/>
        <v/>
      </c>
      <c r="AU1832" s="78" t="str">
        <f t="shared" si="308"/>
        <v/>
      </c>
      <c r="AV1832" s="64" t="str">
        <f ca="1">IFERROR(__xludf.DUMMYFUNCTION("IF(TRIM(AU1832)="""","""",AU1832/INDEX(FILTER(AT$3:AT1832,TRIM(AT$3:AT1832)&lt;&gt;""""),ROWS(FILTER(AT$3:AT1832,TRIM(AT$3:AT1832)&lt;&gt;"""")))-1)"),"")</f>
        <v/>
      </c>
      <c r="AW1832" s="65" t="e">
        <f t="shared" ca="1" si="301"/>
        <v>#VALUE!</v>
      </c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</row>
    <row r="1833" spans="1:68" ht="19" x14ac:dyDescent="0.25">
      <c r="A1833" s="5"/>
      <c r="B1833" s="5"/>
      <c r="C1833" s="5"/>
      <c r="D1833" s="5"/>
      <c r="E1833" s="5"/>
      <c r="F1833" s="5"/>
      <c r="G1833" s="5"/>
      <c r="H1833" s="6"/>
      <c r="I1833" s="5"/>
      <c r="J1833" s="88"/>
      <c r="K1833" s="88"/>
      <c r="L1833" s="88"/>
      <c r="M1833" s="88"/>
      <c r="N1833" s="88"/>
      <c r="O1833" s="88"/>
      <c r="P1833" s="88"/>
      <c r="Q1833" s="89"/>
      <c r="R1833" s="88"/>
      <c r="S1833" s="88"/>
      <c r="T1833" s="90"/>
      <c r="U1833" s="6"/>
      <c r="V1833" s="96"/>
      <c r="W1833" s="77"/>
      <c r="X1833" s="91"/>
      <c r="Y1833" s="77"/>
      <c r="Z1833" s="5"/>
      <c r="AA1833" s="5"/>
      <c r="AB1833" s="5"/>
      <c r="AC1833" s="5"/>
      <c r="AD1833" s="5"/>
      <c r="AE1833" s="5"/>
      <c r="AF1833" s="5"/>
      <c r="AG1833" s="5"/>
      <c r="AH1833" s="6"/>
      <c r="AI1833" s="96"/>
      <c r="AJ1833" s="93"/>
      <c r="AK1833" s="94"/>
      <c r="AL1833" s="95"/>
      <c r="AM1833" s="56"/>
      <c r="AN1833" s="57">
        <f t="shared" si="300"/>
        <v>0</v>
      </c>
      <c r="AO1833" s="76">
        <f t="shared" si="302"/>
        <v>0</v>
      </c>
      <c r="AP1833" s="63" t="str">
        <f t="shared" si="303"/>
        <v/>
      </c>
      <c r="AQ1833" s="63" t="str">
        <f t="shared" si="304"/>
        <v/>
      </c>
      <c r="AR1833" s="63" t="str">
        <f t="shared" si="305"/>
        <v/>
      </c>
      <c r="AS1833" s="63" t="str">
        <f t="shared" si="306"/>
        <v/>
      </c>
      <c r="AT1833" s="78" t="str">
        <f t="shared" si="307"/>
        <v/>
      </c>
      <c r="AU1833" s="78" t="str">
        <f t="shared" si="308"/>
        <v/>
      </c>
      <c r="AV1833" s="64" t="str">
        <f ca="1">IFERROR(__xludf.DUMMYFUNCTION("IF(TRIM(AU1833)="""","""",AU1833/INDEX(FILTER(AT$3:AT1833,TRIM(AT$3:AT1833)&lt;&gt;""""),ROWS(FILTER(AT$3:AT1833,TRIM(AT$3:AT1833)&lt;&gt;"""")))-1)"),"")</f>
        <v/>
      </c>
      <c r="AW1833" s="65" t="e">
        <f t="shared" ca="1" si="301"/>
        <v>#VALUE!</v>
      </c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</row>
    <row r="1834" spans="1:68" ht="19" x14ac:dyDescent="0.25">
      <c r="A1834" s="5"/>
      <c r="B1834" s="5"/>
      <c r="C1834" s="5"/>
      <c r="D1834" s="5"/>
      <c r="E1834" s="5"/>
      <c r="F1834" s="5"/>
      <c r="G1834" s="5"/>
      <c r="H1834" s="6"/>
      <c r="I1834" s="5"/>
      <c r="J1834" s="88"/>
      <c r="K1834" s="88"/>
      <c r="L1834" s="88"/>
      <c r="M1834" s="88"/>
      <c r="N1834" s="88"/>
      <c r="O1834" s="88"/>
      <c r="P1834" s="88"/>
      <c r="Q1834" s="89"/>
      <c r="R1834" s="88"/>
      <c r="S1834" s="88"/>
      <c r="T1834" s="90"/>
      <c r="U1834" s="6"/>
      <c r="V1834" s="96"/>
      <c r="W1834" s="77"/>
      <c r="X1834" s="91"/>
      <c r="Y1834" s="77"/>
      <c r="Z1834" s="5"/>
      <c r="AA1834" s="5"/>
      <c r="AB1834" s="5"/>
      <c r="AC1834" s="5"/>
      <c r="AD1834" s="5"/>
      <c r="AE1834" s="5"/>
      <c r="AF1834" s="5"/>
      <c r="AG1834" s="5"/>
      <c r="AH1834" s="6"/>
      <c r="AI1834" s="96"/>
      <c r="AJ1834" s="93"/>
      <c r="AK1834" s="94"/>
      <c r="AL1834" s="95"/>
      <c r="AM1834" s="56"/>
      <c r="AN1834" s="57">
        <f t="shared" si="300"/>
        <v>0</v>
      </c>
      <c r="AO1834" s="76">
        <f t="shared" si="302"/>
        <v>0</v>
      </c>
      <c r="AP1834" s="63" t="str">
        <f t="shared" si="303"/>
        <v/>
      </c>
      <c r="AQ1834" s="63" t="str">
        <f t="shared" si="304"/>
        <v/>
      </c>
      <c r="AR1834" s="63" t="str">
        <f t="shared" si="305"/>
        <v/>
      </c>
      <c r="AS1834" s="63" t="str">
        <f t="shared" si="306"/>
        <v/>
      </c>
      <c r="AT1834" s="78" t="str">
        <f t="shared" si="307"/>
        <v/>
      </c>
      <c r="AU1834" s="78" t="str">
        <f t="shared" si="308"/>
        <v/>
      </c>
      <c r="AV1834" s="64" t="str">
        <f ca="1">IFERROR(__xludf.DUMMYFUNCTION("IF(TRIM(AU1834)="""","""",AU1834/INDEX(FILTER(AT$3:AT1834,TRIM(AT$3:AT1834)&lt;&gt;""""),ROWS(FILTER(AT$3:AT1834,TRIM(AT$3:AT1834)&lt;&gt;"""")))-1)"),"")</f>
        <v/>
      </c>
      <c r="AW1834" s="65" t="e">
        <f t="shared" ca="1" si="301"/>
        <v>#VALUE!</v>
      </c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</row>
    <row r="1835" spans="1:68" ht="19" x14ac:dyDescent="0.25">
      <c r="A1835" s="5"/>
      <c r="B1835" s="5"/>
      <c r="C1835" s="5"/>
      <c r="D1835" s="5"/>
      <c r="E1835" s="5"/>
      <c r="F1835" s="5"/>
      <c r="G1835" s="5"/>
      <c r="H1835" s="6"/>
      <c r="I1835" s="5"/>
      <c r="J1835" s="88"/>
      <c r="K1835" s="88"/>
      <c r="L1835" s="88"/>
      <c r="M1835" s="88"/>
      <c r="N1835" s="88"/>
      <c r="O1835" s="88"/>
      <c r="P1835" s="88"/>
      <c r="Q1835" s="89"/>
      <c r="R1835" s="88"/>
      <c r="S1835" s="88"/>
      <c r="T1835" s="90"/>
      <c r="U1835" s="6"/>
      <c r="V1835" s="96"/>
      <c r="W1835" s="77"/>
      <c r="X1835" s="91"/>
      <c r="Y1835" s="77"/>
      <c r="Z1835" s="5"/>
      <c r="AA1835" s="5"/>
      <c r="AB1835" s="5"/>
      <c r="AC1835" s="5"/>
      <c r="AD1835" s="5"/>
      <c r="AE1835" s="5"/>
      <c r="AF1835" s="5"/>
      <c r="AG1835" s="5"/>
      <c r="AH1835" s="6"/>
      <c r="AI1835" s="96"/>
      <c r="AJ1835" s="93"/>
      <c r="AK1835" s="94"/>
      <c r="AL1835" s="95"/>
      <c r="AM1835" s="56"/>
      <c r="AN1835" s="57">
        <f t="shared" si="300"/>
        <v>0</v>
      </c>
      <c r="AO1835" s="76">
        <f t="shared" si="302"/>
        <v>0</v>
      </c>
      <c r="AP1835" s="63" t="str">
        <f t="shared" si="303"/>
        <v/>
      </c>
      <c r="AQ1835" s="63" t="str">
        <f t="shared" si="304"/>
        <v/>
      </c>
      <c r="AR1835" s="63" t="str">
        <f t="shared" si="305"/>
        <v/>
      </c>
      <c r="AS1835" s="63" t="str">
        <f t="shared" si="306"/>
        <v/>
      </c>
      <c r="AT1835" s="78" t="str">
        <f t="shared" si="307"/>
        <v/>
      </c>
      <c r="AU1835" s="78" t="str">
        <f t="shared" si="308"/>
        <v/>
      </c>
      <c r="AV1835" s="64" t="str">
        <f ca="1">IFERROR(__xludf.DUMMYFUNCTION("IF(TRIM(AU1835)="""","""",AU1835/INDEX(FILTER(AT$3:AT1835,TRIM(AT$3:AT1835)&lt;&gt;""""),ROWS(FILTER(AT$3:AT1835,TRIM(AT$3:AT1835)&lt;&gt;"""")))-1)"),"")</f>
        <v/>
      </c>
      <c r="AW1835" s="65" t="e">
        <f t="shared" ca="1" si="301"/>
        <v>#VALUE!</v>
      </c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</row>
    <row r="1836" spans="1:68" ht="19" x14ac:dyDescent="0.25">
      <c r="A1836" s="5"/>
      <c r="B1836" s="5"/>
      <c r="C1836" s="5"/>
      <c r="D1836" s="5"/>
      <c r="E1836" s="5"/>
      <c r="F1836" s="5"/>
      <c r="G1836" s="5"/>
      <c r="H1836" s="6"/>
      <c r="I1836" s="5"/>
      <c r="J1836" s="88"/>
      <c r="K1836" s="88"/>
      <c r="L1836" s="88"/>
      <c r="M1836" s="88"/>
      <c r="N1836" s="88"/>
      <c r="O1836" s="88"/>
      <c r="P1836" s="88"/>
      <c r="Q1836" s="89"/>
      <c r="R1836" s="88"/>
      <c r="S1836" s="88"/>
      <c r="T1836" s="90"/>
      <c r="U1836" s="6"/>
      <c r="V1836" s="96"/>
      <c r="W1836" s="77"/>
      <c r="X1836" s="91"/>
      <c r="Y1836" s="77"/>
      <c r="Z1836" s="5"/>
      <c r="AA1836" s="5"/>
      <c r="AB1836" s="5"/>
      <c r="AC1836" s="5"/>
      <c r="AD1836" s="5"/>
      <c r="AE1836" s="5"/>
      <c r="AF1836" s="5"/>
      <c r="AG1836" s="5"/>
      <c r="AH1836" s="6"/>
      <c r="AI1836" s="96"/>
      <c r="AJ1836" s="93"/>
      <c r="AK1836" s="94"/>
      <c r="AL1836" s="95"/>
      <c r="AM1836" s="56"/>
      <c r="AN1836" s="57">
        <f t="shared" si="300"/>
        <v>0</v>
      </c>
      <c r="AO1836" s="76">
        <f t="shared" si="302"/>
        <v>0</v>
      </c>
      <c r="AP1836" s="63" t="str">
        <f t="shared" si="303"/>
        <v/>
      </c>
      <c r="AQ1836" s="63" t="str">
        <f t="shared" si="304"/>
        <v/>
      </c>
      <c r="AR1836" s="63" t="str">
        <f t="shared" si="305"/>
        <v/>
      </c>
      <c r="AS1836" s="63" t="str">
        <f t="shared" si="306"/>
        <v/>
      </c>
      <c r="AT1836" s="78" t="str">
        <f t="shared" si="307"/>
        <v/>
      </c>
      <c r="AU1836" s="78" t="str">
        <f t="shared" si="308"/>
        <v/>
      </c>
      <c r="AV1836" s="64" t="str">
        <f ca="1">IFERROR(__xludf.DUMMYFUNCTION("IF(TRIM(AU1836)="""","""",AU1836/INDEX(FILTER(AT$3:AT1836,TRIM(AT$3:AT1836)&lt;&gt;""""),ROWS(FILTER(AT$3:AT1836,TRIM(AT$3:AT1836)&lt;&gt;"""")))-1)"),"")</f>
        <v/>
      </c>
      <c r="AW1836" s="65" t="e">
        <f t="shared" ca="1" si="301"/>
        <v>#VALUE!</v>
      </c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</row>
    <row r="1837" spans="1:68" ht="19" x14ac:dyDescent="0.25">
      <c r="A1837" s="5"/>
      <c r="B1837" s="5"/>
      <c r="C1837" s="5"/>
      <c r="D1837" s="5"/>
      <c r="E1837" s="5"/>
      <c r="F1837" s="5"/>
      <c r="G1837" s="5"/>
      <c r="H1837" s="6"/>
      <c r="I1837" s="5"/>
      <c r="J1837" s="88"/>
      <c r="K1837" s="88"/>
      <c r="L1837" s="88"/>
      <c r="M1837" s="88"/>
      <c r="N1837" s="88"/>
      <c r="O1837" s="88"/>
      <c r="P1837" s="88"/>
      <c r="Q1837" s="89"/>
      <c r="R1837" s="88"/>
      <c r="S1837" s="88"/>
      <c r="T1837" s="90"/>
      <c r="U1837" s="6"/>
      <c r="V1837" s="96"/>
      <c r="W1837" s="77"/>
      <c r="X1837" s="91"/>
      <c r="Y1837" s="77"/>
      <c r="Z1837" s="5"/>
      <c r="AA1837" s="5"/>
      <c r="AB1837" s="5"/>
      <c r="AC1837" s="5"/>
      <c r="AD1837" s="5"/>
      <c r="AE1837" s="5"/>
      <c r="AF1837" s="5"/>
      <c r="AG1837" s="5"/>
      <c r="AH1837" s="6"/>
      <c r="AI1837" s="96"/>
      <c r="AJ1837" s="93"/>
      <c r="AK1837" s="94"/>
      <c r="AL1837" s="95"/>
      <c r="AM1837" s="56"/>
      <c r="AN1837" s="57">
        <f t="shared" si="300"/>
        <v>0</v>
      </c>
      <c r="AO1837" s="76">
        <f t="shared" si="302"/>
        <v>0</v>
      </c>
      <c r="AP1837" s="63" t="str">
        <f t="shared" si="303"/>
        <v/>
      </c>
      <c r="AQ1837" s="63" t="str">
        <f t="shared" si="304"/>
        <v/>
      </c>
      <c r="AR1837" s="63" t="str">
        <f t="shared" si="305"/>
        <v/>
      </c>
      <c r="AS1837" s="63" t="str">
        <f t="shared" si="306"/>
        <v/>
      </c>
      <c r="AT1837" s="78" t="str">
        <f t="shared" si="307"/>
        <v/>
      </c>
      <c r="AU1837" s="78" t="str">
        <f t="shared" si="308"/>
        <v/>
      </c>
      <c r="AV1837" s="64" t="str">
        <f ca="1">IFERROR(__xludf.DUMMYFUNCTION("IF(TRIM(AU1837)="""","""",AU1837/INDEX(FILTER(AT$3:AT1837,TRIM(AT$3:AT1837)&lt;&gt;""""),ROWS(FILTER(AT$3:AT1837,TRIM(AT$3:AT1837)&lt;&gt;"""")))-1)"),"")</f>
        <v/>
      </c>
      <c r="AW1837" s="65" t="e">
        <f t="shared" ca="1" si="301"/>
        <v>#VALUE!</v>
      </c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</row>
    <row r="1838" spans="1:68" ht="19" x14ac:dyDescent="0.25">
      <c r="A1838" s="5"/>
      <c r="B1838" s="5"/>
      <c r="C1838" s="5"/>
      <c r="D1838" s="5"/>
      <c r="E1838" s="5"/>
      <c r="F1838" s="5"/>
      <c r="G1838" s="5"/>
      <c r="H1838" s="6"/>
      <c r="I1838" s="5"/>
      <c r="J1838" s="88"/>
      <c r="K1838" s="88"/>
      <c r="L1838" s="88"/>
      <c r="M1838" s="88"/>
      <c r="N1838" s="88"/>
      <c r="O1838" s="88"/>
      <c r="P1838" s="88"/>
      <c r="Q1838" s="89"/>
      <c r="R1838" s="88"/>
      <c r="S1838" s="88"/>
      <c r="T1838" s="90"/>
      <c r="U1838" s="6"/>
      <c r="V1838" s="96"/>
      <c r="W1838" s="77"/>
      <c r="X1838" s="91"/>
      <c r="Y1838" s="77"/>
      <c r="Z1838" s="5"/>
      <c r="AA1838" s="5"/>
      <c r="AB1838" s="5"/>
      <c r="AC1838" s="5"/>
      <c r="AD1838" s="5"/>
      <c r="AE1838" s="5"/>
      <c r="AF1838" s="5"/>
      <c r="AG1838" s="5"/>
      <c r="AH1838" s="6"/>
      <c r="AI1838" s="96"/>
      <c r="AJ1838" s="93"/>
      <c r="AK1838" s="94"/>
      <c r="AL1838" s="95"/>
      <c r="AM1838" s="56"/>
      <c r="AN1838" s="57">
        <f t="shared" si="300"/>
        <v>0</v>
      </c>
      <c r="AO1838" s="76">
        <f t="shared" si="302"/>
        <v>0</v>
      </c>
      <c r="AP1838" s="63" t="str">
        <f t="shared" si="303"/>
        <v/>
      </c>
      <c r="AQ1838" s="63" t="str">
        <f t="shared" si="304"/>
        <v/>
      </c>
      <c r="AR1838" s="63" t="str">
        <f t="shared" si="305"/>
        <v/>
      </c>
      <c r="AS1838" s="63" t="str">
        <f t="shared" si="306"/>
        <v/>
      </c>
      <c r="AT1838" s="78" t="str">
        <f t="shared" si="307"/>
        <v/>
      </c>
      <c r="AU1838" s="78" t="str">
        <f t="shared" si="308"/>
        <v/>
      </c>
      <c r="AV1838" s="64" t="str">
        <f ca="1">IFERROR(__xludf.DUMMYFUNCTION("IF(TRIM(AU1838)="""","""",AU1838/INDEX(FILTER(AT$3:AT1838,TRIM(AT$3:AT1838)&lt;&gt;""""),ROWS(FILTER(AT$3:AT1838,TRIM(AT$3:AT1838)&lt;&gt;"""")))-1)"),"")</f>
        <v/>
      </c>
      <c r="AW1838" s="65" t="e">
        <f t="shared" ca="1" si="301"/>
        <v>#VALUE!</v>
      </c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</row>
    <row r="1839" spans="1:68" ht="19" x14ac:dyDescent="0.25">
      <c r="A1839" s="5"/>
      <c r="B1839" s="5"/>
      <c r="C1839" s="5"/>
      <c r="D1839" s="5"/>
      <c r="E1839" s="5"/>
      <c r="F1839" s="5"/>
      <c r="G1839" s="5"/>
      <c r="H1839" s="6"/>
      <c r="I1839" s="5"/>
      <c r="J1839" s="88"/>
      <c r="K1839" s="88"/>
      <c r="L1839" s="88"/>
      <c r="M1839" s="88"/>
      <c r="N1839" s="88"/>
      <c r="O1839" s="88"/>
      <c r="P1839" s="88"/>
      <c r="Q1839" s="89"/>
      <c r="R1839" s="88"/>
      <c r="S1839" s="88"/>
      <c r="T1839" s="90"/>
      <c r="U1839" s="6"/>
      <c r="V1839" s="96"/>
      <c r="W1839" s="77"/>
      <c r="X1839" s="91"/>
      <c r="Y1839" s="77"/>
      <c r="Z1839" s="5"/>
      <c r="AA1839" s="5"/>
      <c r="AB1839" s="5"/>
      <c r="AC1839" s="5"/>
      <c r="AD1839" s="5"/>
      <c r="AE1839" s="5"/>
      <c r="AF1839" s="5"/>
      <c r="AG1839" s="5"/>
      <c r="AH1839" s="6"/>
      <c r="AI1839" s="96"/>
      <c r="AJ1839" s="93"/>
      <c r="AK1839" s="94"/>
      <c r="AL1839" s="95"/>
      <c r="AM1839" s="56"/>
      <c r="AN1839" s="57">
        <f t="shared" si="300"/>
        <v>0</v>
      </c>
      <c r="AO1839" s="76">
        <f t="shared" si="302"/>
        <v>0</v>
      </c>
      <c r="AP1839" s="63" t="str">
        <f t="shared" si="303"/>
        <v/>
      </c>
      <c r="AQ1839" s="63" t="str">
        <f t="shared" si="304"/>
        <v/>
      </c>
      <c r="AR1839" s="63" t="str">
        <f t="shared" si="305"/>
        <v/>
      </c>
      <c r="AS1839" s="63" t="str">
        <f t="shared" si="306"/>
        <v/>
      </c>
      <c r="AT1839" s="78" t="str">
        <f t="shared" si="307"/>
        <v/>
      </c>
      <c r="AU1839" s="78" t="str">
        <f t="shared" si="308"/>
        <v/>
      </c>
      <c r="AV1839" s="64" t="str">
        <f ca="1">IFERROR(__xludf.DUMMYFUNCTION("IF(TRIM(AU1839)="""","""",AU1839/INDEX(FILTER(AT$3:AT1839,TRIM(AT$3:AT1839)&lt;&gt;""""),ROWS(FILTER(AT$3:AT1839,TRIM(AT$3:AT1839)&lt;&gt;"""")))-1)"),"")</f>
        <v/>
      </c>
      <c r="AW1839" s="65" t="e">
        <f t="shared" ca="1" si="301"/>
        <v>#VALUE!</v>
      </c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</row>
    <row r="1840" spans="1:68" ht="19" x14ac:dyDescent="0.25">
      <c r="A1840" s="5"/>
      <c r="B1840" s="5"/>
      <c r="C1840" s="5"/>
      <c r="D1840" s="5"/>
      <c r="E1840" s="5"/>
      <c r="F1840" s="5"/>
      <c r="G1840" s="5"/>
      <c r="H1840" s="6"/>
      <c r="I1840" s="5"/>
      <c r="J1840" s="88"/>
      <c r="K1840" s="88"/>
      <c r="L1840" s="88"/>
      <c r="M1840" s="88"/>
      <c r="N1840" s="88"/>
      <c r="O1840" s="88"/>
      <c r="P1840" s="88"/>
      <c r="Q1840" s="89"/>
      <c r="R1840" s="88"/>
      <c r="S1840" s="88"/>
      <c r="T1840" s="90"/>
      <c r="U1840" s="6"/>
      <c r="V1840" s="96"/>
      <c r="W1840" s="77"/>
      <c r="X1840" s="91"/>
      <c r="Y1840" s="77"/>
      <c r="Z1840" s="5"/>
      <c r="AA1840" s="5"/>
      <c r="AB1840" s="5"/>
      <c r="AC1840" s="5"/>
      <c r="AD1840" s="5"/>
      <c r="AE1840" s="5"/>
      <c r="AF1840" s="5"/>
      <c r="AG1840" s="5"/>
      <c r="AH1840" s="6"/>
      <c r="AI1840" s="96"/>
      <c r="AJ1840" s="93"/>
      <c r="AK1840" s="94"/>
      <c r="AL1840" s="95"/>
      <c r="AM1840" s="56"/>
      <c r="AN1840" s="57">
        <f t="shared" si="300"/>
        <v>0</v>
      </c>
      <c r="AO1840" s="76">
        <f t="shared" si="302"/>
        <v>0</v>
      </c>
      <c r="AP1840" s="63" t="str">
        <f t="shared" si="303"/>
        <v/>
      </c>
      <c r="AQ1840" s="63" t="str">
        <f t="shared" si="304"/>
        <v/>
      </c>
      <c r="AR1840" s="63" t="str">
        <f t="shared" si="305"/>
        <v/>
      </c>
      <c r="AS1840" s="63" t="str">
        <f t="shared" si="306"/>
        <v/>
      </c>
      <c r="AT1840" s="78" t="str">
        <f t="shared" si="307"/>
        <v/>
      </c>
      <c r="AU1840" s="78" t="str">
        <f t="shared" si="308"/>
        <v/>
      </c>
      <c r="AV1840" s="64" t="str">
        <f ca="1">IFERROR(__xludf.DUMMYFUNCTION("IF(TRIM(AU1840)="""","""",AU1840/INDEX(FILTER(AT$3:AT1840,TRIM(AT$3:AT1840)&lt;&gt;""""),ROWS(FILTER(AT$3:AT1840,TRIM(AT$3:AT1840)&lt;&gt;"""")))-1)"),"")</f>
        <v/>
      </c>
      <c r="AW1840" s="65" t="e">
        <f t="shared" ca="1" si="301"/>
        <v>#VALUE!</v>
      </c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</row>
    <row r="1841" spans="1:68" ht="19" x14ac:dyDescent="0.25">
      <c r="A1841" s="5"/>
      <c r="B1841" s="5"/>
      <c r="C1841" s="5"/>
      <c r="D1841" s="5"/>
      <c r="E1841" s="5"/>
      <c r="F1841" s="5"/>
      <c r="G1841" s="5"/>
      <c r="H1841" s="6"/>
      <c r="I1841" s="5"/>
      <c r="J1841" s="88"/>
      <c r="K1841" s="88"/>
      <c r="L1841" s="88"/>
      <c r="M1841" s="88"/>
      <c r="N1841" s="88"/>
      <c r="O1841" s="88"/>
      <c r="P1841" s="88"/>
      <c r="Q1841" s="89"/>
      <c r="R1841" s="88"/>
      <c r="S1841" s="88"/>
      <c r="T1841" s="90"/>
      <c r="U1841" s="6"/>
      <c r="V1841" s="96"/>
      <c r="W1841" s="77"/>
      <c r="X1841" s="91"/>
      <c r="Y1841" s="77"/>
      <c r="Z1841" s="5"/>
      <c r="AA1841" s="5"/>
      <c r="AB1841" s="5"/>
      <c r="AC1841" s="5"/>
      <c r="AD1841" s="5"/>
      <c r="AE1841" s="5"/>
      <c r="AF1841" s="5"/>
      <c r="AG1841" s="5"/>
      <c r="AH1841" s="6"/>
      <c r="AI1841" s="96"/>
      <c r="AJ1841" s="93"/>
      <c r="AK1841" s="94"/>
      <c r="AL1841" s="95"/>
      <c r="AM1841" s="56"/>
      <c r="AN1841" s="57">
        <f t="shared" si="300"/>
        <v>0</v>
      </c>
      <c r="AO1841" s="76">
        <f t="shared" si="302"/>
        <v>0</v>
      </c>
      <c r="AP1841" s="63" t="str">
        <f t="shared" si="303"/>
        <v/>
      </c>
      <c r="AQ1841" s="63" t="str">
        <f t="shared" si="304"/>
        <v/>
      </c>
      <c r="AR1841" s="63" t="str">
        <f t="shared" si="305"/>
        <v/>
      </c>
      <c r="AS1841" s="63" t="str">
        <f t="shared" si="306"/>
        <v/>
      </c>
      <c r="AT1841" s="78" t="str">
        <f t="shared" si="307"/>
        <v/>
      </c>
      <c r="AU1841" s="78" t="str">
        <f t="shared" si="308"/>
        <v/>
      </c>
      <c r="AV1841" s="64" t="str">
        <f ca="1">IFERROR(__xludf.DUMMYFUNCTION("IF(TRIM(AU1841)="""","""",AU1841/INDEX(FILTER(AT$3:AT1841,TRIM(AT$3:AT1841)&lt;&gt;""""),ROWS(FILTER(AT$3:AT1841,TRIM(AT$3:AT1841)&lt;&gt;"""")))-1)"),"")</f>
        <v/>
      </c>
      <c r="AW1841" s="65" t="e">
        <f t="shared" ca="1" si="301"/>
        <v>#VALUE!</v>
      </c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</row>
    <row r="1842" spans="1:68" ht="19" x14ac:dyDescent="0.25">
      <c r="A1842" s="5"/>
      <c r="B1842" s="5"/>
      <c r="C1842" s="5"/>
      <c r="D1842" s="5"/>
      <c r="E1842" s="5"/>
      <c r="F1842" s="5"/>
      <c r="G1842" s="5"/>
      <c r="H1842" s="6"/>
      <c r="I1842" s="5"/>
      <c r="J1842" s="88"/>
      <c r="K1842" s="88"/>
      <c r="L1842" s="88"/>
      <c r="M1842" s="88"/>
      <c r="N1842" s="88"/>
      <c r="O1842" s="88"/>
      <c r="P1842" s="88"/>
      <c r="Q1842" s="89"/>
      <c r="R1842" s="88"/>
      <c r="S1842" s="88"/>
      <c r="T1842" s="90"/>
      <c r="U1842" s="6"/>
      <c r="V1842" s="92"/>
      <c r="W1842" s="77"/>
      <c r="X1842" s="91"/>
      <c r="Y1842" s="77"/>
      <c r="Z1842" s="5"/>
      <c r="AA1842" s="5"/>
      <c r="AB1842" s="5"/>
      <c r="AC1842" s="5"/>
      <c r="AD1842" s="5"/>
      <c r="AE1842" s="5"/>
      <c r="AF1842" s="5"/>
      <c r="AG1842" s="5"/>
      <c r="AH1842" s="6"/>
      <c r="AI1842" s="92"/>
      <c r="AJ1842" s="93"/>
      <c r="AK1842" s="94"/>
      <c r="AL1842" s="95"/>
      <c r="AM1842" s="56"/>
      <c r="AN1842" s="57">
        <f t="shared" si="300"/>
        <v>0</v>
      </c>
      <c r="AO1842" s="76">
        <f t="shared" si="302"/>
        <v>0</v>
      </c>
      <c r="AP1842" s="63" t="str">
        <f t="shared" si="303"/>
        <v/>
      </c>
      <c r="AQ1842" s="63" t="str">
        <f t="shared" si="304"/>
        <v/>
      </c>
      <c r="AR1842" s="63" t="str">
        <f t="shared" si="305"/>
        <v/>
      </c>
      <c r="AS1842" s="63" t="str">
        <f t="shared" si="306"/>
        <v/>
      </c>
      <c r="AT1842" s="78" t="str">
        <f t="shared" si="307"/>
        <v/>
      </c>
      <c r="AU1842" s="78" t="str">
        <f t="shared" si="308"/>
        <v/>
      </c>
      <c r="AV1842" s="64" t="str">
        <f ca="1">IFERROR(__xludf.DUMMYFUNCTION("IF(TRIM(AU1842)="""","""",AU1842/INDEX(FILTER(AT$3:AT1842,TRIM(AT$3:AT1842)&lt;&gt;""""),ROWS(FILTER(AT$3:AT1842,TRIM(AT$3:AT1842)&lt;&gt;"""")))-1)"),"")</f>
        <v/>
      </c>
      <c r="AW1842" s="65" t="e">
        <f t="shared" ca="1" si="301"/>
        <v>#VALUE!</v>
      </c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</row>
    <row r="1843" spans="1:68" ht="19" x14ac:dyDescent="0.25">
      <c r="A1843" s="5"/>
      <c r="B1843" s="5"/>
      <c r="C1843" s="5"/>
      <c r="D1843" s="5"/>
      <c r="E1843" s="5"/>
      <c r="F1843" s="5"/>
      <c r="G1843" s="5"/>
      <c r="H1843" s="6"/>
      <c r="I1843" s="5"/>
      <c r="J1843" s="88"/>
      <c r="K1843" s="88"/>
      <c r="L1843" s="88"/>
      <c r="M1843" s="88"/>
      <c r="N1843" s="88"/>
      <c r="O1843" s="88"/>
      <c r="P1843" s="88"/>
      <c r="Q1843" s="89"/>
      <c r="R1843" s="88"/>
      <c r="S1843" s="88"/>
      <c r="T1843" s="90"/>
      <c r="U1843" s="6"/>
      <c r="V1843" s="92"/>
      <c r="W1843" s="77"/>
      <c r="X1843" s="91"/>
      <c r="Y1843" s="77"/>
      <c r="Z1843" s="5"/>
      <c r="AA1843" s="5"/>
      <c r="AB1843" s="5"/>
      <c r="AC1843" s="5"/>
      <c r="AD1843" s="5"/>
      <c r="AE1843" s="5"/>
      <c r="AF1843" s="5"/>
      <c r="AG1843" s="5"/>
      <c r="AH1843" s="6"/>
      <c r="AI1843" s="92"/>
      <c r="AJ1843" s="93"/>
      <c r="AK1843" s="94"/>
      <c r="AL1843" s="95"/>
      <c r="AM1843" s="56"/>
      <c r="AN1843" s="57">
        <f t="shared" si="300"/>
        <v>0</v>
      </c>
      <c r="AO1843" s="76">
        <f t="shared" si="302"/>
        <v>0</v>
      </c>
      <c r="AP1843" s="63" t="str">
        <f t="shared" si="303"/>
        <v/>
      </c>
      <c r="AQ1843" s="63" t="str">
        <f t="shared" si="304"/>
        <v/>
      </c>
      <c r="AR1843" s="63" t="str">
        <f t="shared" si="305"/>
        <v/>
      </c>
      <c r="AS1843" s="63" t="str">
        <f t="shared" si="306"/>
        <v/>
      </c>
      <c r="AT1843" s="78" t="str">
        <f t="shared" si="307"/>
        <v/>
      </c>
      <c r="AU1843" s="78" t="str">
        <f t="shared" si="308"/>
        <v/>
      </c>
      <c r="AV1843" s="64" t="str">
        <f ca="1">IFERROR(__xludf.DUMMYFUNCTION("IF(TRIM(AU1843)="""","""",AU1843/INDEX(FILTER(AT$3:AT1843,TRIM(AT$3:AT1843)&lt;&gt;""""),ROWS(FILTER(AT$3:AT1843,TRIM(AT$3:AT1843)&lt;&gt;"""")))-1)"),"")</f>
        <v/>
      </c>
      <c r="AW1843" s="65" t="e">
        <f t="shared" ca="1" si="301"/>
        <v>#VALUE!</v>
      </c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</row>
    <row r="1844" spans="1:68" ht="19" x14ac:dyDescent="0.25">
      <c r="A1844" s="5"/>
      <c r="B1844" s="5"/>
      <c r="C1844" s="5"/>
      <c r="D1844" s="5"/>
      <c r="E1844" s="5"/>
      <c r="F1844" s="5"/>
      <c r="G1844" s="5"/>
      <c r="H1844" s="6"/>
      <c r="I1844" s="5"/>
      <c r="J1844" s="88"/>
      <c r="K1844" s="88"/>
      <c r="L1844" s="88"/>
      <c r="M1844" s="88"/>
      <c r="N1844" s="88"/>
      <c r="O1844" s="88"/>
      <c r="P1844" s="88"/>
      <c r="Q1844" s="89"/>
      <c r="R1844" s="88"/>
      <c r="S1844" s="88"/>
      <c r="T1844" s="90"/>
      <c r="U1844" s="6"/>
      <c r="V1844" s="92"/>
      <c r="W1844" s="77"/>
      <c r="X1844" s="91"/>
      <c r="Y1844" s="77"/>
      <c r="Z1844" s="5"/>
      <c r="AA1844" s="5"/>
      <c r="AB1844" s="5"/>
      <c r="AC1844" s="5"/>
      <c r="AD1844" s="5"/>
      <c r="AE1844" s="5"/>
      <c r="AF1844" s="5"/>
      <c r="AG1844" s="5"/>
      <c r="AH1844" s="6"/>
      <c r="AI1844" s="92"/>
      <c r="AJ1844" s="93"/>
      <c r="AK1844" s="94"/>
      <c r="AL1844" s="95"/>
      <c r="AM1844" s="56"/>
      <c r="AN1844" s="57">
        <f t="shared" si="300"/>
        <v>0</v>
      </c>
      <c r="AO1844" s="76">
        <f t="shared" si="302"/>
        <v>0</v>
      </c>
      <c r="AP1844" s="63" t="str">
        <f t="shared" si="303"/>
        <v/>
      </c>
      <c r="AQ1844" s="63" t="str">
        <f t="shared" si="304"/>
        <v/>
      </c>
      <c r="AR1844" s="63" t="str">
        <f t="shared" si="305"/>
        <v/>
      </c>
      <c r="AS1844" s="63" t="str">
        <f t="shared" si="306"/>
        <v/>
      </c>
      <c r="AT1844" s="78" t="str">
        <f t="shared" si="307"/>
        <v/>
      </c>
      <c r="AU1844" s="78" t="str">
        <f t="shared" si="308"/>
        <v/>
      </c>
      <c r="AV1844" s="64" t="str">
        <f ca="1">IFERROR(__xludf.DUMMYFUNCTION("IF(TRIM(AU1844)="""","""",AU1844/INDEX(FILTER(AT$3:AT1844,TRIM(AT$3:AT1844)&lt;&gt;""""),ROWS(FILTER(AT$3:AT1844,TRIM(AT$3:AT1844)&lt;&gt;"""")))-1)"),"")</f>
        <v/>
      </c>
      <c r="AW1844" s="65" t="e">
        <f t="shared" ca="1" si="301"/>
        <v>#VALUE!</v>
      </c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</row>
    <row r="1845" spans="1:68" ht="19" x14ac:dyDescent="0.25">
      <c r="A1845" s="5"/>
      <c r="B1845" s="5"/>
      <c r="C1845" s="5"/>
      <c r="D1845" s="5"/>
      <c r="E1845" s="5"/>
      <c r="F1845" s="5"/>
      <c r="G1845" s="5"/>
      <c r="H1845" s="6"/>
      <c r="I1845" s="5"/>
      <c r="J1845" s="88"/>
      <c r="K1845" s="88"/>
      <c r="L1845" s="88"/>
      <c r="M1845" s="88"/>
      <c r="N1845" s="88"/>
      <c r="O1845" s="88"/>
      <c r="P1845" s="88"/>
      <c r="Q1845" s="89"/>
      <c r="R1845" s="88"/>
      <c r="S1845" s="88"/>
      <c r="T1845" s="90"/>
      <c r="U1845" s="6"/>
      <c r="V1845" s="92"/>
      <c r="W1845" s="77"/>
      <c r="X1845" s="91"/>
      <c r="Y1845" s="77"/>
      <c r="Z1845" s="5"/>
      <c r="AA1845" s="5"/>
      <c r="AB1845" s="5"/>
      <c r="AC1845" s="5"/>
      <c r="AD1845" s="5"/>
      <c r="AE1845" s="5"/>
      <c r="AF1845" s="5"/>
      <c r="AG1845" s="5"/>
      <c r="AH1845" s="6"/>
      <c r="AI1845" s="92"/>
      <c r="AJ1845" s="93"/>
      <c r="AK1845" s="94"/>
      <c r="AL1845" s="95"/>
      <c r="AM1845" s="56"/>
      <c r="AN1845" s="57">
        <f t="shared" si="300"/>
        <v>0</v>
      </c>
      <c r="AO1845" s="76">
        <f t="shared" si="302"/>
        <v>0</v>
      </c>
      <c r="AP1845" s="63" t="str">
        <f t="shared" si="303"/>
        <v/>
      </c>
      <c r="AQ1845" s="63" t="str">
        <f t="shared" si="304"/>
        <v/>
      </c>
      <c r="AR1845" s="63" t="str">
        <f t="shared" si="305"/>
        <v/>
      </c>
      <c r="AS1845" s="63" t="str">
        <f t="shared" si="306"/>
        <v/>
      </c>
      <c r="AT1845" s="78" t="str">
        <f t="shared" si="307"/>
        <v/>
      </c>
      <c r="AU1845" s="78" t="str">
        <f t="shared" si="308"/>
        <v/>
      </c>
      <c r="AV1845" s="64" t="str">
        <f ca="1">IFERROR(__xludf.DUMMYFUNCTION("IF(TRIM(AU1845)="""","""",AU1845/INDEX(FILTER(AT$3:AT1845,TRIM(AT$3:AT1845)&lt;&gt;""""),ROWS(FILTER(AT$3:AT1845,TRIM(AT$3:AT1845)&lt;&gt;"""")))-1)"),"")</f>
        <v/>
      </c>
      <c r="AW1845" s="65" t="e">
        <f t="shared" ca="1" si="301"/>
        <v>#VALUE!</v>
      </c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</row>
    <row r="1846" spans="1:68" ht="19" x14ac:dyDescent="0.25">
      <c r="A1846" s="5"/>
      <c r="B1846" s="5"/>
      <c r="C1846" s="5"/>
      <c r="D1846" s="5"/>
      <c r="E1846" s="5"/>
      <c r="F1846" s="5"/>
      <c r="G1846" s="5"/>
      <c r="H1846" s="6"/>
      <c r="I1846" s="5"/>
      <c r="J1846" s="88"/>
      <c r="K1846" s="88"/>
      <c r="L1846" s="88"/>
      <c r="M1846" s="88"/>
      <c r="N1846" s="88"/>
      <c r="O1846" s="88"/>
      <c r="P1846" s="88"/>
      <c r="Q1846" s="89"/>
      <c r="R1846" s="88"/>
      <c r="S1846" s="88"/>
      <c r="T1846" s="90"/>
      <c r="U1846" s="6"/>
      <c r="V1846" s="92"/>
      <c r="W1846" s="77"/>
      <c r="X1846" s="91"/>
      <c r="Y1846" s="77"/>
      <c r="Z1846" s="5"/>
      <c r="AA1846" s="5"/>
      <c r="AB1846" s="5"/>
      <c r="AC1846" s="5"/>
      <c r="AD1846" s="5"/>
      <c r="AE1846" s="5"/>
      <c r="AF1846" s="5"/>
      <c r="AG1846" s="5"/>
      <c r="AH1846" s="6"/>
      <c r="AI1846" s="92"/>
      <c r="AJ1846" s="93"/>
      <c r="AK1846" s="94"/>
      <c r="AL1846" s="95"/>
      <c r="AM1846" s="56"/>
      <c r="AN1846" s="57">
        <f t="shared" si="300"/>
        <v>0</v>
      </c>
      <c r="AO1846" s="76">
        <f t="shared" si="302"/>
        <v>0</v>
      </c>
      <c r="AP1846" s="63" t="str">
        <f t="shared" si="303"/>
        <v/>
      </c>
      <c r="AQ1846" s="63" t="str">
        <f t="shared" si="304"/>
        <v/>
      </c>
      <c r="AR1846" s="63" t="str">
        <f t="shared" si="305"/>
        <v/>
      </c>
      <c r="AS1846" s="63" t="str">
        <f t="shared" si="306"/>
        <v/>
      </c>
      <c r="AT1846" s="78" t="str">
        <f t="shared" si="307"/>
        <v/>
      </c>
      <c r="AU1846" s="78" t="str">
        <f t="shared" si="308"/>
        <v/>
      </c>
      <c r="AV1846" s="64" t="str">
        <f ca="1">IFERROR(__xludf.DUMMYFUNCTION("IF(TRIM(AU1846)="""","""",AU1846/INDEX(FILTER(AT$3:AT1846,TRIM(AT$3:AT1846)&lt;&gt;""""),ROWS(FILTER(AT$3:AT1846,TRIM(AT$3:AT1846)&lt;&gt;"""")))-1)"),"")</f>
        <v/>
      </c>
      <c r="AW1846" s="65" t="e">
        <f t="shared" ca="1" si="301"/>
        <v>#VALUE!</v>
      </c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</row>
    <row r="1847" spans="1:68" ht="19" x14ac:dyDescent="0.25">
      <c r="A1847" s="5"/>
      <c r="B1847" s="5"/>
      <c r="C1847" s="5"/>
      <c r="D1847" s="5"/>
      <c r="E1847" s="5"/>
      <c r="F1847" s="5"/>
      <c r="G1847" s="5"/>
      <c r="H1847" s="6"/>
      <c r="I1847" s="5"/>
      <c r="J1847" s="88"/>
      <c r="K1847" s="88"/>
      <c r="L1847" s="88"/>
      <c r="M1847" s="88"/>
      <c r="N1847" s="88"/>
      <c r="O1847" s="88"/>
      <c r="P1847" s="88"/>
      <c r="Q1847" s="89"/>
      <c r="R1847" s="88"/>
      <c r="S1847" s="88"/>
      <c r="T1847" s="90"/>
      <c r="U1847" s="6"/>
      <c r="V1847" s="92"/>
      <c r="W1847" s="77"/>
      <c r="X1847" s="91"/>
      <c r="Y1847" s="77"/>
      <c r="Z1847" s="5"/>
      <c r="AA1847" s="5"/>
      <c r="AB1847" s="5"/>
      <c r="AC1847" s="5"/>
      <c r="AD1847" s="5"/>
      <c r="AE1847" s="5"/>
      <c r="AF1847" s="5"/>
      <c r="AG1847" s="5"/>
      <c r="AH1847" s="6"/>
      <c r="AI1847" s="92"/>
      <c r="AJ1847" s="93"/>
      <c r="AK1847" s="94"/>
      <c r="AL1847" s="95"/>
      <c r="AM1847" s="56"/>
      <c r="AN1847" s="57">
        <f t="shared" si="300"/>
        <v>0</v>
      </c>
      <c r="AO1847" s="76">
        <f t="shared" si="302"/>
        <v>0</v>
      </c>
      <c r="AP1847" s="63" t="str">
        <f t="shared" si="303"/>
        <v/>
      </c>
      <c r="AQ1847" s="63" t="str">
        <f t="shared" si="304"/>
        <v/>
      </c>
      <c r="AR1847" s="63" t="str">
        <f t="shared" si="305"/>
        <v/>
      </c>
      <c r="AS1847" s="63" t="str">
        <f t="shared" si="306"/>
        <v/>
      </c>
      <c r="AT1847" s="78" t="str">
        <f t="shared" si="307"/>
        <v/>
      </c>
      <c r="AU1847" s="78" t="str">
        <f t="shared" si="308"/>
        <v/>
      </c>
      <c r="AV1847" s="64" t="str">
        <f ca="1">IFERROR(__xludf.DUMMYFUNCTION("IF(TRIM(AU1847)="""","""",AU1847/INDEX(FILTER(AT$3:AT1847,TRIM(AT$3:AT1847)&lt;&gt;""""),ROWS(FILTER(AT$3:AT1847,TRIM(AT$3:AT1847)&lt;&gt;"""")))-1)"),"")</f>
        <v/>
      </c>
      <c r="AW1847" s="65" t="e">
        <f t="shared" ca="1" si="301"/>
        <v>#VALUE!</v>
      </c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</row>
    <row r="1848" spans="1:68" ht="19" x14ac:dyDescent="0.25">
      <c r="A1848" s="5"/>
      <c r="B1848" s="5"/>
      <c r="C1848" s="5"/>
      <c r="D1848" s="5"/>
      <c r="E1848" s="5"/>
      <c r="F1848" s="5"/>
      <c r="G1848" s="5"/>
      <c r="H1848" s="6"/>
      <c r="I1848" s="5"/>
      <c r="J1848" s="88"/>
      <c r="K1848" s="88"/>
      <c r="L1848" s="88"/>
      <c r="M1848" s="88"/>
      <c r="N1848" s="88"/>
      <c r="O1848" s="88"/>
      <c r="P1848" s="88"/>
      <c r="Q1848" s="89"/>
      <c r="R1848" s="88"/>
      <c r="S1848" s="88"/>
      <c r="T1848" s="90"/>
      <c r="U1848" s="6"/>
      <c r="V1848" s="92"/>
      <c r="W1848" s="77"/>
      <c r="X1848" s="91"/>
      <c r="Y1848" s="77"/>
      <c r="Z1848" s="5"/>
      <c r="AA1848" s="5"/>
      <c r="AB1848" s="5"/>
      <c r="AC1848" s="5"/>
      <c r="AD1848" s="5"/>
      <c r="AE1848" s="5"/>
      <c r="AF1848" s="5"/>
      <c r="AG1848" s="5"/>
      <c r="AH1848" s="6"/>
      <c r="AI1848" s="92"/>
      <c r="AJ1848" s="93"/>
      <c r="AK1848" s="94"/>
      <c r="AL1848" s="95"/>
      <c r="AM1848" s="56"/>
      <c r="AN1848" s="57">
        <f t="shared" si="300"/>
        <v>0</v>
      </c>
      <c r="AO1848" s="76">
        <f t="shared" si="302"/>
        <v>0</v>
      </c>
      <c r="AP1848" s="63" t="str">
        <f t="shared" si="303"/>
        <v/>
      </c>
      <c r="AQ1848" s="63" t="str">
        <f t="shared" si="304"/>
        <v/>
      </c>
      <c r="AR1848" s="63" t="str">
        <f t="shared" si="305"/>
        <v/>
      </c>
      <c r="AS1848" s="63" t="str">
        <f t="shared" si="306"/>
        <v/>
      </c>
      <c r="AT1848" s="78" t="str">
        <f t="shared" si="307"/>
        <v/>
      </c>
      <c r="AU1848" s="78" t="str">
        <f t="shared" si="308"/>
        <v/>
      </c>
      <c r="AV1848" s="64" t="str">
        <f ca="1">IFERROR(__xludf.DUMMYFUNCTION("IF(TRIM(AU1848)="""","""",AU1848/INDEX(FILTER(AT$3:AT1848,TRIM(AT$3:AT1848)&lt;&gt;""""),ROWS(FILTER(AT$3:AT1848,TRIM(AT$3:AT1848)&lt;&gt;"""")))-1)"),"")</f>
        <v/>
      </c>
      <c r="AW1848" s="65" t="e">
        <f t="shared" ca="1" si="301"/>
        <v>#VALUE!</v>
      </c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</row>
    <row r="1849" spans="1:68" ht="19" x14ac:dyDescent="0.25">
      <c r="A1849" s="5"/>
      <c r="B1849" s="5"/>
      <c r="C1849" s="5"/>
      <c r="D1849" s="5"/>
      <c r="E1849" s="5"/>
      <c r="F1849" s="5"/>
      <c r="G1849" s="5"/>
      <c r="H1849" s="6"/>
      <c r="I1849" s="5"/>
      <c r="J1849" s="88"/>
      <c r="K1849" s="88"/>
      <c r="L1849" s="88"/>
      <c r="M1849" s="88"/>
      <c r="N1849" s="88"/>
      <c r="O1849" s="88"/>
      <c r="P1849" s="88"/>
      <c r="Q1849" s="89"/>
      <c r="R1849" s="88"/>
      <c r="S1849" s="88"/>
      <c r="T1849" s="90"/>
      <c r="U1849" s="6"/>
      <c r="V1849" s="96"/>
      <c r="W1849" s="77"/>
      <c r="X1849" s="91"/>
      <c r="Y1849" s="77"/>
      <c r="Z1849" s="5"/>
      <c r="AA1849" s="5"/>
      <c r="AB1849" s="5"/>
      <c r="AC1849" s="5"/>
      <c r="AD1849" s="5"/>
      <c r="AE1849" s="5"/>
      <c r="AF1849" s="5"/>
      <c r="AG1849" s="5"/>
      <c r="AH1849" s="6"/>
      <c r="AI1849" s="96"/>
      <c r="AJ1849" s="93"/>
      <c r="AK1849" s="94"/>
      <c r="AL1849" s="95"/>
      <c r="AM1849" s="56"/>
      <c r="AN1849" s="57">
        <f t="shared" si="300"/>
        <v>0</v>
      </c>
      <c r="AO1849" s="76">
        <f t="shared" si="302"/>
        <v>0</v>
      </c>
      <c r="AP1849" s="63" t="str">
        <f t="shared" si="303"/>
        <v/>
      </c>
      <c r="AQ1849" s="63" t="str">
        <f t="shared" si="304"/>
        <v/>
      </c>
      <c r="AR1849" s="63" t="str">
        <f t="shared" si="305"/>
        <v/>
      </c>
      <c r="AS1849" s="63" t="str">
        <f t="shared" si="306"/>
        <v/>
      </c>
      <c r="AT1849" s="78" t="str">
        <f t="shared" si="307"/>
        <v/>
      </c>
      <c r="AU1849" s="78" t="str">
        <f t="shared" si="308"/>
        <v/>
      </c>
      <c r="AV1849" s="64" t="str">
        <f ca="1">IFERROR(__xludf.DUMMYFUNCTION("IF(TRIM(AU1849)="""","""",AU1849/INDEX(FILTER(AT$3:AT1849,TRIM(AT$3:AT1849)&lt;&gt;""""),ROWS(FILTER(AT$3:AT1849,TRIM(AT$3:AT1849)&lt;&gt;"""")))-1)"),"")</f>
        <v/>
      </c>
      <c r="AW1849" s="65" t="e">
        <f t="shared" ca="1" si="301"/>
        <v>#VALUE!</v>
      </c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</row>
    <row r="1850" spans="1:68" ht="19" x14ac:dyDescent="0.25">
      <c r="A1850" s="5"/>
      <c r="B1850" s="5"/>
      <c r="C1850" s="5"/>
      <c r="D1850" s="5"/>
      <c r="E1850" s="5"/>
      <c r="F1850" s="5"/>
      <c r="G1850" s="5"/>
      <c r="H1850" s="6"/>
      <c r="I1850" s="5"/>
      <c r="J1850" s="88"/>
      <c r="K1850" s="88"/>
      <c r="L1850" s="88"/>
      <c r="M1850" s="88"/>
      <c r="N1850" s="88"/>
      <c r="O1850" s="88"/>
      <c r="P1850" s="88"/>
      <c r="Q1850" s="89"/>
      <c r="R1850" s="88"/>
      <c r="S1850" s="88"/>
      <c r="T1850" s="90"/>
      <c r="U1850" s="6"/>
      <c r="V1850" s="96"/>
      <c r="W1850" s="77"/>
      <c r="X1850" s="91"/>
      <c r="Y1850" s="77"/>
      <c r="Z1850" s="5"/>
      <c r="AA1850" s="5"/>
      <c r="AB1850" s="5"/>
      <c r="AC1850" s="5"/>
      <c r="AD1850" s="5"/>
      <c r="AE1850" s="5"/>
      <c r="AF1850" s="5"/>
      <c r="AG1850" s="5"/>
      <c r="AH1850" s="6"/>
      <c r="AI1850" s="96"/>
      <c r="AJ1850" s="93"/>
      <c r="AK1850" s="94"/>
      <c r="AL1850" s="95"/>
      <c r="AM1850" s="56"/>
      <c r="AN1850" s="57">
        <f t="shared" si="300"/>
        <v>0</v>
      </c>
      <c r="AO1850" s="76">
        <f t="shared" si="302"/>
        <v>0</v>
      </c>
      <c r="AP1850" s="63" t="str">
        <f t="shared" si="303"/>
        <v/>
      </c>
      <c r="AQ1850" s="63" t="str">
        <f t="shared" si="304"/>
        <v/>
      </c>
      <c r="AR1850" s="63" t="str">
        <f t="shared" si="305"/>
        <v/>
      </c>
      <c r="AS1850" s="63" t="str">
        <f t="shared" si="306"/>
        <v/>
      </c>
      <c r="AT1850" s="78" t="str">
        <f t="shared" si="307"/>
        <v/>
      </c>
      <c r="AU1850" s="78" t="str">
        <f t="shared" si="308"/>
        <v/>
      </c>
      <c r="AV1850" s="64" t="str">
        <f ca="1">IFERROR(__xludf.DUMMYFUNCTION("IF(TRIM(AU1850)="""","""",AU1850/INDEX(FILTER(AT$3:AT1850,TRIM(AT$3:AT1850)&lt;&gt;""""),ROWS(FILTER(AT$3:AT1850,TRIM(AT$3:AT1850)&lt;&gt;"""")))-1)"),"")</f>
        <v/>
      </c>
      <c r="AW1850" s="65" t="e">
        <f t="shared" ca="1" si="301"/>
        <v>#VALUE!</v>
      </c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</row>
    <row r="1851" spans="1:68" ht="19" x14ac:dyDescent="0.25">
      <c r="A1851" s="5"/>
      <c r="B1851" s="5"/>
      <c r="C1851" s="5"/>
      <c r="D1851" s="5"/>
      <c r="E1851" s="5"/>
      <c r="F1851" s="5"/>
      <c r="G1851" s="5"/>
      <c r="H1851" s="6"/>
      <c r="I1851" s="5"/>
      <c r="J1851" s="88"/>
      <c r="K1851" s="88"/>
      <c r="L1851" s="88"/>
      <c r="M1851" s="88"/>
      <c r="N1851" s="88"/>
      <c r="O1851" s="88"/>
      <c r="P1851" s="88"/>
      <c r="Q1851" s="89"/>
      <c r="R1851" s="88"/>
      <c r="S1851" s="88"/>
      <c r="T1851" s="90"/>
      <c r="U1851" s="6"/>
      <c r="V1851" s="96"/>
      <c r="W1851" s="77"/>
      <c r="X1851" s="91"/>
      <c r="Y1851" s="77"/>
      <c r="Z1851" s="5"/>
      <c r="AA1851" s="5"/>
      <c r="AB1851" s="5"/>
      <c r="AC1851" s="5"/>
      <c r="AD1851" s="5"/>
      <c r="AE1851" s="5"/>
      <c r="AF1851" s="5"/>
      <c r="AG1851" s="5"/>
      <c r="AH1851" s="6"/>
      <c r="AI1851" s="96"/>
      <c r="AJ1851" s="93"/>
      <c r="AK1851" s="94"/>
      <c r="AL1851" s="95"/>
      <c r="AM1851" s="56"/>
      <c r="AN1851" s="57">
        <f t="shared" si="300"/>
        <v>0</v>
      </c>
      <c r="AO1851" s="76">
        <f t="shared" si="302"/>
        <v>0</v>
      </c>
      <c r="AP1851" s="63" t="str">
        <f t="shared" si="303"/>
        <v/>
      </c>
      <c r="AQ1851" s="63" t="str">
        <f t="shared" si="304"/>
        <v/>
      </c>
      <c r="AR1851" s="63" t="str">
        <f t="shared" si="305"/>
        <v/>
      </c>
      <c r="AS1851" s="63" t="str">
        <f t="shared" si="306"/>
        <v/>
      </c>
      <c r="AT1851" s="78" t="str">
        <f t="shared" si="307"/>
        <v/>
      </c>
      <c r="AU1851" s="78" t="str">
        <f t="shared" si="308"/>
        <v/>
      </c>
      <c r="AV1851" s="64" t="str">
        <f ca="1">IFERROR(__xludf.DUMMYFUNCTION("IF(TRIM(AU1851)="""","""",AU1851/INDEX(FILTER(AT$3:AT1851,TRIM(AT$3:AT1851)&lt;&gt;""""),ROWS(FILTER(AT$3:AT1851,TRIM(AT$3:AT1851)&lt;&gt;"""")))-1)"),"")</f>
        <v/>
      </c>
      <c r="AW1851" s="65" t="e">
        <f t="shared" ca="1" si="301"/>
        <v>#VALUE!</v>
      </c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</row>
    <row r="1852" spans="1:68" ht="19" x14ac:dyDescent="0.25">
      <c r="A1852" s="5"/>
      <c r="B1852" s="5"/>
      <c r="C1852" s="5"/>
      <c r="D1852" s="5"/>
      <c r="E1852" s="5"/>
      <c r="F1852" s="5"/>
      <c r="G1852" s="5"/>
      <c r="H1852" s="6"/>
      <c r="I1852" s="5"/>
      <c r="J1852" s="88"/>
      <c r="K1852" s="88"/>
      <c r="L1852" s="88"/>
      <c r="M1852" s="88"/>
      <c r="N1852" s="88"/>
      <c r="O1852" s="88"/>
      <c r="P1852" s="88"/>
      <c r="Q1852" s="89"/>
      <c r="R1852" s="88"/>
      <c r="S1852" s="88"/>
      <c r="T1852" s="90"/>
      <c r="U1852" s="6"/>
      <c r="V1852" s="96"/>
      <c r="W1852" s="77"/>
      <c r="X1852" s="91"/>
      <c r="Y1852" s="77"/>
      <c r="Z1852" s="5"/>
      <c r="AA1852" s="5"/>
      <c r="AB1852" s="5"/>
      <c r="AC1852" s="5"/>
      <c r="AD1852" s="5"/>
      <c r="AE1852" s="5"/>
      <c r="AF1852" s="5"/>
      <c r="AG1852" s="5"/>
      <c r="AH1852" s="6"/>
      <c r="AI1852" s="96"/>
      <c r="AJ1852" s="93"/>
      <c r="AK1852" s="94"/>
      <c r="AL1852" s="95"/>
      <c r="AM1852" s="56"/>
      <c r="AN1852" s="57">
        <f t="shared" si="300"/>
        <v>0</v>
      </c>
      <c r="AO1852" s="76">
        <f t="shared" si="302"/>
        <v>0</v>
      </c>
      <c r="AP1852" s="63" t="str">
        <f t="shared" si="303"/>
        <v/>
      </c>
      <c r="AQ1852" s="63" t="str">
        <f t="shared" si="304"/>
        <v/>
      </c>
      <c r="AR1852" s="63" t="str">
        <f t="shared" si="305"/>
        <v/>
      </c>
      <c r="AS1852" s="63" t="str">
        <f t="shared" si="306"/>
        <v/>
      </c>
      <c r="AT1852" s="78" t="str">
        <f t="shared" si="307"/>
        <v/>
      </c>
      <c r="AU1852" s="78" t="str">
        <f t="shared" si="308"/>
        <v/>
      </c>
      <c r="AV1852" s="64" t="str">
        <f ca="1">IFERROR(__xludf.DUMMYFUNCTION("IF(TRIM(AU1852)="""","""",AU1852/INDEX(FILTER(AT$3:AT1852,TRIM(AT$3:AT1852)&lt;&gt;""""),ROWS(FILTER(AT$3:AT1852,TRIM(AT$3:AT1852)&lt;&gt;"""")))-1)"),"")</f>
        <v/>
      </c>
      <c r="AW1852" s="65" t="e">
        <f t="shared" ca="1" si="301"/>
        <v>#VALUE!</v>
      </c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</row>
    <row r="1853" spans="1:68" ht="19" x14ac:dyDescent="0.25">
      <c r="A1853" s="5"/>
      <c r="B1853" s="5"/>
      <c r="C1853" s="5"/>
      <c r="D1853" s="5"/>
      <c r="E1853" s="5"/>
      <c r="F1853" s="5"/>
      <c r="G1853" s="5"/>
      <c r="H1853" s="6"/>
      <c r="I1853" s="5"/>
      <c r="J1853" s="88"/>
      <c r="K1853" s="88"/>
      <c r="L1853" s="88"/>
      <c r="M1853" s="88"/>
      <c r="N1853" s="88"/>
      <c r="O1853" s="88"/>
      <c r="P1853" s="88"/>
      <c r="Q1853" s="89"/>
      <c r="R1853" s="88"/>
      <c r="S1853" s="88"/>
      <c r="T1853" s="90"/>
      <c r="U1853" s="6"/>
      <c r="V1853" s="96"/>
      <c r="W1853" s="77"/>
      <c r="X1853" s="91"/>
      <c r="Y1853" s="77"/>
      <c r="Z1853" s="5"/>
      <c r="AA1853" s="5"/>
      <c r="AB1853" s="5"/>
      <c r="AC1853" s="5"/>
      <c r="AD1853" s="5"/>
      <c r="AE1853" s="5"/>
      <c r="AF1853" s="5"/>
      <c r="AG1853" s="5"/>
      <c r="AH1853" s="6"/>
      <c r="AI1853" s="96"/>
      <c r="AJ1853" s="93"/>
      <c r="AK1853" s="94"/>
      <c r="AL1853" s="95"/>
      <c r="AM1853" s="56"/>
      <c r="AN1853" s="57">
        <f t="shared" si="300"/>
        <v>0</v>
      </c>
      <c r="AO1853" s="76">
        <f t="shared" si="302"/>
        <v>0</v>
      </c>
      <c r="AP1853" s="63" t="str">
        <f t="shared" si="303"/>
        <v/>
      </c>
      <c r="AQ1853" s="63" t="str">
        <f t="shared" si="304"/>
        <v/>
      </c>
      <c r="AR1853" s="63" t="str">
        <f t="shared" si="305"/>
        <v/>
      </c>
      <c r="AS1853" s="63" t="str">
        <f t="shared" si="306"/>
        <v/>
      </c>
      <c r="AT1853" s="78" t="str">
        <f t="shared" si="307"/>
        <v/>
      </c>
      <c r="AU1853" s="78" t="str">
        <f t="shared" si="308"/>
        <v/>
      </c>
      <c r="AV1853" s="64" t="str">
        <f ca="1">IFERROR(__xludf.DUMMYFUNCTION("IF(TRIM(AU1853)="""","""",AU1853/INDEX(FILTER(AT$3:AT1853,TRIM(AT$3:AT1853)&lt;&gt;""""),ROWS(FILTER(AT$3:AT1853,TRIM(AT$3:AT1853)&lt;&gt;"""")))-1)"),"")</f>
        <v/>
      </c>
      <c r="AW1853" s="65" t="e">
        <f t="shared" ca="1" si="301"/>
        <v>#VALUE!</v>
      </c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</row>
    <row r="1854" spans="1:68" ht="19" x14ac:dyDescent="0.25">
      <c r="A1854" s="5"/>
      <c r="B1854" s="5"/>
      <c r="C1854" s="5"/>
      <c r="D1854" s="5"/>
      <c r="E1854" s="5"/>
      <c r="F1854" s="5"/>
      <c r="G1854" s="5"/>
      <c r="H1854" s="6"/>
      <c r="I1854" s="5"/>
      <c r="J1854" s="88"/>
      <c r="K1854" s="88"/>
      <c r="L1854" s="88"/>
      <c r="M1854" s="88"/>
      <c r="N1854" s="88"/>
      <c r="O1854" s="88"/>
      <c r="P1854" s="88"/>
      <c r="Q1854" s="89"/>
      <c r="R1854" s="88"/>
      <c r="S1854" s="88"/>
      <c r="T1854" s="90"/>
      <c r="U1854" s="6"/>
      <c r="V1854" s="96"/>
      <c r="W1854" s="77"/>
      <c r="X1854" s="91"/>
      <c r="Y1854" s="77"/>
      <c r="Z1854" s="5"/>
      <c r="AA1854" s="5"/>
      <c r="AB1854" s="5"/>
      <c r="AC1854" s="5"/>
      <c r="AD1854" s="5"/>
      <c r="AE1854" s="5"/>
      <c r="AF1854" s="5"/>
      <c r="AG1854" s="5"/>
      <c r="AH1854" s="6"/>
      <c r="AI1854" s="96"/>
      <c r="AJ1854" s="93"/>
      <c r="AK1854" s="94"/>
      <c r="AL1854" s="95"/>
      <c r="AM1854" s="56"/>
      <c r="AN1854" s="57">
        <f t="shared" si="300"/>
        <v>0</v>
      </c>
      <c r="AO1854" s="76">
        <f t="shared" si="302"/>
        <v>0</v>
      </c>
      <c r="AP1854" s="63" t="str">
        <f t="shared" si="303"/>
        <v/>
      </c>
      <c r="AQ1854" s="63" t="str">
        <f t="shared" si="304"/>
        <v/>
      </c>
      <c r="AR1854" s="63" t="str">
        <f t="shared" si="305"/>
        <v/>
      </c>
      <c r="AS1854" s="63" t="str">
        <f t="shared" si="306"/>
        <v/>
      </c>
      <c r="AT1854" s="78" t="str">
        <f t="shared" si="307"/>
        <v/>
      </c>
      <c r="AU1854" s="78" t="str">
        <f t="shared" si="308"/>
        <v/>
      </c>
      <c r="AV1854" s="64" t="str">
        <f ca="1">IFERROR(__xludf.DUMMYFUNCTION("IF(TRIM(AU1854)="""","""",AU1854/INDEX(FILTER(AT$3:AT1854,TRIM(AT$3:AT1854)&lt;&gt;""""),ROWS(FILTER(AT$3:AT1854,TRIM(AT$3:AT1854)&lt;&gt;"""")))-1)"),"")</f>
        <v/>
      </c>
      <c r="AW1854" s="65" t="e">
        <f t="shared" ca="1" si="301"/>
        <v>#VALUE!</v>
      </c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</row>
    <row r="1855" spans="1:68" ht="19" x14ac:dyDescent="0.25">
      <c r="A1855" s="5"/>
      <c r="B1855" s="5"/>
      <c r="C1855" s="5"/>
      <c r="D1855" s="5"/>
      <c r="E1855" s="5"/>
      <c r="F1855" s="5"/>
      <c r="G1855" s="5"/>
      <c r="H1855" s="6"/>
      <c r="I1855" s="5"/>
      <c r="J1855" s="88"/>
      <c r="K1855" s="88"/>
      <c r="L1855" s="88"/>
      <c r="M1855" s="88"/>
      <c r="N1855" s="88"/>
      <c r="O1855" s="88"/>
      <c r="P1855" s="88"/>
      <c r="Q1855" s="89"/>
      <c r="R1855" s="88"/>
      <c r="S1855" s="88"/>
      <c r="T1855" s="90"/>
      <c r="U1855" s="6"/>
      <c r="V1855" s="96"/>
      <c r="W1855" s="77"/>
      <c r="X1855" s="91"/>
      <c r="Y1855" s="77"/>
      <c r="Z1855" s="5"/>
      <c r="AA1855" s="5"/>
      <c r="AB1855" s="5"/>
      <c r="AC1855" s="5"/>
      <c r="AD1855" s="5"/>
      <c r="AE1855" s="5"/>
      <c r="AF1855" s="5"/>
      <c r="AG1855" s="5"/>
      <c r="AH1855" s="6"/>
      <c r="AI1855" s="96"/>
      <c r="AJ1855" s="93"/>
      <c r="AK1855" s="94"/>
      <c r="AL1855" s="95"/>
      <c r="AM1855" s="56"/>
      <c r="AN1855" s="57">
        <f t="shared" si="300"/>
        <v>0</v>
      </c>
      <c r="AO1855" s="76">
        <f t="shared" si="302"/>
        <v>0</v>
      </c>
      <c r="AP1855" s="63" t="str">
        <f t="shared" si="303"/>
        <v/>
      </c>
      <c r="AQ1855" s="63" t="str">
        <f t="shared" si="304"/>
        <v/>
      </c>
      <c r="AR1855" s="63" t="str">
        <f t="shared" si="305"/>
        <v/>
      </c>
      <c r="AS1855" s="63" t="str">
        <f t="shared" si="306"/>
        <v/>
      </c>
      <c r="AT1855" s="78" t="str">
        <f t="shared" si="307"/>
        <v/>
      </c>
      <c r="AU1855" s="78" t="str">
        <f t="shared" si="308"/>
        <v/>
      </c>
      <c r="AV1855" s="64" t="str">
        <f ca="1">IFERROR(__xludf.DUMMYFUNCTION("IF(TRIM(AU1855)="""","""",AU1855/INDEX(FILTER(AT$3:AT1855,TRIM(AT$3:AT1855)&lt;&gt;""""),ROWS(FILTER(AT$3:AT1855,TRIM(AT$3:AT1855)&lt;&gt;"""")))-1)"),"")</f>
        <v/>
      </c>
      <c r="AW1855" s="65" t="e">
        <f t="shared" ca="1" si="301"/>
        <v>#VALUE!</v>
      </c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</row>
    <row r="1856" spans="1:68" ht="19" x14ac:dyDescent="0.25">
      <c r="A1856" s="5"/>
      <c r="B1856" s="5"/>
      <c r="C1856" s="5"/>
      <c r="D1856" s="5"/>
      <c r="E1856" s="5"/>
      <c r="F1856" s="5"/>
      <c r="G1856" s="5"/>
      <c r="H1856" s="6"/>
      <c r="I1856" s="5"/>
      <c r="J1856" s="88"/>
      <c r="K1856" s="88"/>
      <c r="L1856" s="88"/>
      <c r="M1856" s="88"/>
      <c r="N1856" s="88"/>
      <c r="O1856" s="88"/>
      <c r="P1856" s="88"/>
      <c r="Q1856" s="89"/>
      <c r="R1856" s="88"/>
      <c r="S1856" s="88"/>
      <c r="T1856" s="90"/>
      <c r="U1856" s="6"/>
      <c r="V1856" s="96"/>
      <c r="W1856" s="77"/>
      <c r="X1856" s="91"/>
      <c r="Y1856" s="77"/>
      <c r="Z1856" s="5"/>
      <c r="AA1856" s="5"/>
      <c r="AB1856" s="5"/>
      <c r="AC1856" s="5"/>
      <c r="AD1856" s="5"/>
      <c r="AE1856" s="5"/>
      <c r="AF1856" s="5"/>
      <c r="AG1856" s="5"/>
      <c r="AH1856" s="6"/>
      <c r="AI1856" s="96"/>
      <c r="AJ1856" s="93"/>
      <c r="AK1856" s="94"/>
      <c r="AL1856" s="95"/>
      <c r="AM1856" s="56"/>
      <c r="AN1856" s="57">
        <f t="shared" si="300"/>
        <v>0</v>
      </c>
      <c r="AO1856" s="76">
        <f t="shared" si="302"/>
        <v>0</v>
      </c>
      <c r="AP1856" s="63" t="str">
        <f t="shared" si="303"/>
        <v/>
      </c>
      <c r="AQ1856" s="63" t="str">
        <f t="shared" si="304"/>
        <v/>
      </c>
      <c r="AR1856" s="63" t="str">
        <f t="shared" si="305"/>
        <v/>
      </c>
      <c r="AS1856" s="63" t="str">
        <f t="shared" si="306"/>
        <v/>
      </c>
      <c r="AT1856" s="78" t="str">
        <f t="shared" si="307"/>
        <v/>
      </c>
      <c r="AU1856" s="78" t="str">
        <f t="shared" si="308"/>
        <v/>
      </c>
      <c r="AV1856" s="64" t="str">
        <f ca="1">IFERROR(__xludf.DUMMYFUNCTION("IF(TRIM(AU1856)="""","""",AU1856/INDEX(FILTER(AT$3:AT1856,TRIM(AT$3:AT1856)&lt;&gt;""""),ROWS(FILTER(AT$3:AT1856,TRIM(AT$3:AT1856)&lt;&gt;"""")))-1)"),"")</f>
        <v/>
      </c>
      <c r="AW1856" s="65" t="e">
        <f t="shared" ca="1" si="301"/>
        <v>#VALUE!</v>
      </c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</row>
    <row r="1857" spans="1:68" ht="19" x14ac:dyDescent="0.25">
      <c r="A1857" s="5"/>
      <c r="B1857" s="5"/>
      <c r="C1857" s="5"/>
      <c r="D1857" s="5"/>
      <c r="E1857" s="5"/>
      <c r="F1857" s="5"/>
      <c r="G1857" s="5"/>
      <c r="H1857" s="6"/>
      <c r="I1857" s="5"/>
      <c r="J1857" s="88"/>
      <c r="K1857" s="88"/>
      <c r="L1857" s="88"/>
      <c r="M1857" s="88"/>
      <c r="N1857" s="88"/>
      <c r="O1857" s="88"/>
      <c r="P1857" s="88"/>
      <c r="Q1857" s="89"/>
      <c r="R1857" s="88"/>
      <c r="S1857" s="88"/>
      <c r="T1857" s="90"/>
      <c r="U1857" s="6"/>
      <c r="V1857" s="96"/>
      <c r="W1857" s="77"/>
      <c r="X1857" s="91"/>
      <c r="Y1857" s="77"/>
      <c r="Z1857" s="5"/>
      <c r="AA1857" s="5"/>
      <c r="AB1857" s="5"/>
      <c r="AC1857" s="5"/>
      <c r="AD1857" s="5"/>
      <c r="AE1857" s="5"/>
      <c r="AF1857" s="5"/>
      <c r="AG1857" s="5"/>
      <c r="AH1857" s="6"/>
      <c r="AI1857" s="96"/>
      <c r="AJ1857" s="93"/>
      <c r="AK1857" s="94"/>
      <c r="AL1857" s="95"/>
      <c r="AM1857" s="56"/>
      <c r="AN1857" s="57">
        <f t="shared" si="300"/>
        <v>0</v>
      </c>
      <c r="AO1857" s="76">
        <f t="shared" si="302"/>
        <v>0</v>
      </c>
      <c r="AP1857" s="63" t="str">
        <f t="shared" si="303"/>
        <v/>
      </c>
      <c r="AQ1857" s="63" t="str">
        <f t="shared" si="304"/>
        <v/>
      </c>
      <c r="AR1857" s="63" t="str">
        <f t="shared" si="305"/>
        <v/>
      </c>
      <c r="AS1857" s="63" t="str">
        <f t="shared" si="306"/>
        <v/>
      </c>
      <c r="AT1857" s="78" t="str">
        <f t="shared" si="307"/>
        <v/>
      </c>
      <c r="AU1857" s="78" t="str">
        <f t="shared" si="308"/>
        <v/>
      </c>
      <c r="AV1857" s="64" t="str">
        <f ca="1">IFERROR(__xludf.DUMMYFUNCTION("IF(TRIM(AU1857)="""","""",AU1857/INDEX(FILTER(AT$3:AT1857,TRIM(AT$3:AT1857)&lt;&gt;""""),ROWS(FILTER(AT$3:AT1857,TRIM(AT$3:AT1857)&lt;&gt;"""")))-1)"),"")</f>
        <v/>
      </c>
      <c r="AW1857" s="65" t="e">
        <f t="shared" ca="1" si="301"/>
        <v>#VALUE!</v>
      </c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</row>
    <row r="1858" spans="1:68" ht="19" x14ac:dyDescent="0.25">
      <c r="A1858" s="5"/>
      <c r="B1858" s="5"/>
      <c r="C1858" s="5"/>
      <c r="D1858" s="5"/>
      <c r="E1858" s="5"/>
      <c r="F1858" s="5"/>
      <c r="G1858" s="5"/>
      <c r="H1858" s="6"/>
      <c r="I1858" s="5"/>
      <c r="J1858" s="88"/>
      <c r="K1858" s="88"/>
      <c r="L1858" s="88"/>
      <c r="M1858" s="88"/>
      <c r="N1858" s="88"/>
      <c r="O1858" s="88"/>
      <c r="P1858" s="88"/>
      <c r="Q1858" s="89"/>
      <c r="R1858" s="88"/>
      <c r="S1858" s="88"/>
      <c r="T1858" s="90"/>
      <c r="U1858" s="6"/>
      <c r="V1858" s="96"/>
      <c r="W1858" s="77"/>
      <c r="X1858" s="91"/>
      <c r="Y1858" s="77"/>
      <c r="Z1858" s="5"/>
      <c r="AA1858" s="5"/>
      <c r="AB1858" s="5"/>
      <c r="AC1858" s="5"/>
      <c r="AD1858" s="5"/>
      <c r="AE1858" s="5"/>
      <c r="AF1858" s="5"/>
      <c r="AG1858" s="5"/>
      <c r="AH1858" s="6"/>
      <c r="AI1858" s="96"/>
      <c r="AJ1858" s="93"/>
      <c r="AK1858" s="94"/>
      <c r="AL1858" s="95"/>
      <c r="AM1858" s="56"/>
      <c r="AN1858" s="57">
        <f t="shared" si="300"/>
        <v>0</v>
      </c>
      <c r="AO1858" s="76">
        <f t="shared" si="302"/>
        <v>0</v>
      </c>
      <c r="AP1858" s="63" t="str">
        <f t="shared" si="303"/>
        <v/>
      </c>
      <c r="AQ1858" s="63" t="str">
        <f t="shared" si="304"/>
        <v/>
      </c>
      <c r="AR1858" s="63" t="str">
        <f t="shared" si="305"/>
        <v/>
      </c>
      <c r="AS1858" s="63" t="str">
        <f t="shared" si="306"/>
        <v/>
      </c>
      <c r="AT1858" s="78" t="str">
        <f t="shared" si="307"/>
        <v/>
      </c>
      <c r="AU1858" s="78" t="str">
        <f t="shared" si="308"/>
        <v/>
      </c>
      <c r="AV1858" s="64" t="str">
        <f ca="1">IFERROR(__xludf.DUMMYFUNCTION("IF(TRIM(AU1858)="""","""",AU1858/INDEX(FILTER(AT$3:AT1858,TRIM(AT$3:AT1858)&lt;&gt;""""),ROWS(FILTER(AT$3:AT1858,TRIM(AT$3:AT1858)&lt;&gt;"""")))-1)"),"")</f>
        <v/>
      </c>
      <c r="AW1858" s="65" t="e">
        <f t="shared" ca="1" si="301"/>
        <v>#VALUE!</v>
      </c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</row>
    <row r="1859" spans="1:68" ht="19" x14ac:dyDescent="0.25">
      <c r="A1859" s="5"/>
      <c r="B1859" s="5"/>
      <c r="C1859" s="5"/>
      <c r="D1859" s="5"/>
      <c r="E1859" s="5"/>
      <c r="F1859" s="5"/>
      <c r="G1859" s="5"/>
      <c r="H1859" s="6"/>
      <c r="I1859" s="5"/>
      <c r="J1859" s="88"/>
      <c r="K1859" s="88"/>
      <c r="L1859" s="88"/>
      <c r="M1859" s="88"/>
      <c r="N1859" s="88"/>
      <c r="O1859" s="88"/>
      <c r="P1859" s="88"/>
      <c r="Q1859" s="89"/>
      <c r="R1859" s="88"/>
      <c r="S1859" s="88"/>
      <c r="T1859" s="90"/>
      <c r="U1859" s="6"/>
      <c r="V1859" s="96"/>
      <c r="W1859" s="77"/>
      <c r="X1859" s="91"/>
      <c r="Y1859" s="77"/>
      <c r="Z1859" s="5"/>
      <c r="AA1859" s="5"/>
      <c r="AB1859" s="5"/>
      <c r="AC1859" s="5"/>
      <c r="AD1859" s="5"/>
      <c r="AE1859" s="5"/>
      <c r="AF1859" s="5"/>
      <c r="AG1859" s="5"/>
      <c r="AH1859" s="6"/>
      <c r="AI1859" s="96"/>
      <c r="AJ1859" s="93"/>
      <c r="AK1859" s="94"/>
      <c r="AL1859" s="95"/>
      <c r="AM1859" s="56"/>
      <c r="AN1859" s="57">
        <f t="shared" ref="AN1859:AN1922" si="309">AM1859-AL1859</f>
        <v>0</v>
      </c>
      <c r="AO1859" s="76">
        <f t="shared" si="302"/>
        <v>0</v>
      </c>
      <c r="AP1859" s="63" t="str">
        <f t="shared" si="303"/>
        <v/>
      </c>
      <c r="AQ1859" s="63" t="str">
        <f t="shared" si="304"/>
        <v/>
      </c>
      <c r="AR1859" s="63" t="str">
        <f t="shared" si="305"/>
        <v/>
      </c>
      <c r="AS1859" s="63" t="str">
        <f t="shared" si="306"/>
        <v/>
      </c>
      <c r="AT1859" s="78" t="str">
        <f t="shared" si="307"/>
        <v/>
      </c>
      <c r="AU1859" s="78" t="str">
        <f t="shared" si="308"/>
        <v/>
      </c>
      <c r="AV1859" s="64" t="str">
        <f ca="1">IFERROR(__xludf.DUMMYFUNCTION("IF(TRIM(AU1859)="""","""",AU1859/INDEX(FILTER(AT$3:AT1859,TRIM(AT$3:AT1859)&lt;&gt;""""),ROWS(FILTER(AT$3:AT1859,TRIM(AT$3:AT1859)&lt;&gt;"""")))-1)"),"")</f>
        <v/>
      </c>
      <c r="AW1859" s="65" t="e">
        <f t="shared" ref="AW1859:AW1922" ca="1" si="310">AW1858*(1+AV1859)</f>
        <v>#VALUE!</v>
      </c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</row>
    <row r="1860" spans="1:68" ht="19" x14ac:dyDescent="0.25">
      <c r="A1860" s="5"/>
      <c r="B1860" s="5"/>
      <c r="C1860" s="5"/>
      <c r="D1860" s="5"/>
      <c r="E1860" s="5"/>
      <c r="F1860" s="5"/>
      <c r="G1860" s="5"/>
      <c r="H1860" s="6"/>
      <c r="I1860" s="5"/>
      <c r="J1860" s="88"/>
      <c r="K1860" s="88"/>
      <c r="L1860" s="88"/>
      <c r="M1860" s="88"/>
      <c r="N1860" s="88"/>
      <c r="O1860" s="88"/>
      <c r="P1860" s="88"/>
      <c r="Q1860" s="89"/>
      <c r="R1860" s="88"/>
      <c r="S1860" s="88"/>
      <c r="T1860" s="90"/>
      <c r="U1860" s="6"/>
      <c r="V1860" s="96"/>
      <c r="W1860" s="77"/>
      <c r="X1860" s="91"/>
      <c r="Y1860" s="77"/>
      <c r="Z1860" s="5"/>
      <c r="AA1860" s="5"/>
      <c r="AB1860" s="5"/>
      <c r="AC1860" s="5"/>
      <c r="AD1860" s="5"/>
      <c r="AE1860" s="5"/>
      <c r="AF1860" s="5"/>
      <c r="AG1860" s="5"/>
      <c r="AH1860" s="6"/>
      <c r="AI1860" s="96"/>
      <c r="AJ1860" s="93"/>
      <c r="AK1860" s="94"/>
      <c r="AL1860" s="95"/>
      <c r="AM1860" s="56"/>
      <c r="AN1860" s="57">
        <f t="shared" si="309"/>
        <v>0</v>
      </c>
      <c r="AO1860" s="76">
        <f t="shared" si="302"/>
        <v>0</v>
      </c>
      <c r="AP1860" s="63" t="str">
        <f t="shared" si="303"/>
        <v/>
      </c>
      <c r="AQ1860" s="63" t="str">
        <f t="shared" si="304"/>
        <v/>
      </c>
      <c r="AR1860" s="63" t="str">
        <f t="shared" si="305"/>
        <v/>
      </c>
      <c r="AS1860" s="63" t="str">
        <f t="shared" si="306"/>
        <v/>
      </c>
      <c r="AT1860" s="78" t="str">
        <f t="shared" si="307"/>
        <v/>
      </c>
      <c r="AU1860" s="78" t="str">
        <f t="shared" si="308"/>
        <v/>
      </c>
      <c r="AV1860" s="64" t="str">
        <f ca="1">IFERROR(__xludf.DUMMYFUNCTION("IF(TRIM(AU1860)="""","""",AU1860/INDEX(FILTER(AT$3:AT1860,TRIM(AT$3:AT1860)&lt;&gt;""""),ROWS(FILTER(AT$3:AT1860,TRIM(AT$3:AT1860)&lt;&gt;"""")))-1)"),"")</f>
        <v/>
      </c>
      <c r="AW1860" s="65" t="e">
        <f t="shared" ca="1" si="310"/>
        <v>#VALUE!</v>
      </c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</row>
    <row r="1861" spans="1:68" ht="19" x14ac:dyDescent="0.25">
      <c r="A1861" s="5"/>
      <c r="B1861" s="5"/>
      <c r="C1861" s="5"/>
      <c r="D1861" s="5"/>
      <c r="E1861" s="5"/>
      <c r="F1861" s="5"/>
      <c r="G1861" s="5"/>
      <c r="H1861" s="6"/>
      <c r="I1861" s="5"/>
      <c r="J1861" s="88"/>
      <c r="K1861" s="88"/>
      <c r="L1861" s="88"/>
      <c r="M1861" s="88"/>
      <c r="N1861" s="88"/>
      <c r="O1861" s="88"/>
      <c r="P1861" s="88"/>
      <c r="Q1861" s="89"/>
      <c r="R1861" s="88"/>
      <c r="S1861" s="88"/>
      <c r="T1861" s="90"/>
      <c r="U1861" s="6"/>
      <c r="V1861" s="96"/>
      <c r="W1861" s="77"/>
      <c r="X1861" s="91"/>
      <c r="Y1861" s="77"/>
      <c r="Z1861" s="5"/>
      <c r="AA1861" s="5"/>
      <c r="AB1861" s="5"/>
      <c r="AC1861" s="5"/>
      <c r="AD1861" s="5"/>
      <c r="AE1861" s="5"/>
      <c r="AF1861" s="5"/>
      <c r="AG1861" s="5"/>
      <c r="AH1861" s="6"/>
      <c r="AI1861" s="96"/>
      <c r="AJ1861" s="93"/>
      <c r="AK1861" s="94"/>
      <c r="AL1861" s="95"/>
      <c r="AM1861" s="56"/>
      <c r="AN1861" s="57">
        <f t="shared" si="309"/>
        <v>0</v>
      </c>
      <c r="AO1861" s="76">
        <f t="shared" si="302"/>
        <v>0</v>
      </c>
      <c r="AP1861" s="63" t="str">
        <f t="shared" si="303"/>
        <v/>
      </c>
      <c r="AQ1861" s="63" t="str">
        <f t="shared" si="304"/>
        <v/>
      </c>
      <c r="AR1861" s="63" t="str">
        <f t="shared" si="305"/>
        <v/>
      </c>
      <c r="AS1861" s="63" t="str">
        <f t="shared" si="306"/>
        <v/>
      </c>
      <c r="AT1861" s="78" t="str">
        <f t="shared" si="307"/>
        <v/>
      </c>
      <c r="AU1861" s="78" t="str">
        <f t="shared" si="308"/>
        <v/>
      </c>
      <c r="AV1861" s="64" t="str">
        <f ca="1">IFERROR(__xludf.DUMMYFUNCTION("IF(TRIM(AU1861)="""","""",AU1861/INDEX(FILTER(AT$3:AT1861,TRIM(AT$3:AT1861)&lt;&gt;""""),ROWS(FILTER(AT$3:AT1861,TRIM(AT$3:AT1861)&lt;&gt;"""")))-1)"),"")</f>
        <v/>
      </c>
      <c r="AW1861" s="65" t="e">
        <f t="shared" ca="1" si="310"/>
        <v>#VALUE!</v>
      </c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</row>
    <row r="1862" spans="1:68" ht="19" x14ac:dyDescent="0.25">
      <c r="A1862" s="5"/>
      <c r="B1862" s="5"/>
      <c r="C1862" s="5"/>
      <c r="D1862" s="5"/>
      <c r="E1862" s="5"/>
      <c r="F1862" s="5"/>
      <c r="G1862" s="5"/>
      <c r="H1862" s="6"/>
      <c r="I1862" s="5"/>
      <c r="J1862" s="88"/>
      <c r="K1862" s="88"/>
      <c r="L1862" s="88"/>
      <c r="M1862" s="88"/>
      <c r="N1862" s="88"/>
      <c r="O1862" s="88"/>
      <c r="P1862" s="88"/>
      <c r="Q1862" s="89"/>
      <c r="R1862" s="88"/>
      <c r="S1862" s="88"/>
      <c r="T1862" s="90"/>
      <c r="U1862" s="6"/>
      <c r="V1862" s="96"/>
      <c r="W1862" s="77"/>
      <c r="X1862" s="91"/>
      <c r="Y1862" s="77"/>
      <c r="Z1862" s="5"/>
      <c r="AA1862" s="5"/>
      <c r="AB1862" s="5"/>
      <c r="AC1862" s="5"/>
      <c r="AD1862" s="5"/>
      <c r="AE1862" s="5"/>
      <c r="AF1862" s="5"/>
      <c r="AG1862" s="5"/>
      <c r="AH1862" s="6"/>
      <c r="AI1862" s="96"/>
      <c r="AJ1862" s="93"/>
      <c r="AK1862" s="94"/>
      <c r="AL1862" s="95"/>
      <c r="AM1862" s="56"/>
      <c r="AN1862" s="57">
        <f t="shared" si="309"/>
        <v>0</v>
      </c>
      <c r="AO1862" s="76">
        <f t="shared" si="302"/>
        <v>0</v>
      </c>
      <c r="AP1862" s="63" t="str">
        <f t="shared" si="303"/>
        <v/>
      </c>
      <c r="AQ1862" s="63" t="str">
        <f t="shared" si="304"/>
        <v/>
      </c>
      <c r="AR1862" s="63" t="str">
        <f t="shared" si="305"/>
        <v/>
      </c>
      <c r="AS1862" s="63" t="str">
        <f t="shared" si="306"/>
        <v/>
      </c>
      <c r="AT1862" s="78" t="str">
        <f t="shared" si="307"/>
        <v/>
      </c>
      <c r="AU1862" s="78" t="str">
        <f t="shared" si="308"/>
        <v/>
      </c>
      <c r="AV1862" s="64" t="str">
        <f ca="1">IFERROR(__xludf.DUMMYFUNCTION("IF(TRIM(AU1862)="""","""",AU1862/INDEX(FILTER(AT$3:AT1862,TRIM(AT$3:AT1862)&lt;&gt;""""),ROWS(FILTER(AT$3:AT1862,TRIM(AT$3:AT1862)&lt;&gt;"""")))-1)"),"")</f>
        <v/>
      </c>
      <c r="AW1862" s="65" t="e">
        <f t="shared" ca="1" si="310"/>
        <v>#VALUE!</v>
      </c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</row>
    <row r="1863" spans="1:68" ht="19" x14ac:dyDescent="0.25">
      <c r="A1863" s="5"/>
      <c r="B1863" s="5"/>
      <c r="C1863" s="5"/>
      <c r="D1863" s="5"/>
      <c r="E1863" s="5"/>
      <c r="F1863" s="5"/>
      <c r="G1863" s="5"/>
      <c r="H1863" s="6"/>
      <c r="I1863" s="5"/>
      <c r="J1863" s="88"/>
      <c r="K1863" s="88"/>
      <c r="L1863" s="88"/>
      <c r="M1863" s="88"/>
      <c r="N1863" s="88"/>
      <c r="O1863" s="88"/>
      <c r="P1863" s="88"/>
      <c r="Q1863" s="89"/>
      <c r="R1863" s="88"/>
      <c r="S1863" s="88"/>
      <c r="T1863" s="90"/>
      <c r="U1863" s="6"/>
      <c r="V1863" s="96"/>
      <c r="W1863" s="77"/>
      <c r="X1863" s="91"/>
      <c r="Y1863" s="77"/>
      <c r="Z1863" s="5"/>
      <c r="AA1863" s="5"/>
      <c r="AB1863" s="5"/>
      <c r="AC1863" s="5"/>
      <c r="AD1863" s="5"/>
      <c r="AE1863" s="5"/>
      <c r="AF1863" s="5"/>
      <c r="AG1863" s="5"/>
      <c r="AH1863" s="6"/>
      <c r="AI1863" s="96"/>
      <c r="AJ1863" s="93"/>
      <c r="AK1863" s="94"/>
      <c r="AL1863" s="95"/>
      <c r="AM1863" s="56"/>
      <c r="AN1863" s="57">
        <f t="shared" si="309"/>
        <v>0</v>
      </c>
      <c r="AO1863" s="76">
        <f t="shared" ref="AO1863:AO1926" si="311">AVERAGE(AN1859:AN1863)</f>
        <v>0</v>
      </c>
      <c r="AP1863" s="63" t="str">
        <f t="shared" ref="AP1863:AP1926" si="312">IF(AO1863&gt;0,"Buy Stocks","")</f>
        <v/>
      </c>
      <c r="AQ1863" s="63" t="str">
        <f t="shared" ref="AQ1863:AQ1926" si="313">IF(AO1863&lt;0,"Sell Stocks","")</f>
        <v/>
      </c>
      <c r="AR1863" s="63" t="str">
        <f t="shared" ref="AR1863:AR1926" si="314">IF(AND(AP1863="Buy Stocks",AP1862=""),"Buy Stocks","")</f>
        <v/>
      </c>
      <c r="AS1863" s="63" t="str">
        <f t="shared" ref="AS1863:AS1926" si="315">IF(AND(AQ1863="Sell Stocks",AQ1862=""),"Sell Stocks","")</f>
        <v/>
      </c>
      <c r="AT1863" s="78" t="str">
        <f t="shared" ref="AT1863:AT1926" si="316">IF(AR1863="Buy Stocks",AJ1863,"")</f>
        <v/>
      </c>
      <c r="AU1863" s="78" t="str">
        <f t="shared" ref="AU1863:AU1926" si="317">IF(AS1863="Sell Stocks",AJ1863,"")</f>
        <v/>
      </c>
      <c r="AV1863" s="64" t="str">
        <f ca="1">IFERROR(__xludf.DUMMYFUNCTION("IF(TRIM(AU1863)="""","""",AU1863/INDEX(FILTER(AT$3:AT1863,TRIM(AT$3:AT1863)&lt;&gt;""""),ROWS(FILTER(AT$3:AT1863,TRIM(AT$3:AT1863)&lt;&gt;"""")))-1)"),"")</f>
        <v/>
      </c>
      <c r="AW1863" s="65" t="e">
        <f t="shared" ca="1" si="310"/>
        <v>#VALUE!</v>
      </c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</row>
    <row r="1864" spans="1:68" ht="19" x14ac:dyDescent="0.25">
      <c r="A1864" s="5"/>
      <c r="B1864" s="5"/>
      <c r="C1864" s="5"/>
      <c r="D1864" s="5"/>
      <c r="E1864" s="5"/>
      <c r="F1864" s="5"/>
      <c r="G1864" s="5"/>
      <c r="H1864" s="6"/>
      <c r="I1864" s="5"/>
      <c r="J1864" s="88"/>
      <c r="K1864" s="88"/>
      <c r="L1864" s="88"/>
      <c r="M1864" s="88"/>
      <c r="N1864" s="88"/>
      <c r="O1864" s="88"/>
      <c r="P1864" s="88"/>
      <c r="Q1864" s="89"/>
      <c r="R1864" s="88"/>
      <c r="S1864" s="88"/>
      <c r="T1864" s="90"/>
      <c r="U1864" s="6"/>
      <c r="V1864" s="96"/>
      <c r="W1864" s="77"/>
      <c r="X1864" s="91"/>
      <c r="Y1864" s="77"/>
      <c r="Z1864" s="5"/>
      <c r="AA1864" s="5"/>
      <c r="AB1864" s="5"/>
      <c r="AC1864" s="5"/>
      <c r="AD1864" s="5"/>
      <c r="AE1864" s="5"/>
      <c r="AF1864" s="5"/>
      <c r="AG1864" s="5"/>
      <c r="AH1864" s="6"/>
      <c r="AI1864" s="96"/>
      <c r="AJ1864" s="93"/>
      <c r="AK1864" s="94"/>
      <c r="AL1864" s="95"/>
      <c r="AM1864" s="56"/>
      <c r="AN1864" s="57">
        <f t="shared" si="309"/>
        <v>0</v>
      </c>
      <c r="AO1864" s="76">
        <f t="shared" si="311"/>
        <v>0</v>
      </c>
      <c r="AP1864" s="63" t="str">
        <f t="shared" si="312"/>
        <v/>
      </c>
      <c r="AQ1864" s="63" t="str">
        <f t="shared" si="313"/>
        <v/>
      </c>
      <c r="AR1864" s="63" t="str">
        <f t="shared" si="314"/>
        <v/>
      </c>
      <c r="AS1864" s="63" t="str">
        <f t="shared" si="315"/>
        <v/>
      </c>
      <c r="AT1864" s="78" t="str">
        <f t="shared" si="316"/>
        <v/>
      </c>
      <c r="AU1864" s="78" t="str">
        <f t="shared" si="317"/>
        <v/>
      </c>
      <c r="AV1864" s="64" t="str">
        <f ca="1">IFERROR(__xludf.DUMMYFUNCTION("IF(TRIM(AU1864)="""","""",AU1864/INDEX(FILTER(AT$3:AT1864,TRIM(AT$3:AT1864)&lt;&gt;""""),ROWS(FILTER(AT$3:AT1864,TRIM(AT$3:AT1864)&lt;&gt;"""")))-1)"),"")</f>
        <v/>
      </c>
      <c r="AW1864" s="65" t="e">
        <f t="shared" ca="1" si="310"/>
        <v>#VALUE!</v>
      </c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</row>
    <row r="1865" spans="1:68" ht="19" x14ac:dyDescent="0.25">
      <c r="A1865" s="5"/>
      <c r="B1865" s="5"/>
      <c r="C1865" s="5"/>
      <c r="D1865" s="5"/>
      <c r="E1865" s="5"/>
      <c r="F1865" s="5"/>
      <c r="G1865" s="5"/>
      <c r="H1865" s="6"/>
      <c r="I1865" s="5"/>
      <c r="J1865" s="88"/>
      <c r="K1865" s="88"/>
      <c r="L1865" s="88"/>
      <c r="M1865" s="88"/>
      <c r="N1865" s="88"/>
      <c r="O1865" s="88"/>
      <c r="P1865" s="88"/>
      <c r="Q1865" s="89"/>
      <c r="R1865" s="88"/>
      <c r="S1865" s="88"/>
      <c r="T1865" s="90"/>
      <c r="U1865" s="6"/>
      <c r="V1865" s="92"/>
      <c r="W1865" s="77"/>
      <c r="X1865" s="91"/>
      <c r="Y1865" s="77"/>
      <c r="Z1865" s="5"/>
      <c r="AA1865" s="5"/>
      <c r="AB1865" s="5"/>
      <c r="AC1865" s="5"/>
      <c r="AD1865" s="5"/>
      <c r="AE1865" s="5"/>
      <c r="AF1865" s="5"/>
      <c r="AG1865" s="5"/>
      <c r="AH1865" s="6"/>
      <c r="AI1865" s="92"/>
      <c r="AJ1865" s="93"/>
      <c r="AK1865" s="94"/>
      <c r="AL1865" s="95"/>
      <c r="AM1865" s="56"/>
      <c r="AN1865" s="57">
        <f t="shared" si="309"/>
        <v>0</v>
      </c>
      <c r="AO1865" s="76">
        <f t="shared" si="311"/>
        <v>0</v>
      </c>
      <c r="AP1865" s="63" t="str">
        <f t="shared" si="312"/>
        <v/>
      </c>
      <c r="AQ1865" s="63" t="str">
        <f t="shared" si="313"/>
        <v/>
      </c>
      <c r="AR1865" s="63" t="str">
        <f t="shared" si="314"/>
        <v/>
      </c>
      <c r="AS1865" s="63" t="str">
        <f t="shared" si="315"/>
        <v/>
      </c>
      <c r="AT1865" s="78" t="str">
        <f t="shared" si="316"/>
        <v/>
      </c>
      <c r="AU1865" s="78" t="str">
        <f t="shared" si="317"/>
        <v/>
      </c>
      <c r="AV1865" s="64" t="str">
        <f ca="1">IFERROR(__xludf.DUMMYFUNCTION("IF(TRIM(AU1865)="""","""",AU1865/INDEX(FILTER(AT$3:AT1865,TRIM(AT$3:AT1865)&lt;&gt;""""),ROWS(FILTER(AT$3:AT1865,TRIM(AT$3:AT1865)&lt;&gt;"""")))-1)"),"")</f>
        <v/>
      </c>
      <c r="AW1865" s="65" t="e">
        <f t="shared" ca="1" si="310"/>
        <v>#VALUE!</v>
      </c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</row>
    <row r="1866" spans="1:68" ht="19" x14ac:dyDescent="0.25">
      <c r="A1866" s="5"/>
      <c r="B1866" s="5"/>
      <c r="C1866" s="5"/>
      <c r="D1866" s="5"/>
      <c r="E1866" s="5"/>
      <c r="F1866" s="5"/>
      <c r="G1866" s="5"/>
      <c r="H1866" s="6"/>
      <c r="I1866" s="5"/>
      <c r="J1866" s="88"/>
      <c r="K1866" s="88"/>
      <c r="L1866" s="88"/>
      <c r="M1866" s="88"/>
      <c r="N1866" s="88"/>
      <c r="O1866" s="88"/>
      <c r="P1866" s="88"/>
      <c r="Q1866" s="89"/>
      <c r="R1866" s="88"/>
      <c r="S1866" s="88"/>
      <c r="T1866" s="90"/>
      <c r="U1866" s="6"/>
      <c r="V1866" s="92"/>
      <c r="W1866" s="77"/>
      <c r="X1866" s="91"/>
      <c r="Y1866" s="77"/>
      <c r="Z1866" s="5"/>
      <c r="AA1866" s="5"/>
      <c r="AB1866" s="5"/>
      <c r="AC1866" s="5"/>
      <c r="AD1866" s="5"/>
      <c r="AE1866" s="5"/>
      <c r="AF1866" s="5"/>
      <c r="AG1866" s="5"/>
      <c r="AH1866" s="6"/>
      <c r="AI1866" s="92"/>
      <c r="AJ1866" s="93"/>
      <c r="AK1866" s="94"/>
      <c r="AL1866" s="95"/>
      <c r="AM1866" s="56"/>
      <c r="AN1866" s="57">
        <f t="shared" si="309"/>
        <v>0</v>
      </c>
      <c r="AO1866" s="76">
        <f t="shared" si="311"/>
        <v>0</v>
      </c>
      <c r="AP1866" s="63" t="str">
        <f t="shared" si="312"/>
        <v/>
      </c>
      <c r="AQ1866" s="63" t="str">
        <f t="shared" si="313"/>
        <v/>
      </c>
      <c r="AR1866" s="63" t="str">
        <f t="shared" si="314"/>
        <v/>
      </c>
      <c r="AS1866" s="63" t="str">
        <f t="shared" si="315"/>
        <v/>
      </c>
      <c r="AT1866" s="78" t="str">
        <f t="shared" si="316"/>
        <v/>
      </c>
      <c r="AU1866" s="78" t="str">
        <f t="shared" si="317"/>
        <v/>
      </c>
      <c r="AV1866" s="64" t="str">
        <f ca="1">IFERROR(__xludf.DUMMYFUNCTION("IF(TRIM(AU1866)="""","""",AU1866/INDEX(FILTER(AT$3:AT1866,TRIM(AT$3:AT1866)&lt;&gt;""""),ROWS(FILTER(AT$3:AT1866,TRIM(AT$3:AT1866)&lt;&gt;"""")))-1)"),"")</f>
        <v/>
      </c>
      <c r="AW1866" s="65" t="e">
        <f t="shared" ca="1" si="310"/>
        <v>#VALUE!</v>
      </c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</row>
    <row r="1867" spans="1:68" ht="19" x14ac:dyDescent="0.25">
      <c r="A1867" s="5"/>
      <c r="B1867" s="5"/>
      <c r="C1867" s="5"/>
      <c r="D1867" s="5"/>
      <c r="E1867" s="5"/>
      <c r="F1867" s="5"/>
      <c r="G1867" s="5"/>
      <c r="H1867" s="6"/>
      <c r="I1867" s="5"/>
      <c r="J1867" s="88"/>
      <c r="K1867" s="88"/>
      <c r="L1867" s="88"/>
      <c r="M1867" s="88"/>
      <c r="N1867" s="88"/>
      <c r="O1867" s="88"/>
      <c r="P1867" s="88"/>
      <c r="Q1867" s="89"/>
      <c r="R1867" s="88"/>
      <c r="S1867" s="88"/>
      <c r="T1867" s="90"/>
      <c r="U1867" s="6"/>
      <c r="V1867" s="92"/>
      <c r="W1867" s="77"/>
      <c r="X1867" s="91"/>
      <c r="Y1867" s="77"/>
      <c r="Z1867" s="5"/>
      <c r="AA1867" s="5"/>
      <c r="AB1867" s="5"/>
      <c r="AC1867" s="5"/>
      <c r="AD1867" s="5"/>
      <c r="AE1867" s="5"/>
      <c r="AF1867" s="5"/>
      <c r="AG1867" s="5"/>
      <c r="AH1867" s="6"/>
      <c r="AI1867" s="92"/>
      <c r="AJ1867" s="93"/>
      <c r="AK1867" s="94"/>
      <c r="AL1867" s="95"/>
      <c r="AM1867" s="56"/>
      <c r="AN1867" s="57">
        <f t="shared" si="309"/>
        <v>0</v>
      </c>
      <c r="AO1867" s="76">
        <f t="shared" si="311"/>
        <v>0</v>
      </c>
      <c r="AP1867" s="63" t="str">
        <f t="shared" si="312"/>
        <v/>
      </c>
      <c r="AQ1867" s="63" t="str">
        <f t="shared" si="313"/>
        <v/>
      </c>
      <c r="AR1867" s="63" t="str">
        <f t="shared" si="314"/>
        <v/>
      </c>
      <c r="AS1867" s="63" t="str">
        <f t="shared" si="315"/>
        <v/>
      </c>
      <c r="AT1867" s="78" t="str">
        <f t="shared" si="316"/>
        <v/>
      </c>
      <c r="AU1867" s="78" t="str">
        <f t="shared" si="317"/>
        <v/>
      </c>
      <c r="AV1867" s="64" t="str">
        <f ca="1">IFERROR(__xludf.DUMMYFUNCTION("IF(TRIM(AU1867)="""","""",AU1867/INDEX(FILTER(AT$3:AT1867,TRIM(AT$3:AT1867)&lt;&gt;""""),ROWS(FILTER(AT$3:AT1867,TRIM(AT$3:AT1867)&lt;&gt;"""")))-1)"),"")</f>
        <v/>
      </c>
      <c r="AW1867" s="65" t="e">
        <f t="shared" ca="1" si="310"/>
        <v>#VALUE!</v>
      </c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</row>
    <row r="1868" spans="1:68" ht="19" x14ac:dyDescent="0.25">
      <c r="A1868" s="5"/>
      <c r="B1868" s="5"/>
      <c r="C1868" s="5"/>
      <c r="D1868" s="5"/>
      <c r="E1868" s="5"/>
      <c r="F1868" s="5"/>
      <c r="G1868" s="5"/>
      <c r="H1868" s="6"/>
      <c r="I1868" s="5"/>
      <c r="J1868" s="88"/>
      <c r="K1868" s="88"/>
      <c r="L1868" s="88"/>
      <c r="M1868" s="88"/>
      <c r="N1868" s="88"/>
      <c r="O1868" s="88"/>
      <c r="P1868" s="88"/>
      <c r="Q1868" s="89"/>
      <c r="R1868" s="88"/>
      <c r="S1868" s="88"/>
      <c r="T1868" s="90"/>
      <c r="U1868" s="6"/>
      <c r="V1868" s="92"/>
      <c r="W1868" s="77"/>
      <c r="X1868" s="91"/>
      <c r="Y1868" s="77"/>
      <c r="Z1868" s="5"/>
      <c r="AA1868" s="5"/>
      <c r="AB1868" s="5"/>
      <c r="AC1868" s="5"/>
      <c r="AD1868" s="5"/>
      <c r="AE1868" s="5"/>
      <c r="AF1868" s="5"/>
      <c r="AG1868" s="5"/>
      <c r="AH1868" s="6"/>
      <c r="AI1868" s="92"/>
      <c r="AJ1868" s="93"/>
      <c r="AK1868" s="94"/>
      <c r="AL1868" s="95"/>
      <c r="AM1868" s="56"/>
      <c r="AN1868" s="57">
        <f t="shared" si="309"/>
        <v>0</v>
      </c>
      <c r="AO1868" s="76">
        <f t="shared" si="311"/>
        <v>0</v>
      </c>
      <c r="AP1868" s="63" t="str">
        <f t="shared" si="312"/>
        <v/>
      </c>
      <c r="AQ1868" s="63" t="str">
        <f t="shared" si="313"/>
        <v/>
      </c>
      <c r="AR1868" s="63" t="str">
        <f t="shared" si="314"/>
        <v/>
      </c>
      <c r="AS1868" s="63" t="str">
        <f t="shared" si="315"/>
        <v/>
      </c>
      <c r="AT1868" s="78" t="str">
        <f t="shared" si="316"/>
        <v/>
      </c>
      <c r="AU1868" s="78" t="str">
        <f t="shared" si="317"/>
        <v/>
      </c>
      <c r="AV1868" s="64" t="str">
        <f ca="1">IFERROR(__xludf.DUMMYFUNCTION("IF(TRIM(AU1868)="""","""",AU1868/INDEX(FILTER(AT$3:AT1868,TRIM(AT$3:AT1868)&lt;&gt;""""),ROWS(FILTER(AT$3:AT1868,TRIM(AT$3:AT1868)&lt;&gt;"""")))-1)"),"")</f>
        <v/>
      </c>
      <c r="AW1868" s="65" t="e">
        <f t="shared" ca="1" si="310"/>
        <v>#VALUE!</v>
      </c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</row>
    <row r="1869" spans="1:68" ht="19" x14ac:dyDescent="0.25">
      <c r="A1869" s="5"/>
      <c r="B1869" s="5"/>
      <c r="C1869" s="5"/>
      <c r="D1869" s="5"/>
      <c r="E1869" s="5"/>
      <c r="F1869" s="5"/>
      <c r="G1869" s="5"/>
      <c r="H1869" s="6"/>
      <c r="I1869" s="5"/>
      <c r="J1869" s="88"/>
      <c r="K1869" s="88"/>
      <c r="L1869" s="88"/>
      <c r="M1869" s="88"/>
      <c r="N1869" s="88"/>
      <c r="O1869" s="88"/>
      <c r="P1869" s="88"/>
      <c r="Q1869" s="89"/>
      <c r="R1869" s="88"/>
      <c r="S1869" s="88"/>
      <c r="T1869" s="90"/>
      <c r="U1869" s="6"/>
      <c r="V1869" s="92"/>
      <c r="W1869" s="77"/>
      <c r="X1869" s="91"/>
      <c r="Y1869" s="77"/>
      <c r="Z1869" s="5"/>
      <c r="AA1869" s="5"/>
      <c r="AB1869" s="5"/>
      <c r="AC1869" s="5"/>
      <c r="AD1869" s="5"/>
      <c r="AE1869" s="5"/>
      <c r="AF1869" s="5"/>
      <c r="AG1869" s="5"/>
      <c r="AH1869" s="6"/>
      <c r="AI1869" s="92"/>
      <c r="AJ1869" s="93"/>
      <c r="AK1869" s="94"/>
      <c r="AL1869" s="95"/>
      <c r="AM1869" s="56"/>
      <c r="AN1869" s="57">
        <f t="shared" si="309"/>
        <v>0</v>
      </c>
      <c r="AO1869" s="76">
        <f t="shared" si="311"/>
        <v>0</v>
      </c>
      <c r="AP1869" s="63" t="str">
        <f t="shared" si="312"/>
        <v/>
      </c>
      <c r="AQ1869" s="63" t="str">
        <f t="shared" si="313"/>
        <v/>
      </c>
      <c r="AR1869" s="63" t="str">
        <f t="shared" si="314"/>
        <v/>
      </c>
      <c r="AS1869" s="63" t="str">
        <f t="shared" si="315"/>
        <v/>
      </c>
      <c r="AT1869" s="78" t="str">
        <f t="shared" si="316"/>
        <v/>
      </c>
      <c r="AU1869" s="78" t="str">
        <f t="shared" si="317"/>
        <v/>
      </c>
      <c r="AV1869" s="64" t="str">
        <f ca="1">IFERROR(__xludf.DUMMYFUNCTION("IF(TRIM(AU1869)="""","""",AU1869/INDEX(FILTER(AT$3:AT1869,TRIM(AT$3:AT1869)&lt;&gt;""""),ROWS(FILTER(AT$3:AT1869,TRIM(AT$3:AT1869)&lt;&gt;"""")))-1)"),"")</f>
        <v/>
      </c>
      <c r="AW1869" s="65" t="e">
        <f t="shared" ca="1" si="310"/>
        <v>#VALUE!</v>
      </c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</row>
    <row r="1870" spans="1:68" ht="19" x14ac:dyDescent="0.25">
      <c r="A1870" s="5"/>
      <c r="B1870" s="5"/>
      <c r="C1870" s="5"/>
      <c r="D1870" s="5"/>
      <c r="E1870" s="5"/>
      <c r="F1870" s="5"/>
      <c r="G1870" s="5"/>
      <c r="H1870" s="6"/>
      <c r="I1870" s="5"/>
      <c r="J1870" s="88"/>
      <c r="K1870" s="88"/>
      <c r="L1870" s="88"/>
      <c r="M1870" s="88"/>
      <c r="N1870" s="88"/>
      <c r="O1870" s="88"/>
      <c r="P1870" s="88"/>
      <c r="Q1870" s="89"/>
      <c r="R1870" s="88"/>
      <c r="S1870" s="88"/>
      <c r="T1870" s="90"/>
      <c r="U1870" s="6"/>
      <c r="V1870" s="92"/>
      <c r="W1870" s="77"/>
      <c r="X1870" s="91"/>
      <c r="Y1870" s="77"/>
      <c r="Z1870" s="5"/>
      <c r="AA1870" s="5"/>
      <c r="AB1870" s="5"/>
      <c r="AC1870" s="5"/>
      <c r="AD1870" s="5"/>
      <c r="AE1870" s="5"/>
      <c r="AF1870" s="5"/>
      <c r="AG1870" s="5"/>
      <c r="AH1870" s="6"/>
      <c r="AI1870" s="92"/>
      <c r="AJ1870" s="93"/>
      <c r="AK1870" s="94"/>
      <c r="AL1870" s="95"/>
      <c r="AM1870" s="56"/>
      <c r="AN1870" s="57">
        <f t="shared" si="309"/>
        <v>0</v>
      </c>
      <c r="AO1870" s="76">
        <f t="shared" si="311"/>
        <v>0</v>
      </c>
      <c r="AP1870" s="63" t="str">
        <f t="shared" si="312"/>
        <v/>
      </c>
      <c r="AQ1870" s="63" t="str">
        <f t="shared" si="313"/>
        <v/>
      </c>
      <c r="AR1870" s="63" t="str">
        <f t="shared" si="314"/>
        <v/>
      </c>
      <c r="AS1870" s="63" t="str">
        <f t="shared" si="315"/>
        <v/>
      </c>
      <c r="AT1870" s="78" t="str">
        <f t="shared" si="316"/>
        <v/>
      </c>
      <c r="AU1870" s="78" t="str">
        <f t="shared" si="317"/>
        <v/>
      </c>
      <c r="AV1870" s="64" t="str">
        <f ca="1">IFERROR(__xludf.DUMMYFUNCTION("IF(TRIM(AU1870)="""","""",AU1870/INDEX(FILTER(AT$3:AT1870,TRIM(AT$3:AT1870)&lt;&gt;""""),ROWS(FILTER(AT$3:AT1870,TRIM(AT$3:AT1870)&lt;&gt;"""")))-1)"),"")</f>
        <v/>
      </c>
      <c r="AW1870" s="65" t="e">
        <f t="shared" ca="1" si="310"/>
        <v>#VALUE!</v>
      </c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</row>
    <row r="1871" spans="1:68" ht="19" x14ac:dyDescent="0.25">
      <c r="A1871" s="5"/>
      <c r="B1871" s="5"/>
      <c r="C1871" s="5"/>
      <c r="D1871" s="5"/>
      <c r="E1871" s="5"/>
      <c r="F1871" s="5"/>
      <c r="G1871" s="5"/>
      <c r="H1871" s="6"/>
      <c r="I1871" s="5"/>
      <c r="J1871" s="88"/>
      <c r="K1871" s="88"/>
      <c r="L1871" s="88"/>
      <c r="M1871" s="88"/>
      <c r="N1871" s="88"/>
      <c r="O1871" s="88"/>
      <c r="P1871" s="88"/>
      <c r="Q1871" s="89"/>
      <c r="R1871" s="88"/>
      <c r="S1871" s="88"/>
      <c r="T1871" s="90"/>
      <c r="U1871" s="6"/>
      <c r="V1871" s="92"/>
      <c r="W1871" s="77"/>
      <c r="X1871" s="91"/>
      <c r="Y1871" s="77"/>
      <c r="Z1871" s="5"/>
      <c r="AA1871" s="5"/>
      <c r="AB1871" s="5"/>
      <c r="AC1871" s="5"/>
      <c r="AD1871" s="5"/>
      <c r="AE1871" s="5"/>
      <c r="AF1871" s="5"/>
      <c r="AG1871" s="5"/>
      <c r="AH1871" s="6"/>
      <c r="AI1871" s="92"/>
      <c r="AJ1871" s="93"/>
      <c r="AK1871" s="94"/>
      <c r="AL1871" s="95"/>
      <c r="AM1871" s="56"/>
      <c r="AN1871" s="57">
        <f t="shared" si="309"/>
        <v>0</v>
      </c>
      <c r="AO1871" s="76">
        <f t="shared" si="311"/>
        <v>0</v>
      </c>
      <c r="AP1871" s="63" t="str">
        <f t="shared" si="312"/>
        <v/>
      </c>
      <c r="AQ1871" s="63" t="str">
        <f t="shared" si="313"/>
        <v/>
      </c>
      <c r="AR1871" s="63" t="str">
        <f t="shared" si="314"/>
        <v/>
      </c>
      <c r="AS1871" s="63" t="str">
        <f t="shared" si="315"/>
        <v/>
      </c>
      <c r="AT1871" s="78" t="str">
        <f t="shared" si="316"/>
        <v/>
      </c>
      <c r="AU1871" s="78" t="str">
        <f t="shared" si="317"/>
        <v/>
      </c>
      <c r="AV1871" s="64" t="str">
        <f ca="1">IFERROR(__xludf.DUMMYFUNCTION("IF(TRIM(AU1871)="""","""",AU1871/INDEX(FILTER(AT$3:AT1871,TRIM(AT$3:AT1871)&lt;&gt;""""),ROWS(FILTER(AT$3:AT1871,TRIM(AT$3:AT1871)&lt;&gt;"""")))-1)"),"")</f>
        <v/>
      </c>
      <c r="AW1871" s="65" t="e">
        <f t="shared" ca="1" si="310"/>
        <v>#VALUE!</v>
      </c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</row>
    <row r="1872" spans="1:68" ht="19" x14ac:dyDescent="0.25">
      <c r="A1872" s="5"/>
      <c r="B1872" s="5"/>
      <c r="C1872" s="5"/>
      <c r="D1872" s="5"/>
      <c r="E1872" s="5"/>
      <c r="F1872" s="5"/>
      <c r="G1872" s="5"/>
      <c r="H1872" s="6"/>
      <c r="I1872" s="5"/>
      <c r="J1872" s="88"/>
      <c r="K1872" s="88"/>
      <c r="L1872" s="88"/>
      <c r="M1872" s="88"/>
      <c r="N1872" s="88"/>
      <c r="O1872" s="88"/>
      <c r="P1872" s="88"/>
      <c r="Q1872" s="89"/>
      <c r="R1872" s="88"/>
      <c r="S1872" s="88"/>
      <c r="T1872" s="90"/>
      <c r="U1872" s="6"/>
      <c r="V1872" s="92"/>
      <c r="W1872" s="77"/>
      <c r="X1872" s="91"/>
      <c r="Y1872" s="77"/>
      <c r="Z1872" s="5"/>
      <c r="AA1872" s="5"/>
      <c r="AB1872" s="5"/>
      <c r="AC1872" s="5"/>
      <c r="AD1872" s="5"/>
      <c r="AE1872" s="5"/>
      <c r="AF1872" s="5"/>
      <c r="AG1872" s="5"/>
      <c r="AH1872" s="6"/>
      <c r="AI1872" s="92"/>
      <c r="AJ1872" s="93"/>
      <c r="AK1872" s="94"/>
      <c r="AL1872" s="95"/>
      <c r="AM1872" s="56"/>
      <c r="AN1872" s="57">
        <f t="shared" si="309"/>
        <v>0</v>
      </c>
      <c r="AO1872" s="76">
        <f t="shared" si="311"/>
        <v>0</v>
      </c>
      <c r="AP1872" s="63" t="str">
        <f t="shared" si="312"/>
        <v/>
      </c>
      <c r="AQ1872" s="63" t="str">
        <f t="shared" si="313"/>
        <v/>
      </c>
      <c r="AR1872" s="63" t="str">
        <f t="shared" si="314"/>
        <v/>
      </c>
      <c r="AS1872" s="63" t="str">
        <f t="shared" si="315"/>
        <v/>
      </c>
      <c r="AT1872" s="78" t="str">
        <f t="shared" si="316"/>
        <v/>
      </c>
      <c r="AU1872" s="78" t="str">
        <f t="shared" si="317"/>
        <v/>
      </c>
      <c r="AV1872" s="64" t="str">
        <f ca="1">IFERROR(__xludf.DUMMYFUNCTION("IF(TRIM(AU1872)="""","""",AU1872/INDEX(FILTER(AT$3:AT1872,TRIM(AT$3:AT1872)&lt;&gt;""""),ROWS(FILTER(AT$3:AT1872,TRIM(AT$3:AT1872)&lt;&gt;"""")))-1)"),"")</f>
        <v/>
      </c>
      <c r="AW1872" s="65" t="e">
        <f t="shared" ca="1" si="310"/>
        <v>#VALUE!</v>
      </c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</row>
    <row r="1873" spans="1:68" ht="19" x14ac:dyDescent="0.25">
      <c r="A1873" s="5"/>
      <c r="B1873" s="5"/>
      <c r="C1873" s="5"/>
      <c r="D1873" s="5"/>
      <c r="E1873" s="5"/>
      <c r="F1873" s="5"/>
      <c r="G1873" s="5"/>
      <c r="H1873" s="6"/>
      <c r="I1873" s="5"/>
      <c r="J1873" s="88"/>
      <c r="K1873" s="88"/>
      <c r="L1873" s="88"/>
      <c r="M1873" s="88"/>
      <c r="N1873" s="88"/>
      <c r="O1873" s="88"/>
      <c r="P1873" s="88"/>
      <c r="Q1873" s="89"/>
      <c r="R1873" s="88"/>
      <c r="S1873" s="88"/>
      <c r="T1873" s="90"/>
      <c r="U1873" s="6"/>
      <c r="V1873" s="92"/>
      <c r="W1873" s="77"/>
      <c r="X1873" s="91"/>
      <c r="Y1873" s="77"/>
      <c r="Z1873" s="5"/>
      <c r="AA1873" s="5"/>
      <c r="AB1873" s="5"/>
      <c r="AC1873" s="5"/>
      <c r="AD1873" s="5"/>
      <c r="AE1873" s="5"/>
      <c r="AF1873" s="5"/>
      <c r="AG1873" s="5"/>
      <c r="AH1873" s="6"/>
      <c r="AI1873" s="92"/>
      <c r="AJ1873" s="93"/>
      <c r="AK1873" s="94"/>
      <c r="AL1873" s="95"/>
      <c r="AM1873" s="56"/>
      <c r="AN1873" s="57">
        <f t="shared" si="309"/>
        <v>0</v>
      </c>
      <c r="AO1873" s="76">
        <f t="shared" si="311"/>
        <v>0</v>
      </c>
      <c r="AP1873" s="63" t="str">
        <f t="shared" si="312"/>
        <v/>
      </c>
      <c r="AQ1873" s="63" t="str">
        <f t="shared" si="313"/>
        <v/>
      </c>
      <c r="AR1873" s="63" t="str">
        <f t="shared" si="314"/>
        <v/>
      </c>
      <c r="AS1873" s="63" t="str">
        <f t="shared" si="315"/>
        <v/>
      </c>
      <c r="AT1873" s="78" t="str">
        <f t="shared" si="316"/>
        <v/>
      </c>
      <c r="AU1873" s="78" t="str">
        <f t="shared" si="317"/>
        <v/>
      </c>
      <c r="AV1873" s="64" t="str">
        <f ca="1">IFERROR(__xludf.DUMMYFUNCTION("IF(TRIM(AU1873)="""","""",AU1873/INDEX(FILTER(AT$3:AT1873,TRIM(AT$3:AT1873)&lt;&gt;""""),ROWS(FILTER(AT$3:AT1873,TRIM(AT$3:AT1873)&lt;&gt;"""")))-1)"),"")</f>
        <v/>
      </c>
      <c r="AW1873" s="65" t="e">
        <f t="shared" ca="1" si="310"/>
        <v>#VALUE!</v>
      </c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</row>
    <row r="1874" spans="1:68" ht="19" x14ac:dyDescent="0.25">
      <c r="A1874" s="5"/>
      <c r="B1874" s="5"/>
      <c r="C1874" s="5"/>
      <c r="D1874" s="5"/>
      <c r="E1874" s="5"/>
      <c r="F1874" s="5"/>
      <c r="G1874" s="5"/>
      <c r="H1874" s="6"/>
      <c r="I1874" s="5"/>
      <c r="J1874" s="88"/>
      <c r="K1874" s="88"/>
      <c r="L1874" s="88"/>
      <c r="M1874" s="88"/>
      <c r="N1874" s="88"/>
      <c r="O1874" s="88"/>
      <c r="P1874" s="88"/>
      <c r="Q1874" s="89"/>
      <c r="R1874" s="88"/>
      <c r="S1874" s="88"/>
      <c r="T1874" s="90"/>
      <c r="U1874" s="6"/>
      <c r="V1874" s="92"/>
      <c r="W1874" s="77"/>
      <c r="X1874" s="91"/>
      <c r="Y1874" s="77"/>
      <c r="Z1874" s="5"/>
      <c r="AA1874" s="5"/>
      <c r="AB1874" s="5"/>
      <c r="AC1874" s="5"/>
      <c r="AD1874" s="5"/>
      <c r="AE1874" s="5"/>
      <c r="AF1874" s="5"/>
      <c r="AG1874" s="5"/>
      <c r="AH1874" s="6"/>
      <c r="AI1874" s="92"/>
      <c r="AJ1874" s="93"/>
      <c r="AK1874" s="94"/>
      <c r="AL1874" s="95"/>
      <c r="AM1874" s="56"/>
      <c r="AN1874" s="57">
        <f t="shared" si="309"/>
        <v>0</v>
      </c>
      <c r="AO1874" s="76">
        <f t="shared" si="311"/>
        <v>0</v>
      </c>
      <c r="AP1874" s="63" t="str">
        <f t="shared" si="312"/>
        <v/>
      </c>
      <c r="AQ1874" s="63" t="str">
        <f t="shared" si="313"/>
        <v/>
      </c>
      <c r="AR1874" s="63" t="str">
        <f t="shared" si="314"/>
        <v/>
      </c>
      <c r="AS1874" s="63" t="str">
        <f t="shared" si="315"/>
        <v/>
      </c>
      <c r="AT1874" s="78" t="str">
        <f t="shared" si="316"/>
        <v/>
      </c>
      <c r="AU1874" s="78" t="str">
        <f t="shared" si="317"/>
        <v/>
      </c>
      <c r="AV1874" s="64" t="str">
        <f ca="1">IFERROR(__xludf.DUMMYFUNCTION("IF(TRIM(AU1874)="""","""",AU1874/INDEX(FILTER(AT$3:AT1874,TRIM(AT$3:AT1874)&lt;&gt;""""),ROWS(FILTER(AT$3:AT1874,TRIM(AT$3:AT1874)&lt;&gt;"""")))-1)"),"")</f>
        <v/>
      </c>
      <c r="AW1874" s="65" t="e">
        <f t="shared" ca="1" si="310"/>
        <v>#VALUE!</v>
      </c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</row>
    <row r="1875" spans="1:68" ht="19" x14ac:dyDescent="0.25">
      <c r="A1875" s="5"/>
      <c r="B1875" s="5"/>
      <c r="C1875" s="5"/>
      <c r="D1875" s="5"/>
      <c r="E1875" s="5"/>
      <c r="F1875" s="5"/>
      <c r="G1875" s="5"/>
      <c r="H1875" s="6"/>
      <c r="I1875" s="5"/>
      <c r="J1875" s="88"/>
      <c r="K1875" s="88"/>
      <c r="L1875" s="88"/>
      <c r="M1875" s="88"/>
      <c r="N1875" s="88"/>
      <c r="O1875" s="88"/>
      <c r="P1875" s="88"/>
      <c r="Q1875" s="89"/>
      <c r="R1875" s="88"/>
      <c r="S1875" s="88"/>
      <c r="T1875" s="90"/>
      <c r="U1875" s="6"/>
      <c r="V1875" s="92"/>
      <c r="W1875" s="77"/>
      <c r="X1875" s="91"/>
      <c r="Y1875" s="77"/>
      <c r="Z1875" s="5"/>
      <c r="AA1875" s="5"/>
      <c r="AB1875" s="5"/>
      <c r="AC1875" s="5"/>
      <c r="AD1875" s="5"/>
      <c r="AE1875" s="5"/>
      <c r="AF1875" s="5"/>
      <c r="AG1875" s="5"/>
      <c r="AH1875" s="6"/>
      <c r="AI1875" s="92"/>
      <c r="AJ1875" s="93"/>
      <c r="AK1875" s="94"/>
      <c r="AL1875" s="95"/>
      <c r="AM1875" s="56"/>
      <c r="AN1875" s="57">
        <f t="shared" si="309"/>
        <v>0</v>
      </c>
      <c r="AO1875" s="76">
        <f t="shared" si="311"/>
        <v>0</v>
      </c>
      <c r="AP1875" s="63" t="str">
        <f t="shared" si="312"/>
        <v/>
      </c>
      <c r="AQ1875" s="63" t="str">
        <f t="shared" si="313"/>
        <v/>
      </c>
      <c r="AR1875" s="63" t="str">
        <f t="shared" si="314"/>
        <v/>
      </c>
      <c r="AS1875" s="63" t="str">
        <f t="shared" si="315"/>
        <v/>
      </c>
      <c r="AT1875" s="78" t="str">
        <f t="shared" si="316"/>
        <v/>
      </c>
      <c r="AU1875" s="78" t="str">
        <f t="shared" si="317"/>
        <v/>
      </c>
      <c r="AV1875" s="64" t="str">
        <f ca="1">IFERROR(__xludf.DUMMYFUNCTION("IF(TRIM(AU1875)="""","""",AU1875/INDEX(FILTER(AT$3:AT1875,TRIM(AT$3:AT1875)&lt;&gt;""""),ROWS(FILTER(AT$3:AT1875,TRIM(AT$3:AT1875)&lt;&gt;"""")))-1)"),"")</f>
        <v/>
      </c>
      <c r="AW1875" s="65" t="e">
        <f t="shared" ca="1" si="310"/>
        <v>#VALUE!</v>
      </c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</row>
    <row r="1876" spans="1:68" ht="19" x14ac:dyDescent="0.25">
      <c r="A1876" s="5"/>
      <c r="B1876" s="5"/>
      <c r="C1876" s="5"/>
      <c r="D1876" s="5"/>
      <c r="E1876" s="5"/>
      <c r="F1876" s="5"/>
      <c r="G1876" s="5"/>
      <c r="H1876" s="6"/>
      <c r="I1876" s="5"/>
      <c r="J1876" s="88"/>
      <c r="K1876" s="88"/>
      <c r="L1876" s="88"/>
      <c r="M1876" s="88"/>
      <c r="N1876" s="88"/>
      <c r="O1876" s="88"/>
      <c r="P1876" s="88"/>
      <c r="Q1876" s="89"/>
      <c r="R1876" s="88"/>
      <c r="S1876" s="88"/>
      <c r="T1876" s="90"/>
      <c r="U1876" s="6"/>
      <c r="V1876" s="92"/>
      <c r="W1876" s="77"/>
      <c r="X1876" s="91"/>
      <c r="Y1876" s="77"/>
      <c r="Z1876" s="5"/>
      <c r="AA1876" s="5"/>
      <c r="AB1876" s="5"/>
      <c r="AC1876" s="5"/>
      <c r="AD1876" s="5"/>
      <c r="AE1876" s="5"/>
      <c r="AF1876" s="5"/>
      <c r="AG1876" s="5"/>
      <c r="AH1876" s="6"/>
      <c r="AI1876" s="92"/>
      <c r="AJ1876" s="93"/>
      <c r="AK1876" s="94"/>
      <c r="AL1876" s="95"/>
      <c r="AM1876" s="56"/>
      <c r="AN1876" s="57">
        <f t="shared" si="309"/>
        <v>0</v>
      </c>
      <c r="AO1876" s="76">
        <f t="shared" si="311"/>
        <v>0</v>
      </c>
      <c r="AP1876" s="63" t="str">
        <f t="shared" si="312"/>
        <v/>
      </c>
      <c r="AQ1876" s="63" t="str">
        <f t="shared" si="313"/>
        <v/>
      </c>
      <c r="AR1876" s="63" t="str">
        <f t="shared" si="314"/>
        <v/>
      </c>
      <c r="AS1876" s="63" t="str">
        <f t="shared" si="315"/>
        <v/>
      </c>
      <c r="AT1876" s="78" t="str">
        <f t="shared" si="316"/>
        <v/>
      </c>
      <c r="AU1876" s="78" t="str">
        <f t="shared" si="317"/>
        <v/>
      </c>
      <c r="AV1876" s="64" t="str">
        <f ca="1">IFERROR(__xludf.DUMMYFUNCTION("IF(TRIM(AU1876)="""","""",AU1876/INDEX(FILTER(AT$3:AT1876,TRIM(AT$3:AT1876)&lt;&gt;""""),ROWS(FILTER(AT$3:AT1876,TRIM(AT$3:AT1876)&lt;&gt;"""")))-1)"),"")</f>
        <v/>
      </c>
      <c r="AW1876" s="65" t="e">
        <f t="shared" ca="1" si="310"/>
        <v>#VALUE!</v>
      </c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</row>
    <row r="1877" spans="1:68" ht="19" x14ac:dyDescent="0.25">
      <c r="A1877" s="5"/>
      <c r="B1877" s="5"/>
      <c r="C1877" s="5"/>
      <c r="D1877" s="5"/>
      <c r="E1877" s="5"/>
      <c r="F1877" s="5"/>
      <c r="G1877" s="5"/>
      <c r="H1877" s="6"/>
      <c r="I1877" s="5"/>
      <c r="J1877" s="88"/>
      <c r="K1877" s="88"/>
      <c r="L1877" s="88"/>
      <c r="M1877" s="88"/>
      <c r="N1877" s="88"/>
      <c r="O1877" s="88"/>
      <c r="P1877" s="88"/>
      <c r="Q1877" s="89"/>
      <c r="R1877" s="88"/>
      <c r="S1877" s="88"/>
      <c r="T1877" s="90"/>
      <c r="U1877" s="6"/>
      <c r="V1877" s="92"/>
      <c r="W1877" s="77"/>
      <c r="X1877" s="91"/>
      <c r="Y1877" s="77"/>
      <c r="Z1877" s="5"/>
      <c r="AA1877" s="5"/>
      <c r="AB1877" s="5"/>
      <c r="AC1877" s="5"/>
      <c r="AD1877" s="5"/>
      <c r="AE1877" s="5"/>
      <c r="AF1877" s="5"/>
      <c r="AG1877" s="5"/>
      <c r="AH1877" s="6"/>
      <c r="AI1877" s="92"/>
      <c r="AJ1877" s="93"/>
      <c r="AK1877" s="94"/>
      <c r="AL1877" s="95"/>
      <c r="AM1877" s="56"/>
      <c r="AN1877" s="57">
        <f t="shared" si="309"/>
        <v>0</v>
      </c>
      <c r="AO1877" s="76">
        <f t="shared" si="311"/>
        <v>0</v>
      </c>
      <c r="AP1877" s="63" t="str">
        <f t="shared" si="312"/>
        <v/>
      </c>
      <c r="AQ1877" s="63" t="str">
        <f t="shared" si="313"/>
        <v/>
      </c>
      <c r="AR1877" s="63" t="str">
        <f t="shared" si="314"/>
        <v/>
      </c>
      <c r="AS1877" s="63" t="str">
        <f t="shared" si="315"/>
        <v/>
      </c>
      <c r="AT1877" s="78" t="str">
        <f t="shared" si="316"/>
        <v/>
      </c>
      <c r="AU1877" s="78" t="str">
        <f t="shared" si="317"/>
        <v/>
      </c>
      <c r="AV1877" s="64" t="str">
        <f ca="1">IFERROR(__xludf.DUMMYFUNCTION("IF(TRIM(AU1877)="""","""",AU1877/INDEX(FILTER(AT$3:AT1877,TRIM(AT$3:AT1877)&lt;&gt;""""),ROWS(FILTER(AT$3:AT1877,TRIM(AT$3:AT1877)&lt;&gt;"""")))-1)"),"")</f>
        <v/>
      </c>
      <c r="AW1877" s="65" t="e">
        <f t="shared" ca="1" si="310"/>
        <v>#VALUE!</v>
      </c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</row>
    <row r="1878" spans="1:68" ht="19" x14ac:dyDescent="0.25">
      <c r="A1878" s="5"/>
      <c r="B1878" s="5"/>
      <c r="C1878" s="5"/>
      <c r="D1878" s="5"/>
      <c r="E1878" s="5"/>
      <c r="F1878" s="5"/>
      <c r="G1878" s="5"/>
      <c r="H1878" s="6"/>
      <c r="I1878" s="5"/>
      <c r="J1878" s="88"/>
      <c r="K1878" s="88"/>
      <c r="L1878" s="88"/>
      <c r="M1878" s="88"/>
      <c r="N1878" s="88"/>
      <c r="O1878" s="88"/>
      <c r="P1878" s="88"/>
      <c r="Q1878" s="89"/>
      <c r="R1878" s="88"/>
      <c r="S1878" s="88"/>
      <c r="T1878" s="90"/>
      <c r="U1878" s="6"/>
      <c r="V1878" s="92"/>
      <c r="W1878" s="77"/>
      <c r="X1878" s="91"/>
      <c r="Y1878" s="77"/>
      <c r="Z1878" s="5"/>
      <c r="AA1878" s="5"/>
      <c r="AB1878" s="5"/>
      <c r="AC1878" s="5"/>
      <c r="AD1878" s="5"/>
      <c r="AE1878" s="5"/>
      <c r="AF1878" s="5"/>
      <c r="AG1878" s="5"/>
      <c r="AH1878" s="6"/>
      <c r="AI1878" s="92"/>
      <c r="AJ1878" s="93"/>
      <c r="AK1878" s="94"/>
      <c r="AL1878" s="95"/>
      <c r="AM1878" s="56"/>
      <c r="AN1878" s="57">
        <f t="shared" si="309"/>
        <v>0</v>
      </c>
      <c r="AO1878" s="76">
        <f t="shared" si="311"/>
        <v>0</v>
      </c>
      <c r="AP1878" s="63" t="str">
        <f t="shared" si="312"/>
        <v/>
      </c>
      <c r="AQ1878" s="63" t="str">
        <f t="shared" si="313"/>
        <v/>
      </c>
      <c r="AR1878" s="63" t="str">
        <f t="shared" si="314"/>
        <v/>
      </c>
      <c r="AS1878" s="63" t="str">
        <f t="shared" si="315"/>
        <v/>
      </c>
      <c r="AT1878" s="78" t="str">
        <f t="shared" si="316"/>
        <v/>
      </c>
      <c r="AU1878" s="78" t="str">
        <f t="shared" si="317"/>
        <v/>
      </c>
      <c r="AV1878" s="64" t="str">
        <f ca="1">IFERROR(__xludf.DUMMYFUNCTION("IF(TRIM(AU1878)="""","""",AU1878/INDEX(FILTER(AT$3:AT1878,TRIM(AT$3:AT1878)&lt;&gt;""""),ROWS(FILTER(AT$3:AT1878,TRIM(AT$3:AT1878)&lt;&gt;"""")))-1)"),"")</f>
        <v/>
      </c>
      <c r="AW1878" s="65" t="e">
        <f t="shared" ca="1" si="310"/>
        <v>#VALUE!</v>
      </c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</row>
    <row r="1879" spans="1:68" ht="19" x14ac:dyDescent="0.25">
      <c r="A1879" s="5"/>
      <c r="B1879" s="5"/>
      <c r="C1879" s="5"/>
      <c r="D1879" s="5"/>
      <c r="E1879" s="5"/>
      <c r="F1879" s="5"/>
      <c r="G1879" s="5"/>
      <c r="H1879" s="6"/>
      <c r="I1879" s="5"/>
      <c r="J1879" s="88"/>
      <c r="K1879" s="88"/>
      <c r="L1879" s="88"/>
      <c r="M1879" s="88"/>
      <c r="N1879" s="88"/>
      <c r="O1879" s="88"/>
      <c r="P1879" s="88"/>
      <c r="Q1879" s="89"/>
      <c r="R1879" s="88"/>
      <c r="S1879" s="88"/>
      <c r="T1879" s="90"/>
      <c r="U1879" s="6"/>
      <c r="V1879" s="92"/>
      <c r="W1879" s="77"/>
      <c r="X1879" s="91"/>
      <c r="Y1879" s="77"/>
      <c r="Z1879" s="5"/>
      <c r="AA1879" s="5"/>
      <c r="AB1879" s="5"/>
      <c r="AC1879" s="5"/>
      <c r="AD1879" s="5"/>
      <c r="AE1879" s="5"/>
      <c r="AF1879" s="5"/>
      <c r="AG1879" s="5"/>
      <c r="AH1879" s="6"/>
      <c r="AI1879" s="92"/>
      <c r="AJ1879" s="93"/>
      <c r="AK1879" s="94"/>
      <c r="AL1879" s="95"/>
      <c r="AM1879" s="56"/>
      <c r="AN1879" s="57">
        <f t="shared" si="309"/>
        <v>0</v>
      </c>
      <c r="AO1879" s="76">
        <f t="shared" si="311"/>
        <v>0</v>
      </c>
      <c r="AP1879" s="63" t="str">
        <f t="shared" si="312"/>
        <v/>
      </c>
      <c r="AQ1879" s="63" t="str">
        <f t="shared" si="313"/>
        <v/>
      </c>
      <c r="AR1879" s="63" t="str">
        <f t="shared" si="314"/>
        <v/>
      </c>
      <c r="AS1879" s="63" t="str">
        <f t="shared" si="315"/>
        <v/>
      </c>
      <c r="AT1879" s="78" t="str">
        <f t="shared" si="316"/>
        <v/>
      </c>
      <c r="AU1879" s="78" t="str">
        <f t="shared" si="317"/>
        <v/>
      </c>
      <c r="AV1879" s="64" t="str">
        <f ca="1">IFERROR(__xludf.DUMMYFUNCTION("IF(TRIM(AU1879)="""","""",AU1879/INDEX(FILTER(AT$3:AT1879,TRIM(AT$3:AT1879)&lt;&gt;""""),ROWS(FILTER(AT$3:AT1879,TRIM(AT$3:AT1879)&lt;&gt;"""")))-1)"),"")</f>
        <v/>
      </c>
      <c r="AW1879" s="65" t="e">
        <f t="shared" ca="1" si="310"/>
        <v>#VALUE!</v>
      </c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</row>
    <row r="1880" spans="1:68" ht="19" x14ac:dyDescent="0.25">
      <c r="A1880" s="5"/>
      <c r="B1880" s="5"/>
      <c r="C1880" s="5"/>
      <c r="D1880" s="5"/>
      <c r="E1880" s="5"/>
      <c r="F1880" s="5"/>
      <c r="G1880" s="5"/>
      <c r="H1880" s="6"/>
      <c r="I1880" s="5"/>
      <c r="J1880" s="88"/>
      <c r="K1880" s="88"/>
      <c r="L1880" s="88"/>
      <c r="M1880" s="88"/>
      <c r="N1880" s="88"/>
      <c r="O1880" s="88"/>
      <c r="P1880" s="88"/>
      <c r="Q1880" s="89"/>
      <c r="R1880" s="88"/>
      <c r="S1880" s="88"/>
      <c r="T1880" s="90"/>
      <c r="U1880" s="6"/>
      <c r="V1880" s="92"/>
      <c r="W1880" s="77"/>
      <c r="X1880" s="91"/>
      <c r="Y1880" s="77"/>
      <c r="Z1880" s="5"/>
      <c r="AA1880" s="5"/>
      <c r="AB1880" s="5"/>
      <c r="AC1880" s="5"/>
      <c r="AD1880" s="5"/>
      <c r="AE1880" s="5"/>
      <c r="AF1880" s="5"/>
      <c r="AG1880" s="5"/>
      <c r="AH1880" s="6"/>
      <c r="AI1880" s="92"/>
      <c r="AJ1880" s="93"/>
      <c r="AK1880" s="94"/>
      <c r="AL1880" s="95"/>
      <c r="AM1880" s="56"/>
      <c r="AN1880" s="57">
        <f t="shared" si="309"/>
        <v>0</v>
      </c>
      <c r="AO1880" s="76">
        <f t="shared" si="311"/>
        <v>0</v>
      </c>
      <c r="AP1880" s="63" t="str">
        <f t="shared" si="312"/>
        <v/>
      </c>
      <c r="AQ1880" s="63" t="str">
        <f t="shared" si="313"/>
        <v/>
      </c>
      <c r="AR1880" s="63" t="str">
        <f t="shared" si="314"/>
        <v/>
      </c>
      <c r="AS1880" s="63" t="str">
        <f t="shared" si="315"/>
        <v/>
      </c>
      <c r="AT1880" s="78" t="str">
        <f t="shared" si="316"/>
        <v/>
      </c>
      <c r="AU1880" s="78" t="str">
        <f t="shared" si="317"/>
        <v/>
      </c>
      <c r="AV1880" s="64" t="str">
        <f ca="1">IFERROR(__xludf.DUMMYFUNCTION("IF(TRIM(AU1880)="""","""",AU1880/INDEX(FILTER(AT$3:AT1880,TRIM(AT$3:AT1880)&lt;&gt;""""),ROWS(FILTER(AT$3:AT1880,TRIM(AT$3:AT1880)&lt;&gt;"""")))-1)"),"")</f>
        <v/>
      </c>
      <c r="AW1880" s="65" t="e">
        <f t="shared" ca="1" si="310"/>
        <v>#VALUE!</v>
      </c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</row>
    <row r="1881" spans="1:68" ht="19" x14ac:dyDescent="0.25">
      <c r="A1881" s="5"/>
      <c r="B1881" s="5"/>
      <c r="C1881" s="5"/>
      <c r="D1881" s="5"/>
      <c r="E1881" s="5"/>
      <c r="F1881" s="5"/>
      <c r="G1881" s="5"/>
      <c r="H1881" s="6"/>
      <c r="I1881" s="5"/>
      <c r="J1881" s="88"/>
      <c r="K1881" s="88"/>
      <c r="L1881" s="88"/>
      <c r="M1881" s="88"/>
      <c r="N1881" s="88"/>
      <c r="O1881" s="88"/>
      <c r="P1881" s="88"/>
      <c r="Q1881" s="89"/>
      <c r="R1881" s="88"/>
      <c r="S1881" s="88"/>
      <c r="T1881" s="90"/>
      <c r="U1881" s="6"/>
      <c r="V1881" s="92"/>
      <c r="W1881" s="77"/>
      <c r="X1881" s="91"/>
      <c r="Y1881" s="77"/>
      <c r="Z1881" s="5"/>
      <c r="AA1881" s="5"/>
      <c r="AB1881" s="5"/>
      <c r="AC1881" s="5"/>
      <c r="AD1881" s="5"/>
      <c r="AE1881" s="5"/>
      <c r="AF1881" s="5"/>
      <c r="AG1881" s="5"/>
      <c r="AH1881" s="6"/>
      <c r="AI1881" s="92"/>
      <c r="AJ1881" s="93"/>
      <c r="AK1881" s="94"/>
      <c r="AL1881" s="95"/>
      <c r="AM1881" s="56"/>
      <c r="AN1881" s="57">
        <f t="shared" si="309"/>
        <v>0</v>
      </c>
      <c r="AO1881" s="76">
        <f t="shared" si="311"/>
        <v>0</v>
      </c>
      <c r="AP1881" s="63" t="str">
        <f t="shared" si="312"/>
        <v/>
      </c>
      <c r="AQ1881" s="63" t="str">
        <f t="shared" si="313"/>
        <v/>
      </c>
      <c r="AR1881" s="63" t="str">
        <f t="shared" si="314"/>
        <v/>
      </c>
      <c r="AS1881" s="63" t="str">
        <f t="shared" si="315"/>
        <v/>
      </c>
      <c r="AT1881" s="78" t="str">
        <f t="shared" si="316"/>
        <v/>
      </c>
      <c r="AU1881" s="78" t="str">
        <f t="shared" si="317"/>
        <v/>
      </c>
      <c r="AV1881" s="64" t="str">
        <f ca="1">IFERROR(__xludf.DUMMYFUNCTION("IF(TRIM(AU1881)="""","""",AU1881/INDEX(FILTER(AT$3:AT1881,TRIM(AT$3:AT1881)&lt;&gt;""""),ROWS(FILTER(AT$3:AT1881,TRIM(AT$3:AT1881)&lt;&gt;"""")))-1)"),"")</f>
        <v/>
      </c>
      <c r="AW1881" s="65" t="e">
        <f t="shared" ca="1" si="310"/>
        <v>#VALUE!</v>
      </c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</row>
    <row r="1882" spans="1:68" ht="19" x14ac:dyDescent="0.25">
      <c r="A1882" s="5"/>
      <c r="B1882" s="5"/>
      <c r="C1882" s="5"/>
      <c r="D1882" s="5"/>
      <c r="E1882" s="5"/>
      <c r="F1882" s="5"/>
      <c r="G1882" s="5"/>
      <c r="H1882" s="6"/>
      <c r="I1882" s="5"/>
      <c r="J1882" s="88"/>
      <c r="K1882" s="88"/>
      <c r="L1882" s="88"/>
      <c r="M1882" s="88"/>
      <c r="N1882" s="88"/>
      <c r="O1882" s="88"/>
      <c r="P1882" s="88"/>
      <c r="Q1882" s="89"/>
      <c r="R1882" s="88"/>
      <c r="S1882" s="88"/>
      <c r="T1882" s="90"/>
      <c r="U1882" s="6"/>
      <c r="V1882" s="92"/>
      <c r="W1882" s="77"/>
      <c r="X1882" s="91"/>
      <c r="Y1882" s="77"/>
      <c r="Z1882" s="5"/>
      <c r="AA1882" s="5"/>
      <c r="AB1882" s="5"/>
      <c r="AC1882" s="5"/>
      <c r="AD1882" s="5"/>
      <c r="AE1882" s="5"/>
      <c r="AF1882" s="5"/>
      <c r="AG1882" s="5"/>
      <c r="AH1882" s="6"/>
      <c r="AI1882" s="92"/>
      <c r="AJ1882" s="93"/>
      <c r="AK1882" s="94"/>
      <c r="AL1882" s="95"/>
      <c r="AM1882" s="56"/>
      <c r="AN1882" s="57">
        <f t="shared" si="309"/>
        <v>0</v>
      </c>
      <c r="AO1882" s="76">
        <f t="shared" si="311"/>
        <v>0</v>
      </c>
      <c r="AP1882" s="63" t="str">
        <f t="shared" si="312"/>
        <v/>
      </c>
      <c r="AQ1882" s="63" t="str">
        <f t="shared" si="313"/>
        <v/>
      </c>
      <c r="AR1882" s="63" t="str">
        <f t="shared" si="314"/>
        <v/>
      </c>
      <c r="AS1882" s="63" t="str">
        <f t="shared" si="315"/>
        <v/>
      </c>
      <c r="AT1882" s="78" t="str">
        <f t="shared" si="316"/>
        <v/>
      </c>
      <c r="AU1882" s="78" t="str">
        <f t="shared" si="317"/>
        <v/>
      </c>
      <c r="AV1882" s="64" t="str">
        <f ca="1">IFERROR(__xludf.DUMMYFUNCTION("IF(TRIM(AU1882)="""","""",AU1882/INDEX(FILTER(AT$3:AT1882,TRIM(AT$3:AT1882)&lt;&gt;""""),ROWS(FILTER(AT$3:AT1882,TRIM(AT$3:AT1882)&lt;&gt;"""")))-1)"),"")</f>
        <v/>
      </c>
      <c r="AW1882" s="65" t="e">
        <f t="shared" ca="1" si="310"/>
        <v>#VALUE!</v>
      </c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</row>
    <row r="1883" spans="1:68" ht="19" x14ac:dyDescent="0.25">
      <c r="A1883" s="5"/>
      <c r="B1883" s="5"/>
      <c r="C1883" s="5"/>
      <c r="D1883" s="5"/>
      <c r="E1883" s="5"/>
      <c r="F1883" s="5"/>
      <c r="G1883" s="5"/>
      <c r="H1883" s="6"/>
      <c r="I1883" s="5"/>
      <c r="J1883" s="88"/>
      <c r="K1883" s="88"/>
      <c r="L1883" s="88"/>
      <c r="M1883" s="88"/>
      <c r="N1883" s="88"/>
      <c r="O1883" s="88"/>
      <c r="P1883" s="88"/>
      <c r="Q1883" s="89"/>
      <c r="R1883" s="88"/>
      <c r="S1883" s="88"/>
      <c r="T1883" s="90"/>
      <c r="U1883" s="6"/>
      <c r="V1883" s="92"/>
      <c r="W1883" s="77"/>
      <c r="X1883" s="91"/>
      <c r="Y1883" s="77"/>
      <c r="Z1883" s="5"/>
      <c r="AA1883" s="5"/>
      <c r="AB1883" s="5"/>
      <c r="AC1883" s="5"/>
      <c r="AD1883" s="5"/>
      <c r="AE1883" s="5"/>
      <c r="AF1883" s="5"/>
      <c r="AG1883" s="5"/>
      <c r="AH1883" s="6"/>
      <c r="AI1883" s="92"/>
      <c r="AJ1883" s="93"/>
      <c r="AK1883" s="94"/>
      <c r="AL1883" s="95"/>
      <c r="AM1883" s="56"/>
      <c r="AN1883" s="57">
        <f t="shared" si="309"/>
        <v>0</v>
      </c>
      <c r="AO1883" s="76">
        <f t="shared" si="311"/>
        <v>0</v>
      </c>
      <c r="AP1883" s="63" t="str">
        <f t="shared" si="312"/>
        <v/>
      </c>
      <c r="AQ1883" s="63" t="str">
        <f t="shared" si="313"/>
        <v/>
      </c>
      <c r="AR1883" s="63" t="str">
        <f t="shared" si="314"/>
        <v/>
      </c>
      <c r="AS1883" s="63" t="str">
        <f t="shared" si="315"/>
        <v/>
      </c>
      <c r="AT1883" s="78" t="str">
        <f t="shared" si="316"/>
        <v/>
      </c>
      <c r="AU1883" s="78" t="str">
        <f t="shared" si="317"/>
        <v/>
      </c>
      <c r="AV1883" s="64" t="str">
        <f ca="1">IFERROR(__xludf.DUMMYFUNCTION("IF(TRIM(AU1883)="""","""",AU1883/INDEX(FILTER(AT$3:AT1883,TRIM(AT$3:AT1883)&lt;&gt;""""),ROWS(FILTER(AT$3:AT1883,TRIM(AT$3:AT1883)&lt;&gt;"""")))-1)"),"")</f>
        <v/>
      </c>
      <c r="AW1883" s="65" t="e">
        <f t="shared" ca="1" si="310"/>
        <v>#VALUE!</v>
      </c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</row>
    <row r="1884" spans="1:68" ht="19" x14ac:dyDescent="0.25">
      <c r="A1884" s="5"/>
      <c r="B1884" s="5"/>
      <c r="C1884" s="5"/>
      <c r="D1884" s="5"/>
      <c r="E1884" s="5"/>
      <c r="F1884" s="5"/>
      <c r="G1884" s="5"/>
      <c r="H1884" s="6"/>
      <c r="I1884" s="5"/>
      <c r="J1884" s="88"/>
      <c r="K1884" s="88"/>
      <c r="L1884" s="88"/>
      <c r="M1884" s="88"/>
      <c r="N1884" s="88"/>
      <c r="O1884" s="88"/>
      <c r="P1884" s="88"/>
      <c r="Q1884" s="89"/>
      <c r="R1884" s="88"/>
      <c r="S1884" s="88"/>
      <c r="T1884" s="90"/>
      <c r="U1884" s="6"/>
      <c r="V1884" s="92"/>
      <c r="W1884" s="77"/>
      <c r="X1884" s="91"/>
      <c r="Y1884" s="77"/>
      <c r="Z1884" s="5"/>
      <c r="AA1884" s="5"/>
      <c r="AB1884" s="5"/>
      <c r="AC1884" s="5"/>
      <c r="AD1884" s="5"/>
      <c r="AE1884" s="5"/>
      <c r="AF1884" s="5"/>
      <c r="AG1884" s="5"/>
      <c r="AH1884" s="6"/>
      <c r="AI1884" s="92"/>
      <c r="AJ1884" s="93"/>
      <c r="AK1884" s="94"/>
      <c r="AL1884" s="95"/>
      <c r="AM1884" s="56"/>
      <c r="AN1884" s="57">
        <f t="shared" si="309"/>
        <v>0</v>
      </c>
      <c r="AO1884" s="76">
        <f t="shared" si="311"/>
        <v>0</v>
      </c>
      <c r="AP1884" s="63" t="str">
        <f t="shared" si="312"/>
        <v/>
      </c>
      <c r="AQ1884" s="63" t="str">
        <f t="shared" si="313"/>
        <v/>
      </c>
      <c r="AR1884" s="63" t="str">
        <f t="shared" si="314"/>
        <v/>
      </c>
      <c r="AS1884" s="63" t="str">
        <f t="shared" si="315"/>
        <v/>
      </c>
      <c r="AT1884" s="78" t="str">
        <f t="shared" si="316"/>
        <v/>
      </c>
      <c r="AU1884" s="78" t="str">
        <f t="shared" si="317"/>
        <v/>
      </c>
      <c r="AV1884" s="64" t="str">
        <f ca="1">IFERROR(__xludf.DUMMYFUNCTION("IF(TRIM(AU1884)="""","""",AU1884/INDEX(FILTER(AT$3:AT1884,TRIM(AT$3:AT1884)&lt;&gt;""""),ROWS(FILTER(AT$3:AT1884,TRIM(AT$3:AT1884)&lt;&gt;"""")))-1)"),"")</f>
        <v/>
      </c>
      <c r="AW1884" s="65" t="e">
        <f t="shared" ca="1" si="310"/>
        <v>#VALUE!</v>
      </c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</row>
    <row r="1885" spans="1:68" ht="19" x14ac:dyDescent="0.25">
      <c r="A1885" s="5"/>
      <c r="B1885" s="5"/>
      <c r="C1885" s="5"/>
      <c r="D1885" s="5"/>
      <c r="E1885" s="5"/>
      <c r="F1885" s="5"/>
      <c r="G1885" s="5"/>
      <c r="H1885" s="6"/>
      <c r="I1885" s="5"/>
      <c r="J1885" s="88"/>
      <c r="K1885" s="88"/>
      <c r="L1885" s="88"/>
      <c r="M1885" s="88"/>
      <c r="N1885" s="88"/>
      <c r="O1885" s="88"/>
      <c r="P1885" s="88"/>
      <c r="Q1885" s="89"/>
      <c r="R1885" s="88"/>
      <c r="S1885" s="88"/>
      <c r="T1885" s="90"/>
      <c r="U1885" s="6"/>
      <c r="V1885" s="92"/>
      <c r="W1885" s="77"/>
      <c r="X1885" s="91"/>
      <c r="Y1885" s="77"/>
      <c r="Z1885" s="5"/>
      <c r="AA1885" s="5"/>
      <c r="AB1885" s="5"/>
      <c r="AC1885" s="5"/>
      <c r="AD1885" s="5"/>
      <c r="AE1885" s="5"/>
      <c r="AF1885" s="5"/>
      <c r="AG1885" s="5"/>
      <c r="AH1885" s="6"/>
      <c r="AI1885" s="92"/>
      <c r="AJ1885" s="93"/>
      <c r="AK1885" s="94"/>
      <c r="AL1885" s="95"/>
      <c r="AM1885" s="56"/>
      <c r="AN1885" s="57">
        <f t="shared" si="309"/>
        <v>0</v>
      </c>
      <c r="AO1885" s="76">
        <f t="shared" si="311"/>
        <v>0</v>
      </c>
      <c r="AP1885" s="63" t="str">
        <f t="shared" si="312"/>
        <v/>
      </c>
      <c r="AQ1885" s="63" t="str">
        <f t="shared" si="313"/>
        <v/>
      </c>
      <c r="AR1885" s="63" t="str">
        <f t="shared" si="314"/>
        <v/>
      </c>
      <c r="AS1885" s="63" t="str">
        <f t="shared" si="315"/>
        <v/>
      </c>
      <c r="AT1885" s="78" t="str">
        <f t="shared" si="316"/>
        <v/>
      </c>
      <c r="AU1885" s="78" t="str">
        <f t="shared" si="317"/>
        <v/>
      </c>
      <c r="AV1885" s="64" t="str">
        <f ca="1">IFERROR(__xludf.DUMMYFUNCTION("IF(TRIM(AU1885)="""","""",AU1885/INDEX(FILTER(AT$3:AT1885,TRIM(AT$3:AT1885)&lt;&gt;""""),ROWS(FILTER(AT$3:AT1885,TRIM(AT$3:AT1885)&lt;&gt;"""")))-1)"),"")</f>
        <v/>
      </c>
      <c r="AW1885" s="65" t="e">
        <f t="shared" ca="1" si="310"/>
        <v>#VALUE!</v>
      </c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</row>
    <row r="1886" spans="1:68" ht="19" x14ac:dyDescent="0.25">
      <c r="A1886" s="5"/>
      <c r="B1886" s="5"/>
      <c r="C1886" s="5"/>
      <c r="D1886" s="5"/>
      <c r="E1886" s="5"/>
      <c r="F1886" s="5"/>
      <c r="G1886" s="5"/>
      <c r="H1886" s="6"/>
      <c r="I1886" s="5"/>
      <c r="J1886" s="88"/>
      <c r="K1886" s="88"/>
      <c r="L1886" s="88"/>
      <c r="M1886" s="88"/>
      <c r="N1886" s="88"/>
      <c r="O1886" s="88"/>
      <c r="P1886" s="88"/>
      <c r="Q1886" s="89"/>
      <c r="R1886" s="88"/>
      <c r="S1886" s="88"/>
      <c r="T1886" s="90"/>
      <c r="U1886" s="6"/>
      <c r="V1886" s="92"/>
      <c r="W1886" s="77"/>
      <c r="X1886" s="91"/>
      <c r="Y1886" s="77"/>
      <c r="Z1886" s="5"/>
      <c r="AA1886" s="5"/>
      <c r="AB1886" s="5"/>
      <c r="AC1886" s="5"/>
      <c r="AD1886" s="5"/>
      <c r="AE1886" s="5"/>
      <c r="AF1886" s="5"/>
      <c r="AG1886" s="5"/>
      <c r="AH1886" s="6"/>
      <c r="AI1886" s="92"/>
      <c r="AJ1886" s="93"/>
      <c r="AK1886" s="94"/>
      <c r="AL1886" s="95"/>
      <c r="AM1886" s="56"/>
      <c r="AN1886" s="57">
        <f t="shared" si="309"/>
        <v>0</v>
      </c>
      <c r="AO1886" s="76">
        <f t="shared" si="311"/>
        <v>0</v>
      </c>
      <c r="AP1886" s="63" t="str">
        <f t="shared" si="312"/>
        <v/>
      </c>
      <c r="AQ1886" s="63" t="str">
        <f t="shared" si="313"/>
        <v/>
      </c>
      <c r="AR1886" s="63" t="str">
        <f t="shared" si="314"/>
        <v/>
      </c>
      <c r="AS1886" s="63" t="str">
        <f t="shared" si="315"/>
        <v/>
      </c>
      <c r="AT1886" s="78" t="str">
        <f t="shared" si="316"/>
        <v/>
      </c>
      <c r="AU1886" s="78" t="str">
        <f t="shared" si="317"/>
        <v/>
      </c>
      <c r="AV1886" s="64" t="str">
        <f ca="1">IFERROR(__xludf.DUMMYFUNCTION("IF(TRIM(AU1886)="""","""",AU1886/INDEX(FILTER(AT$3:AT1886,TRIM(AT$3:AT1886)&lt;&gt;""""),ROWS(FILTER(AT$3:AT1886,TRIM(AT$3:AT1886)&lt;&gt;"""")))-1)"),"")</f>
        <v/>
      </c>
      <c r="AW1886" s="65" t="e">
        <f t="shared" ca="1" si="310"/>
        <v>#VALUE!</v>
      </c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</row>
    <row r="1887" spans="1:68" ht="19" x14ac:dyDescent="0.25">
      <c r="A1887" s="5"/>
      <c r="B1887" s="5"/>
      <c r="C1887" s="5"/>
      <c r="D1887" s="5"/>
      <c r="E1887" s="5"/>
      <c r="F1887" s="5"/>
      <c r="G1887" s="5"/>
      <c r="H1887" s="6"/>
      <c r="I1887" s="5"/>
      <c r="J1887" s="88"/>
      <c r="K1887" s="88"/>
      <c r="L1887" s="88"/>
      <c r="M1887" s="88"/>
      <c r="N1887" s="88"/>
      <c r="O1887" s="88"/>
      <c r="P1887" s="88"/>
      <c r="Q1887" s="89"/>
      <c r="R1887" s="88"/>
      <c r="S1887" s="88"/>
      <c r="T1887" s="90"/>
      <c r="U1887" s="6"/>
      <c r="V1887" s="92"/>
      <c r="W1887" s="77"/>
      <c r="X1887" s="91"/>
      <c r="Y1887" s="77"/>
      <c r="Z1887" s="5"/>
      <c r="AA1887" s="5"/>
      <c r="AB1887" s="5"/>
      <c r="AC1887" s="5"/>
      <c r="AD1887" s="5"/>
      <c r="AE1887" s="5"/>
      <c r="AF1887" s="5"/>
      <c r="AG1887" s="5"/>
      <c r="AH1887" s="6"/>
      <c r="AI1887" s="92"/>
      <c r="AJ1887" s="93"/>
      <c r="AK1887" s="94"/>
      <c r="AL1887" s="95"/>
      <c r="AM1887" s="56"/>
      <c r="AN1887" s="57">
        <f t="shared" si="309"/>
        <v>0</v>
      </c>
      <c r="AO1887" s="76">
        <f t="shared" si="311"/>
        <v>0</v>
      </c>
      <c r="AP1887" s="63" t="str">
        <f t="shared" si="312"/>
        <v/>
      </c>
      <c r="AQ1887" s="63" t="str">
        <f t="shared" si="313"/>
        <v/>
      </c>
      <c r="AR1887" s="63" t="str">
        <f t="shared" si="314"/>
        <v/>
      </c>
      <c r="AS1887" s="63" t="str">
        <f t="shared" si="315"/>
        <v/>
      </c>
      <c r="AT1887" s="78" t="str">
        <f t="shared" si="316"/>
        <v/>
      </c>
      <c r="AU1887" s="78" t="str">
        <f t="shared" si="317"/>
        <v/>
      </c>
      <c r="AV1887" s="64" t="str">
        <f ca="1">IFERROR(__xludf.DUMMYFUNCTION("IF(TRIM(AU1887)="""","""",AU1887/INDEX(FILTER(AT$3:AT1887,TRIM(AT$3:AT1887)&lt;&gt;""""),ROWS(FILTER(AT$3:AT1887,TRIM(AT$3:AT1887)&lt;&gt;"""")))-1)"),"")</f>
        <v/>
      </c>
      <c r="AW1887" s="65" t="e">
        <f t="shared" ca="1" si="310"/>
        <v>#VALUE!</v>
      </c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</row>
    <row r="1888" spans="1:68" ht="19" x14ac:dyDescent="0.25">
      <c r="A1888" s="5"/>
      <c r="B1888" s="5"/>
      <c r="C1888" s="5"/>
      <c r="D1888" s="5"/>
      <c r="E1888" s="5"/>
      <c r="F1888" s="5"/>
      <c r="G1888" s="5"/>
      <c r="H1888" s="6"/>
      <c r="I1888" s="5"/>
      <c r="J1888" s="88"/>
      <c r="K1888" s="88"/>
      <c r="L1888" s="88"/>
      <c r="M1888" s="88"/>
      <c r="N1888" s="88"/>
      <c r="O1888" s="88"/>
      <c r="P1888" s="88"/>
      <c r="Q1888" s="89"/>
      <c r="R1888" s="88"/>
      <c r="S1888" s="88"/>
      <c r="T1888" s="90"/>
      <c r="U1888" s="6"/>
      <c r="V1888" s="92"/>
      <c r="W1888" s="77"/>
      <c r="X1888" s="91"/>
      <c r="Y1888" s="77"/>
      <c r="Z1888" s="5"/>
      <c r="AA1888" s="5"/>
      <c r="AB1888" s="5"/>
      <c r="AC1888" s="5"/>
      <c r="AD1888" s="5"/>
      <c r="AE1888" s="5"/>
      <c r="AF1888" s="5"/>
      <c r="AG1888" s="5"/>
      <c r="AH1888" s="6"/>
      <c r="AI1888" s="92"/>
      <c r="AJ1888" s="93"/>
      <c r="AK1888" s="94"/>
      <c r="AL1888" s="95"/>
      <c r="AM1888" s="56"/>
      <c r="AN1888" s="57">
        <f t="shared" si="309"/>
        <v>0</v>
      </c>
      <c r="AO1888" s="76">
        <f t="shared" si="311"/>
        <v>0</v>
      </c>
      <c r="AP1888" s="63" t="str">
        <f t="shared" si="312"/>
        <v/>
      </c>
      <c r="AQ1888" s="63" t="str">
        <f t="shared" si="313"/>
        <v/>
      </c>
      <c r="AR1888" s="63" t="str">
        <f t="shared" si="314"/>
        <v/>
      </c>
      <c r="AS1888" s="63" t="str">
        <f t="shared" si="315"/>
        <v/>
      </c>
      <c r="AT1888" s="78" t="str">
        <f t="shared" si="316"/>
        <v/>
      </c>
      <c r="AU1888" s="78" t="str">
        <f t="shared" si="317"/>
        <v/>
      </c>
      <c r="AV1888" s="64" t="str">
        <f ca="1">IFERROR(__xludf.DUMMYFUNCTION("IF(TRIM(AU1888)="""","""",AU1888/INDEX(FILTER(AT$3:AT1888,TRIM(AT$3:AT1888)&lt;&gt;""""),ROWS(FILTER(AT$3:AT1888,TRIM(AT$3:AT1888)&lt;&gt;"""")))-1)"),"")</f>
        <v/>
      </c>
      <c r="AW1888" s="65" t="e">
        <f t="shared" ca="1" si="310"/>
        <v>#VALUE!</v>
      </c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</row>
    <row r="1889" spans="1:68" ht="19" x14ac:dyDescent="0.25">
      <c r="A1889" s="5"/>
      <c r="B1889" s="5"/>
      <c r="C1889" s="5"/>
      <c r="D1889" s="5"/>
      <c r="E1889" s="5"/>
      <c r="F1889" s="5"/>
      <c r="G1889" s="5"/>
      <c r="H1889" s="6"/>
      <c r="I1889" s="5"/>
      <c r="J1889" s="88"/>
      <c r="K1889" s="88"/>
      <c r="L1889" s="88"/>
      <c r="M1889" s="88"/>
      <c r="N1889" s="88"/>
      <c r="O1889" s="88"/>
      <c r="P1889" s="88"/>
      <c r="Q1889" s="89"/>
      <c r="R1889" s="88"/>
      <c r="S1889" s="88"/>
      <c r="T1889" s="90"/>
      <c r="U1889" s="6"/>
      <c r="V1889" s="92"/>
      <c r="W1889" s="77"/>
      <c r="X1889" s="91"/>
      <c r="Y1889" s="77"/>
      <c r="Z1889" s="5"/>
      <c r="AA1889" s="5"/>
      <c r="AB1889" s="5"/>
      <c r="AC1889" s="5"/>
      <c r="AD1889" s="5"/>
      <c r="AE1889" s="5"/>
      <c r="AF1889" s="5"/>
      <c r="AG1889" s="5"/>
      <c r="AH1889" s="6"/>
      <c r="AI1889" s="92"/>
      <c r="AJ1889" s="93"/>
      <c r="AK1889" s="94"/>
      <c r="AL1889" s="95"/>
      <c r="AM1889" s="56"/>
      <c r="AN1889" s="57">
        <f t="shared" si="309"/>
        <v>0</v>
      </c>
      <c r="AO1889" s="76">
        <f t="shared" si="311"/>
        <v>0</v>
      </c>
      <c r="AP1889" s="63" t="str">
        <f t="shared" si="312"/>
        <v/>
      </c>
      <c r="AQ1889" s="63" t="str">
        <f t="shared" si="313"/>
        <v/>
      </c>
      <c r="AR1889" s="63" t="str">
        <f t="shared" si="314"/>
        <v/>
      </c>
      <c r="AS1889" s="63" t="str">
        <f t="shared" si="315"/>
        <v/>
      </c>
      <c r="AT1889" s="78" t="str">
        <f t="shared" si="316"/>
        <v/>
      </c>
      <c r="AU1889" s="78" t="str">
        <f t="shared" si="317"/>
        <v/>
      </c>
      <c r="AV1889" s="64" t="str">
        <f ca="1">IFERROR(__xludf.DUMMYFUNCTION("IF(TRIM(AU1889)="""","""",AU1889/INDEX(FILTER(AT$3:AT1889,TRIM(AT$3:AT1889)&lt;&gt;""""),ROWS(FILTER(AT$3:AT1889,TRIM(AT$3:AT1889)&lt;&gt;"""")))-1)"),"")</f>
        <v/>
      </c>
      <c r="AW1889" s="65" t="e">
        <f t="shared" ca="1" si="310"/>
        <v>#VALUE!</v>
      </c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</row>
    <row r="1890" spans="1:68" ht="19" x14ac:dyDescent="0.25">
      <c r="A1890" s="5"/>
      <c r="B1890" s="5"/>
      <c r="C1890" s="5"/>
      <c r="D1890" s="5"/>
      <c r="E1890" s="5"/>
      <c r="F1890" s="5"/>
      <c r="G1890" s="5"/>
      <c r="H1890" s="6"/>
      <c r="I1890" s="5"/>
      <c r="J1890" s="88"/>
      <c r="K1890" s="88"/>
      <c r="L1890" s="88"/>
      <c r="M1890" s="88"/>
      <c r="N1890" s="88"/>
      <c r="O1890" s="88"/>
      <c r="P1890" s="88"/>
      <c r="Q1890" s="89"/>
      <c r="R1890" s="88"/>
      <c r="S1890" s="88"/>
      <c r="T1890" s="90"/>
      <c r="U1890" s="6"/>
      <c r="V1890" s="92"/>
      <c r="W1890" s="77"/>
      <c r="X1890" s="91"/>
      <c r="Y1890" s="77"/>
      <c r="Z1890" s="5"/>
      <c r="AA1890" s="5"/>
      <c r="AB1890" s="5"/>
      <c r="AC1890" s="5"/>
      <c r="AD1890" s="5"/>
      <c r="AE1890" s="5"/>
      <c r="AF1890" s="5"/>
      <c r="AG1890" s="5"/>
      <c r="AH1890" s="6"/>
      <c r="AI1890" s="92"/>
      <c r="AJ1890" s="93"/>
      <c r="AK1890" s="94"/>
      <c r="AL1890" s="95"/>
      <c r="AM1890" s="56"/>
      <c r="AN1890" s="57">
        <f t="shared" si="309"/>
        <v>0</v>
      </c>
      <c r="AO1890" s="76">
        <f t="shared" si="311"/>
        <v>0</v>
      </c>
      <c r="AP1890" s="63" t="str">
        <f t="shared" si="312"/>
        <v/>
      </c>
      <c r="AQ1890" s="63" t="str">
        <f t="shared" si="313"/>
        <v/>
      </c>
      <c r="AR1890" s="63" t="str">
        <f t="shared" si="314"/>
        <v/>
      </c>
      <c r="AS1890" s="63" t="str">
        <f t="shared" si="315"/>
        <v/>
      </c>
      <c r="AT1890" s="78" t="str">
        <f t="shared" si="316"/>
        <v/>
      </c>
      <c r="AU1890" s="78" t="str">
        <f t="shared" si="317"/>
        <v/>
      </c>
      <c r="AV1890" s="64" t="str">
        <f ca="1">IFERROR(__xludf.DUMMYFUNCTION("IF(TRIM(AU1890)="""","""",AU1890/INDEX(FILTER(AT$3:AT1890,TRIM(AT$3:AT1890)&lt;&gt;""""),ROWS(FILTER(AT$3:AT1890,TRIM(AT$3:AT1890)&lt;&gt;"""")))-1)"),"")</f>
        <v/>
      </c>
      <c r="AW1890" s="65" t="e">
        <f t="shared" ca="1" si="310"/>
        <v>#VALUE!</v>
      </c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</row>
    <row r="1891" spans="1:68" ht="19" x14ac:dyDescent="0.25">
      <c r="A1891" s="5"/>
      <c r="B1891" s="5"/>
      <c r="C1891" s="5"/>
      <c r="D1891" s="5"/>
      <c r="E1891" s="5"/>
      <c r="F1891" s="5"/>
      <c r="G1891" s="5"/>
      <c r="H1891" s="6"/>
      <c r="I1891" s="5"/>
      <c r="J1891" s="88"/>
      <c r="K1891" s="88"/>
      <c r="L1891" s="88"/>
      <c r="M1891" s="88"/>
      <c r="N1891" s="88"/>
      <c r="O1891" s="88"/>
      <c r="P1891" s="88"/>
      <c r="Q1891" s="89"/>
      <c r="R1891" s="88"/>
      <c r="S1891" s="88"/>
      <c r="T1891" s="90"/>
      <c r="U1891" s="6"/>
      <c r="V1891" s="92"/>
      <c r="W1891" s="77"/>
      <c r="X1891" s="91"/>
      <c r="Y1891" s="77"/>
      <c r="Z1891" s="5"/>
      <c r="AA1891" s="5"/>
      <c r="AB1891" s="5"/>
      <c r="AC1891" s="5"/>
      <c r="AD1891" s="5"/>
      <c r="AE1891" s="5"/>
      <c r="AF1891" s="5"/>
      <c r="AG1891" s="5"/>
      <c r="AH1891" s="6"/>
      <c r="AI1891" s="92"/>
      <c r="AJ1891" s="93"/>
      <c r="AK1891" s="94"/>
      <c r="AL1891" s="95"/>
      <c r="AM1891" s="56"/>
      <c r="AN1891" s="57">
        <f t="shared" si="309"/>
        <v>0</v>
      </c>
      <c r="AO1891" s="76">
        <f t="shared" si="311"/>
        <v>0</v>
      </c>
      <c r="AP1891" s="63" t="str">
        <f t="shared" si="312"/>
        <v/>
      </c>
      <c r="AQ1891" s="63" t="str">
        <f t="shared" si="313"/>
        <v/>
      </c>
      <c r="AR1891" s="63" t="str">
        <f t="shared" si="314"/>
        <v/>
      </c>
      <c r="AS1891" s="63" t="str">
        <f t="shared" si="315"/>
        <v/>
      </c>
      <c r="AT1891" s="78" t="str">
        <f t="shared" si="316"/>
        <v/>
      </c>
      <c r="AU1891" s="78" t="str">
        <f t="shared" si="317"/>
        <v/>
      </c>
      <c r="AV1891" s="64" t="str">
        <f ca="1">IFERROR(__xludf.DUMMYFUNCTION("IF(TRIM(AU1891)="""","""",AU1891/INDEX(FILTER(AT$3:AT1891,TRIM(AT$3:AT1891)&lt;&gt;""""),ROWS(FILTER(AT$3:AT1891,TRIM(AT$3:AT1891)&lt;&gt;"""")))-1)"),"")</f>
        <v/>
      </c>
      <c r="AW1891" s="65" t="e">
        <f t="shared" ca="1" si="310"/>
        <v>#VALUE!</v>
      </c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</row>
    <row r="1892" spans="1:68" ht="19" x14ac:dyDescent="0.25">
      <c r="A1892" s="5"/>
      <c r="B1892" s="5"/>
      <c r="C1892" s="5"/>
      <c r="D1892" s="5"/>
      <c r="E1892" s="5"/>
      <c r="F1892" s="5"/>
      <c r="G1892" s="5"/>
      <c r="H1892" s="6"/>
      <c r="I1892" s="5"/>
      <c r="J1892" s="88"/>
      <c r="K1892" s="88"/>
      <c r="L1892" s="88"/>
      <c r="M1892" s="88"/>
      <c r="N1892" s="88"/>
      <c r="O1892" s="88"/>
      <c r="P1892" s="88"/>
      <c r="Q1892" s="89"/>
      <c r="R1892" s="88"/>
      <c r="S1892" s="88"/>
      <c r="T1892" s="90"/>
      <c r="U1892" s="6"/>
      <c r="V1892" s="92"/>
      <c r="W1892" s="77"/>
      <c r="X1892" s="91"/>
      <c r="Y1892" s="77"/>
      <c r="Z1892" s="5"/>
      <c r="AA1892" s="5"/>
      <c r="AB1892" s="5"/>
      <c r="AC1892" s="5"/>
      <c r="AD1892" s="5"/>
      <c r="AE1892" s="5"/>
      <c r="AF1892" s="5"/>
      <c r="AG1892" s="5"/>
      <c r="AH1892" s="6"/>
      <c r="AI1892" s="92"/>
      <c r="AJ1892" s="93"/>
      <c r="AK1892" s="94"/>
      <c r="AL1892" s="95"/>
      <c r="AM1892" s="56"/>
      <c r="AN1892" s="57">
        <f t="shared" si="309"/>
        <v>0</v>
      </c>
      <c r="AO1892" s="76">
        <f t="shared" si="311"/>
        <v>0</v>
      </c>
      <c r="AP1892" s="63" t="str">
        <f t="shared" si="312"/>
        <v/>
      </c>
      <c r="AQ1892" s="63" t="str">
        <f t="shared" si="313"/>
        <v/>
      </c>
      <c r="AR1892" s="63" t="str">
        <f t="shared" si="314"/>
        <v/>
      </c>
      <c r="AS1892" s="63" t="str">
        <f t="shared" si="315"/>
        <v/>
      </c>
      <c r="AT1892" s="78" t="str">
        <f t="shared" si="316"/>
        <v/>
      </c>
      <c r="AU1892" s="78" t="str">
        <f t="shared" si="317"/>
        <v/>
      </c>
      <c r="AV1892" s="64" t="str">
        <f ca="1">IFERROR(__xludf.DUMMYFUNCTION("IF(TRIM(AU1892)="""","""",AU1892/INDEX(FILTER(AT$3:AT1892,TRIM(AT$3:AT1892)&lt;&gt;""""),ROWS(FILTER(AT$3:AT1892,TRIM(AT$3:AT1892)&lt;&gt;"""")))-1)"),"")</f>
        <v/>
      </c>
      <c r="AW1892" s="65" t="e">
        <f t="shared" ca="1" si="310"/>
        <v>#VALUE!</v>
      </c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</row>
    <row r="1893" spans="1:68" ht="19" x14ac:dyDescent="0.25">
      <c r="A1893" s="5"/>
      <c r="B1893" s="5"/>
      <c r="C1893" s="5"/>
      <c r="D1893" s="5"/>
      <c r="E1893" s="5"/>
      <c r="F1893" s="5"/>
      <c r="G1893" s="5"/>
      <c r="H1893" s="6"/>
      <c r="I1893" s="5"/>
      <c r="J1893" s="88"/>
      <c r="K1893" s="88"/>
      <c r="L1893" s="88"/>
      <c r="M1893" s="88"/>
      <c r="N1893" s="88"/>
      <c r="O1893" s="88"/>
      <c r="P1893" s="88"/>
      <c r="Q1893" s="89"/>
      <c r="R1893" s="88"/>
      <c r="S1893" s="88"/>
      <c r="T1893" s="90"/>
      <c r="U1893" s="6"/>
      <c r="V1893" s="92"/>
      <c r="W1893" s="77"/>
      <c r="X1893" s="91"/>
      <c r="Y1893" s="77"/>
      <c r="Z1893" s="5"/>
      <c r="AA1893" s="5"/>
      <c r="AB1893" s="5"/>
      <c r="AC1893" s="5"/>
      <c r="AD1893" s="5"/>
      <c r="AE1893" s="5"/>
      <c r="AF1893" s="5"/>
      <c r="AG1893" s="5"/>
      <c r="AH1893" s="6"/>
      <c r="AI1893" s="92"/>
      <c r="AJ1893" s="93"/>
      <c r="AK1893" s="94"/>
      <c r="AL1893" s="95"/>
      <c r="AM1893" s="56"/>
      <c r="AN1893" s="57">
        <f t="shared" si="309"/>
        <v>0</v>
      </c>
      <c r="AO1893" s="76">
        <f t="shared" si="311"/>
        <v>0</v>
      </c>
      <c r="AP1893" s="63" t="str">
        <f t="shared" si="312"/>
        <v/>
      </c>
      <c r="AQ1893" s="63" t="str">
        <f t="shared" si="313"/>
        <v/>
      </c>
      <c r="AR1893" s="63" t="str">
        <f t="shared" si="314"/>
        <v/>
      </c>
      <c r="AS1893" s="63" t="str">
        <f t="shared" si="315"/>
        <v/>
      </c>
      <c r="AT1893" s="78" t="str">
        <f t="shared" si="316"/>
        <v/>
      </c>
      <c r="AU1893" s="78" t="str">
        <f t="shared" si="317"/>
        <v/>
      </c>
      <c r="AV1893" s="64" t="str">
        <f ca="1">IFERROR(__xludf.DUMMYFUNCTION("IF(TRIM(AU1893)="""","""",AU1893/INDEX(FILTER(AT$3:AT1893,TRIM(AT$3:AT1893)&lt;&gt;""""),ROWS(FILTER(AT$3:AT1893,TRIM(AT$3:AT1893)&lt;&gt;"""")))-1)"),"")</f>
        <v/>
      </c>
      <c r="AW1893" s="65" t="e">
        <f t="shared" ca="1" si="310"/>
        <v>#VALUE!</v>
      </c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</row>
    <row r="1894" spans="1:68" ht="19" x14ac:dyDescent="0.25">
      <c r="A1894" s="5"/>
      <c r="B1894" s="5"/>
      <c r="C1894" s="5"/>
      <c r="D1894" s="5"/>
      <c r="E1894" s="5"/>
      <c r="F1894" s="5"/>
      <c r="G1894" s="5"/>
      <c r="H1894" s="6"/>
      <c r="I1894" s="5"/>
      <c r="J1894" s="88"/>
      <c r="K1894" s="88"/>
      <c r="L1894" s="88"/>
      <c r="M1894" s="88"/>
      <c r="N1894" s="88"/>
      <c r="O1894" s="88"/>
      <c r="P1894" s="88"/>
      <c r="Q1894" s="89"/>
      <c r="R1894" s="88"/>
      <c r="S1894" s="88"/>
      <c r="T1894" s="90"/>
      <c r="U1894" s="6"/>
      <c r="V1894" s="92"/>
      <c r="W1894" s="77"/>
      <c r="X1894" s="91"/>
      <c r="Y1894" s="77"/>
      <c r="Z1894" s="5"/>
      <c r="AA1894" s="5"/>
      <c r="AB1894" s="5"/>
      <c r="AC1894" s="5"/>
      <c r="AD1894" s="5"/>
      <c r="AE1894" s="5"/>
      <c r="AF1894" s="5"/>
      <c r="AG1894" s="5"/>
      <c r="AH1894" s="6"/>
      <c r="AI1894" s="92"/>
      <c r="AJ1894" s="93"/>
      <c r="AK1894" s="94"/>
      <c r="AL1894" s="95"/>
      <c r="AM1894" s="56"/>
      <c r="AN1894" s="57">
        <f t="shared" si="309"/>
        <v>0</v>
      </c>
      <c r="AO1894" s="76">
        <f t="shared" si="311"/>
        <v>0</v>
      </c>
      <c r="AP1894" s="63" t="str">
        <f t="shared" si="312"/>
        <v/>
      </c>
      <c r="AQ1894" s="63" t="str">
        <f t="shared" si="313"/>
        <v/>
      </c>
      <c r="AR1894" s="63" t="str">
        <f t="shared" si="314"/>
        <v/>
      </c>
      <c r="AS1894" s="63" t="str">
        <f t="shared" si="315"/>
        <v/>
      </c>
      <c r="AT1894" s="78" t="str">
        <f t="shared" si="316"/>
        <v/>
      </c>
      <c r="AU1894" s="78" t="str">
        <f t="shared" si="317"/>
        <v/>
      </c>
      <c r="AV1894" s="64" t="str">
        <f ca="1">IFERROR(__xludf.DUMMYFUNCTION("IF(TRIM(AU1894)="""","""",AU1894/INDEX(FILTER(AT$3:AT1894,TRIM(AT$3:AT1894)&lt;&gt;""""),ROWS(FILTER(AT$3:AT1894,TRIM(AT$3:AT1894)&lt;&gt;"""")))-1)"),"")</f>
        <v/>
      </c>
      <c r="AW1894" s="65" t="e">
        <f t="shared" ca="1" si="310"/>
        <v>#VALUE!</v>
      </c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</row>
    <row r="1895" spans="1:68" ht="19" x14ac:dyDescent="0.25">
      <c r="A1895" s="5"/>
      <c r="B1895" s="5"/>
      <c r="C1895" s="5"/>
      <c r="D1895" s="5"/>
      <c r="E1895" s="5"/>
      <c r="F1895" s="5"/>
      <c r="G1895" s="5"/>
      <c r="H1895" s="6"/>
      <c r="I1895" s="5"/>
      <c r="J1895" s="88"/>
      <c r="K1895" s="88"/>
      <c r="L1895" s="88"/>
      <c r="M1895" s="88"/>
      <c r="N1895" s="88"/>
      <c r="O1895" s="88"/>
      <c r="P1895" s="88"/>
      <c r="Q1895" s="89"/>
      <c r="R1895" s="88"/>
      <c r="S1895" s="88"/>
      <c r="T1895" s="90"/>
      <c r="U1895" s="6"/>
      <c r="V1895" s="92"/>
      <c r="W1895" s="77"/>
      <c r="X1895" s="91"/>
      <c r="Y1895" s="77"/>
      <c r="Z1895" s="5"/>
      <c r="AA1895" s="5"/>
      <c r="AB1895" s="5"/>
      <c r="AC1895" s="5"/>
      <c r="AD1895" s="5"/>
      <c r="AE1895" s="5"/>
      <c r="AF1895" s="5"/>
      <c r="AG1895" s="5"/>
      <c r="AH1895" s="6"/>
      <c r="AI1895" s="92"/>
      <c r="AJ1895" s="93"/>
      <c r="AK1895" s="94"/>
      <c r="AL1895" s="95"/>
      <c r="AM1895" s="56"/>
      <c r="AN1895" s="57">
        <f t="shared" si="309"/>
        <v>0</v>
      </c>
      <c r="AO1895" s="76">
        <f t="shared" si="311"/>
        <v>0</v>
      </c>
      <c r="AP1895" s="63" t="str">
        <f t="shared" si="312"/>
        <v/>
      </c>
      <c r="AQ1895" s="63" t="str">
        <f t="shared" si="313"/>
        <v/>
      </c>
      <c r="AR1895" s="63" t="str">
        <f t="shared" si="314"/>
        <v/>
      </c>
      <c r="AS1895" s="63" t="str">
        <f t="shared" si="315"/>
        <v/>
      </c>
      <c r="AT1895" s="78" t="str">
        <f t="shared" si="316"/>
        <v/>
      </c>
      <c r="AU1895" s="78" t="str">
        <f t="shared" si="317"/>
        <v/>
      </c>
      <c r="AV1895" s="64" t="str">
        <f ca="1">IFERROR(__xludf.DUMMYFUNCTION("IF(TRIM(AU1895)="""","""",AU1895/INDEX(FILTER(AT$3:AT1895,TRIM(AT$3:AT1895)&lt;&gt;""""),ROWS(FILTER(AT$3:AT1895,TRIM(AT$3:AT1895)&lt;&gt;"""")))-1)"),"")</f>
        <v/>
      </c>
      <c r="AW1895" s="65" t="e">
        <f t="shared" ca="1" si="310"/>
        <v>#VALUE!</v>
      </c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</row>
    <row r="1896" spans="1:68" ht="19" x14ac:dyDescent="0.25">
      <c r="A1896" s="5"/>
      <c r="B1896" s="5"/>
      <c r="C1896" s="5"/>
      <c r="D1896" s="5"/>
      <c r="E1896" s="5"/>
      <c r="F1896" s="5"/>
      <c r="G1896" s="5"/>
      <c r="H1896" s="6"/>
      <c r="I1896" s="5"/>
      <c r="J1896" s="88"/>
      <c r="K1896" s="88"/>
      <c r="L1896" s="88"/>
      <c r="M1896" s="88"/>
      <c r="N1896" s="88"/>
      <c r="O1896" s="88"/>
      <c r="P1896" s="88"/>
      <c r="Q1896" s="89"/>
      <c r="R1896" s="88"/>
      <c r="S1896" s="88"/>
      <c r="T1896" s="90"/>
      <c r="U1896" s="6"/>
      <c r="V1896" s="92"/>
      <c r="W1896" s="77"/>
      <c r="X1896" s="91"/>
      <c r="Y1896" s="77"/>
      <c r="Z1896" s="5"/>
      <c r="AA1896" s="5"/>
      <c r="AB1896" s="5"/>
      <c r="AC1896" s="5"/>
      <c r="AD1896" s="5"/>
      <c r="AE1896" s="5"/>
      <c r="AF1896" s="5"/>
      <c r="AG1896" s="5"/>
      <c r="AH1896" s="6"/>
      <c r="AI1896" s="92"/>
      <c r="AJ1896" s="93"/>
      <c r="AK1896" s="94"/>
      <c r="AL1896" s="95"/>
      <c r="AM1896" s="56"/>
      <c r="AN1896" s="57">
        <f t="shared" si="309"/>
        <v>0</v>
      </c>
      <c r="AO1896" s="76">
        <f t="shared" si="311"/>
        <v>0</v>
      </c>
      <c r="AP1896" s="63" t="str">
        <f t="shared" si="312"/>
        <v/>
      </c>
      <c r="AQ1896" s="63" t="str">
        <f t="shared" si="313"/>
        <v/>
      </c>
      <c r="AR1896" s="63" t="str">
        <f t="shared" si="314"/>
        <v/>
      </c>
      <c r="AS1896" s="63" t="str">
        <f t="shared" si="315"/>
        <v/>
      </c>
      <c r="AT1896" s="78" t="str">
        <f t="shared" si="316"/>
        <v/>
      </c>
      <c r="AU1896" s="78" t="str">
        <f t="shared" si="317"/>
        <v/>
      </c>
      <c r="AV1896" s="64" t="str">
        <f ca="1">IFERROR(__xludf.DUMMYFUNCTION("IF(TRIM(AU1896)="""","""",AU1896/INDEX(FILTER(AT$3:AT1896,TRIM(AT$3:AT1896)&lt;&gt;""""),ROWS(FILTER(AT$3:AT1896,TRIM(AT$3:AT1896)&lt;&gt;"""")))-1)"),"")</f>
        <v/>
      </c>
      <c r="AW1896" s="65" t="e">
        <f t="shared" ca="1" si="310"/>
        <v>#VALUE!</v>
      </c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</row>
    <row r="1897" spans="1:68" ht="19" x14ac:dyDescent="0.25">
      <c r="A1897" s="5"/>
      <c r="B1897" s="5"/>
      <c r="C1897" s="5"/>
      <c r="D1897" s="5"/>
      <c r="E1897" s="5"/>
      <c r="F1897" s="5"/>
      <c r="G1897" s="5"/>
      <c r="H1897" s="6"/>
      <c r="I1897" s="5"/>
      <c r="J1897" s="88"/>
      <c r="K1897" s="88"/>
      <c r="L1897" s="88"/>
      <c r="M1897" s="88"/>
      <c r="N1897" s="88"/>
      <c r="O1897" s="88"/>
      <c r="P1897" s="88"/>
      <c r="Q1897" s="89"/>
      <c r="R1897" s="88"/>
      <c r="S1897" s="88"/>
      <c r="T1897" s="90"/>
      <c r="U1897" s="6"/>
      <c r="V1897" s="92"/>
      <c r="W1897" s="77"/>
      <c r="X1897" s="91"/>
      <c r="Y1897" s="77"/>
      <c r="Z1897" s="5"/>
      <c r="AA1897" s="5"/>
      <c r="AB1897" s="5"/>
      <c r="AC1897" s="5"/>
      <c r="AD1897" s="5"/>
      <c r="AE1897" s="5"/>
      <c r="AF1897" s="5"/>
      <c r="AG1897" s="5"/>
      <c r="AH1897" s="6"/>
      <c r="AI1897" s="92"/>
      <c r="AJ1897" s="93"/>
      <c r="AK1897" s="94"/>
      <c r="AL1897" s="95"/>
      <c r="AM1897" s="56"/>
      <c r="AN1897" s="57">
        <f t="shared" si="309"/>
        <v>0</v>
      </c>
      <c r="AO1897" s="76">
        <f t="shared" si="311"/>
        <v>0</v>
      </c>
      <c r="AP1897" s="63" t="str">
        <f t="shared" si="312"/>
        <v/>
      </c>
      <c r="AQ1897" s="63" t="str">
        <f t="shared" si="313"/>
        <v/>
      </c>
      <c r="AR1897" s="63" t="str">
        <f t="shared" si="314"/>
        <v/>
      </c>
      <c r="AS1897" s="63" t="str">
        <f t="shared" si="315"/>
        <v/>
      </c>
      <c r="AT1897" s="78" t="str">
        <f t="shared" si="316"/>
        <v/>
      </c>
      <c r="AU1897" s="78" t="str">
        <f t="shared" si="317"/>
        <v/>
      </c>
      <c r="AV1897" s="64" t="str">
        <f ca="1">IFERROR(__xludf.DUMMYFUNCTION("IF(TRIM(AU1897)="""","""",AU1897/INDEX(FILTER(AT$3:AT1897,TRIM(AT$3:AT1897)&lt;&gt;""""),ROWS(FILTER(AT$3:AT1897,TRIM(AT$3:AT1897)&lt;&gt;"""")))-1)"),"")</f>
        <v/>
      </c>
      <c r="AW1897" s="65" t="e">
        <f t="shared" ca="1" si="310"/>
        <v>#VALUE!</v>
      </c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</row>
    <row r="1898" spans="1:68" ht="19" x14ac:dyDescent="0.25">
      <c r="A1898" s="5"/>
      <c r="B1898" s="5"/>
      <c r="C1898" s="5"/>
      <c r="D1898" s="5"/>
      <c r="E1898" s="5"/>
      <c r="F1898" s="5"/>
      <c r="G1898" s="5"/>
      <c r="H1898" s="6"/>
      <c r="I1898" s="5"/>
      <c r="J1898" s="88"/>
      <c r="K1898" s="88"/>
      <c r="L1898" s="88"/>
      <c r="M1898" s="88"/>
      <c r="N1898" s="88"/>
      <c r="O1898" s="88"/>
      <c r="P1898" s="88"/>
      <c r="Q1898" s="89"/>
      <c r="R1898" s="88"/>
      <c r="S1898" s="88"/>
      <c r="T1898" s="90"/>
      <c r="U1898" s="6"/>
      <c r="V1898" s="92"/>
      <c r="W1898" s="77"/>
      <c r="X1898" s="91"/>
      <c r="Y1898" s="77"/>
      <c r="Z1898" s="5"/>
      <c r="AA1898" s="5"/>
      <c r="AB1898" s="5"/>
      <c r="AC1898" s="5"/>
      <c r="AD1898" s="5"/>
      <c r="AE1898" s="5"/>
      <c r="AF1898" s="5"/>
      <c r="AG1898" s="5"/>
      <c r="AH1898" s="6"/>
      <c r="AI1898" s="92"/>
      <c r="AJ1898" s="93"/>
      <c r="AK1898" s="94"/>
      <c r="AL1898" s="95"/>
      <c r="AM1898" s="56"/>
      <c r="AN1898" s="57">
        <f t="shared" si="309"/>
        <v>0</v>
      </c>
      <c r="AO1898" s="76">
        <f t="shared" si="311"/>
        <v>0</v>
      </c>
      <c r="AP1898" s="63" t="str">
        <f t="shared" si="312"/>
        <v/>
      </c>
      <c r="AQ1898" s="63" t="str">
        <f t="shared" si="313"/>
        <v/>
      </c>
      <c r="AR1898" s="63" t="str">
        <f t="shared" si="314"/>
        <v/>
      </c>
      <c r="AS1898" s="63" t="str">
        <f t="shared" si="315"/>
        <v/>
      </c>
      <c r="AT1898" s="78" t="str">
        <f t="shared" si="316"/>
        <v/>
      </c>
      <c r="AU1898" s="78" t="str">
        <f t="shared" si="317"/>
        <v/>
      </c>
      <c r="AV1898" s="64" t="str">
        <f ca="1">IFERROR(__xludf.DUMMYFUNCTION("IF(TRIM(AU1898)="""","""",AU1898/INDEX(FILTER(AT$3:AT1898,TRIM(AT$3:AT1898)&lt;&gt;""""),ROWS(FILTER(AT$3:AT1898,TRIM(AT$3:AT1898)&lt;&gt;"""")))-1)"),"")</f>
        <v/>
      </c>
      <c r="AW1898" s="65" t="e">
        <f t="shared" ca="1" si="310"/>
        <v>#VALUE!</v>
      </c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</row>
    <row r="1899" spans="1:68" ht="19" x14ac:dyDescent="0.25">
      <c r="A1899" s="5"/>
      <c r="B1899" s="5"/>
      <c r="C1899" s="5"/>
      <c r="D1899" s="5"/>
      <c r="E1899" s="5"/>
      <c r="F1899" s="5"/>
      <c r="G1899" s="5"/>
      <c r="H1899" s="6"/>
      <c r="I1899" s="5"/>
      <c r="J1899" s="88"/>
      <c r="K1899" s="88"/>
      <c r="L1899" s="88"/>
      <c r="M1899" s="88"/>
      <c r="N1899" s="88"/>
      <c r="O1899" s="88"/>
      <c r="P1899" s="88"/>
      <c r="Q1899" s="89"/>
      <c r="R1899" s="88"/>
      <c r="S1899" s="88"/>
      <c r="T1899" s="90"/>
      <c r="U1899" s="6"/>
      <c r="V1899" s="92"/>
      <c r="W1899" s="77"/>
      <c r="X1899" s="91"/>
      <c r="Y1899" s="77"/>
      <c r="Z1899" s="5"/>
      <c r="AA1899" s="5"/>
      <c r="AB1899" s="5"/>
      <c r="AC1899" s="5"/>
      <c r="AD1899" s="5"/>
      <c r="AE1899" s="5"/>
      <c r="AF1899" s="5"/>
      <c r="AG1899" s="5"/>
      <c r="AH1899" s="6"/>
      <c r="AI1899" s="92"/>
      <c r="AJ1899" s="93"/>
      <c r="AK1899" s="94"/>
      <c r="AL1899" s="95"/>
      <c r="AM1899" s="56"/>
      <c r="AN1899" s="57">
        <f t="shared" si="309"/>
        <v>0</v>
      </c>
      <c r="AO1899" s="76">
        <f t="shared" si="311"/>
        <v>0</v>
      </c>
      <c r="AP1899" s="63" t="str">
        <f t="shared" si="312"/>
        <v/>
      </c>
      <c r="AQ1899" s="63" t="str">
        <f t="shared" si="313"/>
        <v/>
      </c>
      <c r="AR1899" s="63" t="str">
        <f t="shared" si="314"/>
        <v/>
      </c>
      <c r="AS1899" s="63" t="str">
        <f t="shared" si="315"/>
        <v/>
      </c>
      <c r="AT1899" s="78" t="str">
        <f t="shared" si="316"/>
        <v/>
      </c>
      <c r="AU1899" s="78" t="str">
        <f t="shared" si="317"/>
        <v/>
      </c>
      <c r="AV1899" s="64" t="str">
        <f ca="1">IFERROR(__xludf.DUMMYFUNCTION("IF(TRIM(AU1899)="""","""",AU1899/INDEX(FILTER(AT$3:AT1899,TRIM(AT$3:AT1899)&lt;&gt;""""),ROWS(FILTER(AT$3:AT1899,TRIM(AT$3:AT1899)&lt;&gt;"""")))-1)"),"")</f>
        <v/>
      </c>
      <c r="AW1899" s="65" t="e">
        <f t="shared" ca="1" si="310"/>
        <v>#VALUE!</v>
      </c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</row>
    <row r="1900" spans="1:68" ht="19" x14ac:dyDescent="0.25">
      <c r="A1900" s="5"/>
      <c r="B1900" s="5"/>
      <c r="C1900" s="5"/>
      <c r="D1900" s="5"/>
      <c r="E1900" s="5"/>
      <c r="F1900" s="5"/>
      <c r="G1900" s="5"/>
      <c r="H1900" s="6"/>
      <c r="I1900" s="5"/>
      <c r="J1900" s="88"/>
      <c r="K1900" s="88"/>
      <c r="L1900" s="88"/>
      <c r="M1900" s="88"/>
      <c r="N1900" s="88"/>
      <c r="O1900" s="88"/>
      <c r="P1900" s="88"/>
      <c r="Q1900" s="89"/>
      <c r="R1900" s="88"/>
      <c r="S1900" s="88"/>
      <c r="T1900" s="90"/>
      <c r="U1900" s="6"/>
      <c r="V1900" s="92"/>
      <c r="W1900" s="77"/>
      <c r="X1900" s="91"/>
      <c r="Y1900" s="77"/>
      <c r="Z1900" s="5"/>
      <c r="AA1900" s="5"/>
      <c r="AB1900" s="5"/>
      <c r="AC1900" s="5"/>
      <c r="AD1900" s="5"/>
      <c r="AE1900" s="5"/>
      <c r="AF1900" s="5"/>
      <c r="AG1900" s="5"/>
      <c r="AH1900" s="6"/>
      <c r="AI1900" s="92"/>
      <c r="AJ1900" s="93"/>
      <c r="AK1900" s="94"/>
      <c r="AL1900" s="95"/>
      <c r="AM1900" s="56"/>
      <c r="AN1900" s="57">
        <f t="shared" si="309"/>
        <v>0</v>
      </c>
      <c r="AO1900" s="76">
        <f t="shared" si="311"/>
        <v>0</v>
      </c>
      <c r="AP1900" s="63" t="str">
        <f t="shared" si="312"/>
        <v/>
      </c>
      <c r="AQ1900" s="63" t="str">
        <f t="shared" si="313"/>
        <v/>
      </c>
      <c r="AR1900" s="63" t="str">
        <f t="shared" si="314"/>
        <v/>
      </c>
      <c r="AS1900" s="63" t="str">
        <f t="shared" si="315"/>
        <v/>
      </c>
      <c r="AT1900" s="78" t="str">
        <f t="shared" si="316"/>
        <v/>
      </c>
      <c r="AU1900" s="78" t="str">
        <f t="shared" si="317"/>
        <v/>
      </c>
      <c r="AV1900" s="64" t="str">
        <f ca="1">IFERROR(__xludf.DUMMYFUNCTION("IF(TRIM(AU1900)="""","""",AU1900/INDEX(FILTER(AT$3:AT1900,TRIM(AT$3:AT1900)&lt;&gt;""""),ROWS(FILTER(AT$3:AT1900,TRIM(AT$3:AT1900)&lt;&gt;"""")))-1)"),"")</f>
        <v/>
      </c>
      <c r="AW1900" s="65" t="e">
        <f t="shared" ca="1" si="310"/>
        <v>#VALUE!</v>
      </c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</row>
    <row r="1901" spans="1:68" ht="19" x14ac:dyDescent="0.25">
      <c r="A1901" s="5"/>
      <c r="B1901" s="5"/>
      <c r="C1901" s="5"/>
      <c r="D1901" s="5"/>
      <c r="E1901" s="5"/>
      <c r="F1901" s="5"/>
      <c r="G1901" s="5"/>
      <c r="H1901" s="6"/>
      <c r="I1901" s="5"/>
      <c r="J1901" s="88"/>
      <c r="K1901" s="88"/>
      <c r="L1901" s="88"/>
      <c r="M1901" s="88"/>
      <c r="N1901" s="88"/>
      <c r="O1901" s="88"/>
      <c r="P1901" s="88"/>
      <c r="Q1901" s="89"/>
      <c r="R1901" s="88"/>
      <c r="S1901" s="88"/>
      <c r="T1901" s="90"/>
      <c r="U1901" s="6"/>
      <c r="V1901" s="92"/>
      <c r="W1901" s="77"/>
      <c r="X1901" s="91"/>
      <c r="Y1901" s="77"/>
      <c r="Z1901" s="5"/>
      <c r="AA1901" s="5"/>
      <c r="AB1901" s="5"/>
      <c r="AC1901" s="5"/>
      <c r="AD1901" s="5"/>
      <c r="AE1901" s="5"/>
      <c r="AF1901" s="5"/>
      <c r="AG1901" s="5"/>
      <c r="AH1901" s="6"/>
      <c r="AI1901" s="92"/>
      <c r="AJ1901" s="93"/>
      <c r="AK1901" s="94"/>
      <c r="AL1901" s="95"/>
      <c r="AM1901" s="56"/>
      <c r="AN1901" s="57">
        <f t="shared" si="309"/>
        <v>0</v>
      </c>
      <c r="AO1901" s="76">
        <f t="shared" si="311"/>
        <v>0</v>
      </c>
      <c r="AP1901" s="63" t="str">
        <f t="shared" si="312"/>
        <v/>
      </c>
      <c r="AQ1901" s="63" t="str">
        <f t="shared" si="313"/>
        <v/>
      </c>
      <c r="AR1901" s="63" t="str">
        <f t="shared" si="314"/>
        <v/>
      </c>
      <c r="AS1901" s="63" t="str">
        <f t="shared" si="315"/>
        <v/>
      </c>
      <c r="AT1901" s="78" t="str">
        <f t="shared" si="316"/>
        <v/>
      </c>
      <c r="AU1901" s="78" t="str">
        <f t="shared" si="317"/>
        <v/>
      </c>
      <c r="AV1901" s="64" t="str">
        <f ca="1">IFERROR(__xludf.DUMMYFUNCTION("IF(TRIM(AU1901)="""","""",AU1901/INDEX(FILTER(AT$3:AT1901,TRIM(AT$3:AT1901)&lt;&gt;""""),ROWS(FILTER(AT$3:AT1901,TRIM(AT$3:AT1901)&lt;&gt;"""")))-1)"),"")</f>
        <v/>
      </c>
      <c r="AW1901" s="65" t="e">
        <f t="shared" ca="1" si="310"/>
        <v>#VALUE!</v>
      </c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</row>
    <row r="1902" spans="1:68" ht="19" x14ac:dyDescent="0.25">
      <c r="A1902" s="5"/>
      <c r="B1902" s="5"/>
      <c r="C1902" s="5"/>
      <c r="D1902" s="5"/>
      <c r="E1902" s="5"/>
      <c r="F1902" s="5"/>
      <c r="G1902" s="5"/>
      <c r="H1902" s="6"/>
      <c r="I1902" s="5"/>
      <c r="J1902" s="88"/>
      <c r="K1902" s="88"/>
      <c r="L1902" s="88"/>
      <c r="M1902" s="88"/>
      <c r="N1902" s="88"/>
      <c r="O1902" s="88"/>
      <c r="P1902" s="88"/>
      <c r="Q1902" s="89"/>
      <c r="R1902" s="88"/>
      <c r="S1902" s="88"/>
      <c r="T1902" s="90"/>
      <c r="U1902" s="6"/>
      <c r="V1902" s="92"/>
      <c r="W1902" s="77"/>
      <c r="X1902" s="91"/>
      <c r="Y1902" s="77"/>
      <c r="Z1902" s="5"/>
      <c r="AA1902" s="5"/>
      <c r="AB1902" s="5"/>
      <c r="AC1902" s="5"/>
      <c r="AD1902" s="5"/>
      <c r="AE1902" s="5"/>
      <c r="AF1902" s="5"/>
      <c r="AG1902" s="5"/>
      <c r="AH1902" s="6"/>
      <c r="AI1902" s="92"/>
      <c r="AJ1902" s="93"/>
      <c r="AK1902" s="94"/>
      <c r="AL1902" s="95"/>
      <c r="AM1902" s="56"/>
      <c r="AN1902" s="57">
        <f t="shared" si="309"/>
        <v>0</v>
      </c>
      <c r="AO1902" s="76">
        <f t="shared" si="311"/>
        <v>0</v>
      </c>
      <c r="AP1902" s="63" t="str">
        <f t="shared" si="312"/>
        <v/>
      </c>
      <c r="AQ1902" s="63" t="str">
        <f t="shared" si="313"/>
        <v/>
      </c>
      <c r="AR1902" s="63" t="str">
        <f t="shared" si="314"/>
        <v/>
      </c>
      <c r="AS1902" s="63" t="str">
        <f t="shared" si="315"/>
        <v/>
      </c>
      <c r="AT1902" s="78" t="str">
        <f t="shared" si="316"/>
        <v/>
      </c>
      <c r="AU1902" s="78" t="str">
        <f t="shared" si="317"/>
        <v/>
      </c>
      <c r="AV1902" s="64" t="str">
        <f ca="1">IFERROR(__xludf.DUMMYFUNCTION("IF(TRIM(AU1902)="""","""",AU1902/INDEX(FILTER(AT$3:AT1902,TRIM(AT$3:AT1902)&lt;&gt;""""),ROWS(FILTER(AT$3:AT1902,TRIM(AT$3:AT1902)&lt;&gt;"""")))-1)"),"")</f>
        <v/>
      </c>
      <c r="AW1902" s="65" t="e">
        <f t="shared" ca="1" si="310"/>
        <v>#VALUE!</v>
      </c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</row>
    <row r="1903" spans="1:68" ht="19" x14ac:dyDescent="0.25">
      <c r="A1903" s="5"/>
      <c r="B1903" s="5"/>
      <c r="C1903" s="5"/>
      <c r="D1903" s="5"/>
      <c r="E1903" s="5"/>
      <c r="F1903" s="5"/>
      <c r="G1903" s="5"/>
      <c r="H1903" s="6"/>
      <c r="I1903" s="5"/>
      <c r="J1903" s="88"/>
      <c r="K1903" s="88"/>
      <c r="L1903" s="88"/>
      <c r="M1903" s="88"/>
      <c r="N1903" s="88"/>
      <c r="O1903" s="88"/>
      <c r="P1903" s="88"/>
      <c r="Q1903" s="89"/>
      <c r="R1903" s="88"/>
      <c r="S1903" s="88"/>
      <c r="T1903" s="90"/>
      <c r="U1903" s="6"/>
      <c r="V1903" s="92"/>
      <c r="W1903" s="77"/>
      <c r="X1903" s="91"/>
      <c r="Y1903" s="77"/>
      <c r="Z1903" s="5"/>
      <c r="AA1903" s="5"/>
      <c r="AB1903" s="5"/>
      <c r="AC1903" s="5"/>
      <c r="AD1903" s="5"/>
      <c r="AE1903" s="5"/>
      <c r="AF1903" s="5"/>
      <c r="AG1903" s="5"/>
      <c r="AH1903" s="6"/>
      <c r="AI1903" s="92"/>
      <c r="AJ1903" s="93"/>
      <c r="AK1903" s="94"/>
      <c r="AL1903" s="95"/>
      <c r="AM1903" s="56"/>
      <c r="AN1903" s="57">
        <f t="shared" si="309"/>
        <v>0</v>
      </c>
      <c r="AO1903" s="76">
        <f t="shared" si="311"/>
        <v>0</v>
      </c>
      <c r="AP1903" s="63" t="str">
        <f t="shared" si="312"/>
        <v/>
      </c>
      <c r="AQ1903" s="63" t="str">
        <f t="shared" si="313"/>
        <v/>
      </c>
      <c r="AR1903" s="63" t="str">
        <f t="shared" si="314"/>
        <v/>
      </c>
      <c r="AS1903" s="63" t="str">
        <f t="shared" si="315"/>
        <v/>
      </c>
      <c r="AT1903" s="78" t="str">
        <f t="shared" si="316"/>
        <v/>
      </c>
      <c r="AU1903" s="78" t="str">
        <f t="shared" si="317"/>
        <v/>
      </c>
      <c r="AV1903" s="64" t="str">
        <f ca="1">IFERROR(__xludf.DUMMYFUNCTION("IF(TRIM(AU1903)="""","""",AU1903/INDEX(FILTER(AT$3:AT1903,TRIM(AT$3:AT1903)&lt;&gt;""""),ROWS(FILTER(AT$3:AT1903,TRIM(AT$3:AT1903)&lt;&gt;"""")))-1)"),"")</f>
        <v/>
      </c>
      <c r="AW1903" s="65" t="e">
        <f t="shared" ca="1" si="310"/>
        <v>#VALUE!</v>
      </c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</row>
    <row r="1904" spans="1:68" ht="19" x14ac:dyDescent="0.25">
      <c r="A1904" s="5"/>
      <c r="B1904" s="5"/>
      <c r="C1904" s="5"/>
      <c r="D1904" s="5"/>
      <c r="E1904" s="5"/>
      <c r="F1904" s="5"/>
      <c r="G1904" s="5"/>
      <c r="H1904" s="6"/>
      <c r="I1904" s="5"/>
      <c r="J1904" s="88"/>
      <c r="K1904" s="88"/>
      <c r="L1904" s="88"/>
      <c r="M1904" s="88"/>
      <c r="N1904" s="88"/>
      <c r="O1904" s="88"/>
      <c r="P1904" s="88"/>
      <c r="Q1904" s="89"/>
      <c r="R1904" s="88"/>
      <c r="S1904" s="88"/>
      <c r="T1904" s="90"/>
      <c r="U1904" s="6"/>
      <c r="V1904" s="92"/>
      <c r="W1904" s="77"/>
      <c r="X1904" s="91"/>
      <c r="Y1904" s="77"/>
      <c r="Z1904" s="5"/>
      <c r="AA1904" s="5"/>
      <c r="AB1904" s="5"/>
      <c r="AC1904" s="5"/>
      <c r="AD1904" s="5"/>
      <c r="AE1904" s="5"/>
      <c r="AF1904" s="5"/>
      <c r="AG1904" s="5"/>
      <c r="AH1904" s="6"/>
      <c r="AI1904" s="92"/>
      <c r="AJ1904" s="93"/>
      <c r="AK1904" s="94"/>
      <c r="AL1904" s="95"/>
      <c r="AM1904" s="56"/>
      <c r="AN1904" s="57">
        <f t="shared" si="309"/>
        <v>0</v>
      </c>
      <c r="AO1904" s="76">
        <f t="shared" si="311"/>
        <v>0</v>
      </c>
      <c r="AP1904" s="63" t="str">
        <f t="shared" si="312"/>
        <v/>
      </c>
      <c r="AQ1904" s="63" t="str">
        <f t="shared" si="313"/>
        <v/>
      </c>
      <c r="AR1904" s="63" t="str">
        <f t="shared" si="314"/>
        <v/>
      </c>
      <c r="AS1904" s="63" t="str">
        <f t="shared" si="315"/>
        <v/>
      </c>
      <c r="AT1904" s="78" t="str">
        <f t="shared" si="316"/>
        <v/>
      </c>
      <c r="AU1904" s="78" t="str">
        <f t="shared" si="317"/>
        <v/>
      </c>
      <c r="AV1904" s="64" t="str">
        <f ca="1">IFERROR(__xludf.DUMMYFUNCTION("IF(TRIM(AU1904)="""","""",AU1904/INDEX(FILTER(AT$3:AT1904,TRIM(AT$3:AT1904)&lt;&gt;""""),ROWS(FILTER(AT$3:AT1904,TRIM(AT$3:AT1904)&lt;&gt;"""")))-1)"),"")</f>
        <v/>
      </c>
      <c r="AW1904" s="65" t="e">
        <f t="shared" ca="1" si="310"/>
        <v>#VALUE!</v>
      </c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</row>
    <row r="1905" spans="1:68" ht="19" x14ac:dyDescent="0.25">
      <c r="A1905" s="5"/>
      <c r="B1905" s="5"/>
      <c r="C1905" s="5"/>
      <c r="D1905" s="5"/>
      <c r="E1905" s="5"/>
      <c r="F1905" s="5"/>
      <c r="G1905" s="5"/>
      <c r="H1905" s="6"/>
      <c r="I1905" s="5"/>
      <c r="J1905" s="88"/>
      <c r="K1905" s="88"/>
      <c r="L1905" s="88"/>
      <c r="M1905" s="88"/>
      <c r="N1905" s="88"/>
      <c r="O1905" s="88"/>
      <c r="P1905" s="88"/>
      <c r="Q1905" s="89"/>
      <c r="R1905" s="88"/>
      <c r="S1905" s="88"/>
      <c r="T1905" s="90"/>
      <c r="U1905" s="6"/>
      <c r="V1905" s="92"/>
      <c r="W1905" s="77"/>
      <c r="X1905" s="91"/>
      <c r="Y1905" s="77"/>
      <c r="Z1905" s="5"/>
      <c r="AA1905" s="5"/>
      <c r="AB1905" s="5"/>
      <c r="AC1905" s="5"/>
      <c r="AD1905" s="5"/>
      <c r="AE1905" s="5"/>
      <c r="AF1905" s="5"/>
      <c r="AG1905" s="5"/>
      <c r="AH1905" s="6"/>
      <c r="AI1905" s="92"/>
      <c r="AJ1905" s="93"/>
      <c r="AK1905" s="94"/>
      <c r="AL1905" s="95"/>
      <c r="AM1905" s="56"/>
      <c r="AN1905" s="57">
        <f t="shared" si="309"/>
        <v>0</v>
      </c>
      <c r="AO1905" s="76">
        <f t="shared" si="311"/>
        <v>0</v>
      </c>
      <c r="AP1905" s="63" t="str">
        <f t="shared" si="312"/>
        <v/>
      </c>
      <c r="AQ1905" s="63" t="str">
        <f t="shared" si="313"/>
        <v/>
      </c>
      <c r="AR1905" s="63" t="str">
        <f t="shared" si="314"/>
        <v/>
      </c>
      <c r="AS1905" s="63" t="str">
        <f t="shared" si="315"/>
        <v/>
      </c>
      <c r="AT1905" s="78" t="str">
        <f t="shared" si="316"/>
        <v/>
      </c>
      <c r="AU1905" s="78" t="str">
        <f t="shared" si="317"/>
        <v/>
      </c>
      <c r="AV1905" s="64" t="str">
        <f ca="1">IFERROR(__xludf.DUMMYFUNCTION("IF(TRIM(AU1905)="""","""",AU1905/INDEX(FILTER(AT$3:AT1905,TRIM(AT$3:AT1905)&lt;&gt;""""),ROWS(FILTER(AT$3:AT1905,TRIM(AT$3:AT1905)&lt;&gt;"""")))-1)"),"")</f>
        <v/>
      </c>
      <c r="AW1905" s="65" t="e">
        <f t="shared" ca="1" si="310"/>
        <v>#VALUE!</v>
      </c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</row>
    <row r="1906" spans="1:68" ht="19" x14ac:dyDescent="0.25">
      <c r="A1906" s="5"/>
      <c r="B1906" s="5"/>
      <c r="C1906" s="5"/>
      <c r="D1906" s="5"/>
      <c r="E1906" s="5"/>
      <c r="F1906" s="5"/>
      <c r="G1906" s="5"/>
      <c r="H1906" s="6"/>
      <c r="I1906" s="5"/>
      <c r="J1906" s="88"/>
      <c r="K1906" s="88"/>
      <c r="L1906" s="88"/>
      <c r="M1906" s="88"/>
      <c r="N1906" s="88"/>
      <c r="O1906" s="88"/>
      <c r="P1906" s="88"/>
      <c r="Q1906" s="89"/>
      <c r="R1906" s="88"/>
      <c r="S1906" s="88"/>
      <c r="T1906" s="90"/>
      <c r="U1906" s="6"/>
      <c r="V1906" s="92"/>
      <c r="W1906" s="77"/>
      <c r="X1906" s="91"/>
      <c r="Y1906" s="77"/>
      <c r="Z1906" s="5"/>
      <c r="AA1906" s="5"/>
      <c r="AB1906" s="5"/>
      <c r="AC1906" s="5"/>
      <c r="AD1906" s="5"/>
      <c r="AE1906" s="5"/>
      <c r="AF1906" s="5"/>
      <c r="AG1906" s="5"/>
      <c r="AH1906" s="6"/>
      <c r="AI1906" s="92"/>
      <c r="AJ1906" s="93"/>
      <c r="AK1906" s="94"/>
      <c r="AL1906" s="95"/>
      <c r="AM1906" s="56"/>
      <c r="AN1906" s="57">
        <f t="shared" si="309"/>
        <v>0</v>
      </c>
      <c r="AO1906" s="76">
        <f t="shared" si="311"/>
        <v>0</v>
      </c>
      <c r="AP1906" s="63" t="str">
        <f t="shared" si="312"/>
        <v/>
      </c>
      <c r="AQ1906" s="63" t="str">
        <f t="shared" si="313"/>
        <v/>
      </c>
      <c r="AR1906" s="63" t="str">
        <f t="shared" si="314"/>
        <v/>
      </c>
      <c r="AS1906" s="63" t="str">
        <f t="shared" si="315"/>
        <v/>
      </c>
      <c r="AT1906" s="78" t="str">
        <f t="shared" si="316"/>
        <v/>
      </c>
      <c r="AU1906" s="78" t="str">
        <f t="shared" si="317"/>
        <v/>
      </c>
      <c r="AV1906" s="64" t="str">
        <f ca="1">IFERROR(__xludf.DUMMYFUNCTION("IF(TRIM(AU1906)="""","""",AU1906/INDEX(FILTER(AT$3:AT1906,TRIM(AT$3:AT1906)&lt;&gt;""""),ROWS(FILTER(AT$3:AT1906,TRIM(AT$3:AT1906)&lt;&gt;"""")))-1)"),"")</f>
        <v/>
      </c>
      <c r="AW1906" s="65" t="e">
        <f t="shared" ca="1" si="310"/>
        <v>#VALUE!</v>
      </c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</row>
    <row r="1907" spans="1:68" ht="19" x14ac:dyDescent="0.25">
      <c r="A1907" s="5"/>
      <c r="B1907" s="5"/>
      <c r="C1907" s="5"/>
      <c r="D1907" s="5"/>
      <c r="E1907" s="5"/>
      <c r="F1907" s="5"/>
      <c r="G1907" s="5"/>
      <c r="H1907" s="6"/>
      <c r="I1907" s="5"/>
      <c r="J1907" s="88"/>
      <c r="K1907" s="88"/>
      <c r="L1907" s="88"/>
      <c r="M1907" s="88"/>
      <c r="N1907" s="88"/>
      <c r="O1907" s="88"/>
      <c r="P1907" s="88"/>
      <c r="Q1907" s="89"/>
      <c r="R1907" s="88"/>
      <c r="S1907" s="88"/>
      <c r="T1907" s="90"/>
      <c r="U1907" s="6"/>
      <c r="V1907" s="92"/>
      <c r="W1907" s="77"/>
      <c r="X1907" s="91"/>
      <c r="Y1907" s="77"/>
      <c r="Z1907" s="5"/>
      <c r="AA1907" s="5"/>
      <c r="AB1907" s="5"/>
      <c r="AC1907" s="5"/>
      <c r="AD1907" s="5"/>
      <c r="AE1907" s="5"/>
      <c r="AF1907" s="5"/>
      <c r="AG1907" s="5"/>
      <c r="AH1907" s="6"/>
      <c r="AI1907" s="92"/>
      <c r="AJ1907" s="93"/>
      <c r="AK1907" s="94"/>
      <c r="AL1907" s="95"/>
      <c r="AM1907" s="56"/>
      <c r="AN1907" s="57">
        <f t="shared" si="309"/>
        <v>0</v>
      </c>
      <c r="AO1907" s="76">
        <f t="shared" si="311"/>
        <v>0</v>
      </c>
      <c r="AP1907" s="63" t="str">
        <f t="shared" si="312"/>
        <v/>
      </c>
      <c r="AQ1907" s="63" t="str">
        <f t="shared" si="313"/>
        <v/>
      </c>
      <c r="AR1907" s="63" t="str">
        <f t="shared" si="314"/>
        <v/>
      </c>
      <c r="AS1907" s="63" t="str">
        <f t="shared" si="315"/>
        <v/>
      </c>
      <c r="AT1907" s="78" t="str">
        <f t="shared" si="316"/>
        <v/>
      </c>
      <c r="AU1907" s="78" t="str">
        <f t="shared" si="317"/>
        <v/>
      </c>
      <c r="AV1907" s="64" t="str">
        <f ca="1">IFERROR(__xludf.DUMMYFUNCTION("IF(TRIM(AU1907)="""","""",AU1907/INDEX(FILTER(AT$3:AT1907,TRIM(AT$3:AT1907)&lt;&gt;""""),ROWS(FILTER(AT$3:AT1907,TRIM(AT$3:AT1907)&lt;&gt;"""")))-1)"),"")</f>
        <v/>
      </c>
      <c r="AW1907" s="65" t="e">
        <f t="shared" ca="1" si="310"/>
        <v>#VALUE!</v>
      </c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</row>
    <row r="1908" spans="1:68" ht="19" x14ac:dyDescent="0.25">
      <c r="A1908" s="5"/>
      <c r="B1908" s="5"/>
      <c r="C1908" s="5"/>
      <c r="D1908" s="5"/>
      <c r="E1908" s="5"/>
      <c r="F1908" s="5"/>
      <c r="G1908" s="5"/>
      <c r="H1908" s="6"/>
      <c r="I1908" s="5"/>
      <c r="J1908" s="88"/>
      <c r="K1908" s="88"/>
      <c r="L1908" s="88"/>
      <c r="M1908" s="88"/>
      <c r="N1908" s="88"/>
      <c r="O1908" s="88"/>
      <c r="P1908" s="88"/>
      <c r="Q1908" s="89"/>
      <c r="R1908" s="88"/>
      <c r="S1908" s="88"/>
      <c r="T1908" s="90"/>
      <c r="U1908" s="6"/>
      <c r="V1908" s="92"/>
      <c r="W1908" s="77"/>
      <c r="X1908" s="91"/>
      <c r="Y1908" s="77"/>
      <c r="Z1908" s="5"/>
      <c r="AA1908" s="5"/>
      <c r="AB1908" s="5"/>
      <c r="AC1908" s="5"/>
      <c r="AD1908" s="5"/>
      <c r="AE1908" s="5"/>
      <c r="AF1908" s="5"/>
      <c r="AG1908" s="5"/>
      <c r="AH1908" s="6"/>
      <c r="AI1908" s="92"/>
      <c r="AJ1908" s="93"/>
      <c r="AK1908" s="94"/>
      <c r="AL1908" s="95"/>
      <c r="AM1908" s="56"/>
      <c r="AN1908" s="57">
        <f t="shared" si="309"/>
        <v>0</v>
      </c>
      <c r="AO1908" s="76">
        <f t="shared" si="311"/>
        <v>0</v>
      </c>
      <c r="AP1908" s="63" t="str">
        <f t="shared" si="312"/>
        <v/>
      </c>
      <c r="AQ1908" s="63" t="str">
        <f t="shared" si="313"/>
        <v/>
      </c>
      <c r="AR1908" s="63" t="str">
        <f t="shared" si="314"/>
        <v/>
      </c>
      <c r="AS1908" s="63" t="str">
        <f t="shared" si="315"/>
        <v/>
      </c>
      <c r="AT1908" s="78" t="str">
        <f t="shared" si="316"/>
        <v/>
      </c>
      <c r="AU1908" s="78" t="str">
        <f t="shared" si="317"/>
        <v/>
      </c>
      <c r="AV1908" s="64" t="str">
        <f ca="1">IFERROR(__xludf.DUMMYFUNCTION("IF(TRIM(AU1908)="""","""",AU1908/INDEX(FILTER(AT$3:AT1908,TRIM(AT$3:AT1908)&lt;&gt;""""),ROWS(FILTER(AT$3:AT1908,TRIM(AT$3:AT1908)&lt;&gt;"""")))-1)"),"")</f>
        <v/>
      </c>
      <c r="AW1908" s="65" t="e">
        <f t="shared" ca="1" si="310"/>
        <v>#VALUE!</v>
      </c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</row>
    <row r="1909" spans="1:68" ht="19" x14ac:dyDescent="0.25">
      <c r="A1909" s="5"/>
      <c r="B1909" s="5"/>
      <c r="C1909" s="5"/>
      <c r="D1909" s="5"/>
      <c r="E1909" s="5"/>
      <c r="F1909" s="5"/>
      <c r="G1909" s="5"/>
      <c r="H1909" s="6"/>
      <c r="I1909" s="5"/>
      <c r="J1909" s="88"/>
      <c r="K1909" s="88"/>
      <c r="L1909" s="88"/>
      <c r="M1909" s="88"/>
      <c r="N1909" s="88"/>
      <c r="O1909" s="88"/>
      <c r="P1909" s="88"/>
      <c r="Q1909" s="89"/>
      <c r="R1909" s="88"/>
      <c r="S1909" s="88"/>
      <c r="T1909" s="90"/>
      <c r="U1909" s="6"/>
      <c r="V1909" s="92"/>
      <c r="W1909" s="77"/>
      <c r="X1909" s="91"/>
      <c r="Y1909" s="77"/>
      <c r="Z1909" s="5"/>
      <c r="AA1909" s="5"/>
      <c r="AB1909" s="5"/>
      <c r="AC1909" s="5"/>
      <c r="AD1909" s="5"/>
      <c r="AE1909" s="5"/>
      <c r="AF1909" s="5"/>
      <c r="AG1909" s="5"/>
      <c r="AH1909" s="6"/>
      <c r="AI1909" s="92"/>
      <c r="AJ1909" s="93"/>
      <c r="AK1909" s="94"/>
      <c r="AL1909" s="95"/>
      <c r="AM1909" s="56"/>
      <c r="AN1909" s="57">
        <f t="shared" si="309"/>
        <v>0</v>
      </c>
      <c r="AO1909" s="76">
        <f t="shared" si="311"/>
        <v>0</v>
      </c>
      <c r="AP1909" s="63" t="str">
        <f t="shared" si="312"/>
        <v/>
      </c>
      <c r="AQ1909" s="63" t="str">
        <f t="shared" si="313"/>
        <v/>
      </c>
      <c r="AR1909" s="63" t="str">
        <f t="shared" si="314"/>
        <v/>
      </c>
      <c r="AS1909" s="63" t="str">
        <f t="shared" si="315"/>
        <v/>
      </c>
      <c r="AT1909" s="78" t="str">
        <f t="shared" si="316"/>
        <v/>
      </c>
      <c r="AU1909" s="78" t="str">
        <f t="shared" si="317"/>
        <v/>
      </c>
      <c r="AV1909" s="64" t="str">
        <f ca="1">IFERROR(__xludf.DUMMYFUNCTION("IF(TRIM(AU1909)="""","""",AU1909/INDEX(FILTER(AT$3:AT1909,TRIM(AT$3:AT1909)&lt;&gt;""""),ROWS(FILTER(AT$3:AT1909,TRIM(AT$3:AT1909)&lt;&gt;"""")))-1)"),"")</f>
        <v/>
      </c>
      <c r="AW1909" s="65" t="e">
        <f t="shared" ca="1" si="310"/>
        <v>#VALUE!</v>
      </c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</row>
    <row r="1910" spans="1:68" ht="19" x14ac:dyDescent="0.25">
      <c r="A1910" s="5"/>
      <c r="B1910" s="5"/>
      <c r="C1910" s="5"/>
      <c r="D1910" s="5"/>
      <c r="E1910" s="5"/>
      <c r="F1910" s="5"/>
      <c r="G1910" s="5"/>
      <c r="H1910" s="6"/>
      <c r="I1910" s="5"/>
      <c r="J1910" s="88"/>
      <c r="K1910" s="88"/>
      <c r="L1910" s="88"/>
      <c r="M1910" s="88"/>
      <c r="N1910" s="88"/>
      <c r="O1910" s="88"/>
      <c r="P1910" s="88"/>
      <c r="Q1910" s="89"/>
      <c r="R1910" s="88"/>
      <c r="S1910" s="88"/>
      <c r="T1910" s="90"/>
      <c r="U1910" s="6"/>
      <c r="V1910" s="92"/>
      <c r="W1910" s="77"/>
      <c r="X1910" s="91"/>
      <c r="Y1910" s="77"/>
      <c r="Z1910" s="5"/>
      <c r="AA1910" s="5"/>
      <c r="AB1910" s="5"/>
      <c r="AC1910" s="5"/>
      <c r="AD1910" s="5"/>
      <c r="AE1910" s="5"/>
      <c r="AF1910" s="5"/>
      <c r="AG1910" s="5"/>
      <c r="AH1910" s="6"/>
      <c r="AI1910" s="92"/>
      <c r="AJ1910" s="93"/>
      <c r="AK1910" s="94"/>
      <c r="AL1910" s="95"/>
      <c r="AM1910" s="56"/>
      <c r="AN1910" s="57">
        <f t="shared" si="309"/>
        <v>0</v>
      </c>
      <c r="AO1910" s="76">
        <f t="shared" si="311"/>
        <v>0</v>
      </c>
      <c r="AP1910" s="63" t="str">
        <f t="shared" si="312"/>
        <v/>
      </c>
      <c r="AQ1910" s="63" t="str">
        <f t="shared" si="313"/>
        <v/>
      </c>
      <c r="AR1910" s="63" t="str">
        <f t="shared" si="314"/>
        <v/>
      </c>
      <c r="AS1910" s="63" t="str">
        <f t="shared" si="315"/>
        <v/>
      </c>
      <c r="AT1910" s="78" t="str">
        <f t="shared" si="316"/>
        <v/>
      </c>
      <c r="AU1910" s="78" t="str">
        <f t="shared" si="317"/>
        <v/>
      </c>
      <c r="AV1910" s="64" t="str">
        <f ca="1">IFERROR(__xludf.DUMMYFUNCTION("IF(TRIM(AU1910)="""","""",AU1910/INDEX(FILTER(AT$3:AT1910,TRIM(AT$3:AT1910)&lt;&gt;""""),ROWS(FILTER(AT$3:AT1910,TRIM(AT$3:AT1910)&lt;&gt;"""")))-1)"),"")</f>
        <v/>
      </c>
      <c r="AW1910" s="65" t="e">
        <f t="shared" ca="1" si="310"/>
        <v>#VALUE!</v>
      </c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</row>
    <row r="1911" spans="1:68" ht="19" x14ac:dyDescent="0.25">
      <c r="A1911" s="5"/>
      <c r="B1911" s="5"/>
      <c r="C1911" s="5"/>
      <c r="D1911" s="5"/>
      <c r="E1911" s="5"/>
      <c r="F1911" s="5"/>
      <c r="G1911" s="5"/>
      <c r="H1911" s="6"/>
      <c r="I1911" s="5"/>
      <c r="J1911" s="88"/>
      <c r="K1911" s="88"/>
      <c r="L1911" s="88"/>
      <c r="M1911" s="88"/>
      <c r="N1911" s="88"/>
      <c r="O1911" s="88"/>
      <c r="P1911" s="88"/>
      <c r="Q1911" s="89"/>
      <c r="R1911" s="88"/>
      <c r="S1911" s="88"/>
      <c r="T1911" s="90"/>
      <c r="U1911" s="6"/>
      <c r="V1911" s="92"/>
      <c r="W1911" s="77"/>
      <c r="X1911" s="91"/>
      <c r="Y1911" s="77"/>
      <c r="Z1911" s="5"/>
      <c r="AA1911" s="5"/>
      <c r="AB1911" s="5"/>
      <c r="AC1911" s="5"/>
      <c r="AD1911" s="5"/>
      <c r="AE1911" s="5"/>
      <c r="AF1911" s="5"/>
      <c r="AG1911" s="5"/>
      <c r="AH1911" s="6"/>
      <c r="AI1911" s="92"/>
      <c r="AJ1911" s="93"/>
      <c r="AK1911" s="94"/>
      <c r="AL1911" s="95"/>
      <c r="AM1911" s="56"/>
      <c r="AN1911" s="57">
        <f t="shared" si="309"/>
        <v>0</v>
      </c>
      <c r="AO1911" s="76">
        <f t="shared" si="311"/>
        <v>0</v>
      </c>
      <c r="AP1911" s="63" t="str">
        <f t="shared" si="312"/>
        <v/>
      </c>
      <c r="AQ1911" s="63" t="str">
        <f t="shared" si="313"/>
        <v/>
      </c>
      <c r="AR1911" s="63" t="str">
        <f t="shared" si="314"/>
        <v/>
      </c>
      <c r="AS1911" s="63" t="str">
        <f t="shared" si="315"/>
        <v/>
      </c>
      <c r="AT1911" s="78" t="str">
        <f t="shared" si="316"/>
        <v/>
      </c>
      <c r="AU1911" s="78" t="str">
        <f t="shared" si="317"/>
        <v/>
      </c>
      <c r="AV1911" s="64" t="str">
        <f ca="1">IFERROR(__xludf.DUMMYFUNCTION("IF(TRIM(AU1911)="""","""",AU1911/INDEX(FILTER(AT$3:AT1911,TRIM(AT$3:AT1911)&lt;&gt;""""),ROWS(FILTER(AT$3:AT1911,TRIM(AT$3:AT1911)&lt;&gt;"""")))-1)"),"")</f>
        <v/>
      </c>
      <c r="AW1911" s="65" t="e">
        <f t="shared" ca="1" si="310"/>
        <v>#VALUE!</v>
      </c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</row>
    <row r="1912" spans="1:68" ht="19" x14ac:dyDescent="0.25">
      <c r="A1912" s="5"/>
      <c r="B1912" s="5"/>
      <c r="C1912" s="5"/>
      <c r="D1912" s="5"/>
      <c r="E1912" s="5"/>
      <c r="F1912" s="5"/>
      <c r="G1912" s="5"/>
      <c r="H1912" s="6"/>
      <c r="I1912" s="5"/>
      <c r="J1912" s="88"/>
      <c r="K1912" s="88"/>
      <c r="L1912" s="88"/>
      <c r="M1912" s="88"/>
      <c r="N1912" s="88"/>
      <c r="O1912" s="88"/>
      <c r="P1912" s="88"/>
      <c r="Q1912" s="89"/>
      <c r="R1912" s="88"/>
      <c r="S1912" s="88"/>
      <c r="T1912" s="90"/>
      <c r="U1912" s="6"/>
      <c r="V1912" s="92"/>
      <c r="W1912" s="77"/>
      <c r="X1912" s="91"/>
      <c r="Y1912" s="77"/>
      <c r="Z1912" s="5"/>
      <c r="AA1912" s="5"/>
      <c r="AB1912" s="5"/>
      <c r="AC1912" s="5"/>
      <c r="AD1912" s="5"/>
      <c r="AE1912" s="5"/>
      <c r="AF1912" s="5"/>
      <c r="AG1912" s="5"/>
      <c r="AH1912" s="6"/>
      <c r="AI1912" s="92"/>
      <c r="AJ1912" s="93"/>
      <c r="AK1912" s="94"/>
      <c r="AL1912" s="95"/>
      <c r="AM1912" s="56"/>
      <c r="AN1912" s="57">
        <f t="shared" si="309"/>
        <v>0</v>
      </c>
      <c r="AO1912" s="76">
        <f t="shared" si="311"/>
        <v>0</v>
      </c>
      <c r="AP1912" s="63" t="str">
        <f t="shared" si="312"/>
        <v/>
      </c>
      <c r="AQ1912" s="63" t="str">
        <f t="shared" si="313"/>
        <v/>
      </c>
      <c r="AR1912" s="63" t="str">
        <f t="shared" si="314"/>
        <v/>
      </c>
      <c r="AS1912" s="63" t="str">
        <f t="shared" si="315"/>
        <v/>
      </c>
      <c r="AT1912" s="78" t="str">
        <f t="shared" si="316"/>
        <v/>
      </c>
      <c r="AU1912" s="78" t="str">
        <f t="shared" si="317"/>
        <v/>
      </c>
      <c r="AV1912" s="64" t="str">
        <f ca="1">IFERROR(__xludf.DUMMYFUNCTION("IF(TRIM(AU1912)="""","""",AU1912/INDEX(FILTER(AT$3:AT1912,TRIM(AT$3:AT1912)&lt;&gt;""""),ROWS(FILTER(AT$3:AT1912,TRIM(AT$3:AT1912)&lt;&gt;"""")))-1)"),"")</f>
        <v/>
      </c>
      <c r="AW1912" s="65" t="e">
        <f t="shared" ca="1" si="310"/>
        <v>#VALUE!</v>
      </c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</row>
    <row r="1913" spans="1:68" ht="19" x14ac:dyDescent="0.25">
      <c r="A1913" s="5"/>
      <c r="B1913" s="5"/>
      <c r="C1913" s="5"/>
      <c r="D1913" s="5"/>
      <c r="E1913" s="5"/>
      <c r="F1913" s="5"/>
      <c r="G1913" s="5"/>
      <c r="H1913" s="6"/>
      <c r="I1913" s="5"/>
      <c r="J1913" s="88"/>
      <c r="K1913" s="88"/>
      <c r="L1913" s="88"/>
      <c r="M1913" s="88"/>
      <c r="N1913" s="88"/>
      <c r="O1913" s="88"/>
      <c r="P1913" s="88"/>
      <c r="Q1913" s="89"/>
      <c r="R1913" s="88"/>
      <c r="S1913" s="88"/>
      <c r="T1913" s="90"/>
      <c r="U1913" s="6"/>
      <c r="V1913" s="92"/>
      <c r="W1913" s="77"/>
      <c r="X1913" s="91"/>
      <c r="Y1913" s="77"/>
      <c r="Z1913" s="5"/>
      <c r="AA1913" s="5"/>
      <c r="AB1913" s="5"/>
      <c r="AC1913" s="5"/>
      <c r="AD1913" s="5"/>
      <c r="AE1913" s="5"/>
      <c r="AF1913" s="5"/>
      <c r="AG1913" s="5"/>
      <c r="AH1913" s="6"/>
      <c r="AI1913" s="92"/>
      <c r="AJ1913" s="93"/>
      <c r="AK1913" s="94"/>
      <c r="AL1913" s="95"/>
      <c r="AM1913" s="56"/>
      <c r="AN1913" s="57">
        <f t="shared" si="309"/>
        <v>0</v>
      </c>
      <c r="AO1913" s="76">
        <f t="shared" si="311"/>
        <v>0</v>
      </c>
      <c r="AP1913" s="63" t="str">
        <f t="shared" si="312"/>
        <v/>
      </c>
      <c r="AQ1913" s="63" t="str">
        <f t="shared" si="313"/>
        <v/>
      </c>
      <c r="AR1913" s="63" t="str">
        <f t="shared" si="314"/>
        <v/>
      </c>
      <c r="AS1913" s="63" t="str">
        <f t="shared" si="315"/>
        <v/>
      </c>
      <c r="AT1913" s="78" t="str">
        <f t="shared" si="316"/>
        <v/>
      </c>
      <c r="AU1913" s="78" t="str">
        <f t="shared" si="317"/>
        <v/>
      </c>
      <c r="AV1913" s="64" t="str">
        <f ca="1">IFERROR(__xludf.DUMMYFUNCTION("IF(TRIM(AU1913)="""","""",AU1913/INDEX(FILTER(AT$3:AT1913,TRIM(AT$3:AT1913)&lt;&gt;""""),ROWS(FILTER(AT$3:AT1913,TRIM(AT$3:AT1913)&lt;&gt;"""")))-1)"),"")</f>
        <v/>
      </c>
      <c r="AW1913" s="65" t="e">
        <f t="shared" ca="1" si="310"/>
        <v>#VALUE!</v>
      </c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</row>
    <row r="1914" spans="1:68" ht="19" x14ac:dyDescent="0.25">
      <c r="A1914" s="5"/>
      <c r="B1914" s="5"/>
      <c r="C1914" s="5"/>
      <c r="D1914" s="5"/>
      <c r="E1914" s="5"/>
      <c r="F1914" s="5"/>
      <c r="G1914" s="5"/>
      <c r="H1914" s="6"/>
      <c r="I1914" s="5"/>
      <c r="J1914" s="88"/>
      <c r="K1914" s="88"/>
      <c r="L1914" s="88"/>
      <c r="M1914" s="88"/>
      <c r="N1914" s="88"/>
      <c r="O1914" s="88"/>
      <c r="P1914" s="88"/>
      <c r="Q1914" s="89"/>
      <c r="R1914" s="88"/>
      <c r="S1914" s="88"/>
      <c r="T1914" s="90"/>
      <c r="U1914" s="6"/>
      <c r="V1914" s="92"/>
      <c r="W1914" s="77"/>
      <c r="X1914" s="91"/>
      <c r="Y1914" s="77"/>
      <c r="Z1914" s="5"/>
      <c r="AA1914" s="5"/>
      <c r="AB1914" s="5"/>
      <c r="AC1914" s="5"/>
      <c r="AD1914" s="5"/>
      <c r="AE1914" s="5"/>
      <c r="AF1914" s="5"/>
      <c r="AG1914" s="5"/>
      <c r="AH1914" s="6"/>
      <c r="AI1914" s="92"/>
      <c r="AJ1914" s="93"/>
      <c r="AK1914" s="94"/>
      <c r="AL1914" s="95"/>
      <c r="AM1914" s="56"/>
      <c r="AN1914" s="57">
        <f t="shared" si="309"/>
        <v>0</v>
      </c>
      <c r="AO1914" s="76">
        <f t="shared" si="311"/>
        <v>0</v>
      </c>
      <c r="AP1914" s="63" t="str">
        <f t="shared" si="312"/>
        <v/>
      </c>
      <c r="AQ1914" s="63" t="str">
        <f t="shared" si="313"/>
        <v/>
      </c>
      <c r="AR1914" s="63" t="str">
        <f t="shared" si="314"/>
        <v/>
      </c>
      <c r="AS1914" s="63" t="str">
        <f t="shared" si="315"/>
        <v/>
      </c>
      <c r="AT1914" s="78" t="str">
        <f t="shared" si="316"/>
        <v/>
      </c>
      <c r="AU1914" s="78" t="str">
        <f t="shared" si="317"/>
        <v/>
      </c>
      <c r="AV1914" s="64" t="str">
        <f ca="1">IFERROR(__xludf.DUMMYFUNCTION("IF(TRIM(AU1914)="""","""",AU1914/INDEX(FILTER(AT$3:AT1914,TRIM(AT$3:AT1914)&lt;&gt;""""),ROWS(FILTER(AT$3:AT1914,TRIM(AT$3:AT1914)&lt;&gt;"""")))-1)"),"")</f>
        <v/>
      </c>
      <c r="AW1914" s="65" t="e">
        <f t="shared" ca="1" si="310"/>
        <v>#VALUE!</v>
      </c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</row>
    <row r="1915" spans="1:68" ht="19" x14ac:dyDescent="0.25">
      <c r="A1915" s="5"/>
      <c r="B1915" s="5"/>
      <c r="C1915" s="5"/>
      <c r="D1915" s="5"/>
      <c r="E1915" s="5"/>
      <c r="F1915" s="5"/>
      <c r="G1915" s="5"/>
      <c r="H1915" s="6"/>
      <c r="I1915" s="5"/>
      <c r="J1915" s="88"/>
      <c r="K1915" s="88"/>
      <c r="L1915" s="88"/>
      <c r="M1915" s="88"/>
      <c r="N1915" s="88"/>
      <c r="O1915" s="88"/>
      <c r="P1915" s="88"/>
      <c r="Q1915" s="89"/>
      <c r="R1915" s="88"/>
      <c r="S1915" s="88"/>
      <c r="T1915" s="90"/>
      <c r="U1915" s="6"/>
      <c r="V1915" s="92"/>
      <c r="W1915" s="77"/>
      <c r="X1915" s="91"/>
      <c r="Y1915" s="77"/>
      <c r="Z1915" s="5"/>
      <c r="AA1915" s="5"/>
      <c r="AB1915" s="5"/>
      <c r="AC1915" s="5"/>
      <c r="AD1915" s="5"/>
      <c r="AE1915" s="5"/>
      <c r="AF1915" s="5"/>
      <c r="AG1915" s="5"/>
      <c r="AH1915" s="6"/>
      <c r="AI1915" s="92"/>
      <c r="AJ1915" s="93"/>
      <c r="AK1915" s="94"/>
      <c r="AL1915" s="95"/>
      <c r="AM1915" s="56"/>
      <c r="AN1915" s="57">
        <f t="shared" si="309"/>
        <v>0</v>
      </c>
      <c r="AO1915" s="76">
        <f t="shared" si="311"/>
        <v>0</v>
      </c>
      <c r="AP1915" s="63" t="str">
        <f t="shared" si="312"/>
        <v/>
      </c>
      <c r="AQ1915" s="63" t="str">
        <f t="shared" si="313"/>
        <v/>
      </c>
      <c r="AR1915" s="63" t="str">
        <f t="shared" si="314"/>
        <v/>
      </c>
      <c r="AS1915" s="63" t="str">
        <f t="shared" si="315"/>
        <v/>
      </c>
      <c r="AT1915" s="78" t="str">
        <f t="shared" si="316"/>
        <v/>
      </c>
      <c r="AU1915" s="78" t="str">
        <f t="shared" si="317"/>
        <v/>
      </c>
      <c r="AV1915" s="64" t="str">
        <f ca="1">IFERROR(__xludf.DUMMYFUNCTION("IF(TRIM(AU1915)="""","""",AU1915/INDEX(FILTER(AT$3:AT1915,TRIM(AT$3:AT1915)&lt;&gt;""""),ROWS(FILTER(AT$3:AT1915,TRIM(AT$3:AT1915)&lt;&gt;"""")))-1)"),"")</f>
        <v/>
      </c>
      <c r="AW1915" s="65" t="e">
        <f t="shared" ca="1" si="310"/>
        <v>#VALUE!</v>
      </c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</row>
    <row r="1916" spans="1:68" ht="19" x14ac:dyDescent="0.25">
      <c r="A1916" s="5"/>
      <c r="B1916" s="5"/>
      <c r="C1916" s="5"/>
      <c r="D1916" s="5"/>
      <c r="E1916" s="5"/>
      <c r="F1916" s="5"/>
      <c r="G1916" s="5"/>
      <c r="H1916" s="6"/>
      <c r="I1916" s="5"/>
      <c r="J1916" s="88"/>
      <c r="K1916" s="88"/>
      <c r="L1916" s="88"/>
      <c r="M1916" s="88"/>
      <c r="N1916" s="88"/>
      <c r="O1916" s="88"/>
      <c r="P1916" s="88"/>
      <c r="Q1916" s="89"/>
      <c r="R1916" s="88"/>
      <c r="S1916" s="88"/>
      <c r="T1916" s="90"/>
      <c r="U1916" s="6"/>
      <c r="V1916" s="92"/>
      <c r="W1916" s="77"/>
      <c r="X1916" s="91"/>
      <c r="Y1916" s="77"/>
      <c r="Z1916" s="5"/>
      <c r="AA1916" s="5"/>
      <c r="AB1916" s="5"/>
      <c r="AC1916" s="5"/>
      <c r="AD1916" s="5"/>
      <c r="AE1916" s="5"/>
      <c r="AF1916" s="5"/>
      <c r="AG1916" s="5"/>
      <c r="AH1916" s="6"/>
      <c r="AI1916" s="92"/>
      <c r="AJ1916" s="93"/>
      <c r="AK1916" s="94"/>
      <c r="AL1916" s="95"/>
      <c r="AM1916" s="56"/>
      <c r="AN1916" s="57">
        <f t="shared" si="309"/>
        <v>0</v>
      </c>
      <c r="AO1916" s="76">
        <f t="shared" si="311"/>
        <v>0</v>
      </c>
      <c r="AP1916" s="63" t="str">
        <f t="shared" si="312"/>
        <v/>
      </c>
      <c r="AQ1916" s="63" t="str">
        <f t="shared" si="313"/>
        <v/>
      </c>
      <c r="AR1916" s="63" t="str">
        <f t="shared" si="314"/>
        <v/>
      </c>
      <c r="AS1916" s="63" t="str">
        <f t="shared" si="315"/>
        <v/>
      </c>
      <c r="AT1916" s="78" t="str">
        <f t="shared" si="316"/>
        <v/>
      </c>
      <c r="AU1916" s="78" t="str">
        <f t="shared" si="317"/>
        <v/>
      </c>
      <c r="AV1916" s="64" t="str">
        <f ca="1">IFERROR(__xludf.DUMMYFUNCTION("IF(TRIM(AU1916)="""","""",AU1916/INDEX(FILTER(AT$3:AT1916,TRIM(AT$3:AT1916)&lt;&gt;""""),ROWS(FILTER(AT$3:AT1916,TRIM(AT$3:AT1916)&lt;&gt;"""")))-1)"),"")</f>
        <v/>
      </c>
      <c r="AW1916" s="65" t="e">
        <f t="shared" ca="1" si="310"/>
        <v>#VALUE!</v>
      </c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</row>
    <row r="1917" spans="1:68" ht="19" x14ac:dyDescent="0.25">
      <c r="A1917" s="5"/>
      <c r="B1917" s="5"/>
      <c r="C1917" s="5"/>
      <c r="D1917" s="5"/>
      <c r="E1917" s="5"/>
      <c r="F1917" s="5"/>
      <c r="G1917" s="5"/>
      <c r="H1917" s="6"/>
      <c r="I1917" s="5"/>
      <c r="J1917" s="88"/>
      <c r="K1917" s="88"/>
      <c r="L1917" s="88"/>
      <c r="M1917" s="88"/>
      <c r="N1917" s="88"/>
      <c r="O1917" s="88"/>
      <c r="P1917" s="88"/>
      <c r="Q1917" s="89"/>
      <c r="R1917" s="88"/>
      <c r="S1917" s="88"/>
      <c r="T1917" s="90"/>
      <c r="U1917" s="6"/>
      <c r="V1917" s="92"/>
      <c r="W1917" s="77"/>
      <c r="X1917" s="91"/>
      <c r="Y1917" s="77"/>
      <c r="Z1917" s="5"/>
      <c r="AA1917" s="5"/>
      <c r="AB1917" s="5"/>
      <c r="AC1917" s="5"/>
      <c r="AD1917" s="5"/>
      <c r="AE1917" s="5"/>
      <c r="AF1917" s="5"/>
      <c r="AG1917" s="5"/>
      <c r="AH1917" s="6"/>
      <c r="AI1917" s="92"/>
      <c r="AJ1917" s="93"/>
      <c r="AK1917" s="94"/>
      <c r="AL1917" s="95"/>
      <c r="AM1917" s="56"/>
      <c r="AN1917" s="57">
        <f t="shared" si="309"/>
        <v>0</v>
      </c>
      <c r="AO1917" s="76">
        <f t="shared" si="311"/>
        <v>0</v>
      </c>
      <c r="AP1917" s="63" t="str">
        <f t="shared" si="312"/>
        <v/>
      </c>
      <c r="AQ1917" s="63" t="str">
        <f t="shared" si="313"/>
        <v/>
      </c>
      <c r="AR1917" s="63" t="str">
        <f t="shared" si="314"/>
        <v/>
      </c>
      <c r="AS1917" s="63" t="str">
        <f t="shared" si="315"/>
        <v/>
      </c>
      <c r="AT1917" s="78" t="str">
        <f t="shared" si="316"/>
        <v/>
      </c>
      <c r="AU1917" s="78" t="str">
        <f t="shared" si="317"/>
        <v/>
      </c>
      <c r="AV1917" s="64" t="str">
        <f ca="1">IFERROR(__xludf.DUMMYFUNCTION("IF(TRIM(AU1917)="""","""",AU1917/INDEX(FILTER(AT$3:AT1917,TRIM(AT$3:AT1917)&lt;&gt;""""),ROWS(FILTER(AT$3:AT1917,TRIM(AT$3:AT1917)&lt;&gt;"""")))-1)"),"")</f>
        <v/>
      </c>
      <c r="AW1917" s="65" t="e">
        <f t="shared" ca="1" si="310"/>
        <v>#VALUE!</v>
      </c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</row>
    <row r="1918" spans="1:68" ht="19" x14ac:dyDescent="0.25">
      <c r="A1918" s="5"/>
      <c r="B1918" s="5"/>
      <c r="C1918" s="5"/>
      <c r="D1918" s="5"/>
      <c r="E1918" s="5"/>
      <c r="F1918" s="5"/>
      <c r="G1918" s="5"/>
      <c r="H1918" s="6"/>
      <c r="I1918" s="5"/>
      <c r="J1918" s="88"/>
      <c r="K1918" s="88"/>
      <c r="L1918" s="88"/>
      <c r="M1918" s="88"/>
      <c r="N1918" s="88"/>
      <c r="O1918" s="88"/>
      <c r="P1918" s="88"/>
      <c r="Q1918" s="89"/>
      <c r="R1918" s="88"/>
      <c r="S1918" s="88"/>
      <c r="T1918" s="90"/>
      <c r="U1918" s="6"/>
      <c r="V1918" s="92"/>
      <c r="W1918" s="77"/>
      <c r="X1918" s="91"/>
      <c r="Y1918" s="77"/>
      <c r="Z1918" s="5"/>
      <c r="AA1918" s="5"/>
      <c r="AB1918" s="5"/>
      <c r="AC1918" s="5"/>
      <c r="AD1918" s="5"/>
      <c r="AE1918" s="5"/>
      <c r="AF1918" s="5"/>
      <c r="AG1918" s="5"/>
      <c r="AH1918" s="6"/>
      <c r="AI1918" s="92"/>
      <c r="AJ1918" s="93"/>
      <c r="AK1918" s="94"/>
      <c r="AL1918" s="95"/>
      <c r="AM1918" s="56"/>
      <c r="AN1918" s="57">
        <f t="shared" si="309"/>
        <v>0</v>
      </c>
      <c r="AO1918" s="76">
        <f t="shared" si="311"/>
        <v>0</v>
      </c>
      <c r="AP1918" s="63" t="str">
        <f t="shared" si="312"/>
        <v/>
      </c>
      <c r="AQ1918" s="63" t="str">
        <f t="shared" si="313"/>
        <v/>
      </c>
      <c r="AR1918" s="63" t="str">
        <f t="shared" si="314"/>
        <v/>
      </c>
      <c r="AS1918" s="63" t="str">
        <f t="shared" si="315"/>
        <v/>
      </c>
      <c r="AT1918" s="78" t="str">
        <f t="shared" si="316"/>
        <v/>
      </c>
      <c r="AU1918" s="78" t="str">
        <f t="shared" si="317"/>
        <v/>
      </c>
      <c r="AV1918" s="64" t="str">
        <f ca="1">IFERROR(__xludf.DUMMYFUNCTION("IF(TRIM(AU1918)="""","""",AU1918/INDEX(FILTER(AT$3:AT1918,TRIM(AT$3:AT1918)&lt;&gt;""""),ROWS(FILTER(AT$3:AT1918,TRIM(AT$3:AT1918)&lt;&gt;"""")))-1)"),"")</f>
        <v/>
      </c>
      <c r="AW1918" s="65" t="e">
        <f t="shared" ca="1" si="310"/>
        <v>#VALUE!</v>
      </c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</row>
    <row r="1919" spans="1:68" ht="19" x14ac:dyDescent="0.25">
      <c r="A1919" s="5"/>
      <c r="B1919" s="5"/>
      <c r="C1919" s="5"/>
      <c r="D1919" s="5"/>
      <c r="E1919" s="5"/>
      <c r="F1919" s="5"/>
      <c r="G1919" s="5"/>
      <c r="H1919" s="6"/>
      <c r="I1919" s="5"/>
      <c r="J1919" s="88"/>
      <c r="K1919" s="88"/>
      <c r="L1919" s="88"/>
      <c r="M1919" s="88"/>
      <c r="N1919" s="88"/>
      <c r="O1919" s="88"/>
      <c r="P1919" s="88"/>
      <c r="Q1919" s="89"/>
      <c r="R1919" s="88"/>
      <c r="S1919" s="88"/>
      <c r="T1919" s="90"/>
      <c r="U1919" s="6"/>
      <c r="V1919" s="92"/>
      <c r="W1919" s="77"/>
      <c r="X1919" s="91"/>
      <c r="Y1919" s="77"/>
      <c r="Z1919" s="5"/>
      <c r="AA1919" s="5"/>
      <c r="AB1919" s="5"/>
      <c r="AC1919" s="5"/>
      <c r="AD1919" s="5"/>
      <c r="AE1919" s="5"/>
      <c r="AF1919" s="5"/>
      <c r="AG1919" s="5"/>
      <c r="AH1919" s="6"/>
      <c r="AI1919" s="92"/>
      <c r="AJ1919" s="93"/>
      <c r="AK1919" s="94"/>
      <c r="AL1919" s="95"/>
      <c r="AM1919" s="56"/>
      <c r="AN1919" s="57">
        <f t="shared" si="309"/>
        <v>0</v>
      </c>
      <c r="AO1919" s="76">
        <f t="shared" si="311"/>
        <v>0</v>
      </c>
      <c r="AP1919" s="63" t="str">
        <f t="shared" si="312"/>
        <v/>
      </c>
      <c r="AQ1919" s="63" t="str">
        <f t="shared" si="313"/>
        <v/>
      </c>
      <c r="AR1919" s="63" t="str">
        <f t="shared" si="314"/>
        <v/>
      </c>
      <c r="AS1919" s="63" t="str">
        <f t="shared" si="315"/>
        <v/>
      </c>
      <c r="AT1919" s="78" t="str">
        <f t="shared" si="316"/>
        <v/>
      </c>
      <c r="AU1919" s="78" t="str">
        <f t="shared" si="317"/>
        <v/>
      </c>
      <c r="AV1919" s="64" t="str">
        <f ca="1">IFERROR(__xludf.DUMMYFUNCTION("IF(TRIM(AU1919)="""","""",AU1919/INDEX(FILTER(AT$3:AT1919,TRIM(AT$3:AT1919)&lt;&gt;""""),ROWS(FILTER(AT$3:AT1919,TRIM(AT$3:AT1919)&lt;&gt;"""")))-1)"),"")</f>
        <v/>
      </c>
      <c r="AW1919" s="65" t="e">
        <f t="shared" ca="1" si="310"/>
        <v>#VALUE!</v>
      </c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</row>
    <row r="1920" spans="1:68" ht="19" x14ac:dyDescent="0.25">
      <c r="A1920" s="5"/>
      <c r="B1920" s="5"/>
      <c r="C1920" s="5"/>
      <c r="D1920" s="5"/>
      <c r="E1920" s="5"/>
      <c r="F1920" s="5"/>
      <c r="G1920" s="5"/>
      <c r="H1920" s="6"/>
      <c r="I1920" s="5"/>
      <c r="J1920" s="88"/>
      <c r="K1920" s="88"/>
      <c r="L1920" s="88"/>
      <c r="M1920" s="88"/>
      <c r="N1920" s="88"/>
      <c r="O1920" s="88"/>
      <c r="P1920" s="88"/>
      <c r="Q1920" s="89"/>
      <c r="R1920" s="88"/>
      <c r="S1920" s="88"/>
      <c r="T1920" s="90"/>
      <c r="U1920" s="6"/>
      <c r="V1920" s="92"/>
      <c r="W1920" s="77"/>
      <c r="X1920" s="91"/>
      <c r="Y1920" s="77"/>
      <c r="Z1920" s="5"/>
      <c r="AA1920" s="5"/>
      <c r="AB1920" s="5"/>
      <c r="AC1920" s="5"/>
      <c r="AD1920" s="5"/>
      <c r="AE1920" s="5"/>
      <c r="AF1920" s="5"/>
      <c r="AG1920" s="5"/>
      <c r="AH1920" s="6"/>
      <c r="AI1920" s="92"/>
      <c r="AJ1920" s="93"/>
      <c r="AK1920" s="94"/>
      <c r="AL1920" s="95"/>
      <c r="AM1920" s="56"/>
      <c r="AN1920" s="57">
        <f t="shared" si="309"/>
        <v>0</v>
      </c>
      <c r="AO1920" s="76">
        <f t="shared" si="311"/>
        <v>0</v>
      </c>
      <c r="AP1920" s="63" t="str">
        <f t="shared" si="312"/>
        <v/>
      </c>
      <c r="AQ1920" s="63" t="str">
        <f t="shared" si="313"/>
        <v/>
      </c>
      <c r="AR1920" s="63" t="str">
        <f t="shared" si="314"/>
        <v/>
      </c>
      <c r="AS1920" s="63" t="str">
        <f t="shared" si="315"/>
        <v/>
      </c>
      <c r="AT1920" s="78" t="str">
        <f t="shared" si="316"/>
        <v/>
      </c>
      <c r="AU1920" s="78" t="str">
        <f t="shared" si="317"/>
        <v/>
      </c>
      <c r="AV1920" s="64" t="str">
        <f ca="1">IFERROR(__xludf.DUMMYFUNCTION("IF(TRIM(AU1920)="""","""",AU1920/INDEX(FILTER(AT$3:AT1920,TRIM(AT$3:AT1920)&lt;&gt;""""),ROWS(FILTER(AT$3:AT1920,TRIM(AT$3:AT1920)&lt;&gt;"""")))-1)"),"")</f>
        <v/>
      </c>
      <c r="AW1920" s="65" t="e">
        <f t="shared" ca="1" si="310"/>
        <v>#VALUE!</v>
      </c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</row>
    <row r="1921" spans="1:68" ht="19" x14ac:dyDescent="0.25">
      <c r="A1921" s="5"/>
      <c r="B1921" s="5"/>
      <c r="C1921" s="5"/>
      <c r="D1921" s="5"/>
      <c r="E1921" s="5"/>
      <c r="F1921" s="5"/>
      <c r="G1921" s="5"/>
      <c r="H1921" s="6"/>
      <c r="I1921" s="5"/>
      <c r="J1921" s="88"/>
      <c r="K1921" s="88"/>
      <c r="L1921" s="88"/>
      <c r="M1921" s="88"/>
      <c r="N1921" s="88"/>
      <c r="O1921" s="88"/>
      <c r="P1921" s="88"/>
      <c r="Q1921" s="89"/>
      <c r="R1921" s="88"/>
      <c r="S1921" s="88"/>
      <c r="T1921" s="90"/>
      <c r="U1921" s="6"/>
      <c r="V1921" s="92"/>
      <c r="W1921" s="77"/>
      <c r="X1921" s="91"/>
      <c r="Y1921" s="77"/>
      <c r="Z1921" s="5"/>
      <c r="AA1921" s="5"/>
      <c r="AB1921" s="5"/>
      <c r="AC1921" s="5"/>
      <c r="AD1921" s="5"/>
      <c r="AE1921" s="5"/>
      <c r="AF1921" s="5"/>
      <c r="AG1921" s="5"/>
      <c r="AH1921" s="6"/>
      <c r="AI1921" s="92"/>
      <c r="AJ1921" s="93"/>
      <c r="AK1921" s="94"/>
      <c r="AL1921" s="95"/>
      <c r="AM1921" s="56"/>
      <c r="AN1921" s="57">
        <f t="shared" si="309"/>
        <v>0</v>
      </c>
      <c r="AO1921" s="76">
        <f t="shared" si="311"/>
        <v>0</v>
      </c>
      <c r="AP1921" s="63" t="str">
        <f t="shared" si="312"/>
        <v/>
      </c>
      <c r="AQ1921" s="63" t="str">
        <f t="shared" si="313"/>
        <v/>
      </c>
      <c r="AR1921" s="63" t="str">
        <f t="shared" si="314"/>
        <v/>
      </c>
      <c r="AS1921" s="63" t="str">
        <f t="shared" si="315"/>
        <v/>
      </c>
      <c r="AT1921" s="78" t="str">
        <f t="shared" si="316"/>
        <v/>
      </c>
      <c r="AU1921" s="78" t="str">
        <f t="shared" si="317"/>
        <v/>
      </c>
      <c r="AV1921" s="64" t="str">
        <f ca="1">IFERROR(__xludf.DUMMYFUNCTION("IF(TRIM(AU1921)="""","""",AU1921/INDEX(FILTER(AT$3:AT1921,TRIM(AT$3:AT1921)&lt;&gt;""""),ROWS(FILTER(AT$3:AT1921,TRIM(AT$3:AT1921)&lt;&gt;"""")))-1)"),"")</f>
        <v/>
      </c>
      <c r="AW1921" s="65" t="e">
        <f t="shared" ca="1" si="310"/>
        <v>#VALUE!</v>
      </c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</row>
    <row r="1922" spans="1:68" ht="19" x14ac:dyDescent="0.25">
      <c r="A1922" s="5"/>
      <c r="B1922" s="5"/>
      <c r="C1922" s="5"/>
      <c r="D1922" s="5"/>
      <c r="E1922" s="5"/>
      <c r="F1922" s="5"/>
      <c r="G1922" s="5"/>
      <c r="H1922" s="6"/>
      <c r="I1922" s="5"/>
      <c r="J1922" s="88"/>
      <c r="K1922" s="88"/>
      <c r="L1922" s="88"/>
      <c r="M1922" s="88"/>
      <c r="N1922" s="88"/>
      <c r="O1922" s="88"/>
      <c r="P1922" s="88"/>
      <c r="Q1922" s="89"/>
      <c r="R1922" s="88"/>
      <c r="S1922" s="88"/>
      <c r="T1922" s="90"/>
      <c r="U1922" s="6"/>
      <c r="V1922" s="92"/>
      <c r="W1922" s="77"/>
      <c r="X1922" s="91"/>
      <c r="Y1922" s="77"/>
      <c r="Z1922" s="5"/>
      <c r="AA1922" s="5"/>
      <c r="AB1922" s="5"/>
      <c r="AC1922" s="5"/>
      <c r="AD1922" s="5"/>
      <c r="AE1922" s="5"/>
      <c r="AF1922" s="5"/>
      <c r="AG1922" s="5"/>
      <c r="AH1922" s="6"/>
      <c r="AI1922" s="92"/>
      <c r="AJ1922" s="93"/>
      <c r="AK1922" s="94"/>
      <c r="AL1922" s="95"/>
      <c r="AM1922" s="56"/>
      <c r="AN1922" s="57">
        <f t="shared" si="309"/>
        <v>0</v>
      </c>
      <c r="AO1922" s="76">
        <f t="shared" si="311"/>
        <v>0</v>
      </c>
      <c r="AP1922" s="63" t="str">
        <f t="shared" si="312"/>
        <v/>
      </c>
      <c r="AQ1922" s="63" t="str">
        <f t="shared" si="313"/>
        <v/>
      </c>
      <c r="AR1922" s="63" t="str">
        <f t="shared" si="314"/>
        <v/>
      </c>
      <c r="AS1922" s="63" t="str">
        <f t="shared" si="315"/>
        <v/>
      </c>
      <c r="AT1922" s="78" t="str">
        <f t="shared" si="316"/>
        <v/>
      </c>
      <c r="AU1922" s="78" t="str">
        <f t="shared" si="317"/>
        <v/>
      </c>
      <c r="AV1922" s="64" t="str">
        <f ca="1">IFERROR(__xludf.DUMMYFUNCTION("IF(TRIM(AU1922)="""","""",AU1922/INDEX(FILTER(AT$3:AT1922,TRIM(AT$3:AT1922)&lt;&gt;""""),ROWS(FILTER(AT$3:AT1922,TRIM(AT$3:AT1922)&lt;&gt;"""")))-1)"),"")</f>
        <v/>
      </c>
      <c r="AW1922" s="65" t="e">
        <f t="shared" ca="1" si="310"/>
        <v>#VALUE!</v>
      </c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</row>
    <row r="1923" spans="1:68" ht="19" x14ac:dyDescent="0.25">
      <c r="A1923" s="5"/>
      <c r="B1923" s="5"/>
      <c r="C1923" s="5"/>
      <c r="D1923" s="5"/>
      <c r="E1923" s="5"/>
      <c r="F1923" s="5"/>
      <c r="G1923" s="5"/>
      <c r="H1923" s="6"/>
      <c r="I1923" s="5"/>
      <c r="J1923" s="88"/>
      <c r="K1923" s="88"/>
      <c r="L1923" s="88"/>
      <c r="M1923" s="88"/>
      <c r="N1923" s="88"/>
      <c r="O1923" s="88"/>
      <c r="P1923" s="88"/>
      <c r="Q1923" s="89"/>
      <c r="R1923" s="88"/>
      <c r="S1923" s="88"/>
      <c r="T1923" s="90"/>
      <c r="U1923" s="6"/>
      <c r="V1923" s="92"/>
      <c r="W1923" s="77"/>
      <c r="X1923" s="91"/>
      <c r="Y1923" s="77"/>
      <c r="Z1923" s="5"/>
      <c r="AA1923" s="5"/>
      <c r="AB1923" s="5"/>
      <c r="AC1923" s="5"/>
      <c r="AD1923" s="5"/>
      <c r="AE1923" s="5"/>
      <c r="AF1923" s="5"/>
      <c r="AG1923" s="5"/>
      <c r="AH1923" s="6"/>
      <c r="AI1923" s="92"/>
      <c r="AJ1923" s="93"/>
      <c r="AK1923" s="94"/>
      <c r="AL1923" s="95"/>
      <c r="AM1923" s="56"/>
      <c r="AN1923" s="57">
        <f t="shared" ref="AN1923:AN1986" si="318">AM1923-AL1923</f>
        <v>0</v>
      </c>
      <c r="AO1923" s="76">
        <f t="shared" si="311"/>
        <v>0</v>
      </c>
      <c r="AP1923" s="63" t="str">
        <f t="shared" si="312"/>
        <v/>
      </c>
      <c r="AQ1923" s="63" t="str">
        <f t="shared" si="313"/>
        <v/>
      </c>
      <c r="AR1923" s="63" t="str">
        <f t="shared" si="314"/>
        <v/>
      </c>
      <c r="AS1923" s="63" t="str">
        <f t="shared" si="315"/>
        <v/>
      </c>
      <c r="AT1923" s="78" t="str">
        <f t="shared" si="316"/>
        <v/>
      </c>
      <c r="AU1923" s="78" t="str">
        <f t="shared" si="317"/>
        <v/>
      </c>
      <c r="AV1923" s="64" t="str">
        <f ca="1">IFERROR(__xludf.DUMMYFUNCTION("IF(TRIM(AU1923)="""","""",AU1923/INDEX(FILTER(AT$3:AT1923,TRIM(AT$3:AT1923)&lt;&gt;""""),ROWS(FILTER(AT$3:AT1923,TRIM(AT$3:AT1923)&lt;&gt;"""")))-1)"),"")</f>
        <v/>
      </c>
      <c r="AW1923" s="65" t="e">
        <f t="shared" ref="AW1923:AW1986" ca="1" si="319">AW1922*(1+AV1923)</f>
        <v>#VALUE!</v>
      </c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</row>
    <row r="1924" spans="1:68" ht="19" x14ac:dyDescent="0.25">
      <c r="A1924" s="5"/>
      <c r="B1924" s="5"/>
      <c r="C1924" s="5"/>
      <c r="D1924" s="5"/>
      <c r="E1924" s="5"/>
      <c r="F1924" s="5"/>
      <c r="G1924" s="5"/>
      <c r="H1924" s="6"/>
      <c r="I1924" s="5"/>
      <c r="J1924" s="88"/>
      <c r="K1924" s="88"/>
      <c r="L1924" s="88"/>
      <c r="M1924" s="88"/>
      <c r="N1924" s="88"/>
      <c r="O1924" s="88"/>
      <c r="P1924" s="88"/>
      <c r="Q1924" s="89"/>
      <c r="R1924" s="88"/>
      <c r="S1924" s="88"/>
      <c r="T1924" s="90"/>
      <c r="U1924" s="6"/>
      <c r="V1924" s="92"/>
      <c r="W1924" s="77"/>
      <c r="X1924" s="91"/>
      <c r="Y1924" s="77"/>
      <c r="Z1924" s="5"/>
      <c r="AA1924" s="5"/>
      <c r="AB1924" s="5"/>
      <c r="AC1924" s="5"/>
      <c r="AD1924" s="5"/>
      <c r="AE1924" s="5"/>
      <c r="AF1924" s="5"/>
      <c r="AG1924" s="5"/>
      <c r="AH1924" s="6"/>
      <c r="AI1924" s="92"/>
      <c r="AJ1924" s="93"/>
      <c r="AK1924" s="94"/>
      <c r="AL1924" s="95"/>
      <c r="AM1924" s="56"/>
      <c r="AN1924" s="57">
        <f t="shared" si="318"/>
        <v>0</v>
      </c>
      <c r="AO1924" s="76">
        <f t="shared" si="311"/>
        <v>0</v>
      </c>
      <c r="AP1924" s="63" t="str">
        <f t="shared" si="312"/>
        <v/>
      </c>
      <c r="AQ1924" s="63" t="str">
        <f t="shared" si="313"/>
        <v/>
      </c>
      <c r="AR1924" s="63" t="str">
        <f t="shared" si="314"/>
        <v/>
      </c>
      <c r="AS1924" s="63" t="str">
        <f t="shared" si="315"/>
        <v/>
      </c>
      <c r="AT1924" s="78" t="str">
        <f t="shared" si="316"/>
        <v/>
      </c>
      <c r="AU1924" s="78" t="str">
        <f t="shared" si="317"/>
        <v/>
      </c>
      <c r="AV1924" s="64" t="str">
        <f ca="1">IFERROR(__xludf.DUMMYFUNCTION("IF(TRIM(AU1924)="""","""",AU1924/INDEX(FILTER(AT$3:AT1924,TRIM(AT$3:AT1924)&lt;&gt;""""),ROWS(FILTER(AT$3:AT1924,TRIM(AT$3:AT1924)&lt;&gt;"""")))-1)"),"")</f>
        <v/>
      </c>
      <c r="AW1924" s="65" t="e">
        <f t="shared" ca="1" si="319"/>
        <v>#VALUE!</v>
      </c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</row>
    <row r="1925" spans="1:68" ht="19" x14ac:dyDescent="0.25">
      <c r="A1925" s="5"/>
      <c r="B1925" s="5"/>
      <c r="C1925" s="5"/>
      <c r="D1925" s="5"/>
      <c r="E1925" s="5"/>
      <c r="F1925" s="5"/>
      <c r="G1925" s="5"/>
      <c r="H1925" s="6"/>
      <c r="I1925" s="5"/>
      <c r="J1925" s="88"/>
      <c r="K1925" s="88"/>
      <c r="L1925" s="88"/>
      <c r="M1925" s="88"/>
      <c r="N1925" s="88"/>
      <c r="O1925" s="88"/>
      <c r="P1925" s="88"/>
      <c r="Q1925" s="89"/>
      <c r="R1925" s="88"/>
      <c r="S1925" s="88"/>
      <c r="T1925" s="90"/>
      <c r="U1925" s="6"/>
      <c r="V1925" s="92"/>
      <c r="W1925" s="77"/>
      <c r="X1925" s="91"/>
      <c r="Y1925" s="77"/>
      <c r="Z1925" s="5"/>
      <c r="AA1925" s="5"/>
      <c r="AB1925" s="5"/>
      <c r="AC1925" s="5"/>
      <c r="AD1925" s="5"/>
      <c r="AE1925" s="5"/>
      <c r="AF1925" s="5"/>
      <c r="AG1925" s="5"/>
      <c r="AH1925" s="6"/>
      <c r="AI1925" s="92"/>
      <c r="AJ1925" s="93"/>
      <c r="AK1925" s="94"/>
      <c r="AL1925" s="95"/>
      <c r="AM1925" s="56"/>
      <c r="AN1925" s="57">
        <f t="shared" si="318"/>
        <v>0</v>
      </c>
      <c r="AO1925" s="76">
        <f t="shared" si="311"/>
        <v>0</v>
      </c>
      <c r="AP1925" s="63" t="str">
        <f t="shared" si="312"/>
        <v/>
      </c>
      <c r="AQ1925" s="63" t="str">
        <f t="shared" si="313"/>
        <v/>
      </c>
      <c r="AR1925" s="63" t="str">
        <f t="shared" si="314"/>
        <v/>
      </c>
      <c r="AS1925" s="63" t="str">
        <f t="shared" si="315"/>
        <v/>
      </c>
      <c r="AT1925" s="78" t="str">
        <f t="shared" si="316"/>
        <v/>
      </c>
      <c r="AU1925" s="78" t="str">
        <f t="shared" si="317"/>
        <v/>
      </c>
      <c r="AV1925" s="64" t="str">
        <f ca="1">IFERROR(__xludf.DUMMYFUNCTION("IF(TRIM(AU1925)="""","""",AU1925/INDEX(FILTER(AT$3:AT1925,TRIM(AT$3:AT1925)&lt;&gt;""""),ROWS(FILTER(AT$3:AT1925,TRIM(AT$3:AT1925)&lt;&gt;"""")))-1)"),"")</f>
        <v/>
      </c>
      <c r="AW1925" s="65" t="e">
        <f t="shared" ca="1" si="319"/>
        <v>#VALUE!</v>
      </c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</row>
    <row r="1926" spans="1:68" ht="19" x14ac:dyDescent="0.25">
      <c r="A1926" s="5"/>
      <c r="B1926" s="5"/>
      <c r="C1926" s="5"/>
      <c r="D1926" s="5"/>
      <c r="E1926" s="5"/>
      <c r="F1926" s="5"/>
      <c r="G1926" s="5"/>
      <c r="H1926" s="6"/>
      <c r="I1926" s="5"/>
      <c r="J1926" s="88"/>
      <c r="K1926" s="88"/>
      <c r="L1926" s="88"/>
      <c r="M1926" s="88"/>
      <c r="N1926" s="88"/>
      <c r="O1926" s="88"/>
      <c r="P1926" s="88"/>
      <c r="Q1926" s="89"/>
      <c r="R1926" s="88"/>
      <c r="S1926" s="88"/>
      <c r="T1926" s="90"/>
      <c r="U1926" s="6"/>
      <c r="V1926" s="92"/>
      <c r="W1926" s="77"/>
      <c r="X1926" s="91"/>
      <c r="Y1926" s="77"/>
      <c r="Z1926" s="5"/>
      <c r="AA1926" s="5"/>
      <c r="AB1926" s="5"/>
      <c r="AC1926" s="5"/>
      <c r="AD1926" s="5"/>
      <c r="AE1926" s="5"/>
      <c r="AF1926" s="5"/>
      <c r="AG1926" s="5"/>
      <c r="AH1926" s="6"/>
      <c r="AI1926" s="92"/>
      <c r="AJ1926" s="93"/>
      <c r="AK1926" s="94"/>
      <c r="AL1926" s="95"/>
      <c r="AM1926" s="56"/>
      <c r="AN1926" s="57">
        <f t="shared" si="318"/>
        <v>0</v>
      </c>
      <c r="AO1926" s="76">
        <f t="shared" si="311"/>
        <v>0</v>
      </c>
      <c r="AP1926" s="63" t="str">
        <f t="shared" si="312"/>
        <v/>
      </c>
      <c r="AQ1926" s="63" t="str">
        <f t="shared" si="313"/>
        <v/>
      </c>
      <c r="AR1926" s="63" t="str">
        <f t="shared" si="314"/>
        <v/>
      </c>
      <c r="AS1926" s="63" t="str">
        <f t="shared" si="315"/>
        <v/>
      </c>
      <c r="AT1926" s="78" t="str">
        <f t="shared" si="316"/>
        <v/>
      </c>
      <c r="AU1926" s="78" t="str">
        <f t="shared" si="317"/>
        <v/>
      </c>
      <c r="AV1926" s="64" t="str">
        <f ca="1">IFERROR(__xludf.DUMMYFUNCTION("IF(TRIM(AU1926)="""","""",AU1926/INDEX(FILTER(AT$3:AT1926,TRIM(AT$3:AT1926)&lt;&gt;""""),ROWS(FILTER(AT$3:AT1926,TRIM(AT$3:AT1926)&lt;&gt;"""")))-1)"),"")</f>
        <v/>
      </c>
      <c r="AW1926" s="65" t="e">
        <f t="shared" ca="1" si="319"/>
        <v>#VALUE!</v>
      </c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</row>
    <row r="1927" spans="1:68" ht="19" x14ac:dyDescent="0.25">
      <c r="A1927" s="5"/>
      <c r="B1927" s="5"/>
      <c r="C1927" s="5"/>
      <c r="D1927" s="5"/>
      <c r="E1927" s="5"/>
      <c r="F1927" s="5"/>
      <c r="G1927" s="5"/>
      <c r="H1927" s="6"/>
      <c r="I1927" s="5"/>
      <c r="J1927" s="88"/>
      <c r="K1927" s="88"/>
      <c r="L1927" s="88"/>
      <c r="M1927" s="88"/>
      <c r="N1927" s="88"/>
      <c r="O1927" s="88"/>
      <c r="P1927" s="88"/>
      <c r="Q1927" s="89"/>
      <c r="R1927" s="88"/>
      <c r="S1927" s="88"/>
      <c r="T1927" s="90"/>
      <c r="U1927" s="6"/>
      <c r="V1927" s="92"/>
      <c r="W1927" s="77"/>
      <c r="X1927" s="91"/>
      <c r="Y1927" s="77"/>
      <c r="Z1927" s="5"/>
      <c r="AA1927" s="5"/>
      <c r="AB1927" s="5"/>
      <c r="AC1927" s="5"/>
      <c r="AD1927" s="5"/>
      <c r="AE1927" s="5"/>
      <c r="AF1927" s="5"/>
      <c r="AG1927" s="5"/>
      <c r="AH1927" s="6"/>
      <c r="AI1927" s="92"/>
      <c r="AJ1927" s="93"/>
      <c r="AK1927" s="94"/>
      <c r="AL1927" s="95"/>
      <c r="AM1927" s="56"/>
      <c r="AN1927" s="57">
        <f t="shared" si="318"/>
        <v>0</v>
      </c>
      <c r="AO1927" s="76">
        <f t="shared" ref="AO1927:AO1990" si="320">AVERAGE(AN1923:AN1927)</f>
        <v>0</v>
      </c>
      <c r="AP1927" s="63" t="str">
        <f t="shared" ref="AP1927:AP1990" si="321">IF(AO1927&gt;0,"Buy Stocks","")</f>
        <v/>
      </c>
      <c r="AQ1927" s="63" t="str">
        <f t="shared" ref="AQ1927:AQ1990" si="322">IF(AO1927&lt;0,"Sell Stocks","")</f>
        <v/>
      </c>
      <c r="AR1927" s="63" t="str">
        <f t="shared" ref="AR1927:AR1990" si="323">IF(AND(AP1927="Buy Stocks",AP1926=""),"Buy Stocks","")</f>
        <v/>
      </c>
      <c r="AS1927" s="63" t="str">
        <f t="shared" ref="AS1927:AS1990" si="324">IF(AND(AQ1927="Sell Stocks",AQ1926=""),"Sell Stocks","")</f>
        <v/>
      </c>
      <c r="AT1927" s="78" t="str">
        <f t="shared" ref="AT1927:AT1990" si="325">IF(AR1927="Buy Stocks",AJ1927,"")</f>
        <v/>
      </c>
      <c r="AU1927" s="78" t="str">
        <f t="shared" ref="AU1927:AU1990" si="326">IF(AS1927="Sell Stocks",AJ1927,"")</f>
        <v/>
      </c>
      <c r="AV1927" s="64" t="str">
        <f ca="1">IFERROR(__xludf.DUMMYFUNCTION("IF(TRIM(AU1927)="""","""",AU1927/INDEX(FILTER(AT$3:AT1927,TRIM(AT$3:AT1927)&lt;&gt;""""),ROWS(FILTER(AT$3:AT1927,TRIM(AT$3:AT1927)&lt;&gt;"""")))-1)"),"")</f>
        <v/>
      </c>
      <c r="AW1927" s="65" t="e">
        <f t="shared" ca="1" si="319"/>
        <v>#VALUE!</v>
      </c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</row>
    <row r="1928" spans="1:68" ht="19" x14ac:dyDescent="0.25">
      <c r="A1928" s="5"/>
      <c r="B1928" s="5"/>
      <c r="C1928" s="5"/>
      <c r="D1928" s="5"/>
      <c r="E1928" s="5"/>
      <c r="F1928" s="5"/>
      <c r="G1928" s="5"/>
      <c r="H1928" s="6"/>
      <c r="I1928" s="5"/>
      <c r="J1928" s="88"/>
      <c r="K1928" s="88"/>
      <c r="L1928" s="88"/>
      <c r="M1928" s="88"/>
      <c r="N1928" s="88"/>
      <c r="O1928" s="88"/>
      <c r="P1928" s="88"/>
      <c r="Q1928" s="89"/>
      <c r="R1928" s="88"/>
      <c r="S1928" s="88"/>
      <c r="T1928" s="90"/>
      <c r="U1928" s="6"/>
      <c r="V1928" s="92"/>
      <c r="W1928" s="77"/>
      <c r="X1928" s="91"/>
      <c r="Y1928" s="77"/>
      <c r="Z1928" s="5"/>
      <c r="AA1928" s="5"/>
      <c r="AB1928" s="5"/>
      <c r="AC1928" s="5"/>
      <c r="AD1928" s="5"/>
      <c r="AE1928" s="5"/>
      <c r="AF1928" s="5"/>
      <c r="AG1928" s="5"/>
      <c r="AH1928" s="6"/>
      <c r="AI1928" s="92"/>
      <c r="AJ1928" s="93"/>
      <c r="AK1928" s="94"/>
      <c r="AL1928" s="95"/>
      <c r="AM1928" s="56"/>
      <c r="AN1928" s="57">
        <f t="shared" si="318"/>
        <v>0</v>
      </c>
      <c r="AO1928" s="76">
        <f t="shared" si="320"/>
        <v>0</v>
      </c>
      <c r="AP1928" s="63" t="str">
        <f t="shared" si="321"/>
        <v/>
      </c>
      <c r="AQ1928" s="63" t="str">
        <f t="shared" si="322"/>
        <v/>
      </c>
      <c r="AR1928" s="63" t="str">
        <f t="shared" si="323"/>
        <v/>
      </c>
      <c r="AS1928" s="63" t="str">
        <f t="shared" si="324"/>
        <v/>
      </c>
      <c r="AT1928" s="78" t="str">
        <f t="shared" si="325"/>
        <v/>
      </c>
      <c r="AU1928" s="78" t="str">
        <f t="shared" si="326"/>
        <v/>
      </c>
      <c r="AV1928" s="64" t="str">
        <f ca="1">IFERROR(__xludf.DUMMYFUNCTION("IF(TRIM(AU1928)="""","""",AU1928/INDEX(FILTER(AT$3:AT1928,TRIM(AT$3:AT1928)&lt;&gt;""""),ROWS(FILTER(AT$3:AT1928,TRIM(AT$3:AT1928)&lt;&gt;"""")))-1)"),"")</f>
        <v/>
      </c>
      <c r="AW1928" s="65" t="e">
        <f t="shared" ca="1" si="319"/>
        <v>#VALUE!</v>
      </c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</row>
    <row r="1929" spans="1:68" ht="19" x14ac:dyDescent="0.25">
      <c r="A1929" s="5"/>
      <c r="B1929" s="5"/>
      <c r="C1929" s="5"/>
      <c r="D1929" s="5"/>
      <c r="E1929" s="5"/>
      <c r="F1929" s="5"/>
      <c r="G1929" s="5"/>
      <c r="H1929" s="6"/>
      <c r="I1929" s="5"/>
      <c r="J1929" s="88"/>
      <c r="K1929" s="88"/>
      <c r="L1929" s="88"/>
      <c r="M1929" s="88"/>
      <c r="N1929" s="88"/>
      <c r="O1929" s="88"/>
      <c r="P1929" s="88"/>
      <c r="Q1929" s="89"/>
      <c r="R1929" s="88"/>
      <c r="S1929" s="88"/>
      <c r="T1929" s="90"/>
      <c r="U1929" s="6"/>
      <c r="V1929" s="92"/>
      <c r="W1929" s="77"/>
      <c r="X1929" s="91"/>
      <c r="Y1929" s="77"/>
      <c r="Z1929" s="5"/>
      <c r="AA1929" s="5"/>
      <c r="AB1929" s="5"/>
      <c r="AC1929" s="5"/>
      <c r="AD1929" s="5"/>
      <c r="AE1929" s="5"/>
      <c r="AF1929" s="5"/>
      <c r="AG1929" s="5"/>
      <c r="AH1929" s="6"/>
      <c r="AI1929" s="92"/>
      <c r="AJ1929" s="93"/>
      <c r="AK1929" s="94"/>
      <c r="AL1929" s="95"/>
      <c r="AM1929" s="56"/>
      <c r="AN1929" s="57">
        <f t="shared" si="318"/>
        <v>0</v>
      </c>
      <c r="AO1929" s="76">
        <f t="shared" si="320"/>
        <v>0</v>
      </c>
      <c r="AP1929" s="63" t="str">
        <f t="shared" si="321"/>
        <v/>
      </c>
      <c r="AQ1929" s="63" t="str">
        <f t="shared" si="322"/>
        <v/>
      </c>
      <c r="AR1929" s="63" t="str">
        <f t="shared" si="323"/>
        <v/>
      </c>
      <c r="AS1929" s="63" t="str">
        <f t="shared" si="324"/>
        <v/>
      </c>
      <c r="AT1929" s="78" t="str">
        <f t="shared" si="325"/>
        <v/>
      </c>
      <c r="AU1929" s="78" t="str">
        <f t="shared" si="326"/>
        <v/>
      </c>
      <c r="AV1929" s="64" t="str">
        <f ca="1">IFERROR(__xludf.DUMMYFUNCTION("IF(TRIM(AU1929)="""","""",AU1929/INDEX(FILTER(AT$3:AT1929,TRIM(AT$3:AT1929)&lt;&gt;""""),ROWS(FILTER(AT$3:AT1929,TRIM(AT$3:AT1929)&lt;&gt;"""")))-1)"),"")</f>
        <v/>
      </c>
      <c r="AW1929" s="65" t="e">
        <f t="shared" ca="1" si="319"/>
        <v>#VALUE!</v>
      </c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</row>
    <row r="1930" spans="1:68" ht="19" x14ac:dyDescent="0.25">
      <c r="A1930" s="5"/>
      <c r="B1930" s="5"/>
      <c r="C1930" s="5"/>
      <c r="D1930" s="5"/>
      <c r="E1930" s="5"/>
      <c r="F1930" s="5"/>
      <c r="G1930" s="5"/>
      <c r="H1930" s="6"/>
      <c r="I1930" s="5"/>
      <c r="J1930" s="88"/>
      <c r="K1930" s="88"/>
      <c r="L1930" s="88"/>
      <c r="M1930" s="88"/>
      <c r="N1930" s="88"/>
      <c r="O1930" s="88"/>
      <c r="P1930" s="88"/>
      <c r="Q1930" s="89"/>
      <c r="R1930" s="88"/>
      <c r="S1930" s="88"/>
      <c r="T1930" s="90"/>
      <c r="U1930" s="6"/>
      <c r="V1930" s="92"/>
      <c r="W1930" s="77"/>
      <c r="X1930" s="91"/>
      <c r="Y1930" s="77"/>
      <c r="Z1930" s="5"/>
      <c r="AA1930" s="5"/>
      <c r="AB1930" s="5"/>
      <c r="AC1930" s="5"/>
      <c r="AD1930" s="5"/>
      <c r="AE1930" s="5"/>
      <c r="AF1930" s="5"/>
      <c r="AG1930" s="5"/>
      <c r="AH1930" s="6"/>
      <c r="AI1930" s="92"/>
      <c r="AJ1930" s="93"/>
      <c r="AK1930" s="94"/>
      <c r="AL1930" s="95"/>
      <c r="AM1930" s="56"/>
      <c r="AN1930" s="57">
        <f t="shared" si="318"/>
        <v>0</v>
      </c>
      <c r="AO1930" s="76">
        <f t="shared" si="320"/>
        <v>0</v>
      </c>
      <c r="AP1930" s="63" t="str">
        <f t="shared" si="321"/>
        <v/>
      </c>
      <c r="AQ1930" s="63" t="str">
        <f t="shared" si="322"/>
        <v/>
      </c>
      <c r="AR1930" s="63" t="str">
        <f t="shared" si="323"/>
        <v/>
      </c>
      <c r="AS1930" s="63" t="str">
        <f t="shared" si="324"/>
        <v/>
      </c>
      <c r="AT1930" s="78" t="str">
        <f t="shared" si="325"/>
        <v/>
      </c>
      <c r="AU1930" s="78" t="str">
        <f t="shared" si="326"/>
        <v/>
      </c>
      <c r="AV1930" s="64" t="str">
        <f ca="1">IFERROR(__xludf.DUMMYFUNCTION("IF(TRIM(AU1930)="""","""",AU1930/INDEX(FILTER(AT$3:AT1930,TRIM(AT$3:AT1930)&lt;&gt;""""),ROWS(FILTER(AT$3:AT1930,TRIM(AT$3:AT1930)&lt;&gt;"""")))-1)"),"")</f>
        <v/>
      </c>
      <c r="AW1930" s="65" t="e">
        <f t="shared" ca="1" si="319"/>
        <v>#VALUE!</v>
      </c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</row>
    <row r="1931" spans="1:68" ht="19" x14ac:dyDescent="0.25">
      <c r="A1931" s="5"/>
      <c r="B1931" s="5"/>
      <c r="C1931" s="5"/>
      <c r="D1931" s="5"/>
      <c r="E1931" s="5"/>
      <c r="F1931" s="5"/>
      <c r="G1931" s="5"/>
      <c r="H1931" s="6"/>
      <c r="I1931" s="5"/>
      <c r="J1931" s="88"/>
      <c r="K1931" s="88"/>
      <c r="L1931" s="88"/>
      <c r="M1931" s="88"/>
      <c r="N1931" s="88"/>
      <c r="O1931" s="88"/>
      <c r="P1931" s="88"/>
      <c r="Q1931" s="89"/>
      <c r="R1931" s="88"/>
      <c r="S1931" s="88"/>
      <c r="T1931" s="90"/>
      <c r="U1931" s="6"/>
      <c r="V1931" s="92"/>
      <c r="W1931" s="77"/>
      <c r="X1931" s="91"/>
      <c r="Y1931" s="77"/>
      <c r="Z1931" s="5"/>
      <c r="AA1931" s="5"/>
      <c r="AB1931" s="5"/>
      <c r="AC1931" s="5"/>
      <c r="AD1931" s="5"/>
      <c r="AE1931" s="5"/>
      <c r="AF1931" s="5"/>
      <c r="AG1931" s="5"/>
      <c r="AH1931" s="6"/>
      <c r="AI1931" s="92"/>
      <c r="AJ1931" s="93"/>
      <c r="AK1931" s="94"/>
      <c r="AL1931" s="95"/>
      <c r="AM1931" s="56"/>
      <c r="AN1931" s="57">
        <f t="shared" si="318"/>
        <v>0</v>
      </c>
      <c r="AO1931" s="76">
        <f t="shared" si="320"/>
        <v>0</v>
      </c>
      <c r="AP1931" s="63" t="str">
        <f t="shared" si="321"/>
        <v/>
      </c>
      <c r="AQ1931" s="63" t="str">
        <f t="shared" si="322"/>
        <v/>
      </c>
      <c r="AR1931" s="63" t="str">
        <f t="shared" si="323"/>
        <v/>
      </c>
      <c r="AS1931" s="63" t="str">
        <f t="shared" si="324"/>
        <v/>
      </c>
      <c r="AT1931" s="78" t="str">
        <f t="shared" si="325"/>
        <v/>
      </c>
      <c r="AU1931" s="78" t="str">
        <f t="shared" si="326"/>
        <v/>
      </c>
      <c r="AV1931" s="64" t="str">
        <f ca="1">IFERROR(__xludf.DUMMYFUNCTION("IF(TRIM(AU1931)="""","""",AU1931/INDEX(FILTER(AT$3:AT1931,TRIM(AT$3:AT1931)&lt;&gt;""""),ROWS(FILTER(AT$3:AT1931,TRIM(AT$3:AT1931)&lt;&gt;"""")))-1)"),"")</f>
        <v/>
      </c>
      <c r="AW1931" s="65" t="e">
        <f t="shared" ca="1" si="319"/>
        <v>#VALUE!</v>
      </c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</row>
    <row r="1932" spans="1:68" ht="19" x14ac:dyDescent="0.25">
      <c r="A1932" s="5"/>
      <c r="B1932" s="5"/>
      <c r="C1932" s="5"/>
      <c r="D1932" s="5"/>
      <c r="E1932" s="5"/>
      <c r="F1932" s="5"/>
      <c r="G1932" s="5"/>
      <c r="H1932" s="6"/>
      <c r="I1932" s="5"/>
      <c r="J1932" s="88"/>
      <c r="K1932" s="88"/>
      <c r="L1932" s="88"/>
      <c r="M1932" s="88"/>
      <c r="N1932" s="88"/>
      <c r="O1932" s="88"/>
      <c r="P1932" s="88"/>
      <c r="Q1932" s="89"/>
      <c r="R1932" s="88"/>
      <c r="S1932" s="88"/>
      <c r="T1932" s="90"/>
      <c r="U1932" s="6"/>
      <c r="V1932" s="92"/>
      <c r="W1932" s="77"/>
      <c r="X1932" s="91"/>
      <c r="Y1932" s="77"/>
      <c r="Z1932" s="5"/>
      <c r="AA1932" s="5"/>
      <c r="AB1932" s="5"/>
      <c r="AC1932" s="5"/>
      <c r="AD1932" s="5"/>
      <c r="AE1932" s="5"/>
      <c r="AF1932" s="5"/>
      <c r="AG1932" s="5"/>
      <c r="AH1932" s="6"/>
      <c r="AI1932" s="92"/>
      <c r="AJ1932" s="93"/>
      <c r="AK1932" s="94"/>
      <c r="AL1932" s="95"/>
      <c r="AM1932" s="56"/>
      <c r="AN1932" s="57">
        <f t="shared" si="318"/>
        <v>0</v>
      </c>
      <c r="AO1932" s="76">
        <f t="shared" si="320"/>
        <v>0</v>
      </c>
      <c r="AP1932" s="63" t="str">
        <f t="shared" si="321"/>
        <v/>
      </c>
      <c r="AQ1932" s="63" t="str">
        <f t="shared" si="322"/>
        <v/>
      </c>
      <c r="AR1932" s="63" t="str">
        <f t="shared" si="323"/>
        <v/>
      </c>
      <c r="AS1932" s="63" t="str">
        <f t="shared" si="324"/>
        <v/>
      </c>
      <c r="AT1932" s="78" t="str">
        <f t="shared" si="325"/>
        <v/>
      </c>
      <c r="AU1932" s="78" t="str">
        <f t="shared" si="326"/>
        <v/>
      </c>
      <c r="AV1932" s="64" t="str">
        <f ca="1">IFERROR(__xludf.DUMMYFUNCTION("IF(TRIM(AU1932)="""","""",AU1932/INDEX(FILTER(AT$3:AT1932,TRIM(AT$3:AT1932)&lt;&gt;""""),ROWS(FILTER(AT$3:AT1932,TRIM(AT$3:AT1932)&lt;&gt;"""")))-1)"),"")</f>
        <v/>
      </c>
      <c r="AW1932" s="65" t="e">
        <f t="shared" ca="1" si="319"/>
        <v>#VALUE!</v>
      </c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</row>
    <row r="1933" spans="1:68" ht="19" x14ac:dyDescent="0.25">
      <c r="A1933" s="5"/>
      <c r="B1933" s="5"/>
      <c r="C1933" s="5"/>
      <c r="D1933" s="5"/>
      <c r="E1933" s="5"/>
      <c r="F1933" s="5"/>
      <c r="G1933" s="5"/>
      <c r="H1933" s="6"/>
      <c r="I1933" s="5"/>
      <c r="J1933" s="88"/>
      <c r="K1933" s="88"/>
      <c r="L1933" s="88"/>
      <c r="M1933" s="88"/>
      <c r="N1933" s="88"/>
      <c r="O1933" s="88"/>
      <c r="P1933" s="88"/>
      <c r="Q1933" s="89"/>
      <c r="R1933" s="88"/>
      <c r="S1933" s="88"/>
      <c r="T1933" s="90"/>
      <c r="U1933" s="6"/>
      <c r="V1933" s="92"/>
      <c r="W1933" s="77"/>
      <c r="X1933" s="91"/>
      <c r="Y1933" s="77"/>
      <c r="Z1933" s="5"/>
      <c r="AA1933" s="5"/>
      <c r="AB1933" s="5"/>
      <c r="AC1933" s="5"/>
      <c r="AD1933" s="5"/>
      <c r="AE1933" s="5"/>
      <c r="AF1933" s="5"/>
      <c r="AG1933" s="5"/>
      <c r="AH1933" s="6"/>
      <c r="AI1933" s="92"/>
      <c r="AJ1933" s="93"/>
      <c r="AK1933" s="94"/>
      <c r="AL1933" s="95"/>
      <c r="AM1933" s="56"/>
      <c r="AN1933" s="57">
        <f t="shared" si="318"/>
        <v>0</v>
      </c>
      <c r="AO1933" s="76">
        <f t="shared" si="320"/>
        <v>0</v>
      </c>
      <c r="AP1933" s="63" t="str">
        <f t="shared" si="321"/>
        <v/>
      </c>
      <c r="AQ1933" s="63" t="str">
        <f t="shared" si="322"/>
        <v/>
      </c>
      <c r="AR1933" s="63" t="str">
        <f t="shared" si="323"/>
        <v/>
      </c>
      <c r="AS1933" s="63" t="str">
        <f t="shared" si="324"/>
        <v/>
      </c>
      <c r="AT1933" s="78" t="str">
        <f t="shared" si="325"/>
        <v/>
      </c>
      <c r="AU1933" s="78" t="str">
        <f t="shared" si="326"/>
        <v/>
      </c>
      <c r="AV1933" s="64" t="str">
        <f ca="1">IFERROR(__xludf.DUMMYFUNCTION("IF(TRIM(AU1933)="""","""",AU1933/INDEX(FILTER(AT$3:AT1933,TRIM(AT$3:AT1933)&lt;&gt;""""),ROWS(FILTER(AT$3:AT1933,TRIM(AT$3:AT1933)&lt;&gt;"""")))-1)"),"")</f>
        <v/>
      </c>
      <c r="AW1933" s="65" t="e">
        <f t="shared" ca="1" si="319"/>
        <v>#VALUE!</v>
      </c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</row>
    <row r="1934" spans="1:68" ht="19" x14ac:dyDescent="0.25">
      <c r="A1934" s="5"/>
      <c r="B1934" s="5"/>
      <c r="C1934" s="5"/>
      <c r="D1934" s="5"/>
      <c r="E1934" s="5"/>
      <c r="F1934" s="5"/>
      <c r="G1934" s="5"/>
      <c r="H1934" s="6"/>
      <c r="I1934" s="5"/>
      <c r="J1934" s="88"/>
      <c r="K1934" s="88"/>
      <c r="L1934" s="88"/>
      <c r="M1934" s="88"/>
      <c r="N1934" s="88"/>
      <c r="O1934" s="88"/>
      <c r="P1934" s="88"/>
      <c r="Q1934" s="89"/>
      <c r="R1934" s="88"/>
      <c r="S1934" s="88"/>
      <c r="T1934" s="90"/>
      <c r="U1934" s="6"/>
      <c r="V1934" s="92"/>
      <c r="W1934" s="77"/>
      <c r="X1934" s="91"/>
      <c r="Y1934" s="77"/>
      <c r="Z1934" s="5"/>
      <c r="AA1934" s="5"/>
      <c r="AB1934" s="5"/>
      <c r="AC1934" s="5"/>
      <c r="AD1934" s="5"/>
      <c r="AE1934" s="5"/>
      <c r="AF1934" s="5"/>
      <c r="AG1934" s="5"/>
      <c r="AH1934" s="6"/>
      <c r="AI1934" s="92"/>
      <c r="AJ1934" s="93"/>
      <c r="AK1934" s="94"/>
      <c r="AL1934" s="95"/>
      <c r="AM1934" s="56"/>
      <c r="AN1934" s="57">
        <f t="shared" si="318"/>
        <v>0</v>
      </c>
      <c r="AO1934" s="76">
        <f t="shared" si="320"/>
        <v>0</v>
      </c>
      <c r="AP1934" s="63" t="str">
        <f t="shared" si="321"/>
        <v/>
      </c>
      <c r="AQ1934" s="63" t="str">
        <f t="shared" si="322"/>
        <v/>
      </c>
      <c r="AR1934" s="63" t="str">
        <f t="shared" si="323"/>
        <v/>
      </c>
      <c r="AS1934" s="63" t="str">
        <f t="shared" si="324"/>
        <v/>
      </c>
      <c r="AT1934" s="78" t="str">
        <f t="shared" si="325"/>
        <v/>
      </c>
      <c r="AU1934" s="78" t="str">
        <f t="shared" si="326"/>
        <v/>
      </c>
      <c r="AV1934" s="64" t="str">
        <f ca="1">IFERROR(__xludf.DUMMYFUNCTION("IF(TRIM(AU1934)="""","""",AU1934/INDEX(FILTER(AT$3:AT1934,TRIM(AT$3:AT1934)&lt;&gt;""""),ROWS(FILTER(AT$3:AT1934,TRIM(AT$3:AT1934)&lt;&gt;"""")))-1)"),"")</f>
        <v/>
      </c>
      <c r="AW1934" s="65" t="e">
        <f t="shared" ca="1" si="319"/>
        <v>#VALUE!</v>
      </c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</row>
    <row r="1935" spans="1:68" ht="19" x14ac:dyDescent="0.25">
      <c r="A1935" s="5"/>
      <c r="B1935" s="5"/>
      <c r="C1935" s="5"/>
      <c r="D1935" s="5"/>
      <c r="E1935" s="5"/>
      <c r="F1935" s="5"/>
      <c r="G1935" s="5"/>
      <c r="H1935" s="6"/>
      <c r="I1935" s="5"/>
      <c r="J1935" s="88"/>
      <c r="K1935" s="88"/>
      <c r="L1935" s="88"/>
      <c r="M1935" s="88"/>
      <c r="N1935" s="88"/>
      <c r="O1935" s="88"/>
      <c r="P1935" s="88"/>
      <c r="Q1935" s="89"/>
      <c r="R1935" s="88"/>
      <c r="S1935" s="88"/>
      <c r="T1935" s="90"/>
      <c r="U1935" s="6"/>
      <c r="V1935" s="92"/>
      <c r="W1935" s="77"/>
      <c r="X1935" s="91"/>
      <c r="Y1935" s="77"/>
      <c r="Z1935" s="5"/>
      <c r="AA1935" s="5"/>
      <c r="AB1935" s="5"/>
      <c r="AC1935" s="5"/>
      <c r="AD1935" s="5"/>
      <c r="AE1935" s="5"/>
      <c r="AF1935" s="5"/>
      <c r="AG1935" s="5"/>
      <c r="AH1935" s="6"/>
      <c r="AI1935" s="92"/>
      <c r="AJ1935" s="93"/>
      <c r="AK1935" s="94"/>
      <c r="AL1935" s="95"/>
      <c r="AM1935" s="56"/>
      <c r="AN1935" s="57">
        <f t="shared" si="318"/>
        <v>0</v>
      </c>
      <c r="AO1935" s="76">
        <f t="shared" si="320"/>
        <v>0</v>
      </c>
      <c r="AP1935" s="63" t="str">
        <f t="shared" si="321"/>
        <v/>
      </c>
      <c r="AQ1935" s="63" t="str">
        <f t="shared" si="322"/>
        <v/>
      </c>
      <c r="AR1935" s="63" t="str">
        <f t="shared" si="323"/>
        <v/>
      </c>
      <c r="AS1935" s="63" t="str">
        <f t="shared" si="324"/>
        <v/>
      </c>
      <c r="AT1935" s="78" t="str">
        <f t="shared" si="325"/>
        <v/>
      </c>
      <c r="AU1935" s="78" t="str">
        <f t="shared" si="326"/>
        <v/>
      </c>
      <c r="AV1935" s="64" t="str">
        <f ca="1">IFERROR(__xludf.DUMMYFUNCTION("IF(TRIM(AU1935)="""","""",AU1935/INDEX(FILTER(AT$3:AT1935,TRIM(AT$3:AT1935)&lt;&gt;""""),ROWS(FILTER(AT$3:AT1935,TRIM(AT$3:AT1935)&lt;&gt;"""")))-1)"),"")</f>
        <v/>
      </c>
      <c r="AW1935" s="65" t="e">
        <f t="shared" ca="1" si="319"/>
        <v>#VALUE!</v>
      </c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</row>
    <row r="1936" spans="1:68" ht="19" x14ac:dyDescent="0.25">
      <c r="A1936" s="5"/>
      <c r="B1936" s="5"/>
      <c r="C1936" s="5"/>
      <c r="D1936" s="5"/>
      <c r="E1936" s="5"/>
      <c r="F1936" s="5"/>
      <c r="G1936" s="5"/>
      <c r="H1936" s="6"/>
      <c r="I1936" s="5"/>
      <c r="J1936" s="88"/>
      <c r="K1936" s="88"/>
      <c r="L1936" s="88"/>
      <c r="M1936" s="88"/>
      <c r="N1936" s="88"/>
      <c r="O1936" s="88"/>
      <c r="P1936" s="88"/>
      <c r="Q1936" s="89"/>
      <c r="R1936" s="88"/>
      <c r="S1936" s="88"/>
      <c r="T1936" s="90"/>
      <c r="U1936" s="6"/>
      <c r="V1936" s="92"/>
      <c r="W1936" s="77"/>
      <c r="X1936" s="91"/>
      <c r="Y1936" s="77"/>
      <c r="Z1936" s="5"/>
      <c r="AA1936" s="5"/>
      <c r="AB1936" s="5"/>
      <c r="AC1936" s="5"/>
      <c r="AD1936" s="5"/>
      <c r="AE1936" s="5"/>
      <c r="AF1936" s="5"/>
      <c r="AG1936" s="5"/>
      <c r="AH1936" s="6"/>
      <c r="AI1936" s="92"/>
      <c r="AJ1936" s="93"/>
      <c r="AK1936" s="94"/>
      <c r="AL1936" s="95"/>
      <c r="AM1936" s="56"/>
      <c r="AN1936" s="57">
        <f t="shared" si="318"/>
        <v>0</v>
      </c>
      <c r="AO1936" s="76">
        <f t="shared" si="320"/>
        <v>0</v>
      </c>
      <c r="AP1936" s="63" t="str">
        <f t="shared" si="321"/>
        <v/>
      </c>
      <c r="AQ1936" s="63" t="str">
        <f t="shared" si="322"/>
        <v/>
      </c>
      <c r="AR1936" s="63" t="str">
        <f t="shared" si="323"/>
        <v/>
      </c>
      <c r="AS1936" s="63" t="str">
        <f t="shared" si="324"/>
        <v/>
      </c>
      <c r="AT1936" s="78" t="str">
        <f t="shared" si="325"/>
        <v/>
      </c>
      <c r="AU1936" s="78" t="str">
        <f t="shared" si="326"/>
        <v/>
      </c>
      <c r="AV1936" s="64" t="str">
        <f ca="1">IFERROR(__xludf.DUMMYFUNCTION("IF(TRIM(AU1936)="""","""",AU1936/INDEX(FILTER(AT$3:AT1936,TRIM(AT$3:AT1936)&lt;&gt;""""),ROWS(FILTER(AT$3:AT1936,TRIM(AT$3:AT1936)&lt;&gt;"""")))-1)"),"")</f>
        <v/>
      </c>
      <c r="AW1936" s="65" t="e">
        <f t="shared" ca="1" si="319"/>
        <v>#VALUE!</v>
      </c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</row>
    <row r="1937" spans="1:68" ht="19" x14ac:dyDescent="0.25">
      <c r="A1937" s="5"/>
      <c r="B1937" s="5"/>
      <c r="C1937" s="5"/>
      <c r="D1937" s="5"/>
      <c r="E1937" s="5"/>
      <c r="F1937" s="5"/>
      <c r="G1937" s="5"/>
      <c r="H1937" s="6"/>
      <c r="I1937" s="5"/>
      <c r="J1937" s="88"/>
      <c r="K1937" s="88"/>
      <c r="L1937" s="88"/>
      <c r="M1937" s="88"/>
      <c r="N1937" s="88"/>
      <c r="O1937" s="88"/>
      <c r="P1937" s="88"/>
      <c r="Q1937" s="89"/>
      <c r="R1937" s="88"/>
      <c r="S1937" s="88"/>
      <c r="T1937" s="90"/>
      <c r="U1937" s="6"/>
      <c r="V1937" s="92"/>
      <c r="W1937" s="77"/>
      <c r="X1937" s="91"/>
      <c r="Y1937" s="77"/>
      <c r="Z1937" s="5"/>
      <c r="AA1937" s="5"/>
      <c r="AB1937" s="5"/>
      <c r="AC1937" s="5"/>
      <c r="AD1937" s="5"/>
      <c r="AE1937" s="5"/>
      <c r="AF1937" s="5"/>
      <c r="AG1937" s="5"/>
      <c r="AH1937" s="6"/>
      <c r="AI1937" s="92"/>
      <c r="AJ1937" s="93"/>
      <c r="AK1937" s="94"/>
      <c r="AL1937" s="95"/>
      <c r="AM1937" s="56"/>
      <c r="AN1937" s="57">
        <f t="shared" si="318"/>
        <v>0</v>
      </c>
      <c r="AO1937" s="76">
        <f t="shared" si="320"/>
        <v>0</v>
      </c>
      <c r="AP1937" s="63" t="str">
        <f t="shared" si="321"/>
        <v/>
      </c>
      <c r="AQ1937" s="63" t="str">
        <f t="shared" si="322"/>
        <v/>
      </c>
      <c r="AR1937" s="63" t="str">
        <f t="shared" si="323"/>
        <v/>
      </c>
      <c r="AS1937" s="63" t="str">
        <f t="shared" si="324"/>
        <v/>
      </c>
      <c r="AT1937" s="78" t="str">
        <f t="shared" si="325"/>
        <v/>
      </c>
      <c r="AU1937" s="78" t="str">
        <f t="shared" si="326"/>
        <v/>
      </c>
      <c r="AV1937" s="64" t="str">
        <f ca="1">IFERROR(__xludf.DUMMYFUNCTION("IF(TRIM(AU1937)="""","""",AU1937/INDEX(FILTER(AT$3:AT1937,TRIM(AT$3:AT1937)&lt;&gt;""""),ROWS(FILTER(AT$3:AT1937,TRIM(AT$3:AT1937)&lt;&gt;"""")))-1)"),"")</f>
        <v/>
      </c>
      <c r="AW1937" s="65" t="e">
        <f t="shared" ca="1" si="319"/>
        <v>#VALUE!</v>
      </c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</row>
    <row r="1938" spans="1:68" ht="19" x14ac:dyDescent="0.25">
      <c r="A1938" s="5"/>
      <c r="B1938" s="5"/>
      <c r="C1938" s="5"/>
      <c r="D1938" s="5"/>
      <c r="E1938" s="5"/>
      <c r="F1938" s="5"/>
      <c r="G1938" s="5"/>
      <c r="H1938" s="6"/>
      <c r="I1938" s="5"/>
      <c r="J1938" s="88"/>
      <c r="K1938" s="88"/>
      <c r="L1938" s="88"/>
      <c r="M1938" s="88"/>
      <c r="N1938" s="88"/>
      <c r="O1938" s="88"/>
      <c r="P1938" s="88"/>
      <c r="Q1938" s="89"/>
      <c r="R1938" s="88"/>
      <c r="S1938" s="88"/>
      <c r="T1938" s="90"/>
      <c r="U1938" s="6"/>
      <c r="V1938" s="92"/>
      <c r="W1938" s="77"/>
      <c r="X1938" s="91"/>
      <c r="Y1938" s="77"/>
      <c r="Z1938" s="5"/>
      <c r="AA1938" s="5"/>
      <c r="AB1938" s="5"/>
      <c r="AC1938" s="5"/>
      <c r="AD1938" s="5"/>
      <c r="AE1938" s="5"/>
      <c r="AF1938" s="5"/>
      <c r="AG1938" s="5"/>
      <c r="AH1938" s="6"/>
      <c r="AI1938" s="92"/>
      <c r="AJ1938" s="93"/>
      <c r="AK1938" s="94"/>
      <c r="AL1938" s="95"/>
      <c r="AM1938" s="56"/>
      <c r="AN1938" s="57">
        <f t="shared" si="318"/>
        <v>0</v>
      </c>
      <c r="AO1938" s="76">
        <f t="shared" si="320"/>
        <v>0</v>
      </c>
      <c r="AP1938" s="63" t="str">
        <f t="shared" si="321"/>
        <v/>
      </c>
      <c r="AQ1938" s="63" t="str">
        <f t="shared" si="322"/>
        <v/>
      </c>
      <c r="AR1938" s="63" t="str">
        <f t="shared" si="323"/>
        <v/>
      </c>
      <c r="AS1938" s="63" t="str">
        <f t="shared" si="324"/>
        <v/>
      </c>
      <c r="AT1938" s="78" t="str">
        <f t="shared" si="325"/>
        <v/>
      </c>
      <c r="AU1938" s="78" t="str">
        <f t="shared" si="326"/>
        <v/>
      </c>
      <c r="AV1938" s="64" t="str">
        <f ca="1">IFERROR(__xludf.DUMMYFUNCTION("IF(TRIM(AU1938)="""","""",AU1938/INDEX(FILTER(AT$3:AT1938,TRIM(AT$3:AT1938)&lt;&gt;""""),ROWS(FILTER(AT$3:AT1938,TRIM(AT$3:AT1938)&lt;&gt;"""")))-1)"),"")</f>
        <v/>
      </c>
      <c r="AW1938" s="65" t="e">
        <f t="shared" ca="1" si="319"/>
        <v>#VALUE!</v>
      </c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</row>
    <row r="1939" spans="1:68" ht="19" x14ac:dyDescent="0.25">
      <c r="A1939" s="5"/>
      <c r="B1939" s="5"/>
      <c r="C1939" s="5"/>
      <c r="D1939" s="5"/>
      <c r="E1939" s="5"/>
      <c r="F1939" s="5"/>
      <c r="G1939" s="5"/>
      <c r="H1939" s="6"/>
      <c r="I1939" s="5"/>
      <c r="J1939" s="88"/>
      <c r="K1939" s="88"/>
      <c r="L1939" s="88"/>
      <c r="M1939" s="88"/>
      <c r="N1939" s="88"/>
      <c r="O1939" s="88"/>
      <c r="P1939" s="88"/>
      <c r="Q1939" s="89"/>
      <c r="R1939" s="88"/>
      <c r="S1939" s="88"/>
      <c r="T1939" s="90"/>
      <c r="U1939" s="6"/>
      <c r="V1939" s="92"/>
      <c r="W1939" s="77"/>
      <c r="X1939" s="91"/>
      <c r="Y1939" s="77"/>
      <c r="Z1939" s="5"/>
      <c r="AA1939" s="5"/>
      <c r="AB1939" s="5"/>
      <c r="AC1939" s="5"/>
      <c r="AD1939" s="5"/>
      <c r="AE1939" s="5"/>
      <c r="AF1939" s="5"/>
      <c r="AG1939" s="5"/>
      <c r="AH1939" s="6"/>
      <c r="AI1939" s="92"/>
      <c r="AJ1939" s="93"/>
      <c r="AK1939" s="94"/>
      <c r="AL1939" s="95"/>
      <c r="AM1939" s="56"/>
      <c r="AN1939" s="57">
        <f t="shared" si="318"/>
        <v>0</v>
      </c>
      <c r="AO1939" s="76">
        <f t="shared" si="320"/>
        <v>0</v>
      </c>
      <c r="AP1939" s="63" t="str">
        <f t="shared" si="321"/>
        <v/>
      </c>
      <c r="AQ1939" s="63" t="str">
        <f t="shared" si="322"/>
        <v/>
      </c>
      <c r="AR1939" s="63" t="str">
        <f t="shared" si="323"/>
        <v/>
      </c>
      <c r="AS1939" s="63" t="str">
        <f t="shared" si="324"/>
        <v/>
      </c>
      <c r="AT1939" s="78" t="str">
        <f t="shared" si="325"/>
        <v/>
      </c>
      <c r="AU1939" s="78" t="str">
        <f t="shared" si="326"/>
        <v/>
      </c>
      <c r="AV1939" s="64" t="str">
        <f ca="1">IFERROR(__xludf.DUMMYFUNCTION("IF(TRIM(AU1939)="""","""",AU1939/INDEX(FILTER(AT$3:AT1939,TRIM(AT$3:AT1939)&lt;&gt;""""),ROWS(FILTER(AT$3:AT1939,TRIM(AT$3:AT1939)&lt;&gt;"""")))-1)"),"")</f>
        <v/>
      </c>
      <c r="AW1939" s="65" t="e">
        <f t="shared" ca="1" si="319"/>
        <v>#VALUE!</v>
      </c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</row>
    <row r="1940" spans="1:68" ht="19" x14ac:dyDescent="0.25">
      <c r="A1940" s="5"/>
      <c r="B1940" s="5"/>
      <c r="C1940" s="5"/>
      <c r="D1940" s="5"/>
      <c r="E1940" s="5"/>
      <c r="F1940" s="5"/>
      <c r="G1940" s="5"/>
      <c r="H1940" s="6"/>
      <c r="I1940" s="5"/>
      <c r="J1940" s="88"/>
      <c r="K1940" s="88"/>
      <c r="L1940" s="88"/>
      <c r="M1940" s="88"/>
      <c r="N1940" s="88"/>
      <c r="O1940" s="88"/>
      <c r="P1940" s="88"/>
      <c r="Q1940" s="89"/>
      <c r="R1940" s="88"/>
      <c r="S1940" s="88"/>
      <c r="T1940" s="90"/>
      <c r="U1940" s="6"/>
      <c r="V1940" s="92"/>
      <c r="W1940" s="77"/>
      <c r="X1940" s="91"/>
      <c r="Y1940" s="77"/>
      <c r="Z1940" s="5"/>
      <c r="AA1940" s="5"/>
      <c r="AB1940" s="5"/>
      <c r="AC1940" s="5"/>
      <c r="AD1940" s="5"/>
      <c r="AE1940" s="5"/>
      <c r="AF1940" s="5"/>
      <c r="AG1940" s="5"/>
      <c r="AH1940" s="6"/>
      <c r="AI1940" s="92"/>
      <c r="AJ1940" s="93"/>
      <c r="AK1940" s="94"/>
      <c r="AL1940" s="95"/>
      <c r="AM1940" s="56"/>
      <c r="AN1940" s="57">
        <f t="shared" si="318"/>
        <v>0</v>
      </c>
      <c r="AO1940" s="76">
        <f t="shared" si="320"/>
        <v>0</v>
      </c>
      <c r="AP1940" s="63" t="str">
        <f t="shared" si="321"/>
        <v/>
      </c>
      <c r="AQ1940" s="63" t="str">
        <f t="shared" si="322"/>
        <v/>
      </c>
      <c r="AR1940" s="63" t="str">
        <f t="shared" si="323"/>
        <v/>
      </c>
      <c r="AS1940" s="63" t="str">
        <f t="shared" si="324"/>
        <v/>
      </c>
      <c r="AT1940" s="78" t="str">
        <f t="shared" si="325"/>
        <v/>
      </c>
      <c r="AU1940" s="78" t="str">
        <f t="shared" si="326"/>
        <v/>
      </c>
      <c r="AV1940" s="64" t="str">
        <f ca="1">IFERROR(__xludf.DUMMYFUNCTION("IF(TRIM(AU1940)="""","""",AU1940/INDEX(FILTER(AT$3:AT1940,TRIM(AT$3:AT1940)&lt;&gt;""""),ROWS(FILTER(AT$3:AT1940,TRIM(AT$3:AT1940)&lt;&gt;"""")))-1)"),"")</f>
        <v/>
      </c>
      <c r="AW1940" s="65" t="e">
        <f t="shared" ca="1" si="319"/>
        <v>#VALUE!</v>
      </c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</row>
    <row r="1941" spans="1:68" ht="19" x14ac:dyDescent="0.25">
      <c r="A1941" s="5"/>
      <c r="B1941" s="5"/>
      <c r="C1941" s="5"/>
      <c r="D1941" s="5"/>
      <c r="E1941" s="5"/>
      <c r="F1941" s="5"/>
      <c r="G1941" s="5"/>
      <c r="H1941" s="6"/>
      <c r="I1941" s="5"/>
      <c r="J1941" s="88"/>
      <c r="K1941" s="88"/>
      <c r="L1941" s="88"/>
      <c r="M1941" s="88"/>
      <c r="N1941" s="88"/>
      <c r="O1941" s="88"/>
      <c r="P1941" s="88"/>
      <c r="Q1941" s="89"/>
      <c r="R1941" s="88"/>
      <c r="S1941" s="88"/>
      <c r="T1941" s="90"/>
      <c r="U1941" s="6"/>
      <c r="V1941" s="92"/>
      <c r="W1941" s="77"/>
      <c r="X1941" s="91"/>
      <c r="Y1941" s="77"/>
      <c r="Z1941" s="5"/>
      <c r="AA1941" s="5"/>
      <c r="AB1941" s="5"/>
      <c r="AC1941" s="5"/>
      <c r="AD1941" s="5"/>
      <c r="AE1941" s="5"/>
      <c r="AF1941" s="5"/>
      <c r="AG1941" s="5"/>
      <c r="AH1941" s="6"/>
      <c r="AI1941" s="92"/>
      <c r="AJ1941" s="93"/>
      <c r="AK1941" s="94"/>
      <c r="AL1941" s="95"/>
      <c r="AM1941" s="56"/>
      <c r="AN1941" s="57">
        <f t="shared" si="318"/>
        <v>0</v>
      </c>
      <c r="AO1941" s="76">
        <f t="shared" si="320"/>
        <v>0</v>
      </c>
      <c r="AP1941" s="63" t="str">
        <f t="shared" si="321"/>
        <v/>
      </c>
      <c r="AQ1941" s="63" t="str">
        <f t="shared" si="322"/>
        <v/>
      </c>
      <c r="AR1941" s="63" t="str">
        <f t="shared" si="323"/>
        <v/>
      </c>
      <c r="AS1941" s="63" t="str">
        <f t="shared" si="324"/>
        <v/>
      </c>
      <c r="AT1941" s="78" t="str">
        <f t="shared" si="325"/>
        <v/>
      </c>
      <c r="AU1941" s="78" t="str">
        <f t="shared" si="326"/>
        <v/>
      </c>
      <c r="AV1941" s="64" t="str">
        <f ca="1">IFERROR(__xludf.DUMMYFUNCTION("IF(TRIM(AU1941)="""","""",AU1941/INDEX(FILTER(AT$3:AT1941,TRIM(AT$3:AT1941)&lt;&gt;""""),ROWS(FILTER(AT$3:AT1941,TRIM(AT$3:AT1941)&lt;&gt;"""")))-1)"),"")</f>
        <v/>
      </c>
      <c r="AW1941" s="65" t="e">
        <f t="shared" ca="1" si="319"/>
        <v>#VALUE!</v>
      </c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</row>
    <row r="1942" spans="1:68" ht="19" x14ac:dyDescent="0.25">
      <c r="A1942" s="5"/>
      <c r="B1942" s="5"/>
      <c r="C1942" s="5"/>
      <c r="D1942" s="5"/>
      <c r="E1942" s="5"/>
      <c r="F1942" s="5"/>
      <c r="G1942" s="5"/>
      <c r="H1942" s="6"/>
      <c r="I1942" s="5"/>
      <c r="J1942" s="88"/>
      <c r="K1942" s="88"/>
      <c r="L1942" s="88"/>
      <c r="M1942" s="88"/>
      <c r="N1942" s="88"/>
      <c r="O1942" s="88"/>
      <c r="P1942" s="88"/>
      <c r="Q1942" s="89"/>
      <c r="R1942" s="88"/>
      <c r="S1942" s="88"/>
      <c r="T1942" s="90"/>
      <c r="U1942" s="6"/>
      <c r="V1942" s="92"/>
      <c r="W1942" s="77"/>
      <c r="X1942" s="91"/>
      <c r="Y1942" s="77"/>
      <c r="Z1942" s="5"/>
      <c r="AA1942" s="5"/>
      <c r="AB1942" s="5"/>
      <c r="AC1942" s="5"/>
      <c r="AD1942" s="5"/>
      <c r="AE1942" s="5"/>
      <c r="AF1942" s="5"/>
      <c r="AG1942" s="5"/>
      <c r="AH1942" s="6"/>
      <c r="AI1942" s="92"/>
      <c r="AJ1942" s="93"/>
      <c r="AK1942" s="94"/>
      <c r="AL1942" s="95"/>
      <c r="AM1942" s="56"/>
      <c r="AN1942" s="57">
        <f t="shared" si="318"/>
        <v>0</v>
      </c>
      <c r="AO1942" s="76">
        <f t="shared" si="320"/>
        <v>0</v>
      </c>
      <c r="AP1942" s="63" t="str">
        <f t="shared" si="321"/>
        <v/>
      </c>
      <c r="AQ1942" s="63" t="str">
        <f t="shared" si="322"/>
        <v/>
      </c>
      <c r="AR1942" s="63" t="str">
        <f t="shared" si="323"/>
        <v/>
      </c>
      <c r="AS1942" s="63" t="str">
        <f t="shared" si="324"/>
        <v/>
      </c>
      <c r="AT1942" s="78" t="str">
        <f t="shared" si="325"/>
        <v/>
      </c>
      <c r="AU1942" s="78" t="str">
        <f t="shared" si="326"/>
        <v/>
      </c>
      <c r="AV1942" s="64" t="str">
        <f ca="1">IFERROR(__xludf.DUMMYFUNCTION("IF(TRIM(AU1942)="""","""",AU1942/INDEX(FILTER(AT$3:AT1942,TRIM(AT$3:AT1942)&lt;&gt;""""),ROWS(FILTER(AT$3:AT1942,TRIM(AT$3:AT1942)&lt;&gt;"""")))-1)"),"")</f>
        <v/>
      </c>
      <c r="AW1942" s="65" t="e">
        <f t="shared" ca="1" si="319"/>
        <v>#VALUE!</v>
      </c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</row>
    <row r="1943" spans="1:68" ht="19" x14ac:dyDescent="0.25">
      <c r="A1943" s="5"/>
      <c r="B1943" s="5"/>
      <c r="C1943" s="5"/>
      <c r="D1943" s="5"/>
      <c r="E1943" s="5"/>
      <c r="F1943" s="5"/>
      <c r="G1943" s="5"/>
      <c r="H1943" s="6"/>
      <c r="I1943" s="5"/>
      <c r="J1943" s="88"/>
      <c r="K1943" s="88"/>
      <c r="L1943" s="88"/>
      <c r="M1943" s="88"/>
      <c r="N1943" s="88"/>
      <c r="O1943" s="88"/>
      <c r="P1943" s="88"/>
      <c r="Q1943" s="89"/>
      <c r="R1943" s="88"/>
      <c r="S1943" s="88"/>
      <c r="T1943" s="90"/>
      <c r="U1943" s="6"/>
      <c r="V1943" s="92"/>
      <c r="W1943" s="77"/>
      <c r="X1943" s="91"/>
      <c r="Y1943" s="77"/>
      <c r="Z1943" s="5"/>
      <c r="AA1943" s="5"/>
      <c r="AB1943" s="5"/>
      <c r="AC1943" s="5"/>
      <c r="AD1943" s="5"/>
      <c r="AE1943" s="5"/>
      <c r="AF1943" s="5"/>
      <c r="AG1943" s="5"/>
      <c r="AH1943" s="6"/>
      <c r="AI1943" s="92"/>
      <c r="AJ1943" s="93"/>
      <c r="AK1943" s="94"/>
      <c r="AL1943" s="95"/>
      <c r="AM1943" s="56"/>
      <c r="AN1943" s="57">
        <f t="shared" si="318"/>
        <v>0</v>
      </c>
      <c r="AO1943" s="76">
        <f t="shared" si="320"/>
        <v>0</v>
      </c>
      <c r="AP1943" s="63" t="str">
        <f t="shared" si="321"/>
        <v/>
      </c>
      <c r="AQ1943" s="63" t="str">
        <f t="shared" si="322"/>
        <v/>
      </c>
      <c r="AR1943" s="63" t="str">
        <f t="shared" si="323"/>
        <v/>
      </c>
      <c r="AS1943" s="63" t="str">
        <f t="shared" si="324"/>
        <v/>
      </c>
      <c r="AT1943" s="78" t="str">
        <f t="shared" si="325"/>
        <v/>
      </c>
      <c r="AU1943" s="78" t="str">
        <f t="shared" si="326"/>
        <v/>
      </c>
      <c r="AV1943" s="64" t="str">
        <f ca="1">IFERROR(__xludf.DUMMYFUNCTION("IF(TRIM(AU1943)="""","""",AU1943/INDEX(FILTER(AT$3:AT1943,TRIM(AT$3:AT1943)&lt;&gt;""""),ROWS(FILTER(AT$3:AT1943,TRIM(AT$3:AT1943)&lt;&gt;"""")))-1)"),"")</f>
        <v/>
      </c>
      <c r="AW1943" s="65" t="e">
        <f t="shared" ca="1" si="319"/>
        <v>#VALUE!</v>
      </c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</row>
    <row r="1944" spans="1:68" ht="19" x14ac:dyDescent="0.25">
      <c r="A1944" s="5"/>
      <c r="B1944" s="5"/>
      <c r="C1944" s="5"/>
      <c r="D1944" s="5"/>
      <c r="E1944" s="5"/>
      <c r="F1944" s="5"/>
      <c r="G1944" s="5"/>
      <c r="H1944" s="6"/>
      <c r="I1944" s="5"/>
      <c r="J1944" s="88"/>
      <c r="K1944" s="88"/>
      <c r="L1944" s="88"/>
      <c r="M1944" s="88"/>
      <c r="N1944" s="88"/>
      <c r="O1944" s="88"/>
      <c r="P1944" s="88"/>
      <c r="Q1944" s="89"/>
      <c r="R1944" s="88"/>
      <c r="S1944" s="88"/>
      <c r="T1944" s="90"/>
      <c r="U1944" s="6"/>
      <c r="V1944" s="92"/>
      <c r="W1944" s="77"/>
      <c r="X1944" s="91"/>
      <c r="Y1944" s="77"/>
      <c r="Z1944" s="5"/>
      <c r="AA1944" s="5"/>
      <c r="AB1944" s="5"/>
      <c r="AC1944" s="5"/>
      <c r="AD1944" s="5"/>
      <c r="AE1944" s="5"/>
      <c r="AF1944" s="5"/>
      <c r="AG1944" s="5"/>
      <c r="AH1944" s="6"/>
      <c r="AI1944" s="92"/>
      <c r="AJ1944" s="93"/>
      <c r="AK1944" s="94"/>
      <c r="AL1944" s="95"/>
      <c r="AM1944" s="56"/>
      <c r="AN1944" s="57">
        <f t="shared" si="318"/>
        <v>0</v>
      </c>
      <c r="AO1944" s="76">
        <f t="shared" si="320"/>
        <v>0</v>
      </c>
      <c r="AP1944" s="63" t="str">
        <f t="shared" si="321"/>
        <v/>
      </c>
      <c r="AQ1944" s="63" t="str">
        <f t="shared" si="322"/>
        <v/>
      </c>
      <c r="AR1944" s="63" t="str">
        <f t="shared" si="323"/>
        <v/>
      </c>
      <c r="AS1944" s="63" t="str">
        <f t="shared" si="324"/>
        <v/>
      </c>
      <c r="AT1944" s="78" t="str">
        <f t="shared" si="325"/>
        <v/>
      </c>
      <c r="AU1944" s="78" t="str">
        <f t="shared" si="326"/>
        <v/>
      </c>
      <c r="AV1944" s="64" t="str">
        <f ca="1">IFERROR(__xludf.DUMMYFUNCTION("IF(TRIM(AU1944)="""","""",AU1944/INDEX(FILTER(AT$3:AT1944,TRIM(AT$3:AT1944)&lt;&gt;""""),ROWS(FILTER(AT$3:AT1944,TRIM(AT$3:AT1944)&lt;&gt;"""")))-1)"),"")</f>
        <v/>
      </c>
      <c r="AW1944" s="65" t="e">
        <f t="shared" ca="1" si="319"/>
        <v>#VALUE!</v>
      </c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</row>
    <row r="1945" spans="1:68" ht="19" x14ac:dyDescent="0.25">
      <c r="A1945" s="5"/>
      <c r="B1945" s="5"/>
      <c r="C1945" s="5"/>
      <c r="D1945" s="5"/>
      <c r="E1945" s="5"/>
      <c r="F1945" s="5"/>
      <c r="G1945" s="5"/>
      <c r="H1945" s="6"/>
      <c r="I1945" s="5"/>
      <c r="J1945" s="88"/>
      <c r="K1945" s="88"/>
      <c r="L1945" s="88"/>
      <c r="M1945" s="88"/>
      <c r="N1945" s="88"/>
      <c r="O1945" s="88"/>
      <c r="P1945" s="88"/>
      <c r="Q1945" s="89"/>
      <c r="R1945" s="88"/>
      <c r="S1945" s="88"/>
      <c r="T1945" s="90"/>
      <c r="U1945" s="6"/>
      <c r="V1945" s="92"/>
      <c r="W1945" s="77"/>
      <c r="X1945" s="91"/>
      <c r="Y1945" s="77"/>
      <c r="Z1945" s="5"/>
      <c r="AA1945" s="5"/>
      <c r="AB1945" s="5"/>
      <c r="AC1945" s="5"/>
      <c r="AD1945" s="5"/>
      <c r="AE1945" s="5"/>
      <c r="AF1945" s="5"/>
      <c r="AG1945" s="5"/>
      <c r="AH1945" s="6"/>
      <c r="AI1945" s="92"/>
      <c r="AJ1945" s="93"/>
      <c r="AK1945" s="94"/>
      <c r="AL1945" s="95"/>
      <c r="AM1945" s="56"/>
      <c r="AN1945" s="57">
        <f t="shared" si="318"/>
        <v>0</v>
      </c>
      <c r="AO1945" s="76">
        <f t="shared" si="320"/>
        <v>0</v>
      </c>
      <c r="AP1945" s="63" t="str">
        <f t="shared" si="321"/>
        <v/>
      </c>
      <c r="AQ1945" s="63" t="str">
        <f t="shared" si="322"/>
        <v/>
      </c>
      <c r="AR1945" s="63" t="str">
        <f t="shared" si="323"/>
        <v/>
      </c>
      <c r="AS1945" s="63" t="str">
        <f t="shared" si="324"/>
        <v/>
      </c>
      <c r="AT1945" s="78" t="str">
        <f t="shared" si="325"/>
        <v/>
      </c>
      <c r="AU1945" s="78" t="str">
        <f t="shared" si="326"/>
        <v/>
      </c>
      <c r="AV1945" s="64" t="str">
        <f ca="1">IFERROR(__xludf.DUMMYFUNCTION("IF(TRIM(AU1945)="""","""",AU1945/INDEX(FILTER(AT$3:AT1945,TRIM(AT$3:AT1945)&lt;&gt;""""),ROWS(FILTER(AT$3:AT1945,TRIM(AT$3:AT1945)&lt;&gt;"""")))-1)"),"")</f>
        <v/>
      </c>
      <c r="AW1945" s="65" t="e">
        <f t="shared" ca="1" si="319"/>
        <v>#VALUE!</v>
      </c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</row>
    <row r="1946" spans="1:68" ht="19" x14ac:dyDescent="0.25">
      <c r="A1946" s="5"/>
      <c r="B1946" s="5"/>
      <c r="C1946" s="5"/>
      <c r="D1946" s="5"/>
      <c r="E1946" s="5"/>
      <c r="F1946" s="5"/>
      <c r="G1946" s="5"/>
      <c r="H1946" s="6"/>
      <c r="I1946" s="5"/>
      <c r="J1946" s="88"/>
      <c r="K1946" s="88"/>
      <c r="L1946" s="88"/>
      <c r="M1946" s="88"/>
      <c r="N1946" s="88"/>
      <c r="O1946" s="88"/>
      <c r="P1946" s="88"/>
      <c r="Q1946" s="89"/>
      <c r="R1946" s="88"/>
      <c r="S1946" s="88"/>
      <c r="T1946" s="90"/>
      <c r="U1946" s="6"/>
      <c r="V1946" s="92"/>
      <c r="W1946" s="77"/>
      <c r="X1946" s="91"/>
      <c r="Y1946" s="77"/>
      <c r="Z1946" s="5"/>
      <c r="AA1946" s="5"/>
      <c r="AB1946" s="5"/>
      <c r="AC1946" s="5"/>
      <c r="AD1946" s="5"/>
      <c r="AE1946" s="5"/>
      <c r="AF1946" s="5"/>
      <c r="AG1946" s="5"/>
      <c r="AH1946" s="6"/>
      <c r="AI1946" s="92"/>
      <c r="AJ1946" s="93"/>
      <c r="AK1946" s="94"/>
      <c r="AL1946" s="95"/>
      <c r="AM1946" s="56"/>
      <c r="AN1946" s="57">
        <f t="shared" si="318"/>
        <v>0</v>
      </c>
      <c r="AO1946" s="76">
        <f t="shared" si="320"/>
        <v>0</v>
      </c>
      <c r="AP1946" s="63" t="str">
        <f t="shared" si="321"/>
        <v/>
      </c>
      <c r="AQ1946" s="63" t="str">
        <f t="shared" si="322"/>
        <v/>
      </c>
      <c r="AR1946" s="63" t="str">
        <f t="shared" si="323"/>
        <v/>
      </c>
      <c r="AS1946" s="63" t="str">
        <f t="shared" si="324"/>
        <v/>
      </c>
      <c r="AT1946" s="78" t="str">
        <f t="shared" si="325"/>
        <v/>
      </c>
      <c r="AU1946" s="78" t="str">
        <f t="shared" si="326"/>
        <v/>
      </c>
      <c r="AV1946" s="64" t="str">
        <f ca="1">IFERROR(__xludf.DUMMYFUNCTION("IF(TRIM(AU1946)="""","""",AU1946/INDEX(FILTER(AT$3:AT1946,TRIM(AT$3:AT1946)&lt;&gt;""""),ROWS(FILTER(AT$3:AT1946,TRIM(AT$3:AT1946)&lt;&gt;"""")))-1)"),"")</f>
        <v/>
      </c>
      <c r="AW1946" s="65" t="e">
        <f t="shared" ca="1" si="319"/>
        <v>#VALUE!</v>
      </c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</row>
    <row r="1947" spans="1:68" ht="19" x14ac:dyDescent="0.25">
      <c r="A1947" s="5"/>
      <c r="B1947" s="5"/>
      <c r="C1947" s="5"/>
      <c r="D1947" s="5"/>
      <c r="E1947" s="5"/>
      <c r="F1947" s="5"/>
      <c r="G1947" s="5"/>
      <c r="H1947" s="6"/>
      <c r="I1947" s="5"/>
      <c r="J1947" s="88"/>
      <c r="K1947" s="88"/>
      <c r="L1947" s="88"/>
      <c r="M1947" s="88"/>
      <c r="N1947" s="88"/>
      <c r="O1947" s="88"/>
      <c r="P1947" s="88"/>
      <c r="Q1947" s="89"/>
      <c r="R1947" s="88"/>
      <c r="S1947" s="88"/>
      <c r="T1947" s="90"/>
      <c r="U1947" s="6"/>
      <c r="V1947" s="92"/>
      <c r="W1947" s="77"/>
      <c r="X1947" s="91"/>
      <c r="Y1947" s="77"/>
      <c r="Z1947" s="5"/>
      <c r="AA1947" s="5"/>
      <c r="AB1947" s="5"/>
      <c r="AC1947" s="5"/>
      <c r="AD1947" s="5"/>
      <c r="AE1947" s="5"/>
      <c r="AF1947" s="5"/>
      <c r="AG1947" s="5"/>
      <c r="AH1947" s="6"/>
      <c r="AI1947" s="92"/>
      <c r="AJ1947" s="93"/>
      <c r="AK1947" s="94"/>
      <c r="AL1947" s="95"/>
      <c r="AM1947" s="56"/>
      <c r="AN1947" s="57">
        <f t="shared" si="318"/>
        <v>0</v>
      </c>
      <c r="AO1947" s="76">
        <f t="shared" si="320"/>
        <v>0</v>
      </c>
      <c r="AP1947" s="63" t="str">
        <f t="shared" si="321"/>
        <v/>
      </c>
      <c r="AQ1947" s="63" t="str">
        <f t="shared" si="322"/>
        <v/>
      </c>
      <c r="AR1947" s="63" t="str">
        <f t="shared" si="323"/>
        <v/>
      </c>
      <c r="AS1947" s="63" t="str">
        <f t="shared" si="324"/>
        <v/>
      </c>
      <c r="AT1947" s="78" t="str">
        <f t="shared" si="325"/>
        <v/>
      </c>
      <c r="AU1947" s="78" t="str">
        <f t="shared" si="326"/>
        <v/>
      </c>
      <c r="AV1947" s="64" t="str">
        <f ca="1">IFERROR(__xludf.DUMMYFUNCTION("IF(TRIM(AU1947)="""","""",AU1947/INDEX(FILTER(AT$3:AT1947,TRIM(AT$3:AT1947)&lt;&gt;""""),ROWS(FILTER(AT$3:AT1947,TRIM(AT$3:AT1947)&lt;&gt;"""")))-1)"),"")</f>
        <v/>
      </c>
      <c r="AW1947" s="65" t="e">
        <f t="shared" ca="1" si="319"/>
        <v>#VALUE!</v>
      </c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</row>
    <row r="1948" spans="1:68" ht="19" x14ac:dyDescent="0.25">
      <c r="A1948" s="5"/>
      <c r="B1948" s="5"/>
      <c r="C1948" s="5"/>
      <c r="D1948" s="5"/>
      <c r="E1948" s="5"/>
      <c r="F1948" s="5"/>
      <c r="G1948" s="5"/>
      <c r="H1948" s="6"/>
      <c r="I1948" s="5"/>
      <c r="J1948" s="88"/>
      <c r="K1948" s="88"/>
      <c r="L1948" s="88"/>
      <c r="M1948" s="88"/>
      <c r="N1948" s="88"/>
      <c r="O1948" s="88"/>
      <c r="P1948" s="88"/>
      <c r="Q1948" s="89"/>
      <c r="R1948" s="88"/>
      <c r="S1948" s="88"/>
      <c r="T1948" s="90"/>
      <c r="U1948" s="6"/>
      <c r="V1948" s="92"/>
      <c r="W1948" s="77"/>
      <c r="X1948" s="91"/>
      <c r="Y1948" s="77"/>
      <c r="Z1948" s="5"/>
      <c r="AA1948" s="5"/>
      <c r="AB1948" s="5"/>
      <c r="AC1948" s="5"/>
      <c r="AD1948" s="5"/>
      <c r="AE1948" s="5"/>
      <c r="AF1948" s="5"/>
      <c r="AG1948" s="5"/>
      <c r="AH1948" s="6"/>
      <c r="AI1948" s="92"/>
      <c r="AJ1948" s="93"/>
      <c r="AK1948" s="94"/>
      <c r="AL1948" s="95"/>
      <c r="AM1948" s="56"/>
      <c r="AN1948" s="57">
        <f t="shared" si="318"/>
        <v>0</v>
      </c>
      <c r="AO1948" s="76">
        <f t="shared" si="320"/>
        <v>0</v>
      </c>
      <c r="AP1948" s="63" t="str">
        <f t="shared" si="321"/>
        <v/>
      </c>
      <c r="AQ1948" s="63" t="str">
        <f t="shared" si="322"/>
        <v/>
      </c>
      <c r="AR1948" s="63" t="str">
        <f t="shared" si="323"/>
        <v/>
      </c>
      <c r="AS1948" s="63" t="str">
        <f t="shared" si="324"/>
        <v/>
      </c>
      <c r="AT1948" s="78" t="str">
        <f t="shared" si="325"/>
        <v/>
      </c>
      <c r="AU1948" s="78" t="str">
        <f t="shared" si="326"/>
        <v/>
      </c>
      <c r="AV1948" s="64" t="str">
        <f ca="1">IFERROR(__xludf.DUMMYFUNCTION("IF(TRIM(AU1948)="""","""",AU1948/INDEX(FILTER(AT$3:AT1948,TRIM(AT$3:AT1948)&lt;&gt;""""),ROWS(FILTER(AT$3:AT1948,TRIM(AT$3:AT1948)&lt;&gt;"""")))-1)"),"")</f>
        <v/>
      </c>
      <c r="AW1948" s="65" t="e">
        <f t="shared" ca="1" si="319"/>
        <v>#VALUE!</v>
      </c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</row>
    <row r="1949" spans="1:68" ht="19" x14ac:dyDescent="0.25">
      <c r="A1949" s="5"/>
      <c r="B1949" s="5"/>
      <c r="C1949" s="5"/>
      <c r="D1949" s="5"/>
      <c r="E1949" s="5"/>
      <c r="F1949" s="5"/>
      <c r="G1949" s="5"/>
      <c r="H1949" s="6"/>
      <c r="I1949" s="5"/>
      <c r="J1949" s="88"/>
      <c r="K1949" s="88"/>
      <c r="L1949" s="88"/>
      <c r="M1949" s="88"/>
      <c r="N1949" s="88"/>
      <c r="O1949" s="88"/>
      <c r="P1949" s="88"/>
      <c r="Q1949" s="89"/>
      <c r="R1949" s="88"/>
      <c r="S1949" s="88"/>
      <c r="T1949" s="90"/>
      <c r="U1949" s="6"/>
      <c r="V1949" s="92"/>
      <c r="W1949" s="77"/>
      <c r="X1949" s="91"/>
      <c r="Y1949" s="77"/>
      <c r="Z1949" s="5"/>
      <c r="AA1949" s="5"/>
      <c r="AB1949" s="5"/>
      <c r="AC1949" s="5"/>
      <c r="AD1949" s="5"/>
      <c r="AE1949" s="5"/>
      <c r="AF1949" s="5"/>
      <c r="AG1949" s="5"/>
      <c r="AH1949" s="6"/>
      <c r="AI1949" s="92"/>
      <c r="AJ1949" s="93"/>
      <c r="AK1949" s="94"/>
      <c r="AL1949" s="95"/>
      <c r="AM1949" s="56"/>
      <c r="AN1949" s="57">
        <f t="shared" si="318"/>
        <v>0</v>
      </c>
      <c r="AO1949" s="76">
        <f t="shared" si="320"/>
        <v>0</v>
      </c>
      <c r="AP1949" s="63" t="str">
        <f t="shared" si="321"/>
        <v/>
      </c>
      <c r="AQ1949" s="63" t="str">
        <f t="shared" si="322"/>
        <v/>
      </c>
      <c r="AR1949" s="63" t="str">
        <f t="shared" si="323"/>
        <v/>
      </c>
      <c r="AS1949" s="63" t="str">
        <f t="shared" si="324"/>
        <v/>
      </c>
      <c r="AT1949" s="78" t="str">
        <f t="shared" si="325"/>
        <v/>
      </c>
      <c r="AU1949" s="78" t="str">
        <f t="shared" si="326"/>
        <v/>
      </c>
      <c r="AV1949" s="64" t="str">
        <f ca="1">IFERROR(__xludf.DUMMYFUNCTION("IF(TRIM(AU1949)="""","""",AU1949/INDEX(FILTER(AT$3:AT1949,TRIM(AT$3:AT1949)&lt;&gt;""""),ROWS(FILTER(AT$3:AT1949,TRIM(AT$3:AT1949)&lt;&gt;"""")))-1)"),"")</f>
        <v/>
      </c>
      <c r="AW1949" s="65" t="e">
        <f t="shared" ca="1" si="319"/>
        <v>#VALUE!</v>
      </c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</row>
    <row r="1950" spans="1:68" ht="19" x14ac:dyDescent="0.25">
      <c r="A1950" s="5"/>
      <c r="B1950" s="5"/>
      <c r="C1950" s="5"/>
      <c r="D1950" s="5"/>
      <c r="E1950" s="5"/>
      <c r="F1950" s="5"/>
      <c r="G1950" s="5"/>
      <c r="H1950" s="6"/>
      <c r="I1950" s="5"/>
      <c r="J1950" s="88"/>
      <c r="K1950" s="88"/>
      <c r="L1950" s="88"/>
      <c r="M1950" s="88"/>
      <c r="N1950" s="88"/>
      <c r="O1950" s="88"/>
      <c r="P1950" s="88"/>
      <c r="Q1950" s="89"/>
      <c r="R1950" s="88"/>
      <c r="S1950" s="88"/>
      <c r="T1950" s="90"/>
      <c r="U1950" s="6"/>
      <c r="V1950" s="92"/>
      <c r="W1950" s="77"/>
      <c r="X1950" s="91"/>
      <c r="Y1950" s="77"/>
      <c r="Z1950" s="5"/>
      <c r="AA1950" s="5"/>
      <c r="AB1950" s="5"/>
      <c r="AC1950" s="5"/>
      <c r="AD1950" s="5"/>
      <c r="AE1950" s="5"/>
      <c r="AF1950" s="5"/>
      <c r="AG1950" s="5"/>
      <c r="AH1950" s="6"/>
      <c r="AI1950" s="92"/>
      <c r="AJ1950" s="93"/>
      <c r="AK1950" s="94"/>
      <c r="AL1950" s="95"/>
      <c r="AM1950" s="56"/>
      <c r="AN1950" s="57">
        <f t="shared" si="318"/>
        <v>0</v>
      </c>
      <c r="AO1950" s="76">
        <f t="shared" si="320"/>
        <v>0</v>
      </c>
      <c r="AP1950" s="63" t="str">
        <f t="shared" si="321"/>
        <v/>
      </c>
      <c r="AQ1950" s="63" t="str">
        <f t="shared" si="322"/>
        <v/>
      </c>
      <c r="AR1950" s="63" t="str">
        <f t="shared" si="323"/>
        <v/>
      </c>
      <c r="AS1950" s="63" t="str">
        <f t="shared" si="324"/>
        <v/>
      </c>
      <c r="AT1950" s="78" t="str">
        <f t="shared" si="325"/>
        <v/>
      </c>
      <c r="AU1950" s="78" t="str">
        <f t="shared" si="326"/>
        <v/>
      </c>
      <c r="AV1950" s="64" t="str">
        <f ca="1">IFERROR(__xludf.DUMMYFUNCTION("IF(TRIM(AU1950)="""","""",AU1950/INDEX(FILTER(AT$3:AT1950,TRIM(AT$3:AT1950)&lt;&gt;""""),ROWS(FILTER(AT$3:AT1950,TRIM(AT$3:AT1950)&lt;&gt;"""")))-1)"),"")</f>
        <v/>
      </c>
      <c r="AW1950" s="65" t="e">
        <f t="shared" ca="1" si="319"/>
        <v>#VALUE!</v>
      </c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</row>
    <row r="1951" spans="1:68" ht="19" x14ac:dyDescent="0.25">
      <c r="A1951" s="5"/>
      <c r="B1951" s="5"/>
      <c r="C1951" s="5"/>
      <c r="D1951" s="5"/>
      <c r="E1951" s="5"/>
      <c r="F1951" s="5"/>
      <c r="G1951" s="5"/>
      <c r="H1951" s="6"/>
      <c r="I1951" s="5"/>
      <c r="J1951" s="88"/>
      <c r="K1951" s="88"/>
      <c r="L1951" s="88"/>
      <c r="M1951" s="88"/>
      <c r="N1951" s="88"/>
      <c r="O1951" s="88"/>
      <c r="P1951" s="88"/>
      <c r="Q1951" s="89"/>
      <c r="R1951" s="88"/>
      <c r="S1951" s="88"/>
      <c r="T1951" s="90"/>
      <c r="U1951" s="6"/>
      <c r="V1951" s="92"/>
      <c r="W1951" s="77"/>
      <c r="X1951" s="91"/>
      <c r="Y1951" s="77"/>
      <c r="Z1951" s="5"/>
      <c r="AA1951" s="5"/>
      <c r="AB1951" s="5"/>
      <c r="AC1951" s="5"/>
      <c r="AD1951" s="5"/>
      <c r="AE1951" s="5"/>
      <c r="AF1951" s="5"/>
      <c r="AG1951" s="5"/>
      <c r="AH1951" s="6"/>
      <c r="AI1951" s="92"/>
      <c r="AJ1951" s="93"/>
      <c r="AK1951" s="94"/>
      <c r="AL1951" s="95"/>
      <c r="AM1951" s="56"/>
      <c r="AN1951" s="57">
        <f t="shared" si="318"/>
        <v>0</v>
      </c>
      <c r="AO1951" s="76">
        <f t="shared" si="320"/>
        <v>0</v>
      </c>
      <c r="AP1951" s="63" t="str">
        <f t="shared" si="321"/>
        <v/>
      </c>
      <c r="AQ1951" s="63" t="str">
        <f t="shared" si="322"/>
        <v/>
      </c>
      <c r="AR1951" s="63" t="str">
        <f t="shared" si="323"/>
        <v/>
      </c>
      <c r="AS1951" s="63" t="str">
        <f t="shared" si="324"/>
        <v/>
      </c>
      <c r="AT1951" s="78" t="str">
        <f t="shared" si="325"/>
        <v/>
      </c>
      <c r="AU1951" s="78" t="str">
        <f t="shared" si="326"/>
        <v/>
      </c>
      <c r="AV1951" s="64" t="str">
        <f ca="1">IFERROR(__xludf.DUMMYFUNCTION("IF(TRIM(AU1951)="""","""",AU1951/INDEX(FILTER(AT$3:AT1951,TRIM(AT$3:AT1951)&lt;&gt;""""),ROWS(FILTER(AT$3:AT1951,TRIM(AT$3:AT1951)&lt;&gt;"""")))-1)"),"")</f>
        <v/>
      </c>
      <c r="AW1951" s="65" t="e">
        <f t="shared" ca="1" si="319"/>
        <v>#VALUE!</v>
      </c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</row>
    <row r="1952" spans="1:68" ht="19" x14ac:dyDescent="0.25">
      <c r="A1952" s="5"/>
      <c r="B1952" s="5"/>
      <c r="C1952" s="5"/>
      <c r="D1952" s="5"/>
      <c r="E1952" s="5"/>
      <c r="F1952" s="5"/>
      <c r="G1952" s="5"/>
      <c r="H1952" s="6"/>
      <c r="I1952" s="5"/>
      <c r="J1952" s="88"/>
      <c r="K1952" s="88"/>
      <c r="L1952" s="88"/>
      <c r="M1952" s="88"/>
      <c r="N1952" s="88"/>
      <c r="O1952" s="88"/>
      <c r="P1952" s="88"/>
      <c r="Q1952" s="89"/>
      <c r="R1952" s="88"/>
      <c r="S1952" s="88"/>
      <c r="T1952" s="90"/>
      <c r="U1952" s="6"/>
      <c r="V1952" s="92"/>
      <c r="W1952" s="77"/>
      <c r="X1952" s="91"/>
      <c r="Y1952" s="77"/>
      <c r="Z1952" s="5"/>
      <c r="AA1952" s="5"/>
      <c r="AB1952" s="5"/>
      <c r="AC1952" s="5"/>
      <c r="AD1952" s="5"/>
      <c r="AE1952" s="5"/>
      <c r="AF1952" s="5"/>
      <c r="AG1952" s="5"/>
      <c r="AH1952" s="6"/>
      <c r="AI1952" s="92"/>
      <c r="AJ1952" s="93"/>
      <c r="AK1952" s="94"/>
      <c r="AL1952" s="95"/>
      <c r="AM1952" s="56"/>
      <c r="AN1952" s="57">
        <f t="shared" si="318"/>
        <v>0</v>
      </c>
      <c r="AO1952" s="76">
        <f t="shared" si="320"/>
        <v>0</v>
      </c>
      <c r="AP1952" s="63" t="str">
        <f t="shared" si="321"/>
        <v/>
      </c>
      <c r="AQ1952" s="63" t="str">
        <f t="shared" si="322"/>
        <v/>
      </c>
      <c r="AR1952" s="63" t="str">
        <f t="shared" si="323"/>
        <v/>
      </c>
      <c r="AS1952" s="63" t="str">
        <f t="shared" si="324"/>
        <v/>
      </c>
      <c r="AT1952" s="78" t="str">
        <f t="shared" si="325"/>
        <v/>
      </c>
      <c r="AU1952" s="78" t="str">
        <f t="shared" si="326"/>
        <v/>
      </c>
      <c r="AV1952" s="64" t="str">
        <f ca="1">IFERROR(__xludf.DUMMYFUNCTION("IF(TRIM(AU1952)="""","""",AU1952/INDEX(FILTER(AT$3:AT1952,TRIM(AT$3:AT1952)&lt;&gt;""""),ROWS(FILTER(AT$3:AT1952,TRIM(AT$3:AT1952)&lt;&gt;"""")))-1)"),"")</f>
        <v/>
      </c>
      <c r="AW1952" s="65" t="e">
        <f t="shared" ca="1" si="319"/>
        <v>#VALUE!</v>
      </c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</row>
    <row r="1953" spans="1:68" ht="19" x14ac:dyDescent="0.25">
      <c r="A1953" s="5"/>
      <c r="B1953" s="5"/>
      <c r="C1953" s="5"/>
      <c r="D1953" s="5"/>
      <c r="E1953" s="5"/>
      <c r="F1953" s="5"/>
      <c r="G1953" s="5"/>
      <c r="H1953" s="6"/>
      <c r="I1953" s="5"/>
      <c r="J1953" s="88"/>
      <c r="K1953" s="88"/>
      <c r="L1953" s="88"/>
      <c r="M1953" s="88"/>
      <c r="N1953" s="88"/>
      <c r="O1953" s="88"/>
      <c r="P1953" s="88"/>
      <c r="Q1953" s="89"/>
      <c r="R1953" s="88"/>
      <c r="S1953" s="88"/>
      <c r="T1953" s="90"/>
      <c r="U1953" s="6"/>
      <c r="V1953" s="92"/>
      <c r="W1953" s="77"/>
      <c r="X1953" s="91"/>
      <c r="Y1953" s="77"/>
      <c r="Z1953" s="5"/>
      <c r="AA1953" s="5"/>
      <c r="AB1953" s="5"/>
      <c r="AC1953" s="5"/>
      <c r="AD1953" s="5"/>
      <c r="AE1953" s="5"/>
      <c r="AF1953" s="5"/>
      <c r="AG1953" s="5"/>
      <c r="AH1953" s="6"/>
      <c r="AI1953" s="92"/>
      <c r="AJ1953" s="93"/>
      <c r="AK1953" s="94"/>
      <c r="AL1953" s="95"/>
      <c r="AM1953" s="56"/>
      <c r="AN1953" s="57">
        <f t="shared" si="318"/>
        <v>0</v>
      </c>
      <c r="AO1953" s="76">
        <f t="shared" si="320"/>
        <v>0</v>
      </c>
      <c r="AP1953" s="63" t="str">
        <f t="shared" si="321"/>
        <v/>
      </c>
      <c r="AQ1953" s="63" t="str">
        <f t="shared" si="322"/>
        <v/>
      </c>
      <c r="AR1953" s="63" t="str">
        <f t="shared" si="323"/>
        <v/>
      </c>
      <c r="AS1953" s="63" t="str">
        <f t="shared" si="324"/>
        <v/>
      </c>
      <c r="AT1953" s="78" t="str">
        <f t="shared" si="325"/>
        <v/>
      </c>
      <c r="AU1953" s="78" t="str">
        <f t="shared" si="326"/>
        <v/>
      </c>
      <c r="AV1953" s="64" t="str">
        <f ca="1">IFERROR(__xludf.DUMMYFUNCTION("IF(TRIM(AU1953)="""","""",AU1953/INDEX(FILTER(AT$3:AT1953,TRIM(AT$3:AT1953)&lt;&gt;""""),ROWS(FILTER(AT$3:AT1953,TRIM(AT$3:AT1953)&lt;&gt;"""")))-1)"),"")</f>
        <v/>
      </c>
      <c r="AW1953" s="65" t="e">
        <f t="shared" ca="1" si="319"/>
        <v>#VALUE!</v>
      </c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</row>
    <row r="1954" spans="1:68" ht="19" x14ac:dyDescent="0.25">
      <c r="A1954" s="5"/>
      <c r="B1954" s="5"/>
      <c r="C1954" s="5"/>
      <c r="D1954" s="5"/>
      <c r="E1954" s="5"/>
      <c r="F1954" s="5"/>
      <c r="G1954" s="5"/>
      <c r="H1954" s="6"/>
      <c r="I1954" s="5"/>
      <c r="J1954" s="88"/>
      <c r="K1954" s="88"/>
      <c r="L1954" s="88"/>
      <c r="M1954" s="88"/>
      <c r="N1954" s="88"/>
      <c r="O1954" s="88"/>
      <c r="P1954" s="88"/>
      <c r="Q1954" s="89"/>
      <c r="R1954" s="88"/>
      <c r="S1954" s="88"/>
      <c r="T1954" s="90"/>
      <c r="U1954" s="6"/>
      <c r="V1954" s="92"/>
      <c r="W1954" s="77"/>
      <c r="X1954" s="91"/>
      <c r="Y1954" s="77"/>
      <c r="Z1954" s="5"/>
      <c r="AA1954" s="5"/>
      <c r="AB1954" s="5"/>
      <c r="AC1954" s="5"/>
      <c r="AD1954" s="5"/>
      <c r="AE1954" s="5"/>
      <c r="AF1954" s="5"/>
      <c r="AG1954" s="5"/>
      <c r="AH1954" s="6"/>
      <c r="AI1954" s="92"/>
      <c r="AJ1954" s="93"/>
      <c r="AK1954" s="94"/>
      <c r="AL1954" s="95"/>
      <c r="AM1954" s="56"/>
      <c r="AN1954" s="57">
        <f t="shared" si="318"/>
        <v>0</v>
      </c>
      <c r="AO1954" s="76">
        <f t="shared" si="320"/>
        <v>0</v>
      </c>
      <c r="AP1954" s="63" t="str">
        <f t="shared" si="321"/>
        <v/>
      </c>
      <c r="AQ1954" s="63" t="str">
        <f t="shared" si="322"/>
        <v/>
      </c>
      <c r="AR1954" s="63" t="str">
        <f t="shared" si="323"/>
        <v/>
      </c>
      <c r="AS1954" s="63" t="str">
        <f t="shared" si="324"/>
        <v/>
      </c>
      <c r="AT1954" s="78" t="str">
        <f t="shared" si="325"/>
        <v/>
      </c>
      <c r="AU1954" s="78" t="str">
        <f t="shared" si="326"/>
        <v/>
      </c>
      <c r="AV1954" s="64" t="str">
        <f ca="1">IFERROR(__xludf.DUMMYFUNCTION("IF(TRIM(AU1954)="""","""",AU1954/INDEX(FILTER(AT$3:AT1954,TRIM(AT$3:AT1954)&lt;&gt;""""),ROWS(FILTER(AT$3:AT1954,TRIM(AT$3:AT1954)&lt;&gt;"""")))-1)"),"")</f>
        <v/>
      </c>
      <c r="AW1954" s="65" t="e">
        <f t="shared" ca="1" si="319"/>
        <v>#VALUE!</v>
      </c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</row>
    <row r="1955" spans="1:68" ht="19" x14ac:dyDescent="0.25">
      <c r="A1955" s="5"/>
      <c r="B1955" s="5"/>
      <c r="C1955" s="5"/>
      <c r="D1955" s="5"/>
      <c r="E1955" s="5"/>
      <c r="F1955" s="5"/>
      <c r="G1955" s="5"/>
      <c r="H1955" s="6"/>
      <c r="I1955" s="5"/>
      <c r="J1955" s="88"/>
      <c r="K1955" s="88"/>
      <c r="L1955" s="88"/>
      <c r="M1955" s="88"/>
      <c r="N1955" s="88"/>
      <c r="O1955" s="88"/>
      <c r="P1955" s="88"/>
      <c r="Q1955" s="89"/>
      <c r="R1955" s="88"/>
      <c r="S1955" s="88"/>
      <c r="T1955" s="90"/>
      <c r="U1955" s="6"/>
      <c r="V1955" s="92"/>
      <c r="W1955" s="77"/>
      <c r="X1955" s="91"/>
      <c r="Y1955" s="77"/>
      <c r="Z1955" s="5"/>
      <c r="AA1955" s="5"/>
      <c r="AB1955" s="5"/>
      <c r="AC1955" s="5"/>
      <c r="AD1955" s="5"/>
      <c r="AE1955" s="5"/>
      <c r="AF1955" s="5"/>
      <c r="AG1955" s="5"/>
      <c r="AH1955" s="6"/>
      <c r="AI1955" s="92"/>
      <c r="AJ1955" s="93"/>
      <c r="AK1955" s="94"/>
      <c r="AL1955" s="95"/>
      <c r="AM1955" s="56"/>
      <c r="AN1955" s="57">
        <f t="shared" si="318"/>
        <v>0</v>
      </c>
      <c r="AO1955" s="76">
        <f t="shared" si="320"/>
        <v>0</v>
      </c>
      <c r="AP1955" s="63" t="str">
        <f t="shared" si="321"/>
        <v/>
      </c>
      <c r="AQ1955" s="63" t="str">
        <f t="shared" si="322"/>
        <v/>
      </c>
      <c r="AR1955" s="63" t="str">
        <f t="shared" si="323"/>
        <v/>
      </c>
      <c r="AS1955" s="63" t="str">
        <f t="shared" si="324"/>
        <v/>
      </c>
      <c r="AT1955" s="78" t="str">
        <f t="shared" si="325"/>
        <v/>
      </c>
      <c r="AU1955" s="78" t="str">
        <f t="shared" si="326"/>
        <v/>
      </c>
      <c r="AV1955" s="64" t="str">
        <f ca="1">IFERROR(__xludf.DUMMYFUNCTION("IF(TRIM(AU1955)="""","""",AU1955/INDEX(FILTER(AT$3:AT1955,TRIM(AT$3:AT1955)&lt;&gt;""""),ROWS(FILTER(AT$3:AT1955,TRIM(AT$3:AT1955)&lt;&gt;"""")))-1)"),"")</f>
        <v/>
      </c>
      <c r="AW1955" s="65" t="e">
        <f t="shared" ca="1" si="319"/>
        <v>#VALUE!</v>
      </c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</row>
    <row r="1956" spans="1:68" ht="19" x14ac:dyDescent="0.25">
      <c r="A1956" s="5"/>
      <c r="B1956" s="5"/>
      <c r="C1956" s="5"/>
      <c r="D1956" s="5"/>
      <c r="E1956" s="5"/>
      <c r="F1956" s="5"/>
      <c r="G1956" s="5"/>
      <c r="H1956" s="6"/>
      <c r="I1956" s="5"/>
      <c r="J1956" s="88"/>
      <c r="K1956" s="88"/>
      <c r="L1956" s="88"/>
      <c r="M1956" s="88"/>
      <c r="N1956" s="88"/>
      <c r="O1956" s="88"/>
      <c r="P1956" s="88"/>
      <c r="Q1956" s="89"/>
      <c r="R1956" s="88"/>
      <c r="S1956" s="88"/>
      <c r="T1956" s="90"/>
      <c r="U1956" s="6"/>
      <c r="V1956" s="92"/>
      <c r="W1956" s="77"/>
      <c r="X1956" s="91"/>
      <c r="Y1956" s="77"/>
      <c r="Z1956" s="5"/>
      <c r="AA1956" s="5"/>
      <c r="AB1956" s="5"/>
      <c r="AC1956" s="5"/>
      <c r="AD1956" s="5"/>
      <c r="AE1956" s="5"/>
      <c r="AF1956" s="5"/>
      <c r="AG1956" s="5"/>
      <c r="AH1956" s="6"/>
      <c r="AI1956" s="92"/>
      <c r="AJ1956" s="93"/>
      <c r="AK1956" s="94"/>
      <c r="AL1956" s="95"/>
      <c r="AM1956" s="56"/>
      <c r="AN1956" s="57">
        <f t="shared" si="318"/>
        <v>0</v>
      </c>
      <c r="AO1956" s="76">
        <f t="shared" si="320"/>
        <v>0</v>
      </c>
      <c r="AP1956" s="63" t="str">
        <f t="shared" si="321"/>
        <v/>
      </c>
      <c r="AQ1956" s="63" t="str">
        <f t="shared" si="322"/>
        <v/>
      </c>
      <c r="AR1956" s="63" t="str">
        <f t="shared" si="323"/>
        <v/>
      </c>
      <c r="AS1956" s="63" t="str">
        <f t="shared" si="324"/>
        <v/>
      </c>
      <c r="AT1956" s="78" t="str">
        <f t="shared" si="325"/>
        <v/>
      </c>
      <c r="AU1956" s="78" t="str">
        <f t="shared" si="326"/>
        <v/>
      </c>
      <c r="AV1956" s="64" t="str">
        <f ca="1">IFERROR(__xludf.DUMMYFUNCTION("IF(TRIM(AU1956)="""","""",AU1956/INDEX(FILTER(AT$3:AT1956,TRIM(AT$3:AT1956)&lt;&gt;""""),ROWS(FILTER(AT$3:AT1956,TRIM(AT$3:AT1956)&lt;&gt;"""")))-1)"),"")</f>
        <v/>
      </c>
      <c r="AW1956" s="65" t="e">
        <f t="shared" ca="1" si="319"/>
        <v>#VALUE!</v>
      </c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</row>
    <row r="1957" spans="1:68" ht="19" x14ac:dyDescent="0.25">
      <c r="A1957" s="5"/>
      <c r="B1957" s="5"/>
      <c r="C1957" s="5"/>
      <c r="D1957" s="5"/>
      <c r="E1957" s="5"/>
      <c r="F1957" s="5"/>
      <c r="G1957" s="5"/>
      <c r="H1957" s="6"/>
      <c r="I1957" s="5"/>
      <c r="J1957" s="88"/>
      <c r="K1957" s="88"/>
      <c r="L1957" s="88"/>
      <c r="M1957" s="88"/>
      <c r="N1957" s="88"/>
      <c r="O1957" s="88"/>
      <c r="P1957" s="88"/>
      <c r="Q1957" s="89"/>
      <c r="R1957" s="88"/>
      <c r="S1957" s="88"/>
      <c r="T1957" s="90"/>
      <c r="U1957" s="6"/>
      <c r="V1957" s="92"/>
      <c r="W1957" s="77"/>
      <c r="X1957" s="91"/>
      <c r="Y1957" s="77"/>
      <c r="Z1957" s="5"/>
      <c r="AA1957" s="5"/>
      <c r="AB1957" s="5"/>
      <c r="AC1957" s="5"/>
      <c r="AD1957" s="5"/>
      <c r="AE1957" s="5"/>
      <c r="AF1957" s="5"/>
      <c r="AG1957" s="5"/>
      <c r="AH1957" s="6"/>
      <c r="AI1957" s="92"/>
      <c r="AJ1957" s="93"/>
      <c r="AK1957" s="94"/>
      <c r="AL1957" s="95"/>
      <c r="AM1957" s="56"/>
      <c r="AN1957" s="57">
        <f t="shared" si="318"/>
        <v>0</v>
      </c>
      <c r="AO1957" s="76">
        <f t="shared" si="320"/>
        <v>0</v>
      </c>
      <c r="AP1957" s="63" t="str">
        <f t="shared" si="321"/>
        <v/>
      </c>
      <c r="AQ1957" s="63" t="str">
        <f t="shared" si="322"/>
        <v/>
      </c>
      <c r="AR1957" s="63" t="str">
        <f t="shared" si="323"/>
        <v/>
      </c>
      <c r="AS1957" s="63" t="str">
        <f t="shared" si="324"/>
        <v/>
      </c>
      <c r="AT1957" s="78" t="str">
        <f t="shared" si="325"/>
        <v/>
      </c>
      <c r="AU1957" s="78" t="str">
        <f t="shared" si="326"/>
        <v/>
      </c>
      <c r="AV1957" s="64" t="str">
        <f ca="1">IFERROR(__xludf.DUMMYFUNCTION("IF(TRIM(AU1957)="""","""",AU1957/INDEX(FILTER(AT$3:AT1957,TRIM(AT$3:AT1957)&lt;&gt;""""),ROWS(FILTER(AT$3:AT1957,TRIM(AT$3:AT1957)&lt;&gt;"""")))-1)"),"")</f>
        <v/>
      </c>
      <c r="AW1957" s="65" t="e">
        <f t="shared" ca="1" si="319"/>
        <v>#VALUE!</v>
      </c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</row>
    <row r="1958" spans="1:68" ht="19" x14ac:dyDescent="0.25">
      <c r="A1958" s="5"/>
      <c r="B1958" s="5"/>
      <c r="C1958" s="5"/>
      <c r="D1958" s="5"/>
      <c r="E1958" s="5"/>
      <c r="F1958" s="5"/>
      <c r="G1958" s="5"/>
      <c r="H1958" s="6"/>
      <c r="I1958" s="5"/>
      <c r="J1958" s="88"/>
      <c r="K1958" s="88"/>
      <c r="L1958" s="88"/>
      <c r="M1958" s="88"/>
      <c r="N1958" s="88"/>
      <c r="O1958" s="88"/>
      <c r="P1958" s="88"/>
      <c r="Q1958" s="89"/>
      <c r="R1958" s="88"/>
      <c r="S1958" s="88"/>
      <c r="T1958" s="90"/>
      <c r="U1958" s="6"/>
      <c r="V1958" s="92"/>
      <c r="W1958" s="77"/>
      <c r="X1958" s="91"/>
      <c r="Y1958" s="77"/>
      <c r="Z1958" s="5"/>
      <c r="AA1958" s="5"/>
      <c r="AB1958" s="5"/>
      <c r="AC1958" s="5"/>
      <c r="AD1958" s="5"/>
      <c r="AE1958" s="5"/>
      <c r="AF1958" s="5"/>
      <c r="AG1958" s="5"/>
      <c r="AH1958" s="6"/>
      <c r="AI1958" s="92"/>
      <c r="AJ1958" s="93"/>
      <c r="AK1958" s="94"/>
      <c r="AL1958" s="95"/>
      <c r="AM1958" s="56"/>
      <c r="AN1958" s="57">
        <f t="shared" si="318"/>
        <v>0</v>
      </c>
      <c r="AO1958" s="76">
        <f t="shared" si="320"/>
        <v>0</v>
      </c>
      <c r="AP1958" s="63" t="str">
        <f t="shared" si="321"/>
        <v/>
      </c>
      <c r="AQ1958" s="63" t="str">
        <f t="shared" si="322"/>
        <v/>
      </c>
      <c r="AR1958" s="63" t="str">
        <f t="shared" si="323"/>
        <v/>
      </c>
      <c r="AS1958" s="63" t="str">
        <f t="shared" si="324"/>
        <v/>
      </c>
      <c r="AT1958" s="78" t="str">
        <f t="shared" si="325"/>
        <v/>
      </c>
      <c r="AU1958" s="78" t="str">
        <f t="shared" si="326"/>
        <v/>
      </c>
      <c r="AV1958" s="64" t="str">
        <f ca="1">IFERROR(__xludf.DUMMYFUNCTION("IF(TRIM(AU1958)="""","""",AU1958/INDEX(FILTER(AT$3:AT1958,TRIM(AT$3:AT1958)&lt;&gt;""""),ROWS(FILTER(AT$3:AT1958,TRIM(AT$3:AT1958)&lt;&gt;"""")))-1)"),"")</f>
        <v/>
      </c>
      <c r="AW1958" s="65" t="e">
        <f t="shared" ca="1" si="319"/>
        <v>#VALUE!</v>
      </c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</row>
    <row r="1959" spans="1:68" ht="19" x14ac:dyDescent="0.25">
      <c r="A1959" s="5"/>
      <c r="B1959" s="5"/>
      <c r="C1959" s="5"/>
      <c r="D1959" s="5"/>
      <c r="E1959" s="5"/>
      <c r="F1959" s="5"/>
      <c r="G1959" s="5"/>
      <c r="H1959" s="6"/>
      <c r="I1959" s="5"/>
      <c r="J1959" s="88"/>
      <c r="K1959" s="88"/>
      <c r="L1959" s="88"/>
      <c r="M1959" s="88"/>
      <c r="N1959" s="88"/>
      <c r="O1959" s="88"/>
      <c r="P1959" s="88"/>
      <c r="Q1959" s="89"/>
      <c r="R1959" s="88"/>
      <c r="S1959" s="88"/>
      <c r="T1959" s="90"/>
      <c r="U1959" s="6"/>
      <c r="V1959" s="92"/>
      <c r="W1959" s="77"/>
      <c r="X1959" s="91"/>
      <c r="Y1959" s="77"/>
      <c r="Z1959" s="5"/>
      <c r="AA1959" s="5"/>
      <c r="AB1959" s="5"/>
      <c r="AC1959" s="5"/>
      <c r="AD1959" s="5"/>
      <c r="AE1959" s="5"/>
      <c r="AF1959" s="5"/>
      <c r="AG1959" s="5"/>
      <c r="AH1959" s="6"/>
      <c r="AI1959" s="92"/>
      <c r="AJ1959" s="93"/>
      <c r="AK1959" s="94"/>
      <c r="AL1959" s="95"/>
      <c r="AM1959" s="56"/>
      <c r="AN1959" s="57">
        <f t="shared" si="318"/>
        <v>0</v>
      </c>
      <c r="AO1959" s="76">
        <f t="shared" si="320"/>
        <v>0</v>
      </c>
      <c r="AP1959" s="63" t="str">
        <f t="shared" si="321"/>
        <v/>
      </c>
      <c r="AQ1959" s="63" t="str">
        <f t="shared" si="322"/>
        <v/>
      </c>
      <c r="AR1959" s="63" t="str">
        <f t="shared" si="323"/>
        <v/>
      </c>
      <c r="AS1959" s="63" t="str">
        <f t="shared" si="324"/>
        <v/>
      </c>
      <c r="AT1959" s="78" t="str">
        <f t="shared" si="325"/>
        <v/>
      </c>
      <c r="AU1959" s="78" t="str">
        <f t="shared" si="326"/>
        <v/>
      </c>
      <c r="AV1959" s="64" t="str">
        <f ca="1">IFERROR(__xludf.DUMMYFUNCTION("IF(TRIM(AU1959)="""","""",AU1959/INDEX(FILTER(AT$3:AT1959,TRIM(AT$3:AT1959)&lt;&gt;""""),ROWS(FILTER(AT$3:AT1959,TRIM(AT$3:AT1959)&lt;&gt;"""")))-1)"),"")</f>
        <v/>
      </c>
      <c r="AW1959" s="65" t="e">
        <f t="shared" ca="1" si="319"/>
        <v>#VALUE!</v>
      </c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</row>
    <row r="1960" spans="1:68" ht="19" x14ac:dyDescent="0.25">
      <c r="A1960" s="5"/>
      <c r="B1960" s="5"/>
      <c r="C1960" s="5"/>
      <c r="D1960" s="5"/>
      <c r="E1960" s="5"/>
      <c r="F1960" s="5"/>
      <c r="G1960" s="5"/>
      <c r="H1960" s="6"/>
      <c r="I1960" s="5"/>
      <c r="J1960" s="88"/>
      <c r="K1960" s="88"/>
      <c r="L1960" s="88"/>
      <c r="M1960" s="88"/>
      <c r="N1960" s="88"/>
      <c r="O1960" s="88"/>
      <c r="P1960" s="88"/>
      <c r="Q1960" s="89"/>
      <c r="R1960" s="88"/>
      <c r="S1960" s="88"/>
      <c r="T1960" s="90"/>
      <c r="U1960" s="6"/>
      <c r="V1960" s="92"/>
      <c r="W1960" s="77"/>
      <c r="X1960" s="91"/>
      <c r="Y1960" s="77"/>
      <c r="Z1960" s="5"/>
      <c r="AA1960" s="5"/>
      <c r="AB1960" s="5"/>
      <c r="AC1960" s="5"/>
      <c r="AD1960" s="5"/>
      <c r="AE1960" s="5"/>
      <c r="AF1960" s="5"/>
      <c r="AG1960" s="5"/>
      <c r="AH1960" s="6"/>
      <c r="AI1960" s="92"/>
      <c r="AJ1960" s="93"/>
      <c r="AK1960" s="94"/>
      <c r="AL1960" s="95"/>
      <c r="AM1960" s="56"/>
      <c r="AN1960" s="57">
        <f t="shared" si="318"/>
        <v>0</v>
      </c>
      <c r="AO1960" s="76">
        <f t="shared" si="320"/>
        <v>0</v>
      </c>
      <c r="AP1960" s="63" t="str">
        <f t="shared" si="321"/>
        <v/>
      </c>
      <c r="AQ1960" s="63" t="str">
        <f t="shared" si="322"/>
        <v/>
      </c>
      <c r="AR1960" s="63" t="str">
        <f t="shared" si="323"/>
        <v/>
      </c>
      <c r="AS1960" s="63" t="str">
        <f t="shared" si="324"/>
        <v/>
      </c>
      <c r="AT1960" s="78" t="str">
        <f t="shared" si="325"/>
        <v/>
      </c>
      <c r="AU1960" s="78" t="str">
        <f t="shared" si="326"/>
        <v/>
      </c>
      <c r="AV1960" s="64" t="str">
        <f ca="1">IFERROR(__xludf.DUMMYFUNCTION("IF(TRIM(AU1960)="""","""",AU1960/INDEX(FILTER(AT$3:AT1960,TRIM(AT$3:AT1960)&lt;&gt;""""),ROWS(FILTER(AT$3:AT1960,TRIM(AT$3:AT1960)&lt;&gt;"""")))-1)"),"")</f>
        <v/>
      </c>
      <c r="AW1960" s="65" t="e">
        <f t="shared" ca="1" si="319"/>
        <v>#VALUE!</v>
      </c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</row>
    <row r="1961" spans="1:68" ht="19" x14ac:dyDescent="0.25">
      <c r="A1961" s="5"/>
      <c r="B1961" s="5"/>
      <c r="C1961" s="5"/>
      <c r="D1961" s="5"/>
      <c r="E1961" s="5"/>
      <c r="F1961" s="5"/>
      <c r="G1961" s="5"/>
      <c r="H1961" s="6"/>
      <c r="I1961" s="5"/>
      <c r="J1961" s="88"/>
      <c r="K1961" s="88"/>
      <c r="L1961" s="88"/>
      <c r="M1961" s="88"/>
      <c r="N1961" s="88"/>
      <c r="O1961" s="88"/>
      <c r="P1961" s="88"/>
      <c r="Q1961" s="89"/>
      <c r="R1961" s="88"/>
      <c r="S1961" s="88"/>
      <c r="T1961" s="90"/>
      <c r="U1961" s="6"/>
      <c r="V1961" s="92"/>
      <c r="W1961" s="77"/>
      <c r="X1961" s="91"/>
      <c r="Y1961" s="77"/>
      <c r="Z1961" s="5"/>
      <c r="AA1961" s="5"/>
      <c r="AB1961" s="5"/>
      <c r="AC1961" s="5"/>
      <c r="AD1961" s="5"/>
      <c r="AE1961" s="5"/>
      <c r="AF1961" s="5"/>
      <c r="AG1961" s="5"/>
      <c r="AH1961" s="6"/>
      <c r="AI1961" s="92"/>
      <c r="AJ1961" s="93"/>
      <c r="AK1961" s="94"/>
      <c r="AL1961" s="95"/>
      <c r="AM1961" s="56"/>
      <c r="AN1961" s="57">
        <f t="shared" si="318"/>
        <v>0</v>
      </c>
      <c r="AO1961" s="76">
        <f t="shared" si="320"/>
        <v>0</v>
      </c>
      <c r="AP1961" s="63" t="str">
        <f t="shared" si="321"/>
        <v/>
      </c>
      <c r="AQ1961" s="63" t="str">
        <f t="shared" si="322"/>
        <v/>
      </c>
      <c r="AR1961" s="63" t="str">
        <f t="shared" si="323"/>
        <v/>
      </c>
      <c r="AS1961" s="63" t="str">
        <f t="shared" si="324"/>
        <v/>
      </c>
      <c r="AT1961" s="78" t="str">
        <f t="shared" si="325"/>
        <v/>
      </c>
      <c r="AU1961" s="78" t="str">
        <f t="shared" si="326"/>
        <v/>
      </c>
      <c r="AV1961" s="64" t="str">
        <f ca="1">IFERROR(__xludf.DUMMYFUNCTION("IF(TRIM(AU1961)="""","""",AU1961/INDEX(FILTER(AT$3:AT1961,TRIM(AT$3:AT1961)&lt;&gt;""""),ROWS(FILTER(AT$3:AT1961,TRIM(AT$3:AT1961)&lt;&gt;"""")))-1)"),"")</f>
        <v/>
      </c>
      <c r="AW1961" s="65" t="e">
        <f t="shared" ca="1" si="319"/>
        <v>#VALUE!</v>
      </c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</row>
    <row r="1962" spans="1:68" ht="19" x14ac:dyDescent="0.25">
      <c r="A1962" s="5"/>
      <c r="B1962" s="5"/>
      <c r="C1962" s="5"/>
      <c r="D1962" s="5"/>
      <c r="E1962" s="5"/>
      <c r="F1962" s="5"/>
      <c r="G1962" s="5"/>
      <c r="H1962" s="6"/>
      <c r="I1962" s="5"/>
      <c r="J1962" s="88"/>
      <c r="K1962" s="88"/>
      <c r="L1962" s="88"/>
      <c r="M1962" s="88"/>
      <c r="N1962" s="88"/>
      <c r="O1962" s="88"/>
      <c r="P1962" s="88"/>
      <c r="Q1962" s="89"/>
      <c r="R1962" s="88"/>
      <c r="S1962" s="88"/>
      <c r="T1962" s="90"/>
      <c r="U1962" s="6"/>
      <c r="V1962" s="92"/>
      <c r="W1962" s="77"/>
      <c r="X1962" s="91"/>
      <c r="Y1962" s="77"/>
      <c r="Z1962" s="5"/>
      <c r="AA1962" s="5"/>
      <c r="AB1962" s="5"/>
      <c r="AC1962" s="5"/>
      <c r="AD1962" s="5"/>
      <c r="AE1962" s="5"/>
      <c r="AF1962" s="5"/>
      <c r="AG1962" s="5"/>
      <c r="AH1962" s="6"/>
      <c r="AI1962" s="92"/>
      <c r="AJ1962" s="93"/>
      <c r="AK1962" s="94"/>
      <c r="AL1962" s="95"/>
      <c r="AM1962" s="56"/>
      <c r="AN1962" s="57">
        <f t="shared" si="318"/>
        <v>0</v>
      </c>
      <c r="AO1962" s="76">
        <f t="shared" si="320"/>
        <v>0</v>
      </c>
      <c r="AP1962" s="63" t="str">
        <f t="shared" si="321"/>
        <v/>
      </c>
      <c r="AQ1962" s="63" t="str">
        <f t="shared" si="322"/>
        <v/>
      </c>
      <c r="AR1962" s="63" t="str">
        <f t="shared" si="323"/>
        <v/>
      </c>
      <c r="AS1962" s="63" t="str">
        <f t="shared" si="324"/>
        <v/>
      </c>
      <c r="AT1962" s="78" t="str">
        <f t="shared" si="325"/>
        <v/>
      </c>
      <c r="AU1962" s="78" t="str">
        <f t="shared" si="326"/>
        <v/>
      </c>
      <c r="AV1962" s="64" t="str">
        <f ca="1">IFERROR(__xludf.DUMMYFUNCTION("IF(TRIM(AU1962)="""","""",AU1962/INDEX(FILTER(AT$3:AT1962,TRIM(AT$3:AT1962)&lt;&gt;""""),ROWS(FILTER(AT$3:AT1962,TRIM(AT$3:AT1962)&lt;&gt;"""")))-1)"),"")</f>
        <v/>
      </c>
      <c r="AW1962" s="65" t="e">
        <f t="shared" ca="1" si="319"/>
        <v>#VALUE!</v>
      </c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</row>
    <row r="1963" spans="1:68" ht="19" x14ac:dyDescent="0.25">
      <c r="A1963" s="5"/>
      <c r="B1963" s="5"/>
      <c r="C1963" s="5"/>
      <c r="D1963" s="5"/>
      <c r="E1963" s="5"/>
      <c r="F1963" s="5"/>
      <c r="G1963" s="5"/>
      <c r="H1963" s="6"/>
      <c r="I1963" s="5"/>
      <c r="J1963" s="88"/>
      <c r="K1963" s="88"/>
      <c r="L1963" s="88"/>
      <c r="M1963" s="88"/>
      <c r="N1963" s="88"/>
      <c r="O1963" s="88"/>
      <c r="P1963" s="88"/>
      <c r="Q1963" s="89"/>
      <c r="R1963" s="88"/>
      <c r="S1963" s="88"/>
      <c r="T1963" s="90"/>
      <c r="U1963" s="6"/>
      <c r="V1963" s="92"/>
      <c r="W1963" s="77"/>
      <c r="X1963" s="91"/>
      <c r="Y1963" s="77"/>
      <c r="Z1963" s="5"/>
      <c r="AA1963" s="5"/>
      <c r="AB1963" s="5"/>
      <c r="AC1963" s="5"/>
      <c r="AD1963" s="5"/>
      <c r="AE1963" s="5"/>
      <c r="AF1963" s="5"/>
      <c r="AG1963" s="5"/>
      <c r="AH1963" s="6"/>
      <c r="AI1963" s="92"/>
      <c r="AJ1963" s="93"/>
      <c r="AK1963" s="94"/>
      <c r="AL1963" s="95"/>
      <c r="AM1963" s="56"/>
      <c r="AN1963" s="57">
        <f t="shared" si="318"/>
        <v>0</v>
      </c>
      <c r="AO1963" s="76">
        <f t="shared" si="320"/>
        <v>0</v>
      </c>
      <c r="AP1963" s="63" t="str">
        <f t="shared" si="321"/>
        <v/>
      </c>
      <c r="AQ1963" s="63" t="str">
        <f t="shared" si="322"/>
        <v/>
      </c>
      <c r="AR1963" s="63" t="str">
        <f t="shared" si="323"/>
        <v/>
      </c>
      <c r="AS1963" s="63" t="str">
        <f t="shared" si="324"/>
        <v/>
      </c>
      <c r="AT1963" s="78" t="str">
        <f t="shared" si="325"/>
        <v/>
      </c>
      <c r="AU1963" s="78" t="str">
        <f t="shared" si="326"/>
        <v/>
      </c>
      <c r="AV1963" s="64" t="str">
        <f ca="1">IFERROR(__xludf.DUMMYFUNCTION("IF(TRIM(AU1963)="""","""",AU1963/INDEX(FILTER(AT$3:AT1963,TRIM(AT$3:AT1963)&lt;&gt;""""),ROWS(FILTER(AT$3:AT1963,TRIM(AT$3:AT1963)&lt;&gt;"""")))-1)"),"")</f>
        <v/>
      </c>
      <c r="AW1963" s="65" t="e">
        <f t="shared" ca="1" si="319"/>
        <v>#VALUE!</v>
      </c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</row>
    <row r="1964" spans="1:68" ht="19" x14ac:dyDescent="0.25">
      <c r="A1964" s="5"/>
      <c r="B1964" s="5"/>
      <c r="C1964" s="5"/>
      <c r="D1964" s="5"/>
      <c r="E1964" s="5"/>
      <c r="F1964" s="5"/>
      <c r="G1964" s="5"/>
      <c r="H1964" s="6"/>
      <c r="I1964" s="5"/>
      <c r="J1964" s="88"/>
      <c r="K1964" s="88"/>
      <c r="L1964" s="88"/>
      <c r="M1964" s="88"/>
      <c r="N1964" s="88"/>
      <c r="O1964" s="88"/>
      <c r="P1964" s="88"/>
      <c r="Q1964" s="89"/>
      <c r="R1964" s="88"/>
      <c r="S1964" s="88"/>
      <c r="T1964" s="90"/>
      <c r="U1964" s="6"/>
      <c r="V1964" s="92"/>
      <c r="W1964" s="77"/>
      <c r="X1964" s="91"/>
      <c r="Y1964" s="77"/>
      <c r="Z1964" s="5"/>
      <c r="AA1964" s="5"/>
      <c r="AB1964" s="5"/>
      <c r="AC1964" s="5"/>
      <c r="AD1964" s="5"/>
      <c r="AE1964" s="5"/>
      <c r="AF1964" s="5"/>
      <c r="AG1964" s="5"/>
      <c r="AH1964" s="6"/>
      <c r="AI1964" s="92"/>
      <c r="AJ1964" s="93"/>
      <c r="AK1964" s="94"/>
      <c r="AL1964" s="95"/>
      <c r="AM1964" s="56"/>
      <c r="AN1964" s="57">
        <f t="shared" si="318"/>
        <v>0</v>
      </c>
      <c r="AO1964" s="76">
        <f t="shared" si="320"/>
        <v>0</v>
      </c>
      <c r="AP1964" s="63" t="str">
        <f t="shared" si="321"/>
        <v/>
      </c>
      <c r="AQ1964" s="63" t="str">
        <f t="shared" si="322"/>
        <v/>
      </c>
      <c r="AR1964" s="63" t="str">
        <f t="shared" si="323"/>
        <v/>
      </c>
      <c r="AS1964" s="63" t="str">
        <f t="shared" si="324"/>
        <v/>
      </c>
      <c r="AT1964" s="78" t="str">
        <f t="shared" si="325"/>
        <v/>
      </c>
      <c r="AU1964" s="78" t="str">
        <f t="shared" si="326"/>
        <v/>
      </c>
      <c r="AV1964" s="64" t="str">
        <f ca="1">IFERROR(__xludf.DUMMYFUNCTION("IF(TRIM(AU1964)="""","""",AU1964/INDEX(FILTER(AT$3:AT1964,TRIM(AT$3:AT1964)&lt;&gt;""""),ROWS(FILTER(AT$3:AT1964,TRIM(AT$3:AT1964)&lt;&gt;"""")))-1)"),"")</f>
        <v/>
      </c>
      <c r="AW1964" s="65" t="e">
        <f t="shared" ca="1" si="319"/>
        <v>#VALUE!</v>
      </c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</row>
    <row r="1965" spans="1:68" ht="19" x14ac:dyDescent="0.25">
      <c r="A1965" s="5"/>
      <c r="B1965" s="5"/>
      <c r="C1965" s="5"/>
      <c r="D1965" s="5"/>
      <c r="E1965" s="5"/>
      <c r="F1965" s="5"/>
      <c r="G1965" s="5"/>
      <c r="H1965" s="6"/>
      <c r="I1965" s="5"/>
      <c r="J1965" s="88"/>
      <c r="K1965" s="88"/>
      <c r="L1965" s="88"/>
      <c r="M1965" s="88"/>
      <c r="N1965" s="88"/>
      <c r="O1965" s="88"/>
      <c r="P1965" s="88"/>
      <c r="Q1965" s="89"/>
      <c r="R1965" s="88"/>
      <c r="S1965" s="88"/>
      <c r="T1965" s="90"/>
      <c r="U1965" s="6"/>
      <c r="V1965" s="92"/>
      <c r="W1965" s="77"/>
      <c r="X1965" s="91"/>
      <c r="Y1965" s="77"/>
      <c r="Z1965" s="5"/>
      <c r="AA1965" s="5"/>
      <c r="AB1965" s="5"/>
      <c r="AC1965" s="5"/>
      <c r="AD1965" s="5"/>
      <c r="AE1965" s="5"/>
      <c r="AF1965" s="5"/>
      <c r="AG1965" s="5"/>
      <c r="AH1965" s="6"/>
      <c r="AI1965" s="92"/>
      <c r="AJ1965" s="93"/>
      <c r="AK1965" s="94"/>
      <c r="AL1965" s="95"/>
      <c r="AM1965" s="56"/>
      <c r="AN1965" s="57">
        <f t="shared" si="318"/>
        <v>0</v>
      </c>
      <c r="AO1965" s="76">
        <f t="shared" si="320"/>
        <v>0</v>
      </c>
      <c r="AP1965" s="63" t="str">
        <f t="shared" si="321"/>
        <v/>
      </c>
      <c r="AQ1965" s="63" t="str">
        <f t="shared" si="322"/>
        <v/>
      </c>
      <c r="AR1965" s="63" t="str">
        <f t="shared" si="323"/>
        <v/>
      </c>
      <c r="AS1965" s="63" t="str">
        <f t="shared" si="324"/>
        <v/>
      </c>
      <c r="AT1965" s="78" t="str">
        <f t="shared" si="325"/>
        <v/>
      </c>
      <c r="AU1965" s="78" t="str">
        <f t="shared" si="326"/>
        <v/>
      </c>
      <c r="AV1965" s="64" t="str">
        <f ca="1">IFERROR(__xludf.DUMMYFUNCTION("IF(TRIM(AU1965)="""","""",AU1965/INDEX(FILTER(AT$3:AT1965,TRIM(AT$3:AT1965)&lt;&gt;""""),ROWS(FILTER(AT$3:AT1965,TRIM(AT$3:AT1965)&lt;&gt;"""")))-1)"),"")</f>
        <v/>
      </c>
      <c r="AW1965" s="65" t="e">
        <f t="shared" ca="1" si="319"/>
        <v>#VALUE!</v>
      </c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</row>
    <row r="1966" spans="1:68" ht="19" x14ac:dyDescent="0.25">
      <c r="A1966" s="5"/>
      <c r="B1966" s="5"/>
      <c r="C1966" s="5"/>
      <c r="D1966" s="5"/>
      <c r="E1966" s="5"/>
      <c r="F1966" s="5"/>
      <c r="G1966" s="5"/>
      <c r="H1966" s="6"/>
      <c r="I1966" s="5"/>
      <c r="J1966" s="88"/>
      <c r="K1966" s="88"/>
      <c r="L1966" s="88"/>
      <c r="M1966" s="88"/>
      <c r="N1966" s="88"/>
      <c r="O1966" s="88"/>
      <c r="P1966" s="88"/>
      <c r="Q1966" s="89"/>
      <c r="R1966" s="88"/>
      <c r="S1966" s="88"/>
      <c r="T1966" s="90"/>
      <c r="U1966" s="6"/>
      <c r="V1966" s="92"/>
      <c r="W1966" s="77"/>
      <c r="X1966" s="91"/>
      <c r="Y1966" s="77"/>
      <c r="Z1966" s="5"/>
      <c r="AA1966" s="5"/>
      <c r="AB1966" s="5"/>
      <c r="AC1966" s="5"/>
      <c r="AD1966" s="5"/>
      <c r="AE1966" s="5"/>
      <c r="AF1966" s="5"/>
      <c r="AG1966" s="5"/>
      <c r="AH1966" s="6"/>
      <c r="AI1966" s="92"/>
      <c r="AJ1966" s="93"/>
      <c r="AK1966" s="94"/>
      <c r="AL1966" s="95"/>
      <c r="AM1966" s="56"/>
      <c r="AN1966" s="57">
        <f t="shared" si="318"/>
        <v>0</v>
      </c>
      <c r="AO1966" s="76">
        <f t="shared" si="320"/>
        <v>0</v>
      </c>
      <c r="AP1966" s="63" t="str">
        <f t="shared" si="321"/>
        <v/>
      </c>
      <c r="AQ1966" s="63" t="str">
        <f t="shared" si="322"/>
        <v/>
      </c>
      <c r="AR1966" s="63" t="str">
        <f t="shared" si="323"/>
        <v/>
      </c>
      <c r="AS1966" s="63" t="str">
        <f t="shared" si="324"/>
        <v/>
      </c>
      <c r="AT1966" s="78" t="str">
        <f t="shared" si="325"/>
        <v/>
      </c>
      <c r="AU1966" s="78" t="str">
        <f t="shared" si="326"/>
        <v/>
      </c>
      <c r="AV1966" s="64" t="str">
        <f ca="1">IFERROR(__xludf.DUMMYFUNCTION("IF(TRIM(AU1966)="""","""",AU1966/INDEX(FILTER(AT$3:AT1966,TRIM(AT$3:AT1966)&lt;&gt;""""),ROWS(FILTER(AT$3:AT1966,TRIM(AT$3:AT1966)&lt;&gt;"""")))-1)"),"")</f>
        <v/>
      </c>
      <c r="AW1966" s="65" t="e">
        <f t="shared" ca="1" si="319"/>
        <v>#VALUE!</v>
      </c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</row>
    <row r="1967" spans="1:68" ht="19" x14ac:dyDescent="0.25">
      <c r="A1967" s="5"/>
      <c r="B1967" s="5"/>
      <c r="C1967" s="5"/>
      <c r="D1967" s="5"/>
      <c r="E1967" s="5"/>
      <c r="F1967" s="5"/>
      <c r="G1967" s="5"/>
      <c r="H1967" s="6"/>
      <c r="I1967" s="5"/>
      <c r="J1967" s="88"/>
      <c r="K1967" s="88"/>
      <c r="L1967" s="88"/>
      <c r="M1967" s="88"/>
      <c r="N1967" s="88"/>
      <c r="O1967" s="88"/>
      <c r="P1967" s="88"/>
      <c r="Q1967" s="89"/>
      <c r="R1967" s="88"/>
      <c r="S1967" s="88"/>
      <c r="T1967" s="90"/>
      <c r="U1967" s="6"/>
      <c r="V1967" s="92"/>
      <c r="W1967" s="77"/>
      <c r="X1967" s="91"/>
      <c r="Y1967" s="77"/>
      <c r="Z1967" s="5"/>
      <c r="AA1967" s="5"/>
      <c r="AB1967" s="5"/>
      <c r="AC1967" s="5"/>
      <c r="AD1967" s="5"/>
      <c r="AE1967" s="5"/>
      <c r="AF1967" s="5"/>
      <c r="AG1967" s="5"/>
      <c r="AH1967" s="6"/>
      <c r="AI1967" s="92"/>
      <c r="AJ1967" s="93"/>
      <c r="AK1967" s="94"/>
      <c r="AL1967" s="95"/>
      <c r="AM1967" s="56"/>
      <c r="AN1967" s="57">
        <f t="shared" si="318"/>
        <v>0</v>
      </c>
      <c r="AO1967" s="76">
        <f t="shared" si="320"/>
        <v>0</v>
      </c>
      <c r="AP1967" s="63" t="str">
        <f t="shared" si="321"/>
        <v/>
      </c>
      <c r="AQ1967" s="63" t="str">
        <f t="shared" si="322"/>
        <v/>
      </c>
      <c r="AR1967" s="63" t="str">
        <f t="shared" si="323"/>
        <v/>
      </c>
      <c r="AS1967" s="63" t="str">
        <f t="shared" si="324"/>
        <v/>
      </c>
      <c r="AT1967" s="78" t="str">
        <f t="shared" si="325"/>
        <v/>
      </c>
      <c r="AU1967" s="78" t="str">
        <f t="shared" si="326"/>
        <v/>
      </c>
      <c r="AV1967" s="64" t="str">
        <f ca="1">IFERROR(__xludf.DUMMYFUNCTION("IF(TRIM(AU1967)="""","""",AU1967/INDEX(FILTER(AT$3:AT1967,TRIM(AT$3:AT1967)&lt;&gt;""""),ROWS(FILTER(AT$3:AT1967,TRIM(AT$3:AT1967)&lt;&gt;"""")))-1)"),"")</f>
        <v/>
      </c>
      <c r="AW1967" s="65" t="e">
        <f t="shared" ca="1" si="319"/>
        <v>#VALUE!</v>
      </c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</row>
    <row r="1968" spans="1:68" ht="19" x14ac:dyDescent="0.25">
      <c r="A1968" s="5"/>
      <c r="B1968" s="5"/>
      <c r="C1968" s="5"/>
      <c r="D1968" s="5"/>
      <c r="E1968" s="5"/>
      <c r="F1968" s="5"/>
      <c r="G1968" s="5"/>
      <c r="H1968" s="6"/>
      <c r="I1968" s="5"/>
      <c r="J1968" s="88"/>
      <c r="K1968" s="88"/>
      <c r="L1968" s="88"/>
      <c r="M1968" s="88"/>
      <c r="N1968" s="88"/>
      <c r="O1968" s="88"/>
      <c r="P1968" s="88"/>
      <c r="Q1968" s="89"/>
      <c r="R1968" s="88"/>
      <c r="S1968" s="88"/>
      <c r="T1968" s="90"/>
      <c r="U1968" s="6"/>
      <c r="V1968" s="92"/>
      <c r="W1968" s="77"/>
      <c r="X1968" s="91"/>
      <c r="Y1968" s="77"/>
      <c r="Z1968" s="5"/>
      <c r="AA1968" s="5"/>
      <c r="AB1968" s="5"/>
      <c r="AC1968" s="5"/>
      <c r="AD1968" s="5"/>
      <c r="AE1968" s="5"/>
      <c r="AF1968" s="5"/>
      <c r="AG1968" s="5"/>
      <c r="AH1968" s="6"/>
      <c r="AI1968" s="92"/>
      <c r="AJ1968" s="93"/>
      <c r="AK1968" s="94"/>
      <c r="AL1968" s="95"/>
      <c r="AM1968" s="56"/>
      <c r="AN1968" s="57">
        <f t="shared" si="318"/>
        <v>0</v>
      </c>
      <c r="AO1968" s="76">
        <f t="shared" si="320"/>
        <v>0</v>
      </c>
      <c r="AP1968" s="63" t="str">
        <f t="shared" si="321"/>
        <v/>
      </c>
      <c r="AQ1968" s="63" t="str">
        <f t="shared" si="322"/>
        <v/>
      </c>
      <c r="AR1968" s="63" t="str">
        <f t="shared" si="323"/>
        <v/>
      </c>
      <c r="AS1968" s="63" t="str">
        <f t="shared" si="324"/>
        <v/>
      </c>
      <c r="AT1968" s="78" t="str">
        <f t="shared" si="325"/>
        <v/>
      </c>
      <c r="AU1968" s="78" t="str">
        <f t="shared" si="326"/>
        <v/>
      </c>
      <c r="AV1968" s="64" t="str">
        <f ca="1">IFERROR(__xludf.DUMMYFUNCTION("IF(TRIM(AU1968)="""","""",AU1968/INDEX(FILTER(AT$3:AT1968,TRIM(AT$3:AT1968)&lt;&gt;""""),ROWS(FILTER(AT$3:AT1968,TRIM(AT$3:AT1968)&lt;&gt;"""")))-1)"),"")</f>
        <v/>
      </c>
      <c r="AW1968" s="65" t="e">
        <f t="shared" ca="1" si="319"/>
        <v>#VALUE!</v>
      </c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</row>
    <row r="1969" spans="1:68" ht="19" x14ac:dyDescent="0.25">
      <c r="A1969" s="5"/>
      <c r="B1969" s="5"/>
      <c r="C1969" s="5"/>
      <c r="D1969" s="5"/>
      <c r="E1969" s="5"/>
      <c r="F1969" s="5"/>
      <c r="G1969" s="5"/>
      <c r="H1969" s="6"/>
      <c r="I1969" s="5"/>
      <c r="J1969" s="88"/>
      <c r="K1969" s="88"/>
      <c r="L1969" s="88"/>
      <c r="M1969" s="88"/>
      <c r="N1969" s="88"/>
      <c r="O1969" s="88"/>
      <c r="P1969" s="88"/>
      <c r="Q1969" s="89"/>
      <c r="R1969" s="88"/>
      <c r="S1969" s="88"/>
      <c r="T1969" s="90"/>
      <c r="U1969" s="6"/>
      <c r="V1969" s="92"/>
      <c r="W1969" s="77"/>
      <c r="X1969" s="91"/>
      <c r="Y1969" s="77"/>
      <c r="Z1969" s="5"/>
      <c r="AA1969" s="5"/>
      <c r="AB1969" s="5"/>
      <c r="AC1969" s="5"/>
      <c r="AD1969" s="5"/>
      <c r="AE1969" s="5"/>
      <c r="AF1969" s="5"/>
      <c r="AG1969" s="5"/>
      <c r="AH1969" s="6"/>
      <c r="AI1969" s="92"/>
      <c r="AJ1969" s="93"/>
      <c r="AK1969" s="94"/>
      <c r="AL1969" s="95"/>
      <c r="AM1969" s="56"/>
      <c r="AN1969" s="57">
        <f t="shared" si="318"/>
        <v>0</v>
      </c>
      <c r="AO1969" s="76">
        <f t="shared" si="320"/>
        <v>0</v>
      </c>
      <c r="AP1969" s="63" t="str">
        <f t="shared" si="321"/>
        <v/>
      </c>
      <c r="AQ1969" s="63" t="str">
        <f t="shared" si="322"/>
        <v/>
      </c>
      <c r="AR1969" s="63" t="str">
        <f t="shared" si="323"/>
        <v/>
      </c>
      <c r="AS1969" s="63" t="str">
        <f t="shared" si="324"/>
        <v/>
      </c>
      <c r="AT1969" s="78" t="str">
        <f t="shared" si="325"/>
        <v/>
      </c>
      <c r="AU1969" s="78" t="str">
        <f t="shared" si="326"/>
        <v/>
      </c>
      <c r="AV1969" s="64" t="str">
        <f ca="1">IFERROR(__xludf.DUMMYFUNCTION("IF(TRIM(AU1969)="""","""",AU1969/INDEX(FILTER(AT$3:AT1969,TRIM(AT$3:AT1969)&lt;&gt;""""),ROWS(FILTER(AT$3:AT1969,TRIM(AT$3:AT1969)&lt;&gt;"""")))-1)"),"")</f>
        <v/>
      </c>
      <c r="AW1969" s="65" t="e">
        <f t="shared" ca="1" si="319"/>
        <v>#VALUE!</v>
      </c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</row>
    <row r="1970" spans="1:68" ht="19" x14ac:dyDescent="0.25">
      <c r="A1970" s="5"/>
      <c r="B1970" s="5"/>
      <c r="C1970" s="5"/>
      <c r="D1970" s="5"/>
      <c r="E1970" s="5"/>
      <c r="F1970" s="5"/>
      <c r="G1970" s="5"/>
      <c r="H1970" s="6"/>
      <c r="I1970" s="5"/>
      <c r="J1970" s="88"/>
      <c r="K1970" s="88"/>
      <c r="L1970" s="88"/>
      <c r="M1970" s="88"/>
      <c r="N1970" s="88"/>
      <c r="O1970" s="88"/>
      <c r="P1970" s="88"/>
      <c r="Q1970" s="89"/>
      <c r="R1970" s="88"/>
      <c r="S1970" s="88"/>
      <c r="T1970" s="90"/>
      <c r="U1970" s="6"/>
      <c r="V1970" s="92"/>
      <c r="W1970" s="77"/>
      <c r="X1970" s="91"/>
      <c r="Y1970" s="77"/>
      <c r="Z1970" s="5"/>
      <c r="AA1970" s="5"/>
      <c r="AB1970" s="5"/>
      <c r="AC1970" s="5"/>
      <c r="AD1970" s="5"/>
      <c r="AE1970" s="5"/>
      <c r="AF1970" s="5"/>
      <c r="AG1970" s="5"/>
      <c r="AH1970" s="6"/>
      <c r="AI1970" s="92"/>
      <c r="AJ1970" s="93"/>
      <c r="AK1970" s="94"/>
      <c r="AL1970" s="95"/>
      <c r="AM1970" s="56"/>
      <c r="AN1970" s="57">
        <f t="shared" si="318"/>
        <v>0</v>
      </c>
      <c r="AO1970" s="76">
        <f t="shared" si="320"/>
        <v>0</v>
      </c>
      <c r="AP1970" s="63" t="str">
        <f t="shared" si="321"/>
        <v/>
      </c>
      <c r="AQ1970" s="63" t="str">
        <f t="shared" si="322"/>
        <v/>
      </c>
      <c r="AR1970" s="63" t="str">
        <f t="shared" si="323"/>
        <v/>
      </c>
      <c r="AS1970" s="63" t="str">
        <f t="shared" si="324"/>
        <v/>
      </c>
      <c r="AT1970" s="78" t="str">
        <f t="shared" si="325"/>
        <v/>
      </c>
      <c r="AU1970" s="78" t="str">
        <f t="shared" si="326"/>
        <v/>
      </c>
      <c r="AV1970" s="64" t="str">
        <f ca="1">IFERROR(__xludf.DUMMYFUNCTION("IF(TRIM(AU1970)="""","""",AU1970/INDEX(FILTER(AT$3:AT1970,TRIM(AT$3:AT1970)&lt;&gt;""""),ROWS(FILTER(AT$3:AT1970,TRIM(AT$3:AT1970)&lt;&gt;"""")))-1)"),"")</f>
        <v/>
      </c>
      <c r="AW1970" s="65" t="e">
        <f t="shared" ca="1" si="319"/>
        <v>#VALUE!</v>
      </c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</row>
    <row r="1971" spans="1:68" ht="19" x14ac:dyDescent="0.25">
      <c r="A1971" s="5"/>
      <c r="B1971" s="5"/>
      <c r="C1971" s="5"/>
      <c r="D1971" s="5"/>
      <c r="E1971" s="5"/>
      <c r="F1971" s="5"/>
      <c r="G1971" s="5"/>
      <c r="H1971" s="6"/>
      <c r="I1971" s="5"/>
      <c r="J1971" s="88"/>
      <c r="K1971" s="88"/>
      <c r="L1971" s="88"/>
      <c r="M1971" s="88"/>
      <c r="N1971" s="88"/>
      <c r="O1971" s="88"/>
      <c r="P1971" s="88"/>
      <c r="Q1971" s="89"/>
      <c r="R1971" s="88"/>
      <c r="S1971" s="88"/>
      <c r="T1971" s="90"/>
      <c r="U1971" s="6"/>
      <c r="V1971" s="92"/>
      <c r="W1971" s="77"/>
      <c r="X1971" s="91"/>
      <c r="Y1971" s="77"/>
      <c r="Z1971" s="5"/>
      <c r="AA1971" s="5"/>
      <c r="AB1971" s="5"/>
      <c r="AC1971" s="5"/>
      <c r="AD1971" s="5"/>
      <c r="AE1971" s="5"/>
      <c r="AF1971" s="5"/>
      <c r="AG1971" s="5"/>
      <c r="AH1971" s="6"/>
      <c r="AI1971" s="92"/>
      <c r="AJ1971" s="93"/>
      <c r="AK1971" s="94"/>
      <c r="AL1971" s="95"/>
      <c r="AM1971" s="56"/>
      <c r="AN1971" s="57">
        <f t="shared" si="318"/>
        <v>0</v>
      </c>
      <c r="AO1971" s="76">
        <f t="shared" si="320"/>
        <v>0</v>
      </c>
      <c r="AP1971" s="63" t="str">
        <f t="shared" si="321"/>
        <v/>
      </c>
      <c r="AQ1971" s="63" t="str">
        <f t="shared" si="322"/>
        <v/>
      </c>
      <c r="AR1971" s="63" t="str">
        <f t="shared" si="323"/>
        <v/>
      </c>
      <c r="AS1971" s="63" t="str">
        <f t="shared" si="324"/>
        <v/>
      </c>
      <c r="AT1971" s="78" t="str">
        <f t="shared" si="325"/>
        <v/>
      </c>
      <c r="AU1971" s="78" t="str">
        <f t="shared" si="326"/>
        <v/>
      </c>
      <c r="AV1971" s="64" t="str">
        <f ca="1">IFERROR(__xludf.DUMMYFUNCTION("IF(TRIM(AU1971)="""","""",AU1971/INDEX(FILTER(AT$3:AT1971,TRIM(AT$3:AT1971)&lt;&gt;""""),ROWS(FILTER(AT$3:AT1971,TRIM(AT$3:AT1971)&lt;&gt;"""")))-1)"),"")</f>
        <v/>
      </c>
      <c r="AW1971" s="65" t="e">
        <f t="shared" ca="1" si="319"/>
        <v>#VALUE!</v>
      </c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</row>
    <row r="1972" spans="1:68" ht="19" x14ac:dyDescent="0.25">
      <c r="A1972" s="5"/>
      <c r="B1972" s="5"/>
      <c r="C1972" s="5"/>
      <c r="D1972" s="5"/>
      <c r="E1972" s="5"/>
      <c r="F1972" s="5"/>
      <c r="G1972" s="5"/>
      <c r="H1972" s="6"/>
      <c r="I1972" s="5"/>
      <c r="J1972" s="88"/>
      <c r="K1972" s="88"/>
      <c r="L1972" s="88"/>
      <c r="M1972" s="88"/>
      <c r="N1972" s="88"/>
      <c r="O1972" s="88"/>
      <c r="P1972" s="88"/>
      <c r="Q1972" s="89"/>
      <c r="R1972" s="88"/>
      <c r="S1972" s="88"/>
      <c r="T1972" s="90"/>
      <c r="U1972" s="6"/>
      <c r="V1972" s="92"/>
      <c r="W1972" s="77"/>
      <c r="X1972" s="91"/>
      <c r="Y1972" s="77"/>
      <c r="Z1972" s="5"/>
      <c r="AA1972" s="5"/>
      <c r="AB1972" s="5"/>
      <c r="AC1972" s="5"/>
      <c r="AD1972" s="5"/>
      <c r="AE1972" s="5"/>
      <c r="AF1972" s="5"/>
      <c r="AG1972" s="5"/>
      <c r="AH1972" s="6"/>
      <c r="AI1972" s="92"/>
      <c r="AJ1972" s="93"/>
      <c r="AK1972" s="94"/>
      <c r="AL1972" s="95"/>
      <c r="AM1972" s="56"/>
      <c r="AN1972" s="57">
        <f t="shared" si="318"/>
        <v>0</v>
      </c>
      <c r="AO1972" s="76">
        <f t="shared" si="320"/>
        <v>0</v>
      </c>
      <c r="AP1972" s="63" t="str">
        <f t="shared" si="321"/>
        <v/>
      </c>
      <c r="AQ1972" s="63" t="str">
        <f t="shared" si="322"/>
        <v/>
      </c>
      <c r="AR1972" s="63" t="str">
        <f t="shared" si="323"/>
        <v/>
      </c>
      <c r="AS1972" s="63" t="str">
        <f t="shared" si="324"/>
        <v/>
      </c>
      <c r="AT1972" s="78" t="str">
        <f t="shared" si="325"/>
        <v/>
      </c>
      <c r="AU1972" s="78" t="str">
        <f t="shared" si="326"/>
        <v/>
      </c>
      <c r="AV1972" s="64" t="str">
        <f ca="1">IFERROR(__xludf.DUMMYFUNCTION("IF(TRIM(AU1972)="""","""",AU1972/INDEX(FILTER(AT$3:AT1972,TRIM(AT$3:AT1972)&lt;&gt;""""),ROWS(FILTER(AT$3:AT1972,TRIM(AT$3:AT1972)&lt;&gt;"""")))-1)"),"")</f>
        <v/>
      </c>
      <c r="AW1972" s="65" t="e">
        <f t="shared" ca="1" si="319"/>
        <v>#VALUE!</v>
      </c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</row>
    <row r="1973" spans="1:68" ht="19" x14ac:dyDescent="0.25">
      <c r="A1973" s="5"/>
      <c r="B1973" s="5"/>
      <c r="C1973" s="5"/>
      <c r="D1973" s="5"/>
      <c r="E1973" s="5"/>
      <c r="F1973" s="5"/>
      <c r="G1973" s="5"/>
      <c r="H1973" s="6"/>
      <c r="I1973" s="5"/>
      <c r="J1973" s="88"/>
      <c r="K1973" s="88"/>
      <c r="L1973" s="88"/>
      <c r="M1973" s="88"/>
      <c r="N1973" s="88"/>
      <c r="O1973" s="88"/>
      <c r="P1973" s="88"/>
      <c r="Q1973" s="89"/>
      <c r="R1973" s="88"/>
      <c r="S1973" s="88"/>
      <c r="T1973" s="90"/>
      <c r="U1973" s="6"/>
      <c r="V1973" s="92"/>
      <c r="W1973" s="77"/>
      <c r="X1973" s="91"/>
      <c r="Y1973" s="77"/>
      <c r="Z1973" s="5"/>
      <c r="AA1973" s="5"/>
      <c r="AB1973" s="5"/>
      <c r="AC1973" s="5"/>
      <c r="AD1973" s="5"/>
      <c r="AE1973" s="5"/>
      <c r="AF1973" s="5"/>
      <c r="AG1973" s="5"/>
      <c r="AH1973" s="6"/>
      <c r="AI1973" s="92"/>
      <c r="AJ1973" s="93"/>
      <c r="AK1973" s="94"/>
      <c r="AL1973" s="95"/>
      <c r="AM1973" s="56"/>
      <c r="AN1973" s="57">
        <f t="shared" si="318"/>
        <v>0</v>
      </c>
      <c r="AO1973" s="76">
        <f t="shared" si="320"/>
        <v>0</v>
      </c>
      <c r="AP1973" s="63" t="str">
        <f t="shared" si="321"/>
        <v/>
      </c>
      <c r="AQ1973" s="63" t="str">
        <f t="shared" si="322"/>
        <v/>
      </c>
      <c r="AR1973" s="63" t="str">
        <f t="shared" si="323"/>
        <v/>
      </c>
      <c r="AS1973" s="63" t="str">
        <f t="shared" si="324"/>
        <v/>
      </c>
      <c r="AT1973" s="78" t="str">
        <f t="shared" si="325"/>
        <v/>
      </c>
      <c r="AU1973" s="78" t="str">
        <f t="shared" si="326"/>
        <v/>
      </c>
      <c r="AV1973" s="64" t="str">
        <f ca="1">IFERROR(__xludf.DUMMYFUNCTION("IF(TRIM(AU1973)="""","""",AU1973/INDEX(FILTER(AT$3:AT1973,TRIM(AT$3:AT1973)&lt;&gt;""""),ROWS(FILTER(AT$3:AT1973,TRIM(AT$3:AT1973)&lt;&gt;"""")))-1)"),"")</f>
        <v/>
      </c>
      <c r="AW1973" s="65" t="e">
        <f t="shared" ca="1" si="319"/>
        <v>#VALUE!</v>
      </c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</row>
    <row r="1974" spans="1:68" ht="19" x14ac:dyDescent="0.25">
      <c r="A1974" s="5"/>
      <c r="B1974" s="5"/>
      <c r="C1974" s="5"/>
      <c r="D1974" s="5"/>
      <c r="E1974" s="5"/>
      <c r="F1974" s="5"/>
      <c r="G1974" s="5"/>
      <c r="H1974" s="6"/>
      <c r="I1974" s="5"/>
      <c r="J1974" s="88"/>
      <c r="K1974" s="88"/>
      <c r="L1974" s="88"/>
      <c r="M1974" s="88"/>
      <c r="N1974" s="88"/>
      <c r="O1974" s="88"/>
      <c r="P1974" s="88"/>
      <c r="Q1974" s="89"/>
      <c r="R1974" s="88"/>
      <c r="S1974" s="88"/>
      <c r="T1974" s="90"/>
      <c r="U1974" s="6"/>
      <c r="V1974" s="92"/>
      <c r="W1974" s="77"/>
      <c r="X1974" s="91"/>
      <c r="Y1974" s="77"/>
      <c r="Z1974" s="5"/>
      <c r="AA1974" s="5"/>
      <c r="AB1974" s="5"/>
      <c r="AC1974" s="5"/>
      <c r="AD1974" s="5"/>
      <c r="AE1974" s="5"/>
      <c r="AF1974" s="5"/>
      <c r="AG1974" s="5"/>
      <c r="AH1974" s="6"/>
      <c r="AI1974" s="92"/>
      <c r="AJ1974" s="93"/>
      <c r="AK1974" s="94"/>
      <c r="AL1974" s="95"/>
      <c r="AM1974" s="56"/>
      <c r="AN1974" s="57">
        <f t="shared" si="318"/>
        <v>0</v>
      </c>
      <c r="AO1974" s="76">
        <f t="shared" si="320"/>
        <v>0</v>
      </c>
      <c r="AP1974" s="63" t="str">
        <f t="shared" si="321"/>
        <v/>
      </c>
      <c r="AQ1974" s="63" t="str">
        <f t="shared" si="322"/>
        <v/>
      </c>
      <c r="AR1974" s="63" t="str">
        <f t="shared" si="323"/>
        <v/>
      </c>
      <c r="AS1974" s="63" t="str">
        <f t="shared" si="324"/>
        <v/>
      </c>
      <c r="AT1974" s="78" t="str">
        <f t="shared" si="325"/>
        <v/>
      </c>
      <c r="AU1974" s="78" t="str">
        <f t="shared" si="326"/>
        <v/>
      </c>
      <c r="AV1974" s="64" t="str">
        <f ca="1">IFERROR(__xludf.DUMMYFUNCTION("IF(TRIM(AU1974)="""","""",AU1974/INDEX(FILTER(AT$3:AT1974,TRIM(AT$3:AT1974)&lt;&gt;""""),ROWS(FILTER(AT$3:AT1974,TRIM(AT$3:AT1974)&lt;&gt;"""")))-1)"),"")</f>
        <v/>
      </c>
      <c r="AW1974" s="65" t="e">
        <f t="shared" ca="1" si="319"/>
        <v>#VALUE!</v>
      </c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</row>
    <row r="1975" spans="1:68" ht="19" x14ac:dyDescent="0.25">
      <c r="A1975" s="5"/>
      <c r="B1975" s="5"/>
      <c r="C1975" s="5"/>
      <c r="D1975" s="5"/>
      <c r="E1975" s="5"/>
      <c r="F1975" s="5"/>
      <c r="G1975" s="5"/>
      <c r="H1975" s="6"/>
      <c r="I1975" s="5"/>
      <c r="J1975" s="88"/>
      <c r="K1975" s="88"/>
      <c r="L1975" s="88"/>
      <c r="M1975" s="88"/>
      <c r="N1975" s="88"/>
      <c r="O1975" s="88"/>
      <c r="P1975" s="88"/>
      <c r="Q1975" s="89"/>
      <c r="R1975" s="88"/>
      <c r="S1975" s="88"/>
      <c r="T1975" s="90"/>
      <c r="U1975" s="6"/>
      <c r="V1975" s="92"/>
      <c r="W1975" s="77"/>
      <c r="X1975" s="91"/>
      <c r="Y1975" s="77"/>
      <c r="Z1975" s="5"/>
      <c r="AA1975" s="5"/>
      <c r="AB1975" s="5"/>
      <c r="AC1975" s="5"/>
      <c r="AD1975" s="5"/>
      <c r="AE1975" s="5"/>
      <c r="AF1975" s="5"/>
      <c r="AG1975" s="5"/>
      <c r="AH1975" s="6"/>
      <c r="AI1975" s="92"/>
      <c r="AJ1975" s="93"/>
      <c r="AK1975" s="94"/>
      <c r="AL1975" s="95"/>
      <c r="AM1975" s="56"/>
      <c r="AN1975" s="57">
        <f t="shared" si="318"/>
        <v>0</v>
      </c>
      <c r="AO1975" s="76">
        <f t="shared" si="320"/>
        <v>0</v>
      </c>
      <c r="AP1975" s="63" t="str">
        <f t="shared" si="321"/>
        <v/>
      </c>
      <c r="AQ1975" s="63" t="str">
        <f t="shared" si="322"/>
        <v/>
      </c>
      <c r="AR1975" s="63" t="str">
        <f t="shared" si="323"/>
        <v/>
      </c>
      <c r="AS1975" s="63" t="str">
        <f t="shared" si="324"/>
        <v/>
      </c>
      <c r="AT1975" s="78" t="str">
        <f t="shared" si="325"/>
        <v/>
      </c>
      <c r="AU1975" s="78" t="str">
        <f t="shared" si="326"/>
        <v/>
      </c>
      <c r="AV1975" s="64" t="str">
        <f ca="1">IFERROR(__xludf.DUMMYFUNCTION("IF(TRIM(AU1975)="""","""",AU1975/INDEX(FILTER(AT$3:AT1975,TRIM(AT$3:AT1975)&lt;&gt;""""),ROWS(FILTER(AT$3:AT1975,TRIM(AT$3:AT1975)&lt;&gt;"""")))-1)"),"")</f>
        <v/>
      </c>
      <c r="AW1975" s="65" t="e">
        <f t="shared" ca="1" si="319"/>
        <v>#VALUE!</v>
      </c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</row>
    <row r="1976" spans="1:68" ht="19" x14ac:dyDescent="0.25">
      <c r="A1976" s="5"/>
      <c r="B1976" s="5"/>
      <c r="C1976" s="5"/>
      <c r="D1976" s="5"/>
      <c r="E1976" s="5"/>
      <c r="F1976" s="5"/>
      <c r="G1976" s="5"/>
      <c r="H1976" s="6"/>
      <c r="I1976" s="5"/>
      <c r="J1976" s="88"/>
      <c r="K1976" s="88"/>
      <c r="L1976" s="88"/>
      <c r="M1976" s="88"/>
      <c r="N1976" s="88"/>
      <c r="O1976" s="88"/>
      <c r="P1976" s="88"/>
      <c r="Q1976" s="89"/>
      <c r="R1976" s="88"/>
      <c r="S1976" s="88"/>
      <c r="T1976" s="90"/>
      <c r="U1976" s="6"/>
      <c r="V1976" s="92"/>
      <c r="W1976" s="77"/>
      <c r="X1976" s="91"/>
      <c r="Y1976" s="77"/>
      <c r="Z1976" s="5"/>
      <c r="AA1976" s="5"/>
      <c r="AB1976" s="5"/>
      <c r="AC1976" s="5"/>
      <c r="AD1976" s="5"/>
      <c r="AE1976" s="5"/>
      <c r="AF1976" s="5"/>
      <c r="AG1976" s="5"/>
      <c r="AH1976" s="6"/>
      <c r="AI1976" s="92"/>
      <c r="AJ1976" s="93"/>
      <c r="AK1976" s="94"/>
      <c r="AL1976" s="95"/>
      <c r="AM1976" s="56"/>
      <c r="AN1976" s="57">
        <f t="shared" si="318"/>
        <v>0</v>
      </c>
      <c r="AO1976" s="76">
        <f t="shared" si="320"/>
        <v>0</v>
      </c>
      <c r="AP1976" s="63" t="str">
        <f t="shared" si="321"/>
        <v/>
      </c>
      <c r="AQ1976" s="63" t="str">
        <f t="shared" si="322"/>
        <v/>
      </c>
      <c r="AR1976" s="63" t="str">
        <f t="shared" si="323"/>
        <v/>
      </c>
      <c r="AS1976" s="63" t="str">
        <f t="shared" si="324"/>
        <v/>
      </c>
      <c r="AT1976" s="78" t="str">
        <f t="shared" si="325"/>
        <v/>
      </c>
      <c r="AU1976" s="78" t="str">
        <f t="shared" si="326"/>
        <v/>
      </c>
      <c r="AV1976" s="64" t="str">
        <f ca="1">IFERROR(__xludf.DUMMYFUNCTION("IF(TRIM(AU1976)="""","""",AU1976/INDEX(FILTER(AT$3:AT1976,TRIM(AT$3:AT1976)&lt;&gt;""""),ROWS(FILTER(AT$3:AT1976,TRIM(AT$3:AT1976)&lt;&gt;"""")))-1)"),"")</f>
        <v/>
      </c>
      <c r="AW1976" s="65" t="e">
        <f t="shared" ca="1" si="319"/>
        <v>#VALUE!</v>
      </c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</row>
    <row r="1977" spans="1:68" ht="19" x14ac:dyDescent="0.25">
      <c r="A1977" s="5"/>
      <c r="B1977" s="5"/>
      <c r="C1977" s="5"/>
      <c r="D1977" s="5"/>
      <c r="E1977" s="5"/>
      <c r="F1977" s="5"/>
      <c r="G1977" s="5"/>
      <c r="H1977" s="6"/>
      <c r="I1977" s="5"/>
      <c r="J1977" s="88"/>
      <c r="K1977" s="88"/>
      <c r="L1977" s="88"/>
      <c r="M1977" s="88"/>
      <c r="N1977" s="88"/>
      <c r="O1977" s="88"/>
      <c r="P1977" s="88"/>
      <c r="Q1977" s="89"/>
      <c r="R1977" s="88"/>
      <c r="S1977" s="88"/>
      <c r="T1977" s="90"/>
      <c r="U1977" s="6"/>
      <c r="V1977" s="92"/>
      <c r="W1977" s="77"/>
      <c r="X1977" s="91"/>
      <c r="Y1977" s="77"/>
      <c r="Z1977" s="5"/>
      <c r="AA1977" s="5"/>
      <c r="AB1977" s="5"/>
      <c r="AC1977" s="5"/>
      <c r="AD1977" s="5"/>
      <c r="AE1977" s="5"/>
      <c r="AF1977" s="5"/>
      <c r="AG1977" s="5"/>
      <c r="AH1977" s="6"/>
      <c r="AI1977" s="92"/>
      <c r="AJ1977" s="93"/>
      <c r="AK1977" s="94"/>
      <c r="AL1977" s="95"/>
      <c r="AM1977" s="56"/>
      <c r="AN1977" s="57">
        <f t="shared" si="318"/>
        <v>0</v>
      </c>
      <c r="AO1977" s="76">
        <f t="shared" si="320"/>
        <v>0</v>
      </c>
      <c r="AP1977" s="63" t="str">
        <f t="shared" si="321"/>
        <v/>
      </c>
      <c r="AQ1977" s="63" t="str">
        <f t="shared" si="322"/>
        <v/>
      </c>
      <c r="AR1977" s="63" t="str">
        <f t="shared" si="323"/>
        <v/>
      </c>
      <c r="AS1977" s="63" t="str">
        <f t="shared" si="324"/>
        <v/>
      </c>
      <c r="AT1977" s="78" t="str">
        <f t="shared" si="325"/>
        <v/>
      </c>
      <c r="AU1977" s="78" t="str">
        <f t="shared" si="326"/>
        <v/>
      </c>
      <c r="AV1977" s="64" t="str">
        <f ca="1">IFERROR(__xludf.DUMMYFUNCTION("IF(TRIM(AU1977)="""","""",AU1977/INDEX(FILTER(AT$3:AT1977,TRIM(AT$3:AT1977)&lt;&gt;""""),ROWS(FILTER(AT$3:AT1977,TRIM(AT$3:AT1977)&lt;&gt;"""")))-1)"),"")</f>
        <v/>
      </c>
      <c r="AW1977" s="65" t="e">
        <f t="shared" ca="1" si="319"/>
        <v>#VALUE!</v>
      </c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</row>
    <row r="1978" spans="1:68" ht="19" x14ac:dyDescent="0.25">
      <c r="A1978" s="5"/>
      <c r="B1978" s="5"/>
      <c r="C1978" s="5"/>
      <c r="D1978" s="5"/>
      <c r="E1978" s="5"/>
      <c r="F1978" s="5"/>
      <c r="G1978" s="5"/>
      <c r="H1978" s="6"/>
      <c r="I1978" s="5"/>
      <c r="J1978" s="88"/>
      <c r="K1978" s="88"/>
      <c r="L1978" s="88"/>
      <c r="M1978" s="88"/>
      <c r="N1978" s="88"/>
      <c r="O1978" s="88"/>
      <c r="P1978" s="88"/>
      <c r="Q1978" s="89"/>
      <c r="R1978" s="88"/>
      <c r="S1978" s="88"/>
      <c r="T1978" s="90"/>
      <c r="U1978" s="6"/>
      <c r="V1978" s="92"/>
      <c r="W1978" s="77"/>
      <c r="X1978" s="91"/>
      <c r="Y1978" s="77"/>
      <c r="Z1978" s="5"/>
      <c r="AA1978" s="5"/>
      <c r="AB1978" s="5"/>
      <c r="AC1978" s="5"/>
      <c r="AD1978" s="5"/>
      <c r="AE1978" s="5"/>
      <c r="AF1978" s="5"/>
      <c r="AG1978" s="5"/>
      <c r="AH1978" s="6"/>
      <c r="AI1978" s="92"/>
      <c r="AJ1978" s="93"/>
      <c r="AK1978" s="94"/>
      <c r="AL1978" s="95"/>
      <c r="AM1978" s="56"/>
      <c r="AN1978" s="57">
        <f t="shared" si="318"/>
        <v>0</v>
      </c>
      <c r="AO1978" s="76">
        <f t="shared" si="320"/>
        <v>0</v>
      </c>
      <c r="AP1978" s="63" t="str">
        <f t="shared" si="321"/>
        <v/>
      </c>
      <c r="AQ1978" s="63" t="str">
        <f t="shared" si="322"/>
        <v/>
      </c>
      <c r="AR1978" s="63" t="str">
        <f t="shared" si="323"/>
        <v/>
      </c>
      <c r="AS1978" s="63" t="str">
        <f t="shared" si="324"/>
        <v/>
      </c>
      <c r="AT1978" s="78" t="str">
        <f t="shared" si="325"/>
        <v/>
      </c>
      <c r="AU1978" s="78" t="str">
        <f t="shared" si="326"/>
        <v/>
      </c>
      <c r="AV1978" s="64" t="str">
        <f ca="1">IFERROR(__xludf.DUMMYFUNCTION("IF(TRIM(AU1978)="""","""",AU1978/INDEX(FILTER(AT$3:AT1978,TRIM(AT$3:AT1978)&lt;&gt;""""),ROWS(FILTER(AT$3:AT1978,TRIM(AT$3:AT1978)&lt;&gt;"""")))-1)"),"")</f>
        <v/>
      </c>
      <c r="AW1978" s="65" t="e">
        <f t="shared" ca="1" si="319"/>
        <v>#VALUE!</v>
      </c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</row>
    <row r="1979" spans="1:68" ht="19" x14ac:dyDescent="0.25">
      <c r="A1979" s="5"/>
      <c r="B1979" s="5"/>
      <c r="C1979" s="5"/>
      <c r="D1979" s="5"/>
      <c r="E1979" s="5"/>
      <c r="F1979" s="5"/>
      <c r="G1979" s="5"/>
      <c r="H1979" s="6"/>
      <c r="I1979" s="5"/>
      <c r="J1979" s="88"/>
      <c r="K1979" s="88"/>
      <c r="L1979" s="88"/>
      <c r="M1979" s="88"/>
      <c r="N1979" s="88"/>
      <c r="O1979" s="88"/>
      <c r="P1979" s="88"/>
      <c r="Q1979" s="89"/>
      <c r="R1979" s="88"/>
      <c r="S1979" s="88"/>
      <c r="T1979" s="90"/>
      <c r="U1979" s="6"/>
      <c r="V1979" s="92"/>
      <c r="W1979" s="77"/>
      <c r="X1979" s="91"/>
      <c r="Y1979" s="77"/>
      <c r="Z1979" s="5"/>
      <c r="AA1979" s="5"/>
      <c r="AB1979" s="5"/>
      <c r="AC1979" s="5"/>
      <c r="AD1979" s="5"/>
      <c r="AE1979" s="5"/>
      <c r="AF1979" s="5"/>
      <c r="AG1979" s="5"/>
      <c r="AH1979" s="6"/>
      <c r="AI1979" s="92"/>
      <c r="AJ1979" s="93"/>
      <c r="AK1979" s="94"/>
      <c r="AL1979" s="95"/>
      <c r="AM1979" s="56"/>
      <c r="AN1979" s="57">
        <f t="shared" si="318"/>
        <v>0</v>
      </c>
      <c r="AO1979" s="76">
        <f t="shared" si="320"/>
        <v>0</v>
      </c>
      <c r="AP1979" s="63" t="str">
        <f t="shared" si="321"/>
        <v/>
      </c>
      <c r="AQ1979" s="63" t="str">
        <f t="shared" si="322"/>
        <v/>
      </c>
      <c r="AR1979" s="63" t="str">
        <f t="shared" si="323"/>
        <v/>
      </c>
      <c r="AS1979" s="63" t="str">
        <f t="shared" si="324"/>
        <v/>
      </c>
      <c r="AT1979" s="78" t="str">
        <f t="shared" si="325"/>
        <v/>
      </c>
      <c r="AU1979" s="78" t="str">
        <f t="shared" si="326"/>
        <v/>
      </c>
      <c r="AV1979" s="64" t="str">
        <f ca="1">IFERROR(__xludf.DUMMYFUNCTION("IF(TRIM(AU1979)="""","""",AU1979/INDEX(FILTER(AT$3:AT1979,TRIM(AT$3:AT1979)&lt;&gt;""""),ROWS(FILTER(AT$3:AT1979,TRIM(AT$3:AT1979)&lt;&gt;"""")))-1)"),"")</f>
        <v/>
      </c>
      <c r="AW1979" s="65" t="e">
        <f t="shared" ca="1" si="319"/>
        <v>#VALUE!</v>
      </c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</row>
    <row r="1980" spans="1:68" ht="19" x14ac:dyDescent="0.25">
      <c r="A1980" s="5"/>
      <c r="B1980" s="5"/>
      <c r="C1980" s="5"/>
      <c r="D1980" s="5"/>
      <c r="E1980" s="5"/>
      <c r="F1980" s="5"/>
      <c r="G1980" s="5"/>
      <c r="H1980" s="6"/>
      <c r="I1980" s="5"/>
      <c r="J1980" s="88"/>
      <c r="K1980" s="88"/>
      <c r="L1980" s="88"/>
      <c r="M1980" s="88"/>
      <c r="N1980" s="88"/>
      <c r="O1980" s="88"/>
      <c r="P1980" s="88"/>
      <c r="Q1980" s="89"/>
      <c r="R1980" s="88"/>
      <c r="S1980" s="88"/>
      <c r="T1980" s="90"/>
      <c r="U1980" s="6"/>
      <c r="V1980" s="92"/>
      <c r="W1980" s="77"/>
      <c r="X1980" s="91"/>
      <c r="Y1980" s="77"/>
      <c r="Z1980" s="5"/>
      <c r="AA1980" s="5"/>
      <c r="AB1980" s="5"/>
      <c r="AC1980" s="5"/>
      <c r="AD1980" s="5"/>
      <c r="AE1980" s="5"/>
      <c r="AF1980" s="5"/>
      <c r="AG1980" s="5"/>
      <c r="AH1980" s="6"/>
      <c r="AI1980" s="92"/>
      <c r="AJ1980" s="93"/>
      <c r="AK1980" s="94"/>
      <c r="AL1980" s="95"/>
      <c r="AM1980" s="56"/>
      <c r="AN1980" s="57">
        <f t="shared" si="318"/>
        <v>0</v>
      </c>
      <c r="AO1980" s="76">
        <f t="shared" si="320"/>
        <v>0</v>
      </c>
      <c r="AP1980" s="63" t="str">
        <f t="shared" si="321"/>
        <v/>
      </c>
      <c r="AQ1980" s="63" t="str">
        <f t="shared" si="322"/>
        <v/>
      </c>
      <c r="AR1980" s="63" t="str">
        <f t="shared" si="323"/>
        <v/>
      </c>
      <c r="AS1980" s="63" t="str">
        <f t="shared" si="324"/>
        <v/>
      </c>
      <c r="AT1980" s="78" t="str">
        <f t="shared" si="325"/>
        <v/>
      </c>
      <c r="AU1980" s="78" t="str">
        <f t="shared" si="326"/>
        <v/>
      </c>
      <c r="AV1980" s="64" t="str">
        <f ca="1">IFERROR(__xludf.DUMMYFUNCTION("IF(TRIM(AU1980)="""","""",AU1980/INDEX(FILTER(AT$3:AT1980,TRIM(AT$3:AT1980)&lt;&gt;""""),ROWS(FILTER(AT$3:AT1980,TRIM(AT$3:AT1980)&lt;&gt;"""")))-1)"),"")</f>
        <v/>
      </c>
      <c r="AW1980" s="65" t="e">
        <f t="shared" ca="1" si="319"/>
        <v>#VALUE!</v>
      </c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</row>
    <row r="1981" spans="1:68" ht="19" x14ac:dyDescent="0.25">
      <c r="A1981" s="5"/>
      <c r="B1981" s="5"/>
      <c r="C1981" s="5"/>
      <c r="D1981" s="5"/>
      <c r="E1981" s="5"/>
      <c r="F1981" s="5"/>
      <c r="G1981" s="5"/>
      <c r="H1981" s="6"/>
      <c r="I1981" s="5"/>
      <c r="J1981" s="88"/>
      <c r="K1981" s="88"/>
      <c r="L1981" s="88"/>
      <c r="M1981" s="88"/>
      <c r="N1981" s="88"/>
      <c r="O1981" s="88"/>
      <c r="P1981" s="88"/>
      <c r="Q1981" s="89"/>
      <c r="R1981" s="88"/>
      <c r="S1981" s="88"/>
      <c r="T1981" s="90"/>
      <c r="U1981" s="6"/>
      <c r="V1981" s="92"/>
      <c r="W1981" s="77"/>
      <c r="X1981" s="91"/>
      <c r="Y1981" s="77"/>
      <c r="Z1981" s="5"/>
      <c r="AA1981" s="5"/>
      <c r="AB1981" s="5"/>
      <c r="AC1981" s="5"/>
      <c r="AD1981" s="5"/>
      <c r="AE1981" s="5"/>
      <c r="AF1981" s="5"/>
      <c r="AG1981" s="5"/>
      <c r="AH1981" s="6"/>
      <c r="AI1981" s="92"/>
      <c r="AJ1981" s="93"/>
      <c r="AK1981" s="94"/>
      <c r="AL1981" s="95"/>
      <c r="AM1981" s="56"/>
      <c r="AN1981" s="57">
        <f t="shared" si="318"/>
        <v>0</v>
      </c>
      <c r="AO1981" s="76">
        <f t="shared" si="320"/>
        <v>0</v>
      </c>
      <c r="AP1981" s="63" t="str">
        <f t="shared" si="321"/>
        <v/>
      </c>
      <c r="AQ1981" s="63" t="str">
        <f t="shared" si="322"/>
        <v/>
      </c>
      <c r="AR1981" s="63" t="str">
        <f t="shared" si="323"/>
        <v/>
      </c>
      <c r="AS1981" s="63" t="str">
        <f t="shared" si="324"/>
        <v/>
      </c>
      <c r="AT1981" s="78" t="str">
        <f t="shared" si="325"/>
        <v/>
      </c>
      <c r="AU1981" s="78" t="str">
        <f t="shared" si="326"/>
        <v/>
      </c>
      <c r="AV1981" s="64" t="str">
        <f ca="1">IFERROR(__xludf.DUMMYFUNCTION("IF(TRIM(AU1981)="""","""",AU1981/INDEX(FILTER(AT$3:AT1981,TRIM(AT$3:AT1981)&lt;&gt;""""),ROWS(FILTER(AT$3:AT1981,TRIM(AT$3:AT1981)&lt;&gt;"""")))-1)"),"")</f>
        <v/>
      </c>
      <c r="AW1981" s="65" t="e">
        <f t="shared" ca="1" si="319"/>
        <v>#VALUE!</v>
      </c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</row>
    <row r="1982" spans="1:68" ht="19" x14ac:dyDescent="0.25">
      <c r="A1982" s="5"/>
      <c r="B1982" s="5"/>
      <c r="C1982" s="5"/>
      <c r="D1982" s="5"/>
      <c r="E1982" s="5"/>
      <c r="F1982" s="5"/>
      <c r="G1982" s="5"/>
      <c r="H1982" s="6"/>
      <c r="I1982" s="5"/>
      <c r="J1982" s="88"/>
      <c r="K1982" s="88"/>
      <c r="L1982" s="88"/>
      <c r="M1982" s="88"/>
      <c r="N1982" s="88"/>
      <c r="O1982" s="88"/>
      <c r="P1982" s="88"/>
      <c r="Q1982" s="89"/>
      <c r="R1982" s="88"/>
      <c r="S1982" s="88"/>
      <c r="T1982" s="90"/>
      <c r="U1982" s="6"/>
      <c r="V1982" s="92"/>
      <c r="W1982" s="77"/>
      <c r="X1982" s="91"/>
      <c r="Y1982" s="77"/>
      <c r="Z1982" s="5"/>
      <c r="AA1982" s="5"/>
      <c r="AB1982" s="5"/>
      <c r="AC1982" s="5"/>
      <c r="AD1982" s="5"/>
      <c r="AE1982" s="5"/>
      <c r="AF1982" s="5"/>
      <c r="AG1982" s="5"/>
      <c r="AH1982" s="6"/>
      <c r="AI1982" s="92"/>
      <c r="AJ1982" s="93"/>
      <c r="AK1982" s="94"/>
      <c r="AL1982" s="95"/>
      <c r="AM1982" s="56"/>
      <c r="AN1982" s="57">
        <f t="shared" si="318"/>
        <v>0</v>
      </c>
      <c r="AO1982" s="76">
        <f t="shared" si="320"/>
        <v>0</v>
      </c>
      <c r="AP1982" s="63" t="str">
        <f t="shared" si="321"/>
        <v/>
      </c>
      <c r="AQ1982" s="63" t="str">
        <f t="shared" si="322"/>
        <v/>
      </c>
      <c r="AR1982" s="63" t="str">
        <f t="shared" si="323"/>
        <v/>
      </c>
      <c r="AS1982" s="63" t="str">
        <f t="shared" si="324"/>
        <v/>
      </c>
      <c r="AT1982" s="78" t="str">
        <f t="shared" si="325"/>
        <v/>
      </c>
      <c r="AU1982" s="78" t="str">
        <f t="shared" si="326"/>
        <v/>
      </c>
      <c r="AV1982" s="64" t="str">
        <f ca="1">IFERROR(__xludf.DUMMYFUNCTION("IF(TRIM(AU1982)="""","""",AU1982/INDEX(FILTER(AT$3:AT1982,TRIM(AT$3:AT1982)&lt;&gt;""""),ROWS(FILTER(AT$3:AT1982,TRIM(AT$3:AT1982)&lt;&gt;"""")))-1)"),"")</f>
        <v/>
      </c>
      <c r="AW1982" s="65" t="e">
        <f t="shared" ca="1" si="319"/>
        <v>#VALUE!</v>
      </c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</row>
    <row r="1983" spans="1:68" ht="19" x14ac:dyDescent="0.25">
      <c r="A1983" s="5"/>
      <c r="B1983" s="5"/>
      <c r="C1983" s="5"/>
      <c r="D1983" s="5"/>
      <c r="E1983" s="5"/>
      <c r="F1983" s="5"/>
      <c r="G1983" s="5"/>
      <c r="H1983" s="6"/>
      <c r="I1983" s="5"/>
      <c r="J1983" s="88"/>
      <c r="K1983" s="88"/>
      <c r="L1983" s="88"/>
      <c r="M1983" s="88"/>
      <c r="N1983" s="88"/>
      <c r="O1983" s="88"/>
      <c r="P1983" s="88"/>
      <c r="Q1983" s="89"/>
      <c r="R1983" s="88"/>
      <c r="S1983" s="88"/>
      <c r="T1983" s="90"/>
      <c r="U1983" s="6"/>
      <c r="V1983" s="92"/>
      <c r="W1983" s="77"/>
      <c r="X1983" s="91"/>
      <c r="Y1983" s="77"/>
      <c r="Z1983" s="5"/>
      <c r="AA1983" s="5"/>
      <c r="AB1983" s="5"/>
      <c r="AC1983" s="5"/>
      <c r="AD1983" s="5"/>
      <c r="AE1983" s="5"/>
      <c r="AF1983" s="5"/>
      <c r="AG1983" s="5"/>
      <c r="AH1983" s="6"/>
      <c r="AI1983" s="92"/>
      <c r="AJ1983" s="93"/>
      <c r="AK1983" s="94"/>
      <c r="AL1983" s="95"/>
      <c r="AM1983" s="56"/>
      <c r="AN1983" s="57">
        <f t="shared" si="318"/>
        <v>0</v>
      </c>
      <c r="AO1983" s="76">
        <f t="shared" si="320"/>
        <v>0</v>
      </c>
      <c r="AP1983" s="63" t="str">
        <f t="shared" si="321"/>
        <v/>
      </c>
      <c r="AQ1983" s="63" t="str">
        <f t="shared" si="322"/>
        <v/>
      </c>
      <c r="AR1983" s="63" t="str">
        <f t="shared" si="323"/>
        <v/>
      </c>
      <c r="AS1983" s="63" t="str">
        <f t="shared" si="324"/>
        <v/>
      </c>
      <c r="AT1983" s="78" t="str">
        <f t="shared" si="325"/>
        <v/>
      </c>
      <c r="AU1983" s="78" t="str">
        <f t="shared" si="326"/>
        <v/>
      </c>
      <c r="AV1983" s="64" t="str">
        <f ca="1">IFERROR(__xludf.DUMMYFUNCTION("IF(TRIM(AU1983)="""","""",AU1983/INDEX(FILTER(AT$3:AT1983,TRIM(AT$3:AT1983)&lt;&gt;""""),ROWS(FILTER(AT$3:AT1983,TRIM(AT$3:AT1983)&lt;&gt;"""")))-1)"),"")</f>
        <v/>
      </c>
      <c r="AW1983" s="65" t="e">
        <f t="shared" ca="1" si="319"/>
        <v>#VALUE!</v>
      </c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</row>
    <row r="1984" spans="1:68" ht="19" x14ac:dyDescent="0.25">
      <c r="A1984" s="5"/>
      <c r="B1984" s="5"/>
      <c r="C1984" s="5"/>
      <c r="D1984" s="5"/>
      <c r="E1984" s="5"/>
      <c r="F1984" s="5"/>
      <c r="G1984" s="5"/>
      <c r="H1984" s="6"/>
      <c r="I1984" s="5"/>
      <c r="J1984" s="88"/>
      <c r="K1984" s="88"/>
      <c r="L1984" s="88"/>
      <c r="M1984" s="88"/>
      <c r="N1984" s="88"/>
      <c r="O1984" s="88"/>
      <c r="P1984" s="88"/>
      <c r="Q1984" s="89"/>
      <c r="R1984" s="88"/>
      <c r="S1984" s="88"/>
      <c r="T1984" s="90"/>
      <c r="U1984" s="6"/>
      <c r="V1984" s="92"/>
      <c r="W1984" s="77"/>
      <c r="X1984" s="91"/>
      <c r="Y1984" s="77"/>
      <c r="Z1984" s="5"/>
      <c r="AA1984" s="5"/>
      <c r="AB1984" s="5"/>
      <c r="AC1984" s="5"/>
      <c r="AD1984" s="5"/>
      <c r="AE1984" s="5"/>
      <c r="AF1984" s="5"/>
      <c r="AG1984" s="5"/>
      <c r="AH1984" s="6"/>
      <c r="AI1984" s="92"/>
      <c r="AJ1984" s="93"/>
      <c r="AK1984" s="94"/>
      <c r="AL1984" s="95"/>
      <c r="AM1984" s="56"/>
      <c r="AN1984" s="57">
        <f t="shared" si="318"/>
        <v>0</v>
      </c>
      <c r="AO1984" s="76">
        <f t="shared" si="320"/>
        <v>0</v>
      </c>
      <c r="AP1984" s="63" t="str">
        <f t="shared" si="321"/>
        <v/>
      </c>
      <c r="AQ1984" s="63" t="str">
        <f t="shared" si="322"/>
        <v/>
      </c>
      <c r="AR1984" s="63" t="str">
        <f t="shared" si="323"/>
        <v/>
      </c>
      <c r="AS1984" s="63" t="str">
        <f t="shared" si="324"/>
        <v/>
      </c>
      <c r="AT1984" s="78" t="str">
        <f t="shared" si="325"/>
        <v/>
      </c>
      <c r="AU1984" s="78" t="str">
        <f t="shared" si="326"/>
        <v/>
      </c>
      <c r="AV1984" s="64" t="str">
        <f ca="1">IFERROR(__xludf.DUMMYFUNCTION("IF(TRIM(AU1984)="""","""",AU1984/INDEX(FILTER(AT$3:AT1984,TRIM(AT$3:AT1984)&lt;&gt;""""),ROWS(FILTER(AT$3:AT1984,TRIM(AT$3:AT1984)&lt;&gt;"""")))-1)"),"")</f>
        <v/>
      </c>
      <c r="AW1984" s="65" t="e">
        <f t="shared" ca="1" si="319"/>
        <v>#VALUE!</v>
      </c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</row>
    <row r="1985" spans="1:68" ht="19" x14ac:dyDescent="0.25">
      <c r="A1985" s="5"/>
      <c r="B1985" s="5"/>
      <c r="C1985" s="5"/>
      <c r="D1985" s="5"/>
      <c r="E1985" s="5"/>
      <c r="F1985" s="5"/>
      <c r="G1985" s="5"/>
      <c r="H1985" s="6"/>
      <c r="I1985" s="5"/>
      <c r="J1985" s="88"/>
      <c r="K1985" s="88"/>
      <c r="L1985" s="88"/>
      <c r="M1985" s="88"/>
      <c r="N1985" s="88"/>
      <c r="O1985" s="88"/>
      <c r="P1985" s="88"/>
      <c r="Q1985" s="89"/>
      <c r="R1985" s="88"/>
      <c r="S1985" s="88"/>
      <c r="T1985" s="90"/>
      <c r="U1985" s="6"/>
      <c r="V1985" s="92"/>
      <c r="W1985" s="77"/>
      <c r="X1985" s="91"/>
      <c r="Y1985" s="77"/>
      <c r="Z1985" s="5"/>
      <c r="AA1985" s="5"/>
      <c r="AB1985" s="5"/>
      <c r="AC1985" s="5"/>
      <c r="AD1985" s="5"/>
      <c r="AE1985" s="5"/>
      <c r="AF1985" s="5"/>
      <c r="AG1985" s="5"/>
      <c r="AH1985" s="6"/>
      <c r="AI1985" s="92"/>
      <c r="AJ1985" s="93"/>
      <c r="AK1985" s="94"/>
      <c r="AL1985" s="95"/>
      <c r="AM1985" s="56"/>
      <c r="AN1985" s="57">
        <f t="shared" si="318"/>
        <v>0</v>
      </c>
      <c r="AO1985" s="76">
        <f t="shared" si="320"/>
        <v>0</v>
      </c>
      <c r="AP1985" s="63" t="str">
        <f t="shared" si="321"/>
        <v/>
      </c>
      <c r="AQ1985" s="63" t="str">
        <f t="shared" si="322"/>
        <v/>
      </c>
      <c r="AR1985" s="63" t="str">
        <f t="shared" si="323"/>
        <v/>
      </c>
      <c r="AS1985" s="63" t="str">
        <f t="shared" si="324"/>
        <v/>
      </c>
      <c r="AT1985" s="78" t="str">
        <f t="shared" si="325"/>
        <v/>
      </c>
      <c r="AU1985" s="78" t="str">
        <f t="shared" si="326"/>
        <v/>
      </c>
      <c r="AV1985" s="64" t="str">
        <f ca="1">IFERROR(__xludf.DUMMYFUNCTION("IF(TRIM(AU1985)="""","""",AU1985/INDEX(FILTER(AT$3:AT1985,TRIM(AT$3:AT1985)&lt;&gt;""""),ROWS(FILTER(AT$3:AT1985,TRIM(AT$3:AT1985)&lt;&gt;"""")))-1)"),"")</f>
        <v/>
      </c>
      <c r="AW1985" s="65" t="e">
        <f t="shared" ca="1" si="319"/>
        <v>#VALUE!</v>
      </c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</row>
    <row r="1986" spans="1:68" ht="19" x14ac:dyDescent="0.25">
      <c r="A1986" s="5"/>
      <c r="B1986" s="5"/>
      <c r="C1986" s="5"/>
      <c r="D1986" s="5"/>
      <c r="E1986" s="5"/>
      <c r="F1986" s="5"/>
      <c r="G1986" s="5"/>
      <c r="H1986" s="6"/>
      <c r="I1986" s="5"/>
      <c r="J1986" s="88"/>
      <c r="K1986" s="88"/>
      <c r="L1986" s="88"/>
      <c r="M1986" s="88"/>
      <c r="N1986" s="88"/>
      <c r="O1986" s="88"/>
      <c r="P1986" s="88"/>
      <c r="Q1986" s="89"/>
      <c r="R1986" s="88"/>
      <c r="S1986" s="88"/>
      <c r="T1986" s="90"/>
      <c r="U1986" s="6"/>
      <c r="V1986" s="92"/>
      <c r="W1986" s="77"/>
      <c r="X1986" s="91"/>
      <c r="Y1986" s="77"/>
      <c r="Z1986" s="5"/>
      <c r="AA1986" s="5"/>
      <c r="AB1986" s="5"/>
      <c r="AC1986" s="5"/>
      <c r="AD1986" s="5"/>
      <c r="AE1986" s="5"/>
      <c r="AF1986" s="5"/>
      <c r="AG1986" s="5"/>
      <c r="AH1986" s="6"/>
      <c r="AI1986" s="92"/>
      <c r="AJ1986" s="93"/>
      <c r="AK1986" s="94"/>
      <c r="AL1986" s="95"/>
      <c r="AM1986" s="56"/>
      <c r="AN1986" s="57">
        <f t="shared" si="318"/>
        <v>0</v>
      </c>
      <c r="AO1986" s="76">
        <f t="shared" si="320"/>
        <v>0</v>
      </c>
      <c r="AP1986" s="63" t="str">
        <f t="shared" si="321"/>
        <v/>
      </c>
      <c r="AQ1986" s="63" t="str">
        <f t="shared" si="322"/>
        <v/>
      </c>
      <c r="AR1986" s="63" t="str">
        <f t="shared" si="323"/>
        <v/>
      </c>
      <c r="AS1986" s="63" t="str">
        <f t="shared" si="324"/>
        <v/>
      </c>
      <c r="AT1986" s="78" t="str">
        <f t="shared" si="325"/>
        <v/>
      </c>
      <c r="AU1986" s="78" t="str">
        <f t="shared" si="326"/>
        <v/>
      </c>
      <c r="AV1986" s="64" t="str">
        <f ca="1">IFERROR(__xludf.DUMMYFUNCTION("IF(TRIM(AU1986)="""","""",AU1986/INDEX(FILTER(AT$3:AT1986,TRIM(AT$3:AT1986)&lt;&gt;""""),ROWS(FILTER(AT$3:AT1986,TRIM(AT$3:AT1986)&lt;&gt;"""")))-1)"),"")</f>
        <v/>
      </c>
      <c r="AW1986" s="65" t="e">
        <f t="shared" ca="1" si="319"/>
        <v>#VALUE!</v>
      </c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</row>
    <row r="1987" spans="1:68" ht="19" x14ac:dyDescent="0.25">
      <c r="A1987" s="5"/>
      <c r="B1987" s="5"/>
      <c r="C1987" s="5"/>
      <c r="D1987" s="5"/>
      <c r="E1987" s="5"/>
      <c r="F1987" s="5"/>
      <c r="G1987" s="5"/>
      <c r="H1987" s="6"/>
      <c r="I1987" s="5"/>
      <c r="J1987" s="88"/>
      <c r="K1987" s="88"/>
      <c r="L1987" s="88"/>
      <c r="M1987" s="88"/>
      <c r="N1987" s="88"/>
      <c r="O1987" s="88"/>
      <c r="P1987" s="88"/>
      <c r="Q1987" s="89"/>
      <c r="R1987" s="88"/>
      <c r="S1987" s="88"/>
      <c r="T1987" s="90"/>
      <c r="U1987" s="6"/>
      <c r="V1987" s="92"/>
      <c r="W1987" s="77"/>
      <c r="X1987" s="91"/>
      <c r="Y1987" s="77"/>
      <c r="Z1987" s="5"/>
      <c r="AA1987" s="5"/>
      <c r="AB1987" s="5"/>
      <c r="AC1987" s="5"/>
      <c r="AD1987" s="5"/>
      <c r="AE1987" s="5"/>
      <c r="AF1987" s="5"/>
      <c r="AG1987" s="5"/>
      <c r="AH1987" s="6"/>
      <c r="AI1987" s="92"/>
      <c r="AJ1987" s="93"/>
      <c r="AK1987" s="94"/>
      <c r="AL1987" s="95"/>
      <c r="AM1987" s="56"/>
      <c r="AN1987" s="57">
        <f t="shared" ref="AN1987:AN2050" si="327">AM1987-AL1987</f>
        <v>0</v>
      </c>
      <c r="AO1987" s="76">
        <f t="shared" si="320"/>
        <v>0</v>
      </c>
      <c r="AP1987" s="63" t="str">
        <f t="shared" si="321"/>
        <v/>
      </c>
      <c r="AQ1987" s="63" t="str">
        <f t="shared" si="322"/>
        <v/>
      </c>
      <c r="AR1987" s="63" t="str">
        <f t="shared" si="323"/>
        <v/>
      </c>
      <c r="AS1987" s="63" t="str">
        <f t="shared" si="324"/>
        <v/>
      </c>
      <c r="AT1987" s="78" t="str">
        <f t="shared" si="325"/>
        <v/>
      </c>
      <c r="AU1987" s="78" t="str">
        <f t="shared" si="326"/>
        <v/>
      </c>
      <c r="AV1987" s="64" t="str">
        <f ca="1">IFERROR(__xludf.DUMMYFUNCTION("IF(TRIM(AU1987)="""","""",AU1987/INDEX(FILTER(AT$3:AT1987,TRIM(AT$3:AT1987)&lt;&gt;""""),ROWS(FILTER(AT$3:AT1987,TRIM(AT$3:AT1987)&lt;&gt;"""")))-1)"),"")</f>
        <v/>
      </c>
      <c r="AW1987" s="65" t="e">
        <f t="shared" ref="AW1987:AW2050" ca="1" si="328">AW1986*(1+AV1987)</f>
        <v>#VALUE!</v>
      </c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</row>
    <row r="1988" spans="1:68" ht="19" x14ac:dyDescent="0.25">
      <c r="A1988" s="5"/>
      <c r="B1988" s="5"/>
      <c r="C1988" s="5"/>
      <c r="D1988" s="5"/>
      <c r="E1988" s="5"/>
      <c r="F1988" s="5"/>
      <c r="G1988" s="5"/>
      <c r="H1988" s="6"/>
      <c r="I1988" s="5"/>
      <c r="J1988" s="88"/>
      <c r="K1988" s="88"/>
      <c r="L1988" s="88"/>
      <c r="M1988" s="88"/>
      <c r="N1988" s="88"/>
      <c r="O1988" s="88"/>
      <c r="P1988" s="88"/>
      <c r="Q1988" s="89"/>
      <c r="R1988" s="88"/>
      <c r="S1988" s="88"/>
      <c r="T1988" s="90"/>
      <c r="U1988" s="6"/>
      <c r="V1988" s="92"/>
      <c r="W1988" s="77"/>
      <c r="X1988" s="91"/>
      <c r="Y1988" s="77"/>
      <c r="Z1988" s="5"/>
      <c r="AA1988" s="5"/>
      <c r="AB1988" s="5"/>
      <c r="AC1988" s="5"/>
      <c r="AD1988" s="5"/>
      <c r="AE1988" s="5"/>
      <c r="AF1988" s="5"/>
      <c r="AG1988" s="5"/>
      <c r="AH1988" s="6"/>
      <c r="AI1988" s="92"/>
      <c r="AJ1988" s="93"/>
      <c r="AK1988" s="94"/>
      <c r="AL1988" s="95"/>
      <c r="AM1988" s="56"/>
      <c r="AN1988" s="57">
        <f t="shared" si="327"/>
        <v>0</v>
      </c>
      <c r="AO1988" s="76">
        <f t="shared" si="320"/>
        <v>0</v>
      </c>
      <c r="AP1988" s="63" t="str">
        <f t="shared" si="321"/>
        <v/>
      </c>
      <c r="AQ1988" s="63" t="str">
        <f t="shared" si="322"/>
        <v/>
      </c>
      <c r="AR1988" s="63" t="str">
        <f t="shared" si="323"/>
        <v/>
      </c>
      <c r="AS1988" s="63" t="str">
        <f t="shared" si="324"/>
        <v/>
      </c>
      <c r="AT1988" s="78" t="str">
        <f t="shared" si="325"/>
        <v/>
      </c>
      <c r="AU1988" s="78" t="str">
        <f t="shared" si="326"/>
        <v/>
      </c>
      <c r="AV1988" s="64" t="str">
        <f ca="1">IFERROR(__xludf.DUMMYFUNCTION("IF(TRIM(AU1988)="""","""",AU1988/INDEX(FILTER(AT$3:AT1988,TRIM(AT$3:AT1988)&lt;&gt;""""),ROWS(FILTER(AT$3:AT1988,TRIM(AT$3:AT1988)&lt;&gt;"""")))-1)"),"")</f>
        <v/>
      </c>
      <c r="AW1988" s="65" t="e">
        <f t="shared" ca="1" si="328"/>
        <v>#VALUE!</v>
      </c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</row>
    <row r="1989" spans="1:68" ht="19" x14ac:dyDescent="0.25">
      <c r="A1989" s="5"/>
      <c r="B1989" s="5"/>
      <c r="C1989" s="5"/>
      <c r="D1989" s="5"/>
      <c r="E1989" s="5"/>
      <c r="F1989" s="5"/>
      <c r="G1989" s="5"/>
      <c r="H1989" s="6"/>
      <c r="I1989" s="5"/>
      <c r="J1989" s="88"/>
      <c r="K1989" s="88"/>
      <c r="L1989" s="88"/>
      <c r="M1989" s="88"/>
      <c r="N1989" s="88"/>
      <c r="O1989" s="88"/>
      <c r="P1989" s="88"/>
      <c r="Q1989" s="89"/>
      <c r="R1989" s="88"/>
      <c r="S1989" s="88"/>
      <c r="T1989" s="90"/>
      <c r="U1989" s="6"/>
      <c r="V1989" s="92"/>
      <c r="W1989" s="77"/>
      <c r="X1989" s="91"/>
      <c r="Y1989" s="77"/>
      <c r="Z1989" s="5"/>
      <c r="AA1989" s="5"/>
      <c r="AB1989" s="5"/>
      <c r="AC1989" s="5"/>
      <c r="AD1989" s="5"/>
      <c r="AE1989" s="5"/>
      <c r="AF1989" s="5"/>
      <c r="AG1989" s="5"/>
      <c r="AH1989" s="6"/>
      <c r="AI1989" s="92"/>
      <c r="AJ1989" s="93"/>
      <c r="AK1989" s="94"/>
      <c r="AL1989" s="95"/>
      <c r="AM1989" s="56"/>
      <c r="AN1989" s="57">
        <f t="shared" si="327"/>
        <v>0</v>
      </c>
      <c r="AO1989" s="76">
        <f t="shared" si="320"/>
        <v>0</v>
      </c>
      <c r="AP1989" s="63" t="str">
        <f t="shared" si="321"/>
        <v/>
      </c>
      <c r="AQ1989" s="63" t="str">
        <f t="shared" si="322"/>
        <v/>
      </c>
      <c r="AR1989" s="63" t="str">
        <f t="shared" si="323"/>
        <v/>
      </c>
      <c r="AS1989" s="63" t="str">
        <f t="shared" si="324"/>
        <v/>
      </c>
      <c r="AT1989" s="78" t="str">
        <f t="shared" si="325"/>
        <v/>
      </c>
      <c r="AU1989" s="78" t="str">
        <f t="shared" si="326"/>
        <v/>
      </c>
      <c r="AV1989" s="64" t="str">
        <f ca="1">IFERROR(__xludf.DUMMYFUNCTION("IF(TRIM(AU1989)="""","""",AU1989/INDEX(FILTER(AT$3:AT1989,TRIM(AT$3:AT1989)&lt;&gt;""""),ROWS(FILTER(AT$3:AT1989,TRIM(AT$3:AT1989)&lt;&gt;"""")))-1)"),"")</f>
        <v/>
      </c>
      <c r="AW1989" s="65" t="e">
        <f t="shared" ca="1" si="328"/>
        <v>#VALUE!</v>
      </c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</row>
    <row r="1990" spans="1:68" ht="19" x14ac:dyDescent="0.25">
      <c r="A1990" s="5"/>
      <c r="B1990" s="5"/>
      <c r="C1990" s="5"/>
      <c r="D1990" s="5"/>
      <c r="E1990" s="5"/>
      <c r="F1990" s="5"/>
      <c r="G1990" s="5"/>
      <c r="H1990" s="6"/>
      <c r="I1990" s="5"/>
      <c r="J1990" s="88"/>
      <c r="K1990" s="88"/>
      <c r="L1990" s="88"/>
      <c r="M1990" s="88"/>
      <c r="N1990" s="88"/>
      <c r="O1990" s="88"/>
      <c r="P1990" s="88"/>
      <c r="Q1990" s="89"/>
      <c r="R1990" s="88"/>
      <c r="S1990" s="88"/>
      <c r="T1990" s="90"/>
      <c r="U1990" s="6"/>
      <c r="V1990" s="92"/>
      <c r="W1990" s="77"/>
      <c r="X1990" s="91"/>
      <c r="Y1990" s="77"/>
      <c r="Z1990" s="5"/>
      <c r="AA1990" s="5"/>
      <c r="AB1990" s="5"/>
      <c r="AC1990" s="5"/>
      <c r="AD1990" s="5"/>
      <c r="AE1990" s="5"/>
      <c r="AF1990" s="5"/>
      <c r="AG1990" s="5"/>
      <c r="AH1990" s="6"/>
      <c r="AI1990" s="92"/>
      <c r="AJ1990" s="93"/>
      <c r="AK1990" s="94"/>
      <c r="AL1990" s="95"/>
      <c r="AM1990" s="56"/>
      <c r="AN1990" s="57">
        <f t="shared" si="327"/>
        <v>0</v>
      </c>
      <c r="AO1990" s="76">
        <f t="shared" si="320"/>
        <v>0</v>
      </c>
      <c r="AP1990" s="63" t="str">
        <f t="shared" si="321"/>
        <v/>
      </c>
      <c r="AQ1990" s="63" t="str">
        <f t="shared" si="322"/>
        <v/>
      </c>
      <c r="AR1990" s="63" t="str">
        <f t="shared" si="323"/>
        <v/>
      </c>
      <c r="AS1990" s="63" t="str">
        <f t="shared" si="324"/>
        <v/>
      </c>
      <c r="AT1990" s="78" t="str">
        <f t="shared" si="325"/>
        <v/>
      </c>
      <c r="AU1990" s="78" t="str">
        <f t="shared" si="326"/>
        <v/>
      </c>
      <c r="AV1990" s="64" t="str">
        <f ca="1">IFERROR(__xludf.DUMMYFUNCTION("IF(TRIM(AU1990)="""","""",AU1990/INDEX(FILTER(AT$3:AT1990,TRIM(AT$3:AT1990)&lt;&gt;""""),ROWS(FILTER(AT$3:AT1990,TRIM(AT$3:AT1990)&lt;&gt;"""")))-1)"),"")</f>
        <v/>
      </c>
      <c r="AW1990" s="65" t="e">
        <f t="shared" ca="1" si="328"/>
        <v>#VALUE!</v>
      </c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</row>
    <row r="1991" spans="1:68" ht="19" x14ac:dyDescent="0.25">
      <c r="A1991" s="5"/>
      <c r="B1991" s="5"/>
      <c r="C1991" s="5"/>
      <c r="D1991" s="5"/>
      <c r="E1991" s="5"/>
      <c r="F1991" s="5"/>
      <c r="G1991" s="5"/>
      <c r="H1991" s="6"/>
      <c r="I1991" s="5"/>
      <c r="J1991" s="88"/>
      <c r="K1991" s="88"/>
      <c r="L1991" s="88"/>
      <c r="M1991" s="88"/>
      <c r="N1991" s="88"/>
      <c r="O1991" s="88"/>
      <c r="P1991" s="88"/>
      <c r="Q1991" s="89"/>
      <c r="R1991" s="88"/>
      <c r="S1991" s="88"/>
      <c r="T1991" s="90"/>
      <c r="U1991" s="6"/>
      <c r="V1991" s="92"/>
      <c r="W1991" s="77"/>
      <c r="X1991" s="91"/>
      <c r="Y1991" s="77"/>
      <c r="Z1991" s="5"/>
      <c r="AA1991" s="5"/>
      <c r="AB1991" s="5"/>
      <c r="AC1991" s="5"/>
      <c r="AD1991" s="5"/>
      <c r="AE1991" s="5"/>
      <c r="AF1991" s="5"/>
      <c r="AG1991" s="5"/>
      <c r="AH1991" s="6"/>
      <c r="AI1991" s="92"/>
      <c r="AJ1991" s="93"/>
      <c r="AK1991" s="94"/>
      <c r="AL1991" s="95"/>
      <c r="AM1991" s="56"/>
      <c r="AN1991" s="57">
        <f t="shared" si="327"/>
        <v>0</v>
      </c>
      <c r="AO1991" s="76">
        <f t="shared" ref="AO1991:AO2054" si="329">AVERAGE(AN1987:AN1991)</f>
        <v>0</v>
      </c>
      <c r="AP1991" s="63" t="str">
        <f t="shared" ref="AP1991:AP2054" si="330">IF(AO1991&gt;0,"Buy Stocks","")</f>
        <v/>
      </c>
      <c r="AQ1991" s="63" t="str">
        <f t="shared" ref="AQ1991:AQ2054" si="331">IF(AO1991&lt;0,"Sell Stocks","")</f>
        <v/>
      </c>
      <c r="AR1991" s="63" t="str">
        <f t="shared" ref="AR1991:AR2054" si="332">IF(AND(AP1991="Buy Stocks",AP1990=""),"Buy Stocks","")</f>
        <v/>
      </c>
      <c r="AS1991" s="63" t="str">
        <f t="shared" ref="AS1991:AS2054" si="333">IF(AND(AQ1991="Sell Stocks",AQ1990=""),"Sell Stocks","")</f>
        <v/>
      </c>
      <c r="AT1991" s="78" t="str">
        <f t="shared" ref="AT1991:AT2054" si="334">IF(AR1991="Buy Stocks",AJ1991,"")</f>
        <v/>
      </c>
      <c r="AU1991" s="78" t="str">
        <f t="shared" ref="AU1991:AU2054" si="335">IF(AS1991="Sell Stocks",AJ1991,"")</f>
        <v/>
      </c>
      <c r="AV1991" s="64" t="str">
        <f ca="1">IFERROR(__xludf.DUMMYFUNCTION("IF(TRIM(AU1991)="""","""",AU1991/INDEX(FILTER(AT$3:AT1991,TRIM(AT$3:AT1991)&lt;&gt;""""),ROWS(FILTER(AT$3:AT1991,TRIM(AT$3:AT1991)&lt;&gt;"""")))-1)"),"")</f>
        <v/>
      </c>
      <c r="AW1991" s="65" t="e">
        <f t="shared" ca="1" si="328"/>
        <v>#VALUE!</v>
      </c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</row>
    <row r="1992" spans="1:68" ht="19" x14ac:dyDescent="0.25">
      <c r="A1992" s="5"/>
      <c r="B1992" s="5"/>
      <c r="C1992" s="5"/>
      <c r="D1992" s="5"/>
      <c r="E1992" s="5"/>
      <c r="F1992" s="5"/>
      <c r="G1992" s="5"/>
      <c r="H1992" s="6"/>
      <c r="I1992" s="5"/>
      <c r="J1992" s="88"/>
      <c r="K1992" s="88"/>
      <c r="L1992" s="88"/>
      <c r="M1992" s="88"/>
      <c r="N1992" s="88"/>
      <c r="O1992" s="88"/>
      <c r="P1992" s="88"/>
      <c r="Q1992" s="89"/>
      <c r="R1992" s="88"/>
      <c r="S1992" s="88"/>
      <c r="T1992" s="90"/>
      <c r="U1992" s="6"/>
      <c r="V1992" s="92"/>
      <c r="W1992" s="77"/>
      <c r="X1992" s="91"/>
      <c r="Y1992" s="77"/>
      <c r="Z1992" s="5"/>
      <c r="AA1992" s="5"/>
      <c r="AB1992" s="5"/>
      <c r="AC1992" s="5"/>
      <c r="AD1992" s="5"/>
      <c r="AE1992" s="5"/>
      <c r="AF1992" s="5"/>
      <c r="AG1992" s="5"/>
      <c r="AH1992" s="6"/>
      <c r="AI1992" s="92"/>
      <c r="AJ1992" s="93"/>
      <c r="AK1992" s="94"/>
      <c r="AL1992" s="95"/>
      <c r="AM1992" s="56"/>
      <c r="AN1992" s="57">
        <f t="shared" si="327"/>
        <v>0</v>
      </c>
      <c r="AO1992" s="76">
        <f t="shared" si="329"/>
        <v>0</v>
      </c>
      <c r="AP1992" s="63" t="str">
        <f t="shared" si="330"/>
        <v/>
      </c>
      <c r="AQ1992" s="63" t="str">
        <f t="shared" si="331"/>
        <v/>
      </c>
      <c r="AR1992" s="63" t="str">
        <f t="shared" si="332"/>
        <v/>
      </c>
      <c r="AS1992" s="63" t="str">
        <f t="shared" si="333"/>
        <v/>
      </c>
      <c r="AT1992" s="78" t="str">
        <f t="shared" si="334"/>
        <v/>
      </c>
      <c r="AU1992" s="78" t="str">
        <f t="shared" si="335"/>
        <v/>
      </c>
      <c r="AV1992" s="64" t="str">
        <f ca="1">IFERROR(__xludf.DUMMYFUNCTION("IF(TRIM(AU1992)="""","""",AU1992/INDEX(FILTER(AT$3:AT1992,TRIM(AT$3:AT1992)&lt;&gt;""""),ROWS(FILTER(AT$3:AT1992,TRIM(AT$3:AT1992)&lt;&gt;"""")))-1)"),"")</f>
        <v/>
      </c>
      <c r="AW1992" s="65" t="e">
        <f t="shared" ca="1" si="328"/>
        <v>#VALUE!</v>
      </c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</row>
    <row r="1993" spans="1:68" ht="19" x14ac:dyDescent="0.25">
      <c r="A1993" s="5"/>
      <c r="B1993" s="5"/>
      <c r="C1993" s="5"/>
      <c r="D1993" s="5"/>
      <c r="E1993" s="5"/>
      <c r="F1993" s="5"/>
      <c r="G1993" s="5"/>
      <c r="H1993" s="6"/>
      <c r="I1993" s="5"/>
      <c r="J1993" s="88"/>
      <c r="K1993" s="88"/>
      <c r="L1993" s="88"/>
      <c r="M1993" s="88"/>
      <c r="N1993" s="88"/>
      <c r="O1993" s="88"/>
      <c r="P1993" s="88"/>
      <c r="Q1993" s="89"/>
      <c r="R1993" s="88"/>
      <c r="S1993" s="88"/>
      <c r="T1993" s="90"/>
      <c r="U1993" s="6"/>
      <c r="V1993" s="92"/>
      <c r="W1993" s="77"/>
      <c r="X1993" s="91"/>
      <c r="Y1993" s="77"/>
      <c r="Z1993" s="5"/>
      <c r="AA1993" s="5"/>
      <c r="AB1993" s="5"/>
      <c r="AC1993" s="5"/>
      <c r="AD1993" s="5"/>
      <c r="AE1993" s="5"/>
      <c r="AF1993" s="5"/>
      <c r="AG1993" s="5"/>
      <c r="AH1993" s="6"/>
      <c r="AI1993" s="92"/>
      <c r="AJ1993" s="93"/>
      <c r="AK1993" s="94"/>
      <c r="AL1993" s="95"/>
      <c r="AM1993" s="56"/>
      <c r="AN1993" s="57">
        <f t="shared" si="327"/>
        <v>0</v>
      </c>
      <c r="AO1993" s="76">
        <f t="shared" si="329"/>
        <v>0</v>
      </c>
      <c r="AP1993" s="63" t="str">
        <f t="shared" si="330"/>
        <v/>
      </c>
      <c r="AQ1993" s="63" t="str">
        <f t="shared" si="331"/>
        <v/>
      </c>
      <c r="AR1993" s="63" t="str">
        <f t="shared" si="332"/>
        <v/>
      </c>
      <c r="AS1993" s="63" t="str">
        <f t="shared" si="333"/>
        <v/>
      </c>
      <c r="AT1993" s="78" t="str">
        <f t="shared" si="334"/>
        <v/>
      </c>
      <c r="AU1993" s="78" t="str">
        <f t="shared" si="335"/>
        <v/>
      </c>
      <c r="AV1993" s="64" t="str">
        <f ca="1">IFERROR(__xludf.DUMMYFUNCTION("IF(TRIM(AU1993)="""","""",AU1993/INDEX(FILTER(AT$3:AT1993,TRIM(AT$3:AT1993)&lt;&gt;""""),ROWS(FILTER(AT$3:AT1993,TRIM(AT$3:AT1993)&lt;&gt;"""")))-1)"),"")</f>
        <v/>
      </c>
      <c r="AW1993" s="65" t="e">
        <f t="shared" ca="1" si="328"/>
        <v>#VALUE!</v>
      </c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</row>
    <row r="1994" spans="1:68" ht="19" x14ac:dyDescent="0.25">
      <c r="A1994" s="5"/>
      <c r="B1994" s="5"/>
      <c r="C1994" s="5"/>
      <c r="D1994" s="5"/>
      <c r="E1994" s="5"/>
      <c r="F1994" s="5"/>
      <c r="G1994" s="5"/>
      <c r="H1994" s="6"/>
      <c r="I1994" s="5"/>
      <c r="J1994" s="88"/>
      <c r="K1994" s="88"/>
      <c r="L1994" s="88"/>
      <c r="M1994" s="88"/>
      <c r="N1994" s="88"/>
      <c r="O1994" s="88"/>
      <c r="P1994" s="88"/>
      <c r="Q1994" s="89"/>
      <c r="R1994" s="88"/>
      <c r="S1994" s="88"/>
      <c r="T1994" s="90"/>
      <c r="U1994" s="6"/>
      <c r="V1994" s="92"/>
      <c r="W1994" s="77"/>
      <c r="X1994" s="91"/>
      <c r="Y1994" s="77"/>
      <c r="Z1994" s="5"/>
      <c r="AA1994" s="5"/>
      <c r="AB1994" s="5"/>
      <c r="AC1994" s="5"/>
      <c r="AD1994" s="5"/>
      <c r="AE1994" s="5"/>
      <c r="AF1994" s="5"/>
      <c r="AG1994" s="5"/>
      <c r="AH1994" s="6"/>
      <c r="AI1994" s="92"/>
      <c r="AJ1994" s="93"/>
      <c r="AK1994" s="94"/>
      <c r="AL1994" s="95"/>
      <c r="AM1994" s="56"/>
      <c r="AN1994" s="57">
        <f t="shared" si="327"/>
        <v>0</v>
      </c>
      <c r="AO1994" s="76">
        <f t="shared" si="329"/>
        <v>0</v>
      </c>
      <c r="AP1994" s="63" t="str">
        <f t="shared" si="330"/>
        <v/>
      </c>
      <c r="AQ1994" s="63" t="str">
        <f t="shared" si="331"/>
        <v/>
      </c>
      <c r="AR1994" s="63" t="str">
        <f t="shared" si="332"/>
        <v/>
      </c>
      <c r="AS1994" s="63" t="str">
        <f t="shared" si="333"/>
        <v/>
      </c>
      <c r="AT1994" s="78" t="str">
        <f t="shared" si="334"/>
        <v/>
      </c>
      <c r="AU1994" s="78" t="str">
        <f t="shared" si="335"/>
        <v/>
      </c>
      <c r="AV1994" s="64" t="str">
        <f ca="1">IFERROR(__xludf.DUMMYFUNCTION("IF(TRIM(AU1994)="""","""",AU1994/INDEX(FILTER(AT$3:AT1994,TRIM(AT$3:AT1994)&lt;&gt;""""),ROWS(FILTER(AT$3:AT1994,TRIM(AT$3:AT1994)&lt;&gt;"""")))-1)"),"")</f>
        <v/>
      </c>
      <c r="AW1994" s="65" t="e">
        <f t="shared" ca="1" si="328"/>
        <v>#VALUE!</v>
      </c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</row>
    <row r="1995" spans="1:68" ht="19" x14ac:dyDescent="0.25">
      <c r="A1995" s="5"/>
      <c r="B1995" s="5"/>
      <c r="C1995" s="5"/>
      <c r="D1995" s="5"/>
      <c r="E1995" s="5"/>
      <c r="F1995" s="5"/>
      <c r="G1995" s="5"/>
      <c r="H1995" s="6"/>
      <c r="I1995" s="5"/>
      <c r="J1995" s="88"/>
      <c r="K1995" s="88"/>
      <c r="L1995" s="88"/>
      <c r="M1995" s="88"/>
      <c r="N1995" s="88"/>
      <c r="O1995" s="88"/>
      <c r="P1995" s="88"/>
      <c r="Q1995" s="89"/>
      <c r="R1995" s="88"/>
      <c r="S1995" s="88"/>
      <c r="T1995" s="90"/>
      <c r="U1995" s="6"/>
      <c r="V1995" s="92"/>
      <c r="W1995" s="77"/>
      <c r="X1995" s="91"/>
      <c r="Y1995" s="77"/>
      <c r="Z1995" s="5"/>
      <c r="AA1995" s="5"/>
      <c r="AB1995" s="5"/>
      <c r="AC1995" s="5"/>
      <c r="AD1995" s="5"/>
      <c r="AE1995" s="5"/>
      <c r="AF1995" s="5"/>
      <c r="AG1995" s="5"/>
      <c r="AH1995" s="6"/>
      <c r="AI1995" s="92"/>
      <c r="AJ1995" s="93"/>
      <c r="AK1995" s="94"/>
      <c r="AL1995" s="95"/>
      <c r="AM1995" s="56"/>
      <c r="AN1995" s="57">
        <f t="shared" si="327"/>
        <v>0</v>
      </c>
      <c r="AO1995" s="76">
        <f t="shared" si="329"/>
        <v>0</v>
      </c>
      <c r="AP1995" s="63" t="str">
        <f t="shared" si="330"/>
        <v/>
      </c>
      <c r="AQ1995" s="63" t="str">
        <f t="shared" si="331"/>
        <v/>
      </c>
      <c r="AR1995" s="63" t="str">
        <f t="shared" si="332"/>
        <v/>
      </c>
      <c r="AS1995" s="63" t="str">
        <f t="shared" si="333"/>
        <v/>
      </c>
      <c r="AT1995" s="78" t="str">
        <f t="shared" si="334"/>
        <v/>
      </c>
      <c r="AU1995" s="78" t="str">
        <f t="shared" si="335"/>
        <v/>
      </c>
      <c r="AV1995" s="64" t="str">
        <f ca="1">IFERROR(__xludf.DUMMYFUNCTION("IF(TRIM(AU1995)="""","""",AU1995/INDEX(FILTER(AT$3:AT1995,TRIM(AT$3:AT1995)&lt;&gt;""""),ROWS(FILTER(AT$3:AT1995,TRIM(AT$3:AT1995)&lt;&gt;"""")))-1)"),"")</f>
        <v/>
      </c>
      <c r="AW1995" s="65" t="e">
        <f t="shared" ca="1" si="328"/>
        <v>#VALUE!</v>
      </c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</row>
    <row r="1996" spans="1:68" ht="19" x14ac:dyDescent="0.25">
      <c r="A1996" s="5"/>
      <c r="B1996" s="5"/>
      <c r="C1996" s="5"/>
      <c r="D1996" s="5"/>
      <c r="E1996" s="5"/>
      <c r="F1996" s="5"/>
      <c r="G1996" s="5"/>
      <c r="H1996" s="6"/>
      <c r="I1996" s="5"/>
      <c r="J1996" s="88"/>
      <c r="K1996" s="88"/>
      <c r="L1996" s="88"/>
      <c r="M1996" s="88"/>
      <c r="N1996" s="88"/>
      <c r="O1996" s="88"/>
      <c r="P1996" s="88"/>
      <c r="Q1996" s="89"/>
      <c r="R1996" s="88"/>
      <c r="S1996" s="88"/>
      <c r="T1996" s="90"/>
      <c r="U1996" s="6"/>
      <c r="V1996" s="92"/>
      <c r="W1996" s="77"/>
      <c r="X1996" s="91"/>
      <c r="Y1996" s="77"/>
      <c r="Z1996" s="5"/>
      <c r="AA1996" s="5"/>
      <c r="AB1996" s="5"/>
      <c r="AC1996" s="5"/>
      <c r="AD1996" s="5"/>
      <c r="AE1996" s="5"/>
      <c r="AF1996" s="5"/>
      <c r="AG1996" s="5"/>
      <c r="AH1996" s="6"/>
      <c r="AI1996" s="92"/>
      <c r="AJ1996" s="93"/>
      <c r="AK1996" s="94"/>
      <c r="AL1996" s="95"/>
      <c r="AM1996" s="56"/>
      <c r="AN1996" s="57">
        <f t="shared" si="327"/>
        <v>0</v>
      </c>
      <c r="AO1996" s="76">
        <f t="shared" si="329"/>
        <v>0</v>
      </c>
      <c r="AP1996" s="63" t="str">
        <f t="shared" si="330"/>
        <v/>
      </c>
      <c r="AQ1996" s="63" t="str">
        <f t="shared" si="331"/>
        <v/>
      </c>
      <c r="AR1996" s="63" t="str">
        <f t="shared" si="332"/>
        <v/>
      </c>
      <c r="AS1996" s="63" t="str">
        <f t="shared" si="333"/>
        <v/>
      </c>
      <c r="AT1996" s="78" t="str">
        <f t="shared" si="334"/>
        <v/>
      </c>
      <c r="AU1996" s="78" t="str">
        <f t="shared" si="335"/>
        <v/>
      </c>
      <c r="AV1996" s="64" t="str">
        <f ca="1">IFERROR(__xludf.DUMMYFUNCTION("IF(TRIM(AU1996)="""","""",AU1996/INDEX(FILTER(AT$3:AT1996,TRIM(AT$3:AT1996)&lt;&gt;""""),ROWS(FILTER(AT$3:AT1996,TRIM(AT$3:AT1996)&lt;&gt;"""")))-1)"),"")</f>
        <v/>
      </c>
      <c r="AW1996" s="65" t="e">
        <f t="shared" ca="1" si="328"/>
        <v>#VALUE!</v>
      </c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</row>
    <row r="1997" spans="1:68" ht="19" x14ac:dyDescent="0.25">
      <c r="A1997" s="5"/>
      <c r="B1997" s="5"/>
      <c r="C1997" s="5"/>
      <c r="D1997" s="5"/>
      <c r="E1997" s="5"/>
      <c r="F1997" s="5"/>
      <c r="G1997" s="5"/>
      <c r="H1997" s="6"/>
      <c r="I1997" s="5"/>
      <c r="J1997" s="88"/>
      <c r="K1997" s="88"/>
      <c r="L1997" s="88"/>
      <c r="M1997" s="88"/>
      <c r="N1997" s="88"/>
      <c r="O1997" s="88"/>
      <c r="P1997" s="88"/>
      <c r="Q1997" s="89"/>
      <c r="R1997" s="88"/>
      <c r="S1997" s="88"/>
      <c r="T1997" s="90"/>
      <c r="U1997" s="6"/>
      <c r="V1997" s="92"/>
      <c r="W1997" s="77"/>
      <c r="X1997" s="91"/>
      <c r="Y1997" s="77"/>
      <c r="Z1997" s="5"/>
      <c r="AA1997" s="5"/>
      <c r="AB1997" s="5"/>
      <c r="AC1997" s="5"/>
      <c r="AD1997" s="5"/>
      <c r="AE1997" s="5"/>
      <c r="AF1997" s="5"/>
      <c r="AG1997" s="5"/>
      <c r="AH1997" s="6"/>
      <c r="AI1997" s="92"/>
      <c r="AJ1997" s="93"/>
      <c r="AK1997" s="94"/>
      <c r="AL1997" s="95"/>
      <c r="AM1997" s="56"/>
      <c r="AN1997" s="57">
        <f t="shared" si="327"/>
        <v>0</v>
      </c>
      <c r="AO1997" s="76">
        <f t="shared" si="329"/>
        <v>0</v>
      </c>
      <c r="AP1997" s="63" t="str">
        <f t="shared" si="330"/>
        <v/>
      </c>
      <c r="AQ1997" s="63" t="str">
        <f t="shared" si="331"/>
        <v/>
      </c>
      <c r="AR1997" s="63" t="str">
        <f t="shared" si="332"/>
        <v/>
      </c>
      <c r="AS1997" s="63" t="str">
        <f t="shared" si="333"/>
        <v/>
      </c>
      <c r="AT1997" s="78" t="str">
        <f t="shared" si="334"/>
        <v/>
      </c>
      <c r="AU1997" s="78" t="str">
        <f t="shared" si="335"/>
        <v/>
      </c>
      <c r="AV1997" s="64" t="str">
        <f ca="1">IFERROR(__xludf.DUMMYFUNCTION("IF(TRIM(AU1997)="""","""",AU1997/INDEX(FILTER(AT$3:AT1997,TRIM(AT$3:AT1997)&lt;&gt;""""),ROWS(FILTER(AT$3:AT1997,TRIM(AT$3:AT1997)&lt;&gt;"""")))-1)"),"")</f>
        <v/>
      </c>
      <c r="AW1997" s="65" t="e">
        <f t="shared" ca="1" si="328"/>
        <v>#VALUE!</v>
      </c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</row>
    <row r="1998" spans="1:68" ht="19" x14ac:dyDescent="0.25">
      <c r="A1998" s="5"/>
      <c r="B1998" s="5"/>
      <c r="C1998" s="5"/>
      <c r="D1998" s="5"/>
      <c r="E1998" s="5"/>
      <c r="F1998" s="5"/>
      <c r="G1998" s="5"/>
      <c r="H1998" s="6"/>
      <c r="I1998" s="5"/>
      <c r="J1998" s="88"/>
      <c r="K1998" s="88"/>
      <c r="L1998" s="88"/>
      <c r="M1998" s="88"/>
      <c r="N1998" s="88"/>
      <c r="O1998" s="88"/>
      <c r="P1998" s="88"/>
      <c r="Q1998" s="89"/>
      <c r="R1998" s="88"/>
      <c r="S1998" s="88"/>
      <c r="T1998" s="90"/>
      <c r="U1998" s="6"/>
      <c r="V1998" s="92"/>
      <c r="W1998" s="77"/>
      <c r="X1998" s="91"/>
      <c r="Y1998" s="77"/>
      <c r="Z1998" s="5"/>
      <c r="AA1998" s="5"/>
      <c r="AB1998" s="5"/>
      <c r="AC1998" s="5"/>
      <c r="AD1998" s="5"/>
      <c r="AE1998" s="5"/>
      <c r="AF1998" s="5"/>
      <c r="AG1998" s="5"/>
      <c r="AH1998" s="6"/>
      <c r="AI1998" s="92"/>
      <c r="AJ1998" s="93"/>
      <c r="AK1998" s="94"/>
      <c r="AL1998" s="95"/>
      <c r="AM1998" s="56"/>
      <c r="AN1998" s="57">
        <f t="shared" si="327"/>
        <v>0</v>
      </c>
      <c r="AO1998" s="76">
        <f t="shared" si="329"/>
        <v>0</v>
      </c>
      <c r="AP1998" s="63" t="str">
        <f t="shared" si="330"/>
        <v/>
      </c>
      <c r="AQ1998" s="63" t="str">
        <f t="shared" si="331"/>
        <v/>
      </c>
      <c r="AR1998" s="63" t="str">
        <f t="shared" si="332"/>
        <v/>
      </c>
      <c r="AS1998" s="63" t="str">
        <f t="shared" si="333"/>
        <v/>
      </c>
      <c r="AT1998" s="78" t="str">
        <f t="shared" si="334"/>
        <v/>
      </c>
      <c r="AU1998" s="78" t="str">
        <f t="shared" si="335"/>
        <v/>
      </c>
      <c r="AV1998" s="64" t="str">
        <f ca="1">IFERROR(__xludf.DUMMYFUNCTION("IF(TRIM(AU1998)="""","""",AU1998/INDEX(FILTER(AT$3:AT1998,TRIM(AT$3:AT1998)&lt;&gt;""""),ROWS(FILTER(AT$3:AT1998,TRIM(AT$3:AT1998)&lt;&gt;"""")))-1)"),"")</f>
        <v/>
      </c>
      <c r="AW1998" s="65" t="e">
        <f t="shared" ca="1" si="328"/>
        <v>#VALUE!</v>
      </c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</row>
    <row r="1999" spans="1:68" ht="19" x14ac:dyDescent="0.25">
      <c r="A1999" s="5"/>
      <c r="B1999" s="5"/>
      <c r="C1999" s="5"/>
      <c r="D1999" s="5"/>
      <c r="E1999" s="5"/>
      <c r="F1999" s="5"/>
      <c r="G1999" s="5"/>
      <c r="H1999" s="6"/>
      <c r="I1999" s="5"/>
      <c r="J1999" s="88"/>
      <c r="K1999" s="88"/>
      <c r="L1999" s="88"/>
      <c r="M1999" s="88"/>
      <c r="N1999" s="88"/>
      <c r="O1999" s="88"/>
      <c r="P1999" s="88"/>
      <c r="Q1999" s="89"/>
      <c r="R1999" s="88"/>
      <c r="S1999" s="88"/>
      <c r="T1999" s="90"/>
      <c r="U1999" s="6"/>
      <c r="V1999" s="92"/>
      <c r="W1999" s="77"/>
      <c r="X1999" s="91"/>
      <c r="Y1999" s="77"/>
      <c r="Z1999" s="5"/>
      <c r="AA1999" s="5"/>
      <c r="AB1999" s="5"/>
      <c r="AC1999" s="5"/>
      <c r="AD1999" s="5"/>
      <c r="AE1999" s="5"/>
      <c r="AF1999" s="5"/>
      <c r="AG1999" s="5"/>
      <c r="AH1999" s="6"/>
      <c r="AI1999" s="92"/>
      <c r="AJ1999" s="93"/>
      <c r="AK1999" s="94"/>
      <c r="AL1999" s="95"/>
      <c r="AM1999" s="56"/>
      <c r="AN1999" s="57">
        <f t="shared" si="327"/>
        <v>0</v>
      </c>
      <c r="AO1999" s="76">
        <f t="shared" si="329"/>
        <v>0</v>
      </c>
      <c r="AP1999" s="63" t="str">
        <f t="shared" si="330"/>
        <v/>
      </c>
      <c r="AQ1999" s="63" t="str">
        <f t="shared" si="331"/>
        <v/>
      </c>
      <c r="AR1999" s="63" t="str">
        <f t="shared" si="332"/>
        <v/>
      </c>
      <c r="AS1999" s="63" t="str">
        <f t="shared" si="333"/>
        <v/>
      </c>
      <c r="AT1999" s="78" t="str">
        <f t="shared" si="334"/>
        <v/>
      </c>
      <c r="AU1999" s="78" t="str">
        <f t="shared" si="335"/>
        <v/>
      </c>
      <c r="AV1999" s="64" t="str">
        <f ca="1">IFERROR(__xludf.DUMMYFUNCTION("IF(TRIM(AU1999)="""","""",AU1999/INDEX(FILTER(AT$3:AT1999,TRIM(AT$3:AT1999)&lt;&gt;""""),ROWS(FILTER(AT$3:AT1999,TRIM(AT$3:AT1999)&lt;&gt;"""")))-1)"),"")</f>
        <v/>
      </c>
      <c r="AW1999" s="65" t="e">
        <f t="shared" ca="1" si="328"/>
        <v>#VALUE!</v>
      </c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</row>
    <row r="2000" spans="1:68" ht="19" x14ac:dyDescent="0.25">
      <c r="A2000" s="5"/>
      <c r="B2000" s="5"/>
      <c r="C2000" s="5"/>
      <c r="D2000" s="5"/>
      <c r="E2000" s="5"/>
      <c r="F2000" s="5"/>
      <c r="G2000" s="5"/>
      <c r="H2000" s="6"/>
      <c r="I2000" s="5"/>
      <c r="J2000" s="88"/>
      <c r="K2000" s="88"/>
      <c r="L2000" s="88"/>
      <c r="M2000" s="88"/>
      <c r="N2000" s="88"/>
      <c r="O2000" s="88"/>
      <c r="P2000" s="88"/>
      <c r="Q2000" s="89"/>
      <c r="R2000" s="88"/>
      <c r="S2000" s="88"/>
      <c r="T2000" s="90"/>
      <c r="U2000" s="6"/>
      <c r="V2000" s="92"/>
      <c r="W2000" s="77"/>
      <c r="X2000" s="91"/>
      <c r="Y2000" s="77"/>
      <c r="Z2000" s="5"/>
      <c r="AA2000" s="5"/>
      <c r="AB2000" s="5"/>
      <c r="AC2000" s="5"/>
      <c r="AD2000" s="5"/>
      <c r="AE2000" s="5"/>
      <c r="AF2000" s="5"/>
      <c r="AG2000" s="5"/>
      <c r="AH2000" s="6"/>
      <c r="AI2000" s="92"/>
      <c r="AJ2000" s="93"/>
      <c r="AK2000" s="94"/>
      <c r="AL2000" s="95"/>
      <c r="AM2000" s="56"/>
      <c r="AN2000" s="57">
        <f t="shared" si="327"/>
        <v>0</v>
      </c>
      <c r="AO2000" s="76">
        <f t="shared" si="329"/>
        <v>0</v>
      </c>
      <c r="AP2000" s="63" t="str">
        <f t="shared" si="330"/>
        <v/>
      </c>
      <c r="AQ2000" s="63" t="str">
        <f t="shared" si="331"/>
        <v/>
      </c>
      <c r="AR2000" s="63" t="str">
        <f t="shared" si="332"/>
        <v/>
      </c>
      <c r="AS2000" s="63" t="str">
        <f t="shared" si="333"/>
        <v/>
      </c>
      <c r="AT2000" s="78" t="str">
        <f t="shared" si="334"/>
        <v/>
      </c>
      <c r="AU2000" s="78" t="str">
        <f t="shared" si="335"/>
        <v/>
      </c>
      <c r="AV2000" s="64" t="str">
        <f ca="1">IFERROR(__xludf.DUMMYFUNCTION("IF(TRIM(AU2000)="""","""",AU2000/INDEX(FILTER(AT$3:AT2000,TRIM(AT$3:AT2000)&lt;&gt;""""),ROWS(FILTER(AT$3:AT2000,TRIM(AT$3:AT2000)&lt;&gt;"""")))-1)"),"")</f>
        <v/>
      </c>
      <c r="AW2000" s="65" t="e">
        <f t="shared" ca="1" si="328"/>
        <v>#VALUE!</v>
      </c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</row>
    <row r="2001" spans="1:68" ht="19" x14ac:dyDescent="0.25">
      <c r="A2001" s="5"/>
      <c r="B2001" s="5"/>
      <c r="C2001" s="5"/>
      <c r="D2001" s="5"/>
      <c r="E2001" s="5"/>
      <c r="F2001" s="5"/>
      <c r="G2001" s="5"/>
      <c r="H2001" s="6"/>
      <c r="I2001" s="5"/>
      <c r="J2001" s="88"/>
      <c r="K2001" s="88"/>
      <c r="L2001" s="88"/>
      <c r="M2001" s="88"/>
      <c r="N2001" s="88"/>
      <c r="O2001" s="88"/>
      <c r="P2001" s="88"/>
      <c r="Q2001" s="89"/>
      <c r="R2001" s="88"/>
      <c r="S2001" s="88"/>
      <c r="T2001" s="90"/>
      <c r="U2001" s="6"/>
      <c r="V2001" s="92"/>
      <c r="W2001" s="77"/>
      <c r="X2001" s="91"/>
      <c r="Y2001" s="77"/>
      <c r="Z2001" s="5"/>
      <c r="AA2001" s="5"/>
      <c r="AB2001" s="5"/>
      <c r="AC2001" s="5"/>
      <c r="AD2001" s="5"/>
      <c r="AE2001" s="5"/>
      <c r="AF2001" s="5"/>
      <c r="AG2001" s="5"/>
      <c r="AH2001" s="6"/>
      <c r="AI2001" s="92"/>
      <c r="AJ2001" s="93"/>
      <c r="AK2001" s="94"/>
      <c r="AL2001" s="95"/>
      <c r="AM2001" s="56"/>
      <c r="AN2001" s="57">
        <f t="shared" si="327"/>
        <v>0</v>
      </c>
      <c r="AO2001" s="76">
        <f t="shared" si="329"/>
        <v>0</v>
      </c>
      <c r="AP2001" s="63" t="str">
        <f t="shared" si="330"/>
        <v/>
      </c>
      <c r="AQ2001" s="63" t="str">
        <f t="shared" si="331"/>
        <v/>
      </c>
      <c r="AR2001" s="63" t="str">
        <f t="shared" si="332"/>
        <v/>
      </c>
      <c r="AS2001" s="63" t="str">
        <f t="shared" si="333"/>
        <v/>
      </c>
      <c r="AT2001" s="78" t="str">
        <f t="shared" si="334"/>
        <v/>
      </c>
      <c r="AU2001" s="78" t="str">
        <f t="shared" si="335"/>
        <v/>
      </c>
      <c r="AV2001" s="64" t="str">
        <f ca="1">IFERROR(__xludf.DUMMYFUNCTION("IF(TRIM(AU2001)="""","""",AU2001/INDEX(FILTER(AT$3:AT2001,TRIM(AT$3:AT2001)&lt;&gt;""""),ROWS(FILTER(AT$3:AT2001,TRIM(AT$3:AT2001)&lt;&gt;"""")))-1)"),"")</f>
        <v/>
      </c>
      <c r="AW2001" s="65" t="e">
        <f t="shared" ca="1" si="328"/>
        <v>#VALUE!</v>
      </c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</row>
    <row r="2002" spans="1:68" ht="19" x14ac:dyDescent="0.25">
      <c r="A2002" s="5"/>
      <c r="B2002" s="5"/>
      <c r="C2002" s="5"/>
      <c r="D2002" s="5"/>
      <c r="E2002" s="5"/>
      <c r="F2002" s="5"/>
      <c r="G2002" s="5"/>
      <c r="H2002" s="6"/>
      <c r="I2002" s="5"/>
      <c r="J2002" s="88"/>
      <c r="K2002" s="88"/>
      <c r="L2002" s="88"/>
      <c r="M2002" s="88"/>
      <c r="N2002" s="88"/>
      <c r="O2002" s="88"/>
      <c r="P2002" s="88"/>
      <c r="Q2002" s="89"/>
      <c r="R2002" s="88"/>
      <c r="S2002" s="88"/>
      <c r="T2002" s="90"/>
      <c r="U2002" s="6"/>
      <c r="V2002" s="92"/>
      <c r="W2002" s="77"/>
      <c r="X2002" s="91"/>
      <c r="Y2002" s="77"/>
      <c r="Z2002" s="5"/>
      <c r="AA2002" s="5"/>
      <c r="AB2002" s="5"/>
      <c r="AC2002" s="5"/>
      <c r="AD2002" s="5"/>
      <c r="AE2002" s="5"/>
      <c r="AF2002" s="5"/>
      <c r="AG2002" s="5"/>
      <c r="AH2002" s="6"/>
      <c r="AI2002" s="92"/>
      <c r="AJ2002" s="93"/>
      <c r="AK2002" s="94"/>
      <c r="AL2002" s="95"/>
      <c r="AM2002" s="56"/>
      <c r="AN2002" s="57">
        <f t="shared" si="327"/>
        <v>0</v>
      </c>
      <c r="AO2002" s="76">
        <f t="shared" si="329"/>
        <v>0</v>
      </c>
      <c r="AP2002" s="63" t="str">
        <f t="shared" si="330"/>
        <v/>
      </c>
      <c r="AQ2002" s="63" t="str">
        <f t="shared" si="331"/>
        <v/>
      </c>
      <c r="AR2002" s="63" t="str">
        <f t="shared" si="332"/>
        <v/>
      </c>
      <c r="AS2002" s="63" t="str">
        <f t="shared" si="333"/>
        <v/>
      </c>
      <c r="AT2002" s="78" t="str">
        <f t="shared" si="334"/>
        <v/>
      </c>
      <c r="AU2002" s="78" t="str">
        <f t="shared" si="335"/>
        <v/>
      </c>
      <c r="AV2002" s="64" t="str">
        <f ca="1">IFERROR(__xludf.DUMMYFUNCTION("IF(TRIM(AU2002)="""","""",AU2002/INDEX(FILTER(AT$3:AT2002,TRIM(AT$3:AT2002)&lt;&gt;""""),ROWS(FILTER(AT$3:AT2002,TRIM(AT$3:AT2002)&lt;&gt;"""")))-1)"),"")</f>
        <v/>
      </c>
      <c r="AW2002" s="65" t="e">
        <f t="shared" ca="1" si="328"/>
        <v>#VALUE!</v>
      </c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</row>
    <row r="2003" spans="1:68" ht="19" x14ac:dyDescent="0.25">
      <c r="A2003" s="5"/>
      <c r="B2003" s="5"/>
      <c r="C2003" s="5"/>
      <c r="D2003" s="5"/>
      <c r="E2003" s="5"/>
      <c r="F2003" s="5"/>
      <c r="G2003" s="5"/>
      <c r="H2003" s="6"/>
      <c r="I2003" s="5"/>
      <c r="J2003" s="88"/>
      <c r="K2003" s="88"/>
      <c r="L2003" s="88"/>
      <c r="M2003" s="88"/>
      <c r="N2003" s="88"/>
      <c r="O2003" s="88"/>
      <c r="P2003" s="88"/>
      <c r="Q2003" s="89"/>
      <c r="R2003" s="88"/>
      <c r="S2003" s="88"/>
      <c r="T2003" s="90"/>
      <c r="U2003" s="6"/>
      <c r="V2003" s="92"/>
      <c r="W2003" s="77"/>
      <c r="X2003" s="91"/>
      <c r="Y2003" s="77"/>
      <c r="Z2003" s="5"/>
      <c r="AA2003" s="5"/>
      <c r="AB2003" s="5"/>
      <c r="AC2003" s="5"/>
      <c r="AD2003" s="5"/>
      <c r="AE2003" s="5"/>
      <c r="AF2003" s="5"/>
      <c r="AG2003" s="5"/>
      <c r="AH2003" s="6"/>
      <c r="AI2003" s="92"/>
      <c r="AJ2003" s="93"/>
      <c r="AK2003" s="94"/>
      <c r="AL2003" s="95"/>
      <c r="AM2003" s="56"/>
      <c r="AN2003" s="57">
        <f t="shared" si="327"/>
        <v>0</v>
      </c>
      <c r="AO2003" s="76">
        <f t="shared" si="329"/>
        <v>0</v>
      </c>
      <c r="AP2003" s="63" t="str">
        <f t="shared" si="330"/>
        <v/>
      </c>
      <c r="AQ2003" s="63" t="str">
        <f t="shared" si="331"/>
        <v/>
      </c>
      <c r="AR2003" s="63" t="str">
        <f t="shared" si="332"/>
        <v/>
      </c>
      <c r="AS2003" s="63" t="str">
        <f t="shared" si="333"/>
        <v/>
      </c>
      <c r="AT2003" s="78" t="str">
        <f t="shared" si="334"/>
        <v/>
      </c>
      <c r="AU2003" s="78" t="str">
        <f t="shared" si="335"/>
        <v/>
      </c>
      <c r="AV2003" s="64" t="str">
        <f ca="1">IFERROR(__xludf.DUMMYFUNCTION("IF(TRIM(AU2003)="""","""",AU2003/INDEX(FILTER(AT$3:AT2003,TRIM(AT$3:AT2003)&lt;&gt;""""),ROWS(FILTER(AT$3:AT2003,TRIM(AT$3:AT2003)&lt;&gt;"""")))-1)"),"")</f>
        <v/>
      </c>
      <c r="AW2003" s="65" t="e">
        <f t="shared" ca="1" si="328"/>
        <v>#VALUE!</v>
      </c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</row>
    <row r="2004" spans="1:68" ht="19" x14ac:dyDescent="0.25">
      <c r="A2004" s="5"/>
      <c r="B2004" s="5"/>
      <c r="C2004" s="5"/>
      <c r="D2004" s="5"/>
      <c r="E2004" s="5"/>
      <c r="F2004" s="5"/>
      <c r="G2004" s="5"/>
      <c r="H2004" s="6"/>
      <c r="I2004" s="5"/>
      <c r="J2004" s="88"/>
      <c r="K2004" s="88"/>
      <c r="L2004" s="88"/>
      <c r="M2004" s="88"/>
      <c r="N2004" s="88"/>
      <c r="O2004" s="88"/>
      <c r="P2004" s="88"/>
      <c r="Q2004" s="89"/>
      <c r="R2004" s="88"/>
      <c r="S2004" s="88"/>
      <c r="T2004" s="90"/>
      <c r="U2004" s="6"/>
      <c r="V2004" s="92"/>
      <c r="W2004" s="77"/>
      <c r="X2004" s="91"/>
      <c r="Y2004" s="77"/>
      <c r="Z2004" s="5"/>
      <c r="AA2004" s="5"/>
      <c r="AB2004" s="5"/>
      <c r="AC2004" s="5"/>
      <c r="AD2004" s="5"/>
      <c r="AE2004" s="5"/>
      <c r="AF2004" s="5"/>
      <c r="AG2004" s="5"/>
      <c r="AH2004" s="6"/>
      <c r="AI2004" s="92"/>
      <c r="AJ2004" s="93"/>
      <c r="AK2004" s="94"/>
      <c r="AL2004" s="95"/>
      <c r="AM2004" s="56"/>
      <c r="AN2004" s="57">
        <f t="shared" si="327"/>
        <v>0</v>
      </c>
      <c r="AO2004" s="76">
        <f t="shared" si="329"/>
        <v>0</v>
      </c>
      <c r="AP2004" s="63" t="str">
        <f t="shared" si="330"/>
        <v/>
      </c>
      <c r="AQ2004" s="63" t="str">
        <f t="shared" si="331"/>
        <v/>
      </c>
      <c r="AR2004" s="63" t="str">
        <f t="shared" si="332"/>
        <v/>
      </c>
      <c r="AS2004" s="63" t="str">
        <f t="shared" si="333"/>
        <v/>
      </c>
      <c r="AT2004" s="78" t="str">
        <f t="shared" si="334"/>
        <v/>
      </c>
      <c r="AU2004" s="78" t="str">
        <f t="shared" si="335"/>
        <v/>
      </c>
      <c r="AV2004" s="64" t="str">
        <f ca="1">IFERROR(__xludf.DUMMYFUNCTION("IF(TRIM(AU2004)="""","""",AU2004/INDEX(FILTER(AT$3:AT2004,TRIM(AT$3:AT2004)&lt;&gt;""""),ROWS(FILTER(AT$3:AT2004,TRIM(AT$3:AT2004)&lt;&gt;"""")))-1)"),"")</f>
        <v/>
      </c>
      <c r="AW2004" s="65" t="e">
        <f t="shared" ca="1" si="328"/>
        <v>#VALUE!</v>
      </c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</row>
    <row r="2005" spans="1:68" ht="19" x14ac:dyDescent="0.25">
      <c r="A2005" s="5"/>
      <c r="B2005" s="5"/>
      <c r="C2005" s="5"/>
      <c r="D2005" s="5"/>
      <c r="E2005" s="5"/>
      <c r="F2005" s="5"/>
      <c r="G2005" s="5"/>
      <c r="H2005" s="6"/>
      <c r="I2005" s="5"/>
      <c r="J2005" s="88"/>
      <c r="K2005" s="88"/>
      <c r="L2005" s="88"/>
      <c r="M2005" s="88"/>
      <c r="N2005" s="88"/>
      <c r="O2005" s="88"/>
      <c r="P2005" s="88"/>
      <c r="Q2005" s="89"/>
      <c r="R2005" s="88"/>
      <c r="S2005" s="88"/>
      <c r="T2005" s="90"/>
      <c r="U2005" s="6"/>
      <c r="V2005" s="92"/>
      <c r="W2005" s="77"/>
      <c r="X2005" s="91"/>
      <c r="Y2005" s="77"/>
      <c r="Z2005" s="5"/>
      <c r="AA2005" s="5"/>
      <c r="AB2005" s="5"/>
      <c r="AC2005" s="5"/>
      <c r="AD2005" s="5"/>
      <c r="AE2005" s="5"/>
      <c r="AF2005" s="5"/>
      <c r="AG2005" s="5"/>
      <c r="AH2005" s="6"/>
      <c r="AI2005" s="92"/>
      <c r="AJ2005" s="93"/>
      <c r="AK2005" s="94"/>
      <c r="AL2005" s="95"/>
      <c r="AM2005" s="56"/>
      <c r="AN2005" s="57">
        <f t="shared" si="327"/>
        <v>0</v>
      </c>
      <c r="AO2005" s="76">
        <f t="shared" si="329"/>
        <v>0</v>
      </c>
      <c r="AP2005" s="63" t="str">
        <f t="shared" si="330"/>
        <v/>
      </c>
      <c r="AQ2005" s="63" t="str">
        <f t="shared" si="331"/>
        <v/>
      </c>
      <c r="AR2005" s="63" t="str">
        <f t="shared" si="332"/>
        <v/>
      </c>
      <c r="AS2005" s="63" t="str">
        <f t="shared" si="333"/>
        <v/>
      </c>
      <c r="AT2005" s="78" t="str">
        <f t="shared" si="334"/>
        <v/>
      </c>
      <c r="AU2005" s="78" t="str">
        <f t="shared" si="335"/>
        <v/>
      </c>
      <c r="AV2005" s="64" t="str">
        <f ca="1">IFERROR(__xludf.DUMMYFUNCTION("IF(TRIM(AU2005)="""","""",AU2005/INDEX(FILTER(AT$3:AT2005,TRIM(AT$3:AT2005)&lt;&gt;""""),ROWS(FILTER(AT$3:AT2005,TRIM(AT$3:AT2005)&lt;&gt;"""")))-1)"),"")</f>
        <v/>
      </c>
      <c r="AW2005" s="65" t="e">
        <f t="shared" ca="1" si="328"/>
        <v>#VALUE!</v>
      </c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</row>
    <row r="2006" spans="1:68" ht="19" x14ac:dyDescent="0.25">
      <c r="A2006" s="5"/>
      <c r="B2006" s="5"/>
      <c r="C2006" s="5"/>
      <c r="D2006" s="5"/>
      <c r="E2006" s="5"/>
      <c r="F2006" s="5"/>
      <c r="G2006" s="5"/>
      <c r="H2006" s="6"/>
      <c r="I2006" s="5"/>
      <c r="J2006" s="88"/>
      <c r="K2006" s="88"/>
      <c r="L2006" s="88"/>
      <c r="M2006" s="88"/>
      <c r="N2006" s="88"/>
      <c r="O2006" s="88"/>
      <c r="P2006" s="88"/>
      <c r="Q2006" s="89"/>
      <c r="R2006" s="88"/>
      <c r="S2006" s="88"/>
      <c r="T2006" s="90"/>
      <c r="U2006" s="6"/>
      <c r="V2006" s="92"/>
      <c r="W2006" s="77"/>
      <c r="X2006" s="91"/>
      <c r="Y2006" s="77"/>
      <c r="Z2006" s="5"/>
      <c r="AA2006" s="5"/>
      <c r="AB2006" s="5"/>
      <c r="AC2006" s="5"/>
      <c r="AD2006" s="5"/>
      <c r="AE2006" s="5"/>
      <c r="AF2006" s="5"/>
      <c r="AG2006" s="5"/>
      <c r="AH2006" s="6"/>
      <c r="AI2006" s="92"/>
      <c r="AJ2006" s="93"/>
      <c r="AK2006" s="94"/>
      <c r="AL2006" s="95"/>
      <c r="AM2006" s="56"/>
      <c r="AN2006" s="57">
        <f t="shared" si="327"/>
        <v>0</v>
      </c>
      <c r="AO2006" s="76">
        <f t="shared" si="329"/>
        <v>0</v>
      </c>
      <c r="AP2006" s="63" t="str">
        <f t="shared" si="330"/>
        <v/>
      </c>
      <c r="AQ2006" s="63" t="str">
        <f t="shared" si="331"/>
        <v/>
      </c>
      <c r="AR2006" s="63" t="str">
        <f t="shared" si="332"/>
        <v/>
      </c>
      <c r="AS2006" s="63" t="str">
        <f t="shared" si="333"/>
        <v/>
      </c>
      <c r="AT2006" s="78" t="str">
        <f t="shared" si="334"/>
        <v/>
      </c>
      <c r="AU2006" s="78" t="str">
        <f t="shared" si="335"/>
        <v/>
      </c>
      <c r="AV2006" s="64" t="str">
        <f ca="1">IFERROR(__xludf.DUMMYFUNCTION("IF(TRIM(AU2006)="""","""",AU2006/INDEX(FILTER(AT$3:AT2006,TRIM(AT$3:AT2006)&lt;&gt;""""),ROWS(FILTER(AT$3:AT2006,TRIM(AT$3:AT2006)&lt;&gt;"""")))-1)"),"")</f>
        <v/>
      </c>
      <c r="AW2006" s="65" t="e">
        <f t="shared" ca="1" si="328"/>
        <v>#VALUE!</v>
      </c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</row>
    <row r="2007" spans="1:68" ht="19" x14ac:dyDescent="0.25">
      <c r="A2007" s="5"/>
      <c r="B2007" s="5"/>
      <c r="C2007" s="5"/>
      <c r="D2007" s="5"/>
      <c r="E2007" s="5"/>
      <c r="F2007" s="5"/>
      <c r="G2007" s="5"/>
      <c r="H2007" s="6"/>
      <c r="I2007" s="5"/>
      <c r="J2007" s="88"/>
      <c r="K2007" s="88"/>
      <c r="L2007" s="88"/>
      <c r="M2007" s="88"/>
      <c r="N2007" s="88"/>
      <c r="O2007" s="88"/>
      <c r="P2007" s="88"/>
      <c r="Q2007" s="89"/>
      <c r="R2007" s="88"/>
      <c r="S2007" s="88"/>
      <c r="T2007" s="90"/>
      <c r="U2007" s="6"/>
      <c r="V2007" s="92"/>
      <c r="W2007" s="77"/>
      <c r="X2007" s="91"/>
      <c r="Y2007" s="77"/>
      <c r="Z2007" s="5"/>
      <c r="AA2007" s="5"/>
      <c r="AB2007" s="5"/>
      <c r="AC2007" s="5"/>
      <c r="AD2007" s="5"/>
      <c r="AE2007" s="5"/>
      <c r="AF2007" s="5"/>
      <c r="AG2007" s="5"/>
      <c r="AH2007" s="6"/>
      <c r="AI2007" s="92"/>
      <c r="AJ2007" s="93"/>
      <c r="AK2007" s="94"/>
      <c r="AL2007" s="95"/>
      <c r="AM2007" s="56"/>
      <c r="AN2007" s="57">
        <f t="shared" si="327"/>
        <v>0</v>
      </c>
      <c r="AO2007" s="76">
        <f t="shared" si="329"/>
        <v>0</v>
      </c>
      <c r="AP2007" s="63" t="str">
        <f t="shared" si="330"/>
        <v/>
      </c>
      <c r="AQ2007" s="63" t="str">
        <f t="shared" si="331"/>
        <v/>
      </c>
      <c r="AR2007" s="63" t="str">
        <f t="shared" si="332"/>
        <v/>
      </c>
      <c r="AS2007" s="63" t="str">
        <f t="shared" si="333"/>
        <v/>
      </c>
      <c r="AT2007" s="78" t="str">
        <f t="shared" si="334"/>
        <v/>
      </c>
      <c r="AU2007" s="78" t="str">
        <f t="shared" si="335"/>
        <v/>
      </c>
      <c r="AV2007" s="64" t="str">
        <f ca="1">IFERROR(__xludf.DUMMYFUNCTION("IF(TRIM(AU2007)="""","""",AU2007/INDEX(FILTER(AT$3:AT2007,TRIM(AT$3:AT2007)&lt;&gt;""""),ROWS(FILTER(AT$3:AT2007,TRIM(AT$3:AT2007)&lt;&gt;"""")))-1)"),"")</f>
        <v/>
      </c>
      <c r="AW2007" s="65" t="e">
        <f t="shared" ca="1" si="328"/>
        <v>#VALUE!</v>
      </c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</row>
    <row r="2008" spans="1:68" ht="19" x14ac:dyDescent="0.25">
      <c r="A2008" s="5"/>
      <c r="B2008" s="5"/>
      <c r="C2008" s="5"/>
      <c r="D2008" s="5"/>
      <c r="E2008" s="5"/>
      <c r="F2008" s="5"/>
      <c r="G2008" s="5"/>
      <c r="H2008" s="6"/>
      <c r="I2008" s="5"/>
      <c r="J2008" s="88"/>
      <c r="K2008" s="88"/>
      <c r="L2008" s="88"/>
      <c r="M2008" s="88"/>
      <c r="N2008" s="88"/>
      <c r="O2008" s="88"/>
      <c r="P2008" s="88"/>
      <c r="Q2008" s="89"/>
      <c r="R2008" s="88"/>
      <c r="S2008" s="88"/>
      <c r="T2008" s="90"/>
      <c r="U2008" s="6"/>
      <c r="V2008" s="92"/>
      <c r="W2008" s="77"/>
      <c r="X2008" s="91"/>
      <c r="Y2008" s="77"/>
      <c r="Z2008" s="5"/>
      <c r="AA2008" s="5"/>
      <c r="AB2008" s="5"/>
      <c r="AC2008" s="5"/>
      <c r="AD2008" s="5"/>
      <c r="AE2008" s="5"/>
      <c r="AF2008" s="5"/>
      <c r="AG2008" s="5"/>
      <c r="AH2008" s="6"/>
      <c r="AI2008" s="92"/>
      <c r="AJ2008" s="93"/>
      <c r="AK2008" s="94"/>
      <c r="AL2008" s="95"/>
      <c r="AM2008" s="56"/>
      <c r="AN2008" s="57">
        <f t="shared" si="327"/>
        <v>0</v>
      </c>
      <c r="AO2008" s="76">
        <f t="shared" si="329"/>
        <v>0</v>
      </c>
      <c r="AP2008" s="63" t="str">
        <f t="shared" si="330"/>
        <v/>
      </c>
      <c r="AQ2008" s="63" t="str">
        <f t="shared" si="331"/>
        <v/>
      </c>
      <c r="AR2008" s="63" t="str">
        <f t="shared" si="332"/>
        <v/>
      </c>
      <c r="AS2008" s="63" t="str">
        <f t="shared" si="333"/>
        <v/>
      </c>
      <c r="AT2008" s="78" t="str">
        <f t="shared" si="334"/>
        <v/>
      </c>
      <c r="AU2008" s="78" t="str">
        <f t="shared" si="335"/>
        <v/>
      </c>
      <c r="AV2008" s="64" t="str">
        <f ca="1">IFERROR(__xludf.DUMMYFUNCTION("IF(TRIM(AU2008)="""","""",AU2008/INDEX(FILTER(AT$3:AT2008,TRIM(AT$3:AT2008)&lt;&gt;""""),ROWS(FILTER(AT$3:AT2008,TRIM(AT$3:AT2008)&lt;&gt;"""")))-1)"),"")</f>
        <v/>
      </c>
      <c r="AW2008" s="65" t="e">
        <f t="shared" ca="1" si="328"/>
        <v>#VALUE!</v>
      </c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</row>
    <row r="2009" spans="1:68" ht="19" x14ac:dyDescent="0.25">
      <c r="A2009" s="5"/>
      <c r="B2009" s="5"/>
      <c r="C2009" s="5"/>
      <c r="D2009" s="5"/>
      <c r="E2009" s="5"/>
      <c r="F2009" s="5"/>
      <c r="G2009" s="5"/>
      <c r="H2009" s="6"/>
      <c r="I2009" s="5"/>
      <c r="J2009" s="88"/>
      <c r="K2009" s="88"/>
      <c r="L2009" s="88"/>
      <c r="M2009" s="88"/>
      <c r="N2009" s="88"/>
      <c r="O2009" s="88"/>
      <c r="P2009" s="88"/>
      <c r="Q2009" s="89"/>
      <c r="R2009" s="88"/>
      <c r="S2009" s="88"/>
      <c r="T2009" s="90"/>
      <c r="U2009" s="6"/>
      <c r="V2009" s="92"/>
      <c r="W2009" s="77"/>
      <c r="X2009" s="91"/>
      <c r="Y2009" s="77"/>
      <c r="Z2009" s="5"/>
      <c r="AA2009" s="5"/>
      <c r="AB2009" s="5"/>
      <c r="AC2009" s="5"/>
      <c r="AD2009" s="5"/>
      <c r="AE2009" s="5"/>
      <c r="AF2009" s="5"/>
      <c r="AG2009" s="5"/>
      <c r="AH2009" s="6"/>
      <c r="AI2009" s="92"/>
      <c r="AJ2009" s="93"/>
      <c r="AK2009" s="94"/>
      <c r="AL2009" s="95"/>
      <c r="AM2009" s="56"/>
      <c r="AN2009" s="57">
        <f t="shared" si="327"/>
        <v>0</v>
      </c>
      <c r="AO2009" s="76">
        <f t="shared" si="329"/>
        <v>0</v>
      </c>
      <c r="AP2009" s="63" t="str">
        <f t="shared" si="330"/>
        <v/>
      </c>
      <c r="AQ2009" s="63" t="str">
        <f t="shared" si="331"/>
        <v/>
      </c>
      <c r="AR2009" s="63" t="str">
        <f t="shared" si="332"/>
        <v/>
      </c>
      <c r="AS2009" s="63" t="str">
        <f t="shared" si="333"/>
        <v/>
      </c>
      <c r="AT2009" s="78" t="str">
        <f t="shared" si="334"/>
        <v/>
      </c>
      <c r="AU2009" s="78" t="str">
        <f t="shared" si="335"/>
        <v/>
      </c>
      <c r="AV2009" s="64" t="str">
        <f ca="1">IFERROR(__xludf.DUMMYFUNCTION("IF(TRIM(AU2009)="""","""",AU2009/INDEX(FILTER(AT$3:AT2009,TRIM(AT$3:AT2009)&lt;&gt;""""),ROWS(FILTER(AT$3:AT2009,TRIM(AT$3:AT2009)&lt;&gt;"""")))-1)"),"")</f>
        <v/>
      </c>
      <c r="AW2009" s="65" t="e">
        <f t="shared" ca="1" si="328"/>
        <v>#VALUE!</v>
      </c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</row>
    <row r="2010" spans="1:68" ht="19" x14ac:dyDescent="0.25">
      <c r="A2010" s="5"/>
      <c r="B2010" s="5"/>
      <c r="C2010" s="5"/>
      <c r="D2010" s="5"/>
      <c r="E2010" s="5"/>
      <c r="F2010" s="5"/>
      <c r="G2010" s="5"/>
      <c r="H2010" s="6"/>
      <c r="I2010" s="5"/>
      <c r="J2010" s="88"/>
      <c r="K2010" s="88"/>
      <c r="L2010" s="88"/>
      <c r="M2010" s="88"/>
      <c r="N2010" s="88"/>
      <c r="O2010" s="88"/>
      <c r="P2010" s="88"/>
      <c r="Q2010" s="89"/>
      <c r="R2010" s="88"/>
      <c r="S2010" s="88"/>
      <c r="T2010" s="90"/>
      <c r="U2010" s="6"/>
      <c r="V2010" s="92"/>
      <c r="W2010" s="77"/>
      <c r="X2010" s="91"/>
      <c r="Y2010" s="77"/>
      <c r="Z2010" s="5"/>
      <c r="AA2010" s="5"/>
      <c r="AB2010" s="5"/>
      <c r="AC2010" s="5"/>
      <c r="AD2010" s="5"/>
      <c r="AE2010" s="5"/>
      <c r="AF2010" s="5"/>
      <c r="AG2010" s="5"/>
      <c r="AH2010" s="6"/>
      <c r="AI2010" s="92"/>
      <c r="AJ2010" s="93"/>
      <c r="AK2010" s="94"/>
      <c r="AL2010" s="95"/>
      <c r="AM2010" s="56"/>
      <c r="AN2010" s="57">
        <f t="shared" si="327"/>
        <v>0</v>
      </c>
      <c r="AO2010" s="76">
        <f t="shared" si="329"/>
        <v>0</v>
      </c>
      <c r="AP2010" s="63" t="str">
        <f t="shared" si="330"/>
        <v/>
      </c>
      <c r="AQ2010" s="63" t="str">
        <f t="shared" si="331"/>
        <v/>
      </c>
      <c r="AR2010" s="63" t="str">
        <f t="shared" si="332"/>
        <v/>
      </c>
      <c r="AS2010" s="63" t="str">
        <f t="shared" si="333"/>
        <v/>
      </c>
      <c r="AT2010" s="78" t="str">
        <f t="shared" si="334"/>
        <v/>
      </c>
      <c r="AU2010" s="78" t="str">
        <f t="shared" si="335"/>
        <v/>
      </c>
      <c r="AV2010" s="64" t="str">
        <f ca="1">IFERROR(__xludf.DUMMYFUNCTION("IF(TRIM(AU2010)="""","""",AU2010/INDEX(FILTER(AT$3:AT2010,TRIM(AT$3:AT2010)&lt;&gt;""""),ROWS(FILTER(AT$3:AT2010,TRIM(AT$3:AT2010)&lt;&gt;"""")))-1)"),"")</f>
        <v/>
      </c>
      <c r="AW2010" s="65" t="e">
        <f t="shared" ca="1" si="328"/>
        <v>#VALUE!</v>
      </c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</row>
    <row r="2011" spans="1:68" ht="19" x14ac:dyDescent="0.25">
      <c r="A2011" s="5"/>
      <c r="B2011" s="5"/>
      <c r="C2011" s="5"/>
      <c r="D2011" s="5"/>
      <c r="E2011" s="5"/>
      <c r="F2011" s="5"/>
      <c r="G2011" s="5"/>
      <c r="H2011" s="6"/>
      <c r="I2011" s="5"/>
      <c r="J2011" s="88"/>
      <c r="K2011" s="88"/>
      <c r="L2011" s="88"/>
      <c r="M2011" s="88"/>
      <c r="N2011" s="88"/>
      <c r="O2011" s="88"/>
      <c r="P2011" s="88"/>
      <c r="Q2011" s="89"/>
      <c r="R2011" s="88"/>
      <c r="S2011" s="88"/>
      <c r="T2011" s="90"/>
      <c r="U2011" s="6"/>
      <c r="V2011" s="92"/>
      <c r="W2011" s="77"/>
      <c r="X2011" s="91"/>
      <c r="Y2011" s="77"/>
      <c r="Z2011" s="5"/>
      <c r="AA2011" s="5"/>
      <c r="AB2011" s="5"/>
      <c r="AC2011" s="5"/>
      <c r="AD2011" s="5"/>
      <c r="AE2011" s="5"/>
      <c r="AF2011" s="5"/>
      <c r="AG2011" s="5"/>
      <c r="AH2011" s="6"/>
      <c r="AI2011" s="92"/>
      <c r="AJ2011" s="93"/>
      <c r="AK2011" s="94"/>
      <c r="AL2011" s="95"/>
      <c r="AM2011" s="56"/>
      <c r="AN2011" s="57">
        <f t="shared" si="327"/>
        <v>0</v>
      </c>
      <c r="AO2011" s="76">
        <f t="shared" si="329"/>
        <v>0</v>
      </c>
      <c r="AP2011" s="63" t="str">
        <f t="shared" si="330"/>
        <v/>
      </c>
      <c r="AQ2011" s="63" t="str">
        <f t="shared" si="331"/>
        <v/>
      </c>
      <c r="AR2011" s="63" t="str">
        <f t="shared" si="332"/>
        <v/>
      </c>
      <c r="AS2011" s="63" t="str">
        <f t="shared" si="333"/>
        <v/>
      </c>
      <c r="AT2011" s="78" t="str">
        <f t="shared" si="334"/>
        <v/>
      </c>
      <c r="AU2011" s="78" t="str">
        <f t="shared" si="335"/>
        <v/>
      </c>
      <c r="AV2011" s="64" t="str">
        <f ca="1">IFERROR(__xludf.DUMMYFUNCTION("IF(TRIM(AU2011)="""","""",AU2011/INDEX(FILTER(AT$3:AT2011,TRIM(AT$3:AT2011)&lt;&gt;""""),ROWS(FILTER(AT$3:AT2011,TRIM(AT$3:AT2011)&lt;&gt;"""")))-1)"),"")</f>
        <v/>
      </c>
      <c r="AW2011" s="65" t="e">
        <f t="shared" ca="1" si="328"/>
        <v>#VALUE!</v>
      </c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</row>
    <row r="2012" spans="1:68" ht="19" x14ac:dyDescent="0.25">
      <c r="A2012" s="5"/>
      <c r="B2012" s="5"/>
      <c r="C2012" s="5"/>
      <c r="D2012" s="5"/>
      <c r="E2012" s="5"/>
      <c r="F2012" s="5"/>
      <c r="G2012" s="5"/>
      <c r="H2012" s="6"/>
      <c r="I2012" s="5"/>
      <c r="J2012" s="88"/>
      <c r="K2012" s="88"/>
      <c r="L2012" s="88"/>
      <c r="M2012" s="88"/>
      <c r="N2012" s="88"/>
      <c r="O2012" s="88"/>
      <c r="P2012" s="88"/>
      <c r="Q2012" s="89"/>
      <c r="R2012" s="88"/>
      <c r="S2012" s="88"/>
      <c r="T2012" s="90"/>
      <c r="U2012" s="6"/>
      <c r="V2012" s="92"/>
      <c r="W2012" s="77"/>
      <c r="X2012" s="91"/>
      <c r="Y2012" s="77"/>
      <c r="Z2012" s="5"/>
      <c r="AA2012" s="5"/>
      <c r="AB2012" s="5"/>
      <c r="AC2012" s="5"/>
      <c r="AD2012" s="5"/>
      <c r="AE2012" s="5"/>
      <c r="AF2012" s="5"/>
      <c r="AG2012" s="5"/>
      <c r="AH2012" s="6"/>
      <c r="AI2012" s="92"/>
      <c r="AJ2012" s="93"/>
      <c r="AK2012" s="94"/>
      <c r="AL2012" s="95"/>
      <c r="AM2012" s="56"/>
      <c r="AN2012" s="57">
        <f t="shared" si="327"/>
        <v>0</v>
      </c>
      <c r="AO2012" s="76">
        <f t="shared" si="329"/>
        <v>0</v>
      </c>
      <c r="AP2012" s="63" t="str">
        <f t="shared" si="330"/>
        <v/>
      </c>
      <c r="AQ2012" s="63" t="str">
        <f t="shared" si="331"/>
        <v/>
      </c>
      <c r="AR2012" s="63" t="str">
        <f t="shared" si="332"/>
        <v/>
      </c>
      <c r="AS2012" s="63" t="str">
        <f t="shared" si="333"/>
        <v/>
      </c>
      <c r="AT2012" s="78" t="str">
        <f t="shared" si="334"/>
        <v/>
      </c>
      <c r="AU2012" s="78" t="str">
        <f t="shared" si="335"/>
        <v/>
      </c>
      <c r="AV2012" s="64" t="str">
        <f ca="1">IFERROR(__xludf.DUMMYFUNCTION("IF(TRIM(AU2012)="""","""",AU2012/INDEX(FILTER(AT$3:AT2012,TRIM(AT$3:AT2012)&lt;&gt;""""),ROWS(FILTER(AT$3:AT2012,TRIM(AT$3:AT2012)&lt;&gt;"""")))-1)"),"")</f>
        <v/>
      </c>
      <c r="AW2012" s="65" t="e">
        <f t="shared" ca="1" si="328"/>
        <v>#VALUE!</v>
      </c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</row>
    <row r="2013" spans="1:68" ht="19" x14ac:dyDescent="0.25">
      <c r="A2013" s="5"/>
      <c r="B2013" s="5"/>
      <c r="C2013" s="5"/>
      <c r="D2013" s="5"/>
      <c r="E2013" s="5"/>
      <c r="F2013" s="5"/>
      <c r="G2013" s="5"/>
      <c r="H2013" s="6"/>
      <c r="I2013" s="5"/>
      <c r="J2013" s="88"/>
      <c r="K2013" s="88"/>
      <c r="L2013" s="88"/>
      <c r="M2013" s="88"/>
      <c r="N2013" s="88"/>
      <c r="O2013" s="88"/>
      <c r="P2013" s="88"/>
      <c r="Q2013" s="89"/>
      <c r="R2013" s="88"/>
      <c r="S2013" s="88"/>
      <c r="T2013" s="90"/>
      <c r="U2013" s="6"/>
      <c r="V2013" s="92"/>
      <c r="W2013" s="77"/>
      <c r="X2013" s="91"/>
      <c r="Y2013" s="77"/>
      <c r="Z2013" s="5"/>
      <c r="AA2013" s="5"/>
      <c r="AB2013" s="5"/>
      <c r="AC2013" s="5"/>
      <c r="AD2013" s="5"/>
      <c r="AE2013" s="5"/>
      <c r="AF2013" s="5"/>
      <c r="AG2013" s="5"/>
      <c r="AH2013" s="6"/>
      <c r="AI2013" s="92"/>
      <c r="AJ2013" s="93"/>
      <c r="AK2013" s="94"/>
      <c r="AL2013" s="95"/>
      <c r="AM2013" s="56"/>
      <c r="AN2013" s="57">
        <f t="shared" si="327"/>
        <v>0</v>
      </c>
      <c r="AO2013" s="76">
        <f t="shared" si="329"/>
        <v>0</v>
      </c>
      <c r="AP2013" s="63" t="str">
        <f t="shared" si="330"/>
        <v/>
      </c>
      <c r="AQ2013" s="63" t="str">
        <f t="shared" si="331"/>
        <v/>
      </c>
      <c r="AR2013" s="63" t="str">
        <f t="shared" si="332"/>
        <v/>
      </c>
      <c r="AS2013" s="63" t="str">
        <f t="shared" si="333"/>
        <v/>
      </c>
      <c r="AT2013" s="78" t="str">
        <f t="shared" si="334"/>
        <v/>
      </c>
      <c r="AU2013" s="78" t="str">
        <f t="shared" si="335"/>
        <v/>
      </c>
      <c r="AV2013" s="64" t="str">
        <f ca="1">IFERROR(__xludf.DUMMYFUNCTION("IF(TRIM(AU2013)="""","""",AU2013/INDEX(FILTER(AT$3:AT2013,TRIM(AT$3:AT2013)&lt;&gt;""""),ROWS(FILTER(AT$3:AT2013,TRIM(AT$3:AT2013)&lt;&gt;"""")))-1)"),"")</f>
        <v/>
      </c>
      <c r="AW2013" s="65" t="e">
        <f t="shared" ca="1" si="328"/>
        <v>#VALUE!</v>
      </c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</row>
    <row r="2014" spans="1:68" ht="19" x14ac:dyDescent="0.25">
      <c r="A2014" s="5"/>
      <c r="B2014" s="5"/>
      <c r="C2014" s="5"/>
      <c r="D2014" s="5"/>
      <c r="E2014" s="5"/>
      <c r="F2014" s="5"/>
      <c r="G2014" s="5"/>
      <c r="H2014" s="6"/>
      <c r="I2014" s="5"/>
      <c r="J2014" s="88"/>
      <c r="K2014" s="88"/>
      <c r="L2014" s="88"/>
      <c r="M2014" s="88"/>
      <c r="N2014" s="88"/>
      <c r="O2014" s="88"/>
      <c r="P2014" s="88"/>
      <c r="Q2014" s="89"/>
      <c r="R2014" s="88"/>
      <c r="S2014" s="88"/>
      <c r="T2014" s="90"/>
      <c r="U2014" s="6"/>
      <c r="V2014" s="92"/>
      <c r="W2014" s="77"/>
      <c r="X2014" s="91"/>
      <c r="Y2014" s="77"/>
      <c r="Z2014" s="5"/>
      <c r="AA2014" s="5"/>
      <c r="AB2014" s="5"/>
      <c r="AC2014" s="5"/>
      <c r="AD2014" s="5"/>
      <c r="AE2014" s="5"/>
      <c r="AF2014" s="5"/>
      <c r="AG2014" s="5"/>
      <c r="AH2014" s="6"/>
      <c r="AI2014" s="92"/>
      <c r="AJ2014" s="93"/>
      <c r="AK2014" s="94"/>
      <c r="AL2014" s="95"/>
      <c r="AM2014" s="56"/>
      <c r="AN2014" s="57">
        <f t="shared" si="327"/>
        <v>0</v>
      </c>
      <c r="AO2014" s="76">
        <f t="shared" si="329"/>
        <v>0</v>
      </c>
      <c r="AP2014" s="63" t="str">
        <f t="shared" si="330"/>
        <v/>
      </c>
      <c r="AQ2014" s="63" t="str">
        <f t="shared" si="331"/>
        <v/>
      </c>
      <c r="AR2014" s="63" t="str">
        <f t="shared" si="332"/>
        <v/>
      </c>
      <c r="AS2014" s="63" t="str">
        <f t="shared" si="333"/>
        <v/>
      </c>
      <c r="AT2014" s="78" t="str">
        <f t="shared" si="334"/>
        <v/>
      </c>
      <c r="AU2014" s="78" t="str">
        <f t="shared" si="335"/>
        <v/>
      </c>
      <c r="AV2014" s="64" t="str">
        <f ca="1">IFERROR(__xludf.DUMMYFUNCTION("IF(TRIM(AU2014)="""","""",AU2014/INDEX(FILTER(AT$3:AT2014,TRIM(AT$3:AT2014)&lt;&gt;""""),ROWS(FILTER(AT$3:AT2014,TRIM(AT$3:AT2014)&lt;&gt;"""")))-1)"),"")</f>
        <v/>
      </c>
      <c r="AW2014" s="65" t="e">
        <f t="shared" ca="1" si="328"/>
        <v>#VALUE!</v>
      </c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</row>
    <row r="2015" spans="1:68" ht="19" x14ac:dyDescent="0.25">
      <c r="A2015" s="5"/>
      <c r="B2015" s="5"/>
      <c r="C2015" s="5"/>
      <c r="D2015" s="5"/>
      <c r="E2015" s="5"/>
      <c r="F2015" s="5"/>
      <c r="G2015" s="5"/>
      <c r="H2015" s="6"/>
      <c r="I2015" s="5"/>
      <c r="J2015" s="88"/>
      <c r="K2015" s="88"/>
      <c r="L2015" s="88"/>
      <c r="M2015" s="88"/>
      <c r="N2015" s="88"/>
      <c r="O2015" s="88"/>
      <c r="P2015" s="88"/>
      <c r="Q2015" s="89"/>
      <c r="R2015" s="88"/>
      <c r="S2015" s="88"/>
      <c r="T2015" s="90"/>
      <c r="U2015" s="6"/>
      <c r="V2015" s="92"/>
      <c r="W2015" s="77"/>
      <c r="X2015" s="91"/>
      <c r="Y2015" s="77"/>
      <c r="Z2015" s="5"/>
      <c r="AA2015" s="5"/>
      <c r="AB2015" s="5"/>
      <c r="AC2015" s="5"/>
      <c r="AD2015" s="5"/>
      <c r="AE2015" s="5"/>
      <c r="AF2015" s="5"/>
      <c r="AG2015" s="5"/>
      <c r="AH2015" s="6"/>
      <c r="AI2015" s="92"/>
      <c r="AJ2015" s="93"/>
      <c r="AK2015" s="94"/>
      <c r="AL2015" s="95"/>
      <c r="AM2015" s="56"/>
      <c r="AN2015" s="57">
        <f t="shared" si="327"/>
        <v>0</v>
      </c>
      <c r="AO2015" s="76">
        <f t="shared" si="329"/>
        <v>0</v>
      </c>
      <c r="AP2015" s="63" t="str">
        <f t="shared" si="330"/>
        <v/>
      </c>
      <c r="AQ2015" s="63" t="str">
        <f t="shared" si="331"/>
        <v/>
      </c>
      <c r="AR2015" s="63" t="str">
        <f t="shared" si="332"/>
        <v/>
      </c>
      <c r="AS2015" s="63" t="str">
        <f t="shared" si="333"/>
        <v/>
      </c>
      <c r="AT2015" s="78" t="str">
        <f t="shared" si="334"/>
        <v/>
      </c>
      <c r="AU2015" s="78" t="str">
        <f t="shared" si="335"/>
        <v/>
      </c>
      <c r="AV2015" s="64" t="str">
        <f ca="1">IFERROR(__xludf.DUMMYFUNCTION("IF(TRIM(AU2015)="""","""",AU2015/INDEX(FILTER(AT$3:AT2015,TRIM(AT$3:AT2015)&lt;&gt;""""),ROWS(FILTER(AT$3:AT2015,TRIM(AT$3:AT2015)&lt;&gt;"""")))-1)"),"")</f>
        <v/>
      </c>
      <c r="AW2015" s="65" t="e">
        <f t="shared" ca="1" si="328"/>
        <v>#VALUE!</v>
      </c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</row>
    <row r="2016" spans="1:68" ht="19" x14ac:dyDescent="0.25">
      <c r="A2016" s="5"/>
      <c r="B2016" s="5"/>
      <c r="C2016" s="5"/>
      <c r="D2016" s="5"/>
      <c r="E2016" s="5"/>
      <c r="F2016" s="5"/>
      <c r="G2016" s="5"/>
      <c r="H2016" s="6"/>
      <c r="I2016" s="5"/>
      <c r="J2016" s="88"/>
      <c r="K2016" s="88"/>
      <c r="L2016" s="88"/>
      <c r="M2016" s="88"/>
      <c r="N2016" s="88"/>
      <c r="O2016" s="88"/>
      <c r="P2016" s="88"/>
      <c r="Q2016" s="89"/>
      <c r="R2016" s="88"/>
      <c r="S2016" s="88"/>
      <c r="T2016" s="90"/>
      <c r="U2016" s="6"/>
      <c r="V2016" s="92"/>
      <c r="W2016" s="77"/>
      <c r="X2016" s="91"/>
      <c r="Y2016" s="77"/>
      <c r="Z2016" s="5"/>
      <c r="AA2016" s="5"/>
      <c r="AB2016" s="5"/>
      <c r="AC2016" s="5"/>
      <c r="AD2016" s="5"/>
      <c r="AE2016" s="5"/>
      <c r="AF2016" s="5"/>
      <c r="AG2016" s="5"/>
      <c r="AH2016" s="6"/>
      <c r="AI2016" s="92"/>
      <c r="AJ2016" s="93"/>
      <c r="AK2016" s="94"/>
      <c r="AL2016" s="95"/>
      <c r="AM2016" s="56"/>
      <c r="AN2016" s="57">
        <f t="shared" si="327"/>
        <v>0</v>
      </c>
      <c r="AO2016" s="76">
        <f t="shared" si="329"/>
        <v>0</v>
      </c>
      <c r="AP2016" s="63" t="str">
        <f t="shared" si="330"/>
        <v/>
      </c>
      <c r="AQ2016" s="63" t="str">
        <f t="shared" si="331"/>
        <v/>
      </c>
      <c r="AR2016" s="63" t="str">
        <f t="shared" si="332"/>
        <v/>
      </c>
      <c r="AS2016" s="63" t="str">
        <f t="shared" si="333"/>
        <v/>
      </c>
      <c r="AT2016" s="78" t="str">
        <f t="shared" si="334"/>
        <v/>
      </c>
      <c r="AU2016" s="78" t="str">
        <f t="shared" si="335"/>
        <v/>
      </c>
      <c r="AV2016" s="64" t="str">
        <f ca="1">IFERROR(__xludf.DUMMYFUNCTION("IF(TRIM(AU2016)="""","""",AU2016/INDEX(FILTER(AT$3:AT2016,TRIM(AT$3:AT2016)&lt;&gt;""""),ROWS(FILTER(AT$3:AT2016,TRIM(AT$3:AT2016)&lt;&gt;"""")))-1)"),"")</f>
        <v/>
      </c>
      <c r="AW2016" s="65" t="e">
        <f t="shared" ca="1" si="328"/>
        <v>#VALUE!</v>
      </c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</row>
    <row r="2017" spans="1:68" ht="19" x14ac:dyDescent="0.25">
      <c r="A2017" s="5"/>
      <c r="B2017" s="5"/>
      <c r="C2017" s="5"/>
      <c r="D2017" s="5"/>
      <c r="E2017" s="5"/>
      <c r="F2017" s="5"/>
      <c r="G2017" s="5"/>
      <c r="H2017" s="6"/>
      <c r="I2017" s="5"/>
      <c r="J2017" s="88"/>
      <c r="K2017" s="88"/>
      <c r="L2017" s="88"/>
      <c r="M2017" s="88"/>
      <c r="N2017" s="88"/>
      <c r="O2017" s="88"/>
      <c r="P2017" s="88"/>
      <c r="Q2017" s="89"/>
      <c r="R2017" s="88"/>
      <c r="S2017" s="88"/>
      <c r="T2017" s="90"/>
      <c r="U2017" s="6"/>
      <c r="V2017" s="92"/>
      <c r="W2017" s="77"/>
      <c r="X2017" s="91"/>
      <c r="Y2017" s="77"/>
      <c r="Z2017" s="5"/>
      <c r="AA2017" s="5"/>
      <c r="AB2017" s="5"/>
      <c r="AC2017" s="5"/>
      <c r="AD2017" s="5"/>
      <c r="AE2017" s="5"/>
      <c r="AF2017" s="5"/>
      <c r="AG2017" s="5"/>
      <c r="AH2017" s="6"/>
      <c r="AI2017" s="92"/>
      <c r="AJ2017" s="93"/>
      <c r="AK2017" s="94"/>
      <c r="AL2017" s="95"/>
      <c r="AM2017" s="56"/>
      <c r="AN2017" s="57">
        <f t="shared" si="327"/>
        <v>0</v>
      </c>
      <c r="AO2017" s="76">
        <f t="shared" si="329"/>
        <v>0</v>
      </c>
      <c r="AP2017" s="63" t="str">
        <f t="shared" si="330"/>
        <v/>
      </c>
      <c r="AQ2017" s="63" t="str">
        <f t="shared" si="331"/>
        <v/>
      </c>
      <c r="AR2017" s="63" t="str">
        <f t="shared" si="332"/>
        <v/>
      </c>
      <c r="AS2017" s="63" t="str">
        <f t="shared" si="333"/>
        <v/>
      </c>
      <c r="AT2017" s="78" t="str">
        <f t="shared" si="334"/>
        <v/>
      </c>
      <c r="AU2017" s="78" t="str">
        <f t="shared" si="335"/>
        <v/>
      </c>
      <c r="AV2017" s="64" t="str">
        <f ca="1">IFERROR(__xludf.DUMMYFUNCTION("IF(TRIM(AU2017)="""","""",AU2017/INDEX(FILTER(AT$3:AT2017,TRIM(AT$3:AT2017)&lt;&gt;""""),ROWS(FILTER(AT$3:AT2017,TRIM(AT$3:AT2017)&lt;&gt;"""")))-1)"),"")</f>
        <v/>
      </c>
      <c r="AW2017" s="65" t="e">
        <f t="shared" ca="1" si="328"/>
        <v>#VALUE!</v>
      </c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</row>
    <row r="2018" spans="1:68" ht="19" x14ac:dyDescent="0.25">
      <c r="A2018" s="5"/>
      <c r="B2018" s="5"/>
      <c r="C2018" s="5"/>
      <c r="D2018" s="5"/>
      <c r="E2018" s="5"/>
      <c r="F2018" s="5"/>
      <c r="G2018" s="5"/>
      <c r="H2018" s="6"/>
      <c r="I2018" s="5"/>
      <c r="J2018" s="88"/>
      <c r="K2018" s="88"/>
      <c r="L2018" s="88"/>
      <c r="M2018" s="88"/>
      <c r="N2018" s="88"/>
      <c r="O2018" s="88"/>
      <c r="P2018" s="88"/>
      <c r="Q2018" s="89"/>
      <c r="R2018" s="88"/>
      <c r="S2018" s="88"/>
      <c r="T2018" s="90"/>
      <c r="U2018" s="6"/>
      <c r="V2018" s="92"/>
      <c r="W2018" s="77"/>
      <c r="X2018" s="91"/>
      <c r="Y2018" s="77"/>
      <c r="Z2018" s="5"/>
      <c r="AA2018" s="5"/>
      <c r="AB2018" s="5"/>
      <c r="AC2018" s="5"/>
      <c r="AD2018" s="5"/>
      <c r="AE2018" s="5"/>
      <c r="AF2018" s="5"/>
      <c r="AG2018" s="5"/>
      <c r="AH2018" s="6"/>
      <c r="AI2018" s="92"/>
      <c r="AJ2018" s="93"/>
      <c r="AK2018" s="94"/>
      <c r="AL2018" s="95"/>
      <c r="AM2018" s="56"/>
      <c r="AN2018" s="57">
        <f t="shared" si="327"/>
        <v>0</v>
      </c>
      <c r="AO2018" s="76">
        <f t="shared" si="329"/>
        <v>0</v>
      </c>
      <c r="AP2018" s="63" t="str">
        <f t="shared" si="330"/>
        <v/>
      </c>
      <c r="AQ2018" s="63" t="str">
        <f t="shared" si="331"/>
        <v/>
      </c>
      <c r="AR2018" s="63" t="str">
        <f t="shared" si="332"/>
        <v/>
      </c>
      <c r="AS2018" s="63" t="str">
        <f t="shared" si="333"/>
        <v/>
      </c>
      <c r="AT2018" s="78" t="str">
        <f t="shared" si="334"/>
        <v/>
      </c>
      <c r="AU2018" s="78" t="str">
        <f t="shared" si="335"/>
        <v/>
      </c>
      <c r="AV2018" s="64" t="str">
        <f ca="1">IFERROR(__xludf.DUMMYFUNCTION("IF(TRIM(AU2018)="""","""",AU2018/INDEX(FILTER(AT$3:AT2018,TRIM(AT$3:AT2018)&lt;&gt;""""),ROWS(FILTER(AT$3:AT2018,TRIM(AT$3:AT2018)&lt;&gt;"""")))-1)"),"")</f>
        <v/>
      </c>
      <c r="AW2018" s="65" t="e">
        <f t="shared" ca="1" si="328"/>
        <v>#VALUE!</v>
      </c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</row>
    <row r="2019" spans="1:68" ht="19" x14ac:dyDescent="0.25">
      <c r="A2019" s="5"/>
      <c r="B2019" s="5"/>
      <c r="C2019" s="5"/>
      <c r="D2019" s="5"/>
      <c r="E2019" s="5"/>
      <c r="F2019" s="5"/>
      <c r="G2019" s="5"/>
      <c r="H2019" s="6"/>
      <c r="I2019" s="5"/>
      <c r="J2019" s="88"/>
      <c r="K2019" s="88"/>
      <c r="L2019" s="88"/>
      <c r="M2019" s="88"/>
      <c r="N2019" s="88"/>
      <c r="O2019" s="88"/>
      <c r="P2019" s="88"/>
      <c r="Q2019" s="89"/>
      <c r="R2019" s="88"/>
      <c r="S2019" s="88"/>
      <c r="T2019" s="90"/>
      <c r="U2019" s="6"/>
      <c r="V2019" s="92"/>
      <c r="W2019" s="77"/>
      <c r="X2019" s="91"/>
      <c r="Y2019" s="77"/>
      <c r="Z2019" s="5"/>
      <c r="AA2019" s="5"/>
      <c r="AB2019" s="5"/>
      <c r="AC2019" s="5"/>
      <c r="AD2019" s="5"/>
      <c r="AE2019" s="5"/>
      <c r="AF2019" s="5"/>
      <c r="AG2019" s="5"/>
      <c r="AH2019" s="6"/>
      <c r="AI2019" s="92"/>
      <c r="AJ2019" s="93"/>
      <c r="AK2019" s="94"/>
      <c r="AL2019" s="95"/>
      <c r="AM2019" s="56"/>
      <c r="AN2019" s="57">
        <f t="shared" si="327"/>
        <v>0</v>
      </c>
      <c r="AO2019" s="76">
        <f t="shared" si="329"/>
        <v>0</v>
      </c>
      <c r="AP2019" s="63" t="str">
        <f t="shared" si="330"/>
        <v/>
      </c>
      <c r="AQ2019" s="63" t="str">
        <f t="shared" si="331"/>
        <v/>
      </c>
      <c r="AR2019" s="63" t="str">
        <f t="shared" si="332"/>
        <v/>
      </c>
      <c r="AS2019" s="63" t="str">
        <f t="shared" si="333"/>
        <v/>
      </c>
      <c r="AT2019" s="78" t="str">
        <f t="shared" si="334"/>
        <v/>
      </c>
      <c r="AU2019" s="78" t="str">
        <f t="shared" si="335"/>
        <v/>
      </c>
      <c r="AV2019" s="64" t="str">
        <f ca="1">IFERROR(__xludf.DUMMYFUNCTION("IF(TRIM(AU2019)="""","""",AU2019/INDEX(FILTER(AT$3:AT2019,TRIM(AT$3:AT2019)&lt;&gt;""""),ROWS(FILTER(AT$3:AT2019,TRIM(AT$3:AT2019)&lt;&gt;"""")))-1)"),"")</f>
        <v/>
      </c>
      <c r="AW2019" s="65" t="e">
        <f t="shared" ca="1" si="328"/>
        <v>#VALUE!</v>
      </c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</row>
    <row r="2020" spans="1:68" ht="19" x14ac:dyDescent="0.25">
      <c r="A2020" s="5"/>
      <c r="B2020" s="5"/>
      <c r="C2020" s="5"/>
      <c r="D2020" s="5"/>
      <c r="E2020" s="5"/>
      <c r="F2020" s="5"/>
      <c r="G2020" s="5"/>
      <c r="H2020" s="6"/>
      <c r="I2020" s="5"/>
      <c r="J2020" s="88"/>
      <c r="K2020" s="88"/>
      <c r="L2020" s="88"/>
      <c r="M2020" s="88"/>
      <c r="N2020" s="88"/>
      <c r="O2020" s="88"/>
      <c r="P2020" s="88"/>
      <c r="Q2020" s="89"/>
      <c r="R2020" s="88"/>
      <c r="S2020" s="88"/>
      <c r="T2020" s="90"/>
      <c r="U2020" s="6"/>
      <c r="V2020" s="92"/>
      <c r="W2020" s="77"/>
      <c r="X2020" s="91"/>
      <c r="Y2020" s="77"/>
      <c r="Z2020" s="5"/>
      <c r="AA2020" s="5"/>
      <c r="AB2020" s="5"/>
      <c r="AC2020" s="5"/>
      <c r="AD2020" s="5"/>
      <c r="AE2020" s="5"/>
      <c r="AF2020" s="5"/>
      <c r="AG2020" s="5"/>
      <c r="AH2020" s="6"/>
      <c r="AI2020" s="92"/>
      <c r="AJ2020" s="93"/>
      <c r="AK2020" s="94"/>
      <c r="AL2020" s="95"/>
      <c r="AM2020" s="56"/>
      <c r="AN2020" s="57">
        <f t="shared" si="327"/>
        <v>0</v>
      </c>
      <c r="AO2020" s="76">
        <f t="shared" si="329"/>
        <v>0</v>
      </c>
      <c r="AP2020" s="63" t="str">
        <f t="shared" si="330"/>
        <v/>
      </c>
      <c r="AQ2020" s="63" t="str">
        <f t="shared" si="331"/>
        <v/>
      </c>
      <c r="AR2020" s="63" t="str">
        <f t="shared" si="332"/>
        <v/>
      </c>
      <c r="AS2020" s="63" t="str">
        <f t="shared" si="333"/>
        <v/>
      </c>
      <c r="AT2020" s="78" t="str">
        <f t="shared" si="334"/>
        <v/>
      </c>
      <c r="AU2020" s="78" t="str">
        <f t="shared" si="335"/>
        <v/>
      </c>
      <c r="AV2020" s="64" t="str">
        <f ca="1">IFERROR(__xludf.DUMMYFUNCTION("IF(TRIM(AU2020)="""","""",AU2020/INDEX(FILTER(AT$3:AT2020,TRIM(AT$3:AT2020)&lt;&gt;""""),ROWS(FILTER(AT$3:AT2020,TRIM(AT$3:AT2020)&lt;&gt;"""")))-1)"),"")</f>
        <v/>
      </c>
      <c r="AW2020" s="65" t="e">
        <f t="shared" ca="1" si="328"/>
        <v>#VALUE!</v>
      </c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</row>
    <row r="2021" spans="1:68" ht="19" x14ac:dyDescent="0.25">
      <c r="A2021" s="5"/>
      <c r="B2021" s="5"/>
      <c r="C2021" s="5"/>
      <c r="D2021" s="5"/>
      <c r="E2021" s="5"/>
      <c r="F2021" s="5"/>
      <c r="G2021" s="5"/>
      <c r="H2021" s="6"/>
      <c r="I2021" s="5"/>
      <c r="J2021" s="88"/>
      <c r="K2021" s="88"/>
      <c r="L2021" s="88"/>
      <c r="M2021" s="88"/>
      <c r="N2021" s="88"/>
      <c r="O2021" s="88"/>
      <c r="P2021" s="88"/>
      <c r="Q2021" s="89"/>
      <c r="R2021" s="88"/>
      <c r="S2021" s="88"/>
      <c r="T2021" s="90"/>
      <c r="U2021" s="6"/>
      <c r="V2021" s="92"/>
      <c r="W2021" s="77"/>
      <c r="X2021" s="91"/>
      <c r="Y2021" s="77"/>
      <c r="Z2021" s="5"/>
      <c r="AA2021" s="5"/>
      <c r="AB2021" s="5"/>
      <c r="AC2021" s="5"/>
      <c r="AD2021" s="5"/>
      <c r="AE2021" s="5"/>
      <c r="AF2021" s="5"/>
      <c r="AG2021" s="5"/>
      <c r="AH2021" s="6"/>
      <c r="AI2021" s="92"/>
      <c r="AJ2021" s="93"/>
      <c r="AK2021" s="94"/>
      <c r="AL2021" s="95"/>
      <c r="AM2021" s="56"/>
      <c r="AN2021" s="57">
        <f t="shared" si="327"/>
        <v>0</v>
      </c>
      <c r="AO2021" s="76">
        <f t="shared" si="329"/>
        <v>0</v>
      </c>
      <c r="AP2021" s="63" t="str">
        <f t="shared" si="330"/>
        <v/>
      </c>
      <c r="AQ2021" s="63" t="str">
        <f t="shared" si="331"/>
        <v/>
      </c>
      <c r="AR2021" s="63" t="str">
        <f t="shared" si="332"/>
        <v/>
      </c>
      <c r="AS2021" s="63" t="str">
        <f t="shared" si="333"/>
        <v/>
      </c>
      <c r="AT2021" s="78" t="str">
        <f t="shared" si="334"/>
        <v/>
      </c>
      <c r="AU2021" s="78" t="str">
        <f t="shared" si="335"/>
        <v/>
      </c>
      <c r="AV2021" s="64" t="str">
        <f ca="1">IFERROR(__xludf.DUMMYFUNCTION("IF(TRIM(AU2021)="""","""",AU2021/INDEX(FILTER(AT$3:AT2021,TRIM(AT$3:AT2021)&lt;&gt;""""),ROWS(FILTER(AT$3:AT2021,TRIM(AT$3:AT2021)&lt;&gt;"""")))-1)"),"")</f>
        <v/>
      </c>
      <c r="AW2021" s="65" t="e">
        <f t="shared" ca="1" si="328"/>
        <v>#VALUE!</v>
      </c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</row>
    <row r="2022" spans="1:68" ht="19" x14ac:dyDescent="0.25">
      <c r="A2022" s="5"/>
      <c r="B2022" s="5"/>
      <c r="C2022" s="5"/>
      <c r="D2022" s="5"/>
      <c r="E2022" s="5"/>
      <c r="F2022" s="5"/>
      <c r="G2022" s="5"/>
      <c r="H2022" s="6"/>
      <c r="I2022" s="5"/>
      <c r="J2022" s="88"/>
      <c r="K2022" s="88"/>
      <c r="L2022" s="88"/>
      <c r="M2022" s="88"/>
      <c r="N2022" s="88"/>
      <c r="O2022" s="88"/>
      <c r="P2022" s="88"/>
      <c r="Q2022" s="89"/>
      <c r="R2022" s="88"/>
      <c r="S2022" s="88"/>
      <c r="T2022" s="90"/>
      <c r="U2022" s="6"/>
      <c r="V2022" s="92"/>
      <c r="W2022" s="77"/>
      <c r="X2022" s="91"/>
      <c r="Y2022" s="77"/>
      <c r="Z2022" s="5"/>
      <c r="AA2022" s="5"/>
      <c r="AB2022" s="5"/>
      <c r="AC2022" s="5"/>
      <c r="AD2022" s="5"/>
      <c r="AE2022" s="5"/>
      <c r="AF2022" s="5"/>
      <c r="AG2022" s="5"/>
      <c r="AH2022" s="6"/>
      <c r="AI2022" s="92"/>
      <c r="AJ2022" s="93"/>
      <c r="AK2022" s="94"/>
      <c r="AL2022" s="95"/>
      <c r="AM2022" s="56"/>
      <c r="AN2022" s="57">
        <f t="shared" si="327"/>
        <v>0</v>
      </c>
      <c r="AO2022" s="76">
        <f t="shared" si="329"/>
        <v>0</v>
      </c>
      <c r="AP2022" s="63" t="str">
        <f t="shared" si="330"/>
        <v/>
      </c>
      <c r="AQ2022" s="63" t="str">
        <f t="shared" si="331"/>
        <v/>
      </c>
      <c r="AR2022" s="63" t="str">
        <f t="shared" si="332"/>
        <v/>
      </c>
      <c r="AS2022" s="63" t="str">
        <f t="shared" si="333"/>
        <v/>
      </c>
      <c r="AT2022" s="78" t="str">
        <f t="shared" si="334"/>
        <v/>
      </c>
      <c r="AU2022" s="78" t="str">
        <f t="shared" si="335"/>
        <v/>
      </c>
      <c r="AV2022" s="64" t="str">
        <f ca="1">IFERROR(__xludf.DUMMYFUNCTION("IF(TRIM(AU2022)="""","""",AU2022/INDEX(FILTER(AT$3:AT2022,TRIM(AT$3:AT2022)&lt;&gt;""""),ROWS(FILTER(AT$3:AT2022,TRIM(AT$3:AT2022)&lt;&gt;"""")))-1)"),"")</f>
        <v/>
      </c>
      <c r="AW2022" s="65" t="e">
        <f t="shared" ca="1" si="328"/>
        <v>#VALUE!</v>
      </c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</row>
    <row r="2023" spans="1:68" ht="19" x14ac:dyDescent="0.25">
      <c r="A2023" s="5"/>
      <c r="B2023" s="5"/>
      <c r="C2023" s="5"/>
      <c r="D2023" s="5"/>
      <c r="E2023" s="5"/>
      <c r="F2023" s="5"/>
      <c r="G2023" s="5"/>
      <c r="H2023" s="6"/>
      <c r="I2023" s="5"/>
      <c r="J2023" s="88"/>
      <c r="K2023" s="88"/>
      <c r="L2023" s="88"/>
      <c r="M2023" s="88"/>
      <c r="N2023" s="88"/>
      <c r="O2023" s="88"/>
      <c r="P2023" s="88"/>
      <c r="Q2023" s="89"/>
      <c r="R2023" s="88"/>
      <c r="S2023" s="88"/>
      <c r="T2023" s="90"/>
      <c r="U2023" s="6"/>
      <c r="V2023" s="92"/>
      <c r="W2023" s="77"/>
      <c r="X2023" s="91"/>
      <c r="Y2023" s="77"/>
      <c r="Z2023" s="5"/>
      <c r="AA2023" s="5"/>
      <c r="AB2023" s="5"/>
      <c r="AC2023" s="5"/>
      <c r="AD2023" s="5"/>
      <c r="AE2023" s="5"/>
      <c r="AF2023" s="5"/>
      <c r="AG2023" s="5"/>
      <c r="AH2023" s="6"/>
      <c r="AI2023" s="92"/>
      <c r="AJ2023" s="93"/>
      <c r="AK2023" s="94"/>
      <c r="AL2023" s="95"/>
      <c r="AM2023" s="56"/>
      <c r="AN2023" s="57">
        <f t="shared" si="327"/>
        <v>0</v>
      </c>
      <c r="AO2023" s="76">
        <f t="shared" si="329"/>
        <v>0</v>
      </c>
      <c r="AP2023" s="63" t="str">
        <f t="shared" si="330"/>
        <v/>
      </c>
      <c r="AQ2023" s="63" t="str">
        <f t="shared" si="331"/>
        <v/>
      </c>
      <c r="AR2023" s="63" t="str">
        <f t="shared" si="332"/>
        <v/>
      </c>
      <c r="AS2023" s="63" t="str">
        <f t="shared" si="333"/>
        <v/>
      </c>
      <c r="AT2023" s="78" t="str">
        <f t="shared" si="334"/>
        <v/>
      </c>
      <c r="AU2023" s="78" t="str">
        <f t="shared" si="335"/>
        <v/>
      </c>
      <c r="AV2023" s="64" t="str">
        <f ca="1">IFERROR(__xludf.DUMMYFUNCTION("IF(TRIM(AU2023)="""","""",AU2023/INDEX(FILTER(AT$3:AT2023,TRIM(AT$3:AT2023)&lt;&gt;""""),ROWS(FILTER(AT$3:AT2023,TRIM(AT$3:AT2023)&lt;&gt;"""")))-1)"),"")</f>
        <v/>
      </c>
      <c r="AW2023" s="65" t="e">
        <f t="shared" ca="1" si="328"/>
        <v>#VALUE!</v>
      </c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</row>
    <row r="2024" spans="1:68" ht="19" x14ac:dyDescent="0.25">
      <c r="A2024" s="5"/>
      <c r="B2024" s="5"/>
      <c r="C2024" s="5"/>
      <c r="D2024" s="5"/>
      <c r="E2024" s="5"/>
      <c r="F2024" s="5"/>
      <c r="G2024" s="5"/>
      <c r="H2024" s="6"/>
      <c r="I2024" s="5"/>
      <c r="J2024" s="88"/>
      <c r="K2024" s="88"/>
      <c r="L2024" s="88"/>
      <c r="M2024" s="88"/>
      <c r="N2024" s="88"/>
      <c r="O2024" s="88"/>
      <c r="P2024" s="88"/>
      <c r="Q2024" s="89"/>
      <c r="R2024" s="88"/>
      <c r="S2024" s="88"/>
      <c r="T2024" s="90"/>
      <c r="U2024" s="6"/>
      <c r="V2024" s="92"/>
      <c r="W2024" s="77"/>
      <c r="X2024" s="91"/>
      <c r="Y2024" s="77"/>
      <c r="Z2024" s="5"/>
      <c r="AA2024" s="5"/>
      <c r="AB2024" s="5"/>
      <c r="AC2024" s="5"/>
      <c r="AD2024" s="5"/>
      <c r="AE2024" s="5"/>
      <c r="AF2024" s="5"/>
      <c r="AG2024" s="5"/>
      <c r="AH2024" s="6"/>
      <c r="AI2024" s="92"/>
      <c r="AJ2024" s="93"/>
      <c r="AK2024" s="94"/>
      <c r="AL2024" s="95"/>
      <c r="AM2024" s="56"/>
      <c r="AN2024" s="57">
        <f t="shared" si="327"/>
        <v>0</v>
      </c>
      <c r="AO2024" s="76">
        <f t="shared" si="329"/>
        <v>0</v>
      </c>
      <c r="AP2024" s="63" t="str">
        <f t="shared" si="330"/>
        <v/>
      </c>
      <c r="AQ2024" s="63" t="str">
        <f t="shared" si="331"/>
        <v/>
      </c>
      <c r="AR2024" s="63" t="str">
        <f t="shared" si="332"/>
        <v/>
      </c>
      <c r="AS2024" s="63" t="str">
        <f t="shared" si="333"/>
        <v/>
      </c>
      <c r="AT2024" s="78" t="str">
        <f t="shared" si="334"/>
        <v/>
      </c>
      <c r="AU2024" s="78" t="str">
        <f t="shared" si="335"/>
        <v/>
      </c>
      <c r="AV2024" s="64" t="str">
        <f ca="1">IFERROR(__xludf.DUMMYFUNCTION("IF(TRIM(AU2024)="""","""",AU2024/INDEX(FILTER(AT$3:AT2024,TRIM(AT$3:AT2024)&lt;&gt;""""),ROWS(FILTER(AT$3:AT2024,TRIM(AT$3:AT2024)&lt;&gt;"""")))-1)"),"")</f>
        <v/>
      </c>
      <c r="AW2024" s="65" t="e">
        <f t="shared" ca="1" si="328"/>
        <v>#VALUE!</v>
      </c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</row>
    <row r="2025" spans="1:68" ht="19" x14ac:dyDescent="0.25">
      <c r="A2025" s="5"/>
      <c r="B2025" s="5"/>
      <c r="C2025" s="5"/>
      <c r="D2025" s="5"/>
      <c r="E2025" s="5"/>
      <c r="F2025" s="5"/>
      <c r="G2025" s="5"/>
      <c r="H2025" s="6"/>
      <c r="I2025" s="5"/>
      <c r="J2025" s="88"/>
      <c r="K2025" s="88"/>
      <c r="L2025" s="88"/>
      <c r="M2025" s="88"/>
      <c r="N2025" s="88"/>
      <c r="O2025" s="88"/>
      <c r="P2025" s="88"/>
      <c r="Q2025" s="89"/>
      <c r="R2025" s="88"/>
      <c r="S2025" s="88"/>
      <c r="T2025" s="90"/>
      <c r="U2025" s="6"/>
      <c r="V2025" s="92"/>
      <c r="W2025" s="77"/>
      <c r="X2025" s="91"/>
      <c r="Y2025" s="77"/>
      <c r="Z2025" s="5"/>
      <c r="AA2025" s="5"/>
      <c r="AB2025" s="5"/>
      <c r="AC2025" s="5"/>
      <c r="AD2025" s="5"/>
      <c r="AE2025" s="5"/>
      <c r="AF2025" s="5"/>
      <c r="AG2025" s="5"/>
      <c r="AH2025" s="6"/>
      <c r="AI2025" s="92"/>
      <c r="AJ2025" s="93"/>
      <c r="AK2025" s="94"/>
      <c r="AL2025" s="95"/>
      <c r="AM2025" s="56"/>
      <c r="AN2025" s="57">
        <f t="shared" si="327"/>
        <v>0</v>
      </c>
      <c r="AO2025" s="76">
        <f t="shared" si="329"/>
        <v>0</v>
      </c>
      <c r="AP2025" s="63" t="str">
        <f t="shared" si="330"/>
        <v/>
      </c>
      <c r="AQ2025" s="63" t="str">
        <f t="shared" si="331"/>
        <v/>
      </c>
      <c r="AR2025" s="63" t="str">
        <f t="shared" si="332"/>
        <v/>
      </c>
      <c r="AS2025" s="63" t="str">
        <f t="shared" si="333"/>
        <v/>
      </c>
      <c r="AT2025" s="78" t="str">
        <f t="shared" si="334"/>
        <v/>
      </c>
      <c r="AU2025" s="78" t="str">
        <f t="shared" si="335"/>
        <v/>
      </c>
      <c r="AV2025" s="64" t="str">
        <f ca="1">IFERROR(__xludf.DUMMYFUNCTION("IF(TRIM(AU2025)="""","""",AU2025/INDEX(FILTER(AT$3:AT2025,TRIM(AT$3:AT2025)&lt;&gt;""""),ROWS(FILTER(AT$3:AT2025,TRIM(AT$3:AT2025)&lt;&gt;"""")))-1)"),"")</f>
        <v/>
      </c>
      <c r="AW2025" s="65" t="e">
        <f t="shared" ca="1" si="328"/>
        <v>#VALUE!</v>
      </c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</row>
    <row r="2026" spans="1:68" ht="19" x14ac:dyDescent="0.25">
      <c r="A2026" s="5"/>
      <c r="B2026" s="5"/>
      <c r="C2026" s="5"/>
      <c r="D2026" s="5"/>
      <c r="E2026" s="5"/>
      <c r="F2026" s="5"/>
      <c r="G2026" s="5"/>
      <c r="H2026" s="6"/>
      <c r="I2026" s="5"/>
      <c r="J2026" s="88"/>
      <c r="K2026" s="88"/>
      <c r="L2026" s="88"/>
      <c r="M2026" s="88"/>
      <c r="N2026" s="88"/>
      <c r="O2026" s="88"/>
      <c r="P2026" s="88"/>
      <c r="Q2026" s="89"/>
      <c r="R2026" s="88"/>
      <c r="S2026" s="88"/>
      <c r="T2026" s="90"/>
      <c r="U2026" s="6"/>
      <c r="V2026" s="92"/>
      <c r="W2026" s="77"/>
      <c r="X2026" s="91"/>
      <c r="Y2026" s="77"/>
      <c r="Z2026" s="5"/>
      <c r="AA2026" s="5"/>
      <c r="AB2026" s="5"/>
      <c r="AC2026" s="5"/>
      <c r="AD2026" s="5"/>
      <c r="AE2026" s="5"/>
      <c r="AF2026" s="5"/>
      <c r="AG2026" s="5"/>
      <c r="AH2026" s="6"/>
      <c r="AI2026" s="92"/>
      <c r="AJ2026" s="93"/>
      <c r="AK2026" s="94"/>
      <c r="AL2026" s="95"/>
      <c r="AM2026" s="56"/>
      <c r="AN2026" s="57">
        <f t="shared" si="327"/>
        <v>0</v>
      </c>
      <c r="AO2026" s="76">
        <f t="shared" si="329"/>
        <v>0</v>
      </c>
      <c r="AP2026" s="63" t="str">
        <f t="shared" si="330"/>
        <v/>
      </c>
      <c r="AQ2026" s="63" t="str">
        <f t="shared" si="331"/>
        <v/>
      </c>
      <c r="AR2026" s="63" t="str">
        <f t="shared" si="332"/>
        <v/>
      </c>
      <c r="AS2026" s="63" t="str">
        <f t="shared" si="333"/>
        <v/>
      </c>
      <c r="AT2026" s="78" t="str">
        <f t="shared" si="334"/>
        <v/>
      </c>
      <c r="AU2026" s="78" t="str">
        <f t="shared" si="335"/>
        <v/>
      </c>
      <c r="AV2026" s="64" t="str">
        <f ca="1">IFERROR(__xludf.DUMMYFUNCTION("IF(TRIM(AU2026)="""","""",AU2026/INDEX(FILTER(AT$3:AT2026,TRIM(AT$3:AT2026)&lt;&gt;""""),ROWS(FILTER(AT$3:AT2026,TRIM(AT$3:AT2026)&lt;&gt;"""")))-1)"),"")</f>
        <v/>
      </c>
      <c r="AW2026" s="65" t="e">
        <f t="shared" ca="1" si="328"/>
        <v>#VALUE!</v>
      </c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</row>
    <row r="2027" spans="1:68" ht="19" x14ac:dyDescent="0.25">
      <c r="A2027" s="5"/>
      <c r="B2027" s="5"/>
      <c r="C2027" s="5"/>
      <c r="D2027" s="5"/>
      <c r="E2027" s="5"/>
      <c r="F2027" s="5"/>
      <c r="G2027" s="5"/>
      <c r="H2027" s="6"/>
      <c r="I2027" s="5"/>
      <c r="J2027" s="88"/>
      <c r="K2027" s="88"/>
      <c r="L2027" s="88"/>
      <c r="M2027" s="88"/>
      <c r="N2027" s="88"/>
      <c r="O2027" s="88"/>
      <c r="P2027" s="88"/>
      <c r="Q2027" s="89"/>
      <c r="R2027" s="88"/>
      <c r="S2027" s="88"/>
      <c r="T2027" s="90"/>
      <c r="U2027" s="6"/>
      <c r="V2027" s="92"/>
      <c r="W2027" s="77"/>
      <c r="X2027" s="91"/>
      <c r="Y2027" s="77"/>
      <c r="Z2027" s="5"/>
      <c r="AA2027" s="5"/>
      <c r="AB2027" s="5"/>
      <c r="AC2027" s="5"/>
      <c r="AD2027" s="5"/>
      <c r="AE2027" s="5"/>
      <c r="AF2027" s="5"/>
      <c r="AG2027" s="5"/>
      <c r="AH2027" s="6"/>
      <c r="AI2027" s="92"/>
      <c r="AJ2027" s="93"/>
      <c r="AK2027" s="94"/>
      <c r="AL2027" s="95"/>
      <c r="AM2027" s="56"/>
      <c r="AN2027" s="57">
        <f t="shared" si="327"/>
        <v>0</v>
      </c>
      <c r="AO2027" s="76">
        <f t="shared" si="329"/>
        <v>0</v>
      </c>
      <c r="AP2027" s="63" t="str">
        <f t="shared" si="330"/>
        <v/>
      </c>
      <c r="AQ2027" s="63" t="str">
        <f t="shared" si="331"/>
        <v/>
      </c>
      <c r="AR2027" s="63" t="str">
        <f t="shared" si="332"/>
        <v/>
      </c>
      <c r="AS2027" s="63" t="str">
        <f t="shared" si="333"/>
        <v/>
      </c>
      <c r="AT2027" s="78" t="str">
        <f t="shared" si="334"/>
        <v/>
      </c>
      <c r="AU2027" s="78" t="str">
        <f t="shared" si="335"/>
        <v/>
      </c>
      <c r="AV2027" s="64" t="str">
        <f ca="1">IFERROR(__xludf.DUMMYFUNCTION("IF(TRIM(AU2027)="""","""",AU2027/INDEX(FILTER(AT$3:AT2027,TRIM(AT$3:AT2027)&lt;&gt;""""),ROWS(FILTER(AT$3:AT2027,TRIM(AT$3:AT2027)&lt;&gt;"""")))-1)"),"")</f>
        <v/>
      </c>
      <c r="AW2027" s="65" t="e">
        <f t="shared" ca="1" si="328"/>
        <v>#VALUE!</v>
      </c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</row>
    <row r="2028" spans="1:68" ht="19" x14ac:dyDescent="0.25">
      <c r="A2028" s="5"/>
      <c r="B2028" s="5"/>
      <c r="C2028" s="5"/>
      <c r="D2028" s="5"/>
      <c r="E2028" s="5"/>
      <c r="F2028" s="5"/>
      <c r="G2028" s="5"/>
      <c r="H2028" s="6"/>
      <c r="I2028" s="5"/>
      <c r="J2028" s="88"/>
      <c r="K2028" s="88"/>
      <c r="L2028" s="88"/>
      <c r="M2028" s="88"/>
      <c r="N2028" s="88"/>
      <c r="O2028" s="88"/>
      <c r="P2028" s="88"/>
      <c r="Q2028" s="89"/>
      <c r="R2028" s="88"/>
      <c r="S2028" s="88"/>
      <c r="T2028" s="90"/>
      <c r="U2028" s="6"/>
      <c r="V2028" s="92"/>
      <c r="W2028" s="77"/>
      <c r="X2028" s="91"/>
      <c r="Y2028" s="77"/>
      <c r="Z2028" s="5"/>
      <c r="AA2028" s="5"/>
      <c r="AB2028" s="5"/>
      <c r="AC2028" s="5"/>
      <c r="AD2028" s="5"/>
      <c r="AE2028" s="5"/>
      <c r="AF2028" s="5"/>
      <c r="AG2028" s="5"/>
      <c r="AH2028" s="6"/>
      <c r="AI2028" s="92"/>
      <c r="AJ2028" s="93"/>
      <c r="AK2028" s="94"/>
      <c r="AL2028" s="95"/>
      <c r="AM2028" s="56"/>
      <c r="AN2028" s="57">
        <f t="shared" si="327"/>
        <v>0</v>
      </c>
      <c r="AO2028" s="76">
        <f t="shared" si="329"/>
        <v>0</v>
      </c>
      <c r="AP2028" s="63" t="str">
        <f t="shared" si="330"/>
        <v/>
      </c>
      <c r="AQ2028" s="63" t="str">
        <f t="shared" si="331"/>
        <v/>
      </c>
      <c r="AR2028" s="63" t="str">
        <f t="shared" si="332"/>
        <v/>
      </c>
      <c r="AS2028" s="63" t="str">
        <f t="shared" si="333"/>
        <v/>
      </c>
      <c r="AT2028" s="78" t="str">
        <f t="shared" si="334"/>
        <v/>
      </c>
      <c r="AU2028" s="78" t="str">
        <f t="shared" si="335"/>
        <v/>
      </c>
      <c r="AV2028" s="64" t="str">
        <f ca="1">IFERROR(__xludf.DUMMYFUNCTION("IF(TRIM(AU2028)="""","""",AU2028/INDEX(FILTER(AT$3:AT2028,TRIM(AT$3:AT2028)&lt;&gt;""""),ROWS(FILTER(AT$3:AT2028,TRIM(AT$3:AT2028)&lt;&gt;"""")))-1)"),"")</f>
        <v/>
      </c>
      <c r="AW2028" s="65" t="e">
        <f t="shared" ca="1" si="328"/>
        <v>#VALUE!</v>
      </c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</row>
    <row r="2029" spans="1:68" ht="19" x14ac:dyDescent="0.25">
      <c r="A2029" s="5"/>
      <c r="B2029" s="5"/>
      <c r="C2029" s="5"/>
      <c r="D2029" s="5"/>
      <c r="E2029" s="5"/>
      <c r="F2029" s="5"/>
      <c r="G2029" s="5"/>
      <c r="H2029" s="6"/>
      <c r="I2029" s="5"/>
      <c r="J2029" s="88"/>
      <c r="K2029" s="88"/>
      <c r="L2029" s="88"/>
      <c r="M2029" s="88"/>
      <c r="N2029" s="88"/>
      <c r="O2029" s="88"/>
      <c r="P2029" s="88"/>
      <c r="Q2029" s="89"/>
      <c r="R2029" s="88"/>
      <c r="S2029" s="88"/>
      <c r="T2029" s="90"/>
      <c r="U2029" s="6"/>
      <c r="V2029" s="92"/>
      <c r="W2029" s="77"/>
      <c r="X2029" s="91"/>
      <c r="Y2029" s="77"/>
      <c r="Z2029" s="5"/>
      <c r="AA2029" s="5"/>
      <c r="AB2029" s="5"/>
      <c r="AC2029" s="5"/>
      <c r="AD2029" s="5"/>
      <c r="AE2029" s="5"/>
      <c r="AF2029" s="5"/>
      <c r="AG2029" s="5"/>
      <c r="AH2029" s="6"/>
      <c r="AI2029" s="92"/>
      <c r="AJ2029" s="93"/>
      <c r="AK2029" s="94"/>
      <c r="AL2029" s="95"/>
      <c r="AM2029" s="56"/>
      <c r="AN2029" s="57">
        <f t="shared" si="327"/>
        <v>0</v>
      </c>
      <c r="AO2029" s="76">
        <f t="shared" si="329"/>
        <v>0</v>
      </c>
      <c r="AP2029" s="63" t="str">
        <f t="shared" si="330"/>
        <v/>
      </c>
      <c r="AQ2029" s="63" t="str">
        <f t="shared" si="331"/>
        <v/>
      </c>
      <c r="AR2029" s="63" t="str">
        <f t="shared" si="332"/>
        <v/>
      </c>
      <c r="AS2029" s="63" t="str">
        <f t="shared" si="333"/>
        <v/>
      </c>
      <c r="AT2029" s="78" t="str">
        <f t="shared" si="334"/>
        <v/>
      </c>
      <c r="AU2029" s="78" t="str">
        <f t="shared" si="335"/>
        <v/>
      </c>
      <c r="AV2029" s="64" t="str">
        <f ca="1">IFERROR(__xludf.DUMMYFUNCTION("IF(TRIM(AU2029)="""","""",AU2029/INDEX(FILTER(AT$3:AT2029,TRIM(AT$3:AT2029)&lt;&gt;""""),ROWS(FILTER(AT$3:AT2029,TRIM(AT$3:AT2029)&lt;&gt;"""")))-1)"),"")</f>
        <v/>
      </c>
      <c r="AW2029" s="65" t="e">
        <f t="shared" ca="1" si="328"/>
        <v>#VALUE!</v>
      </c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</row>
    <row r="2030" spans="1:68" ht="19" x14ac:dyDescent="0.25">
      <c r="A2030" s="5"/>
      <c r="B2030" s="5"/>
      <c r="C2030" s="5"/>
      <c r="D2030" s="5"/>
      <c r="E2030" s="5"/>
      <c r="F2030" s="5"/>
      <c r="G2030" s="5"/>
      <c r="H2030" s="6"/>
      <c r="I2030" s="5"/>
      <c r="J2030" s="88"/>
      <c r="K2030" s="88"/>
      <c r="L2030" s="88"/>
      <c r="M2030" s="88"/>
      <c r="N2030" s="88"/>
      <c r="O2030" s="88"/>
      <c r="P2030" s="88"/>
      <c r="Q2030" s="89"/>
      <c r="R2030" s="88"/>
      <c r="S2030" s="88"/>
      <c r="T2030" s="90"/>
      <c r="U2030" s="6"/>
      <c r="V2030" s="92"/>
      <c r="W2030" s="77"/>
      <c r="X2030" s="91"/>
      <c r="Y2030" s="77"/>
      <c r="Z2030" s="5"/>
      <c r="AA2030" s="5"/>
      <c r="AB2030" s="5"/>
      <c r="AC2030" s="5"/>
      <c r="AD2030" s="5"/>
      <c r="AE2030" s="5"/>
      <c r="AF2030" s="5"/>
      <c r="AG2030" s="5"/>
      <c r="AH2030" s="6"/>
      <c r="AI2030" s="92"/>
      <c r="AJ2030" s="93"/>
      <c r="AK2030" s="94"/>
      <c r="AL2030" s="95"/>
      <c r="AM2030" s="56"/>
      <c r="AN2030" s="57">
        <f t="shared" si="327"/>
        <v>0</v>
      </c>
      <c r="AO2030" s="76">
        <f t="shared" si="329"/>
        <v>0</v>
      </c>
      <c r="AP2030" s="63" t="str">
        <f t="shared" si="330"/>
        <v/>
      </c>
      <c r="AQ2030" s="63" t="str">
        <f t="shared" si="331"/>
        <v/>
      </c>
      <c r="AR2030" s="63" t="str">
        <f t="shared" si="332"/>
        <v/>
      </c>
      <c r="AS2030" s="63" t="str">
        <f t="shared" si="333"/>
        <v/>
      </c>
      <c r="AT2030" s="78" t="str">
        <f t="shared" si="334"/>
        <v/>
      </c>
      <c r="AU2030" s="78" t="str">
        <f t="shared" si="335"/>
        <v/>
      </c>
      <c r="AV2030" s="64" t="str">
        <f ca="1">IFERROR(__xludf.DUMMYFUNCTION("IF(TRIM(AU2030)="""","""",AU2030/INDEX(FILTER(AT$3:AT2030,TRIM(AT$3:AT2030)&lt;&gt;""""),ROWS(FILTER(AT$3:AT2030,TRIM(AT$3:AT2030)&lt;&gt;"""")))-1)"),"")</f>
        <v/>
      </c>
      <c r="AW2030" s="65" t="e">
        <f t="shared" ca="1" si="328"/>
        <v>#VALUE!</v>
      </c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</row>
    <row r="2031" spans="1:68" ht="19" x14ac:dyDescent="0.25">
      <c r="A2031" s="5"/>
      <c r="B2031" s="5"/>
      <c r="C2031" s="5"/>
      <c r="D2031" s="5"/>
      <c r="E2031" s="5"/>
      <c r="F2031" s="5"/>
      <c r="G2031" s="5"/>
      <c r="H2031" s="6"/>
      <c r="I2031" s="5"/>
      <c r="J2031" s="88"/>
      <c r="K2031" s="88"/>
      <c r="L2031" s="88"/>
      <c r="M2031" s="88"/>
      <c r="N2031" s="88"/>
      <c r="O2031" s="88"/>
      <c r="P2031" s="88"/>
      <c r="Q2031" s="89"/>
      <c r="R2031" s="88"/>
      <c r="S2031" s="88"/>
      <c r="T2031" s="90"/>
      <c r="U2031" s="6"/>
      <c r="V2031" s="92"/>
      <c r="W2031" s="77"/>
      <c r="X2031" s="91"/>
      <c r="Y2031" s="77"/>
      <c r="Z2031" s="5"/>
      <c r="AA2031" s="5"/>
      <c r="AB2031" s="5"/>
      <c r="AC2031" s="5"/>
      <c r="AD2031" s="5"/>
      <c r="AE2031" s="5"/>
      <c r="AF2031" s="5"/>
      <c r="AG2031" s="5"/>
      <c r="AH2031" s="6"/>
      <c r="AI2031" s="92"/>
      <c r="AJ2031" s="93"/>
      <c r="AK2031" s="94"/>
      <c r="AL2031" s="95"/>
      <c r="AM2031" s="56"/>
      <c r="AN2031" s="57">
        <f t="shared" si="327"/>
        <v>0</v>
      </c>
      <c r="AO2031" s="76">
        <f t="shared" si="329"/>
        <v>0</v>
      </c>
      <c r="AP2031" s="63" t="str">
        <f t="shared" si="330"/>
        <v/>
      </c>
      <c r="AQ2031" s="63" t="str">
        <f t="shared" si="331"/>
        <v/>
      </c>
      <c r="AR2031" s="63" t="str">
        <f t="shared" si="332"/>
        <v/>
      </c>
      <c r="AS2031" s="63" t="str">
        <f t="shared" si="333"/>
        <v/>
      </c>
      <c r="AT2031" s="78" t="str">
        <f t="shared" si="334"/>
        <v/>
      </c>
      <c r="AU2031" s="78" t="str">
        <f t="shared" si="335"/>
        <v/>
      </c>
      <c r="AV2031" s="64" t="str">
        <f ca="1">IFERROR(__xludf.DUMMYFUNCTION("IF(TRIM(AU2031)="""","""",AU2031/INDEX(FILTER(AT$3:AT2031,TRIM(AT$3:AT2031)&lt;&gt;""""),ROWS(FILTER(AT$3:AT2031,TRIM(AT$3:AT2031)&lt;&gt;"""")))-1)"),"")</f>
        <v/>
      </c>
      <c r="AW2031" s="65" t="e">
        <f t="shared" ca="1" si="328"/>
        <v>#VALUE!</v>
      </c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</row>
    <row r="2032" spans="1:68" ht="19" x14ac:dyDescent="0.25">
      <c r="A2032" s="5"/>
      <c r="B2032" s="5"/>
      <c r="C2032" s="5"/>
      <c r="D2032" s="5"/>
      <c r="E2032" s="5"/>
      <c r="F2032" s="5"/>
      <c r="G2032" s="5"/>
      <c r="H2032" s="6"/>
      <c r="I2032" s="5"/>
      <c r="J2032" s="88"/>
      <c r="K2032" s="88"/>
      <c r="L2032" s="88"/>
      <c r="M2032" s="88"/>
      <c r="N2032" s="88"/>
      <c r="O2032" s="88"/>
      <c r="P2032" s="88"/>
      <c r="Q2032" s="89"/>
      <c r="R2032" s="88"/>
      <c r="S2032" s="88"/>
      <c r="T2032" s="90"/>
      <c r="U2032" s="6"/>
      <c r="V2032" s="92"/>
      <c r="W2032" s="77"/>
      <c r="X2032" s="91"/>
      <c r="Y2032" s="77"/>
      <c r="Z2032" s="5"/>
      <c r="AA2032" s="5"/>
      <c r="AB2032" s="5"/>
      <c r="AC2032" s="5"/>
      <c r="AD2032" s="5"/>
      <c r="AE2032" s="5"/>
      <c r="AF2032" s="5"/>
      <c r="AG2032" s="5"/>
      <c r="AH2032" s="6"/>
      <c r="AI2032" s="92"/>
      <c r="AJ2032" s="93"/>
      <c r="AK2032" s="94"/>
      <c r="AL2032" s="95"/>
      <c r="AM2032" s="56"/>
      <c r="AN2032" s="57">
        <f t="shared" si="327"/>
        <v>0</v>
      </c>
      <c r="AO2032" s="76">
        <f t="shared" si="329"/>
        <v>0</v>
      </c>
      <c r="AP2032" s="63" t="str">
        <f t="shared" si="330"/>
        <v/>
      </c>
      <c r="AQ2032" s="63" t="str">
        <f t="shared" si="331"/>
        <v/>
      </c>
      <c r="AR2032" s="63" t="str">
        <f t="shared" si="332"/>
        <v/>
      </c>
      <c r="AS2032" s="63" t="str">
        <f t="shared" si="333"/>
        <v/>
      </c>
      <c r="AT2032" s="78" t="str">
        <f t="shared" si="334"/>
        <v/>
      </c>
      <c r="AU2032" s="78" t="str">
        <f t="shared" si="335"/>
        <v/>
      </c>
      <c r="AV2032" s="64" t="str">
        <f ca="1">IFERROR(__xludf.DUMMYFUNCTION("IF(TRIM(AU2032)="""","""",AU2032/INDEX(FILTER(AT$3:AT2032,TRIM(AT$3:AT2032)&lt;&gt;""""),ROWS(FILTER(AT$3:AT2032,TRIM(AT$3:AT2032)&lt;&gt;"""")))-1)"),"")</f>
        <v/>
      </c>
      <c r="AW2032" s="65" t="e">
        <f t="shared" ca="1" si="328"/>
        <v>#VALUE!</v>
      </c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</row>
    <row r="2033" spans="1:68" ht="19" x14ac:dyDescent="0.25">
      <c r="A2033" s="5"/>
      <c r="B2033" s="5"/>
      <c r="C2033" s="5"/>
      <c r="D2033" s="5"/>
      <c r="E2033" s="5"/>
      <c r="F2033" s="5"/>
      <c r="G2033" s="5"/>
      <c r="H2033" s="6"/>
      <c r="I2033" s="5"/>
      <c r="J2033" s="88"/>
      <c r="K2033" s="88"/>
      <c r="L2033" s="88"/>
      <c r="M2033" s="88"/>
      <c r="N2033" s="88"/>
      <c r="O2033" s="88"/>
      <c r="P2033" s="88"/>
      <c r="Q2033" s="89"/>
      <c r="R2033" s="88"/>
      <c r="S2033" s="88"/>
      <c r="T2033" s="90"/>
      <c r="U2033" s="6"/>
      <c r="V2033" s="92"/>
      <c r="W2033" s="77"/>
      <c r="X2033" s="91"/>
      <c r="Y2033" s="77"/>
      <c r="Z2033" s="5"/>
      <c r="AA2033" s="5"/>
      <c r="AB2033" s="5"/>
      <c r="AC2033" s="5"/>
      <c r="AD2033" s="5"/>
      <c r="AE2033" s="5"/>
      <c r="AF2033" s="5"/>
      <c r="AG2033" s="5"/>
      <c r="AH2033" s="6"/>
      <c r="AI2033" s="92"/>
      <c r="AJ2033" s="93"/>
      <c r="AK2033" s="94"/>
      <c r="AL2033" s="95"/>
      <c r="AM2033" s="56"/>
      <c r="AN2033" s="57">
        <f t="shared" si="327"/>
        <v>0</v>
      </c>
      <c r="AO2033" s="76">
        <f t="shared" si="329"/>
        <v>0</v>
      </c>
      <c r="AP2033" s="63" t="str">
        <f t="shared" si="330"/>
        <v/>
      </c>
      <c r="AQ2033" s="63" t="str">
        <f t="shared" si="331"/>
        <v/>
      </c>
      <c r="AR2033" s="63" t="str">
        <f t="shared" si="332"/>
        <v/>
      </c>
      <c r="AS2033" s="63" t="str">
        <f t="shared" si="333"/>
        <v/>
      </c>
      <c r="AT2033" s="78" t="str">
        <f t="shared" si="334"/>
        <v/>
      </c>
      <c r="AU2033" s="78" t="str">
        <f t="shared" si="335"/>
        <v/>
      </c>
      <c r="AV2033" s="64" t="str">
        <f ca="1">IFERROR(__xludf.DUMMYFUNCTION("IF(TRIM(AU2033)="""","""",AU2033/INDEX(FILTER(AT$3:AT2033,TRIM(AT$3:AT2033)&lt;&gt;""""),ROWS(FILTER(AT$3:AT2033,TRIM(AT$3:AT2033)&lt;&gt;"""")))-1)"),"")</f>
        <v/>
      </c>
      <c r="AW2033" s="65" t="e">
        <f t="shared" ca="1" si="328"/>
        <v>#VALUE!</v>
      </c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</row>
    <row r="2034" spans="1:68" ht="19" x14ac:dyDescent="0.25">
      <c r="A2034" s="5"/>
      <c r="B2034" s="5"/>
      <c r="C2034" s="5"/>
      <c r="D2034" s="5"/>
      <c r="E2034" s="5"/>
      <c r="F2034" s="5"/>
      <c r="G2034" s="5"/>
      <c r="H2034" s="6"/>
      <c r="I2034" s="5"/>
      <c r="J2034" s="88"/>
      <c r="K2034" s="88"/>
      <c r="L2034" s="88"/>
      <c r="M2034" s="88"/>
      <c r="N2034" s="88"/>
      <c r="O2034" s="88"/>
      <c r="P2034" s="88"/>
      <c r="Q2034" s="89"/>
      <c r="R2034" s="88"/>
      <c r="S2034" s="88"/>
      <c r="T2034" s="90"/>
      <c r="U2034" s="6"/>
      <c r="V2034" s="92"/>
      <c r="W2034" s="77"/>
      <c r="X2034" s="91"/>
      <c r="Y2034" s="77"/>
      <c r="Z2034" s="5"/>
      <c r="AA2034" s="5"/>
      <c r="AB2034" s="5"/>
      <c r="AC2034" s="5"/>
      <c r="AD2034" s="5"/>
      <c r="AE2034" s="5"/>
      <c r="AF2034" s="5"/>
      <c r="AG2034" s="5"/>
      <c r="AH2034" s="6"/>
      <c r="AI2034" s="92"/>
      <c r="AJ2034" s="93"/>
      <c r="AK2034" s="94"/>
      <c r="AL2034" s="95"/>
      <c r="AM2034" s="56"/>
      <c r="AN2034" s="57">
        <f t="shared" si="327"/>
        <v>0</v>
      </c>
      <c r="AO2034" s="76">
        <f t="shared" si="329"/>
        <v>0</v>
      </c>
      <c r="AP2034" s="63" t="str">
        <f t="shared" si="330"/>
        <v/>
      </c>
      <c r="AQ2034" s="63" t="str">
        <f t="shared" si="331"/>
        <v/>
      </c>
      <c r="AR2034" s="63" t="str">
        <f t="shared" si="332"/>
        <v/>
      </c>
      <c r="AS2034" s="63" t="str">
        <f t="shared" si="333"/>
        <v/>
      </c>
      <c r="AT2034" s="78" t="str">
        <f t="shared" si="334"/>
        <v/>
      </c>
      <c r="AU2034" s="78" t="str">
        <f t="shared" si="335"/>
        <v/>
      </c>
      <c r="AV2034" s="64" t="str">
        <f ca="1">IFERROR(__xludf.DUMMYFUNCTION("IF(TRIM(AU2034)="""","""",AU2034/INDEX(FILTER(AT$3:AT2034,TRIM(AT$3:AT2034)&lt;&gt;""""),ROWS(FILTER(AT$3:AT2034,TRIM(AT$3:AT2034)&lt;&gt;"""")))-1)"),"")</f>
        <v/>
      </c>
      <c r="AW2034" s="65" t="e">
        <f t="shared" ca="1" si="328"/>
        <v>#VALUE!</v>
      </c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</row>
    <row r="2035" spans="1:68" ht="19" x14ac:dyDescent="0.25">
      <c r="A2035" s="5"/>
      <c r="B2035" s="5"/>
      <c r="C2035" s="5"/>
      <c r="D2035" s="5"/>
      <c r="E2035" s="5"/>
      <c r="F2035" s="5"/>
      <c r="G2035" s="5"/>
      <c r="H2035" s="6"/>
      <c r="I2035" s="5"/>
      <c r="J2035" s="88"/>
      <c r="K2035" s="88"/>
      <c r="L2035" s="88"/>
      <c r="M2035" s="88"/>
      <c r="N2035" s="88"/>
      <c r="O2035" s="88"/>
      <c r="P2035" s="88"/>
      <c r="Q2035" s="89"/>
      <c r="R2035" s="88"/>
      <c r="S2035" s="88"/>
      <c r="T2035" s="90"/>
      <c r="U2035" s="6"/>
      <c r="V2035" s="92"/>
      <c r="W2035" s="77"/>
      <c r="X2035" s="91"/>
      <c r="Y2035" s="77"/>
      <c r="Z2035" s="5"/>
      <c r="AA2035" s="5"/>
      <c r="AB2035" s="5"/>
      <c r="AC2035" s="5"/>
      <c r="AD2035" s="5"/>
      <c r="AE2035" s="5"/>
      <c r="AF2035" s="5"/>
      <c r="AG2035" s="5"/>
      <c r="AH2035" s="6"/>
      <c r="AI2035" s="92"/>
      <c r="AJ2035" s="93"/>
      <c r="AK2035" s="94"/>
      <c r="AL2035" s="95"/>
      <c r="AM2035" s="56"/>
      <c r="AN2035" s="57">
        <f t="shared" si="327"/>
        <v>0</v>
      </c>
      <c r="AO2035" s="76">
        <f t="shared" si="329"/>
        <v>0</v>
      </c>
      <c r="AP2035" s="63" t="str">
        <f t="shared" si="330"/>
        <v/>
      </c>
      <c r="AQ2035" s="63" t="str">
        <f t="shared" si="331"/>
        <v/>
      </c>
      <c r="AR2035" s="63" t="str">
        <f t="shared" si="332"/>
        <v/>
      </c>
      <c r="AS2035" s="63" t="str">
        <f t="shared" si="333"/>
        <v/>
      </c>
      <c r="AT2035" s="78" t="str">
        <f t="shared" si="334"/>
        <v/>
      </c>
      <c r="AU2035" s="78" t="str">
        <f t="shared" si="335"/>
        <v/>
      </c>
      <c r="AV2035" s="64" t="str">
        <f ca="1">IFERROR(__xludf.DUMMYFUNCTION("IF(TRIM(AU2035)="""","""",AU2035/INDEX(FILTER(AT$3:AT2035,TRIM(AT$3:AT2035)&lt;&gt;""""),ROWS(FILTER(AT$3:AT2035,TRIM(AT$3:AT2035)&lt;&gt;"""")))-1)"),"")</f>
        <v/>
      </c>
      <c r="AW2035" s="65" t="e">
        <f t="shared" ca="1" si="328"/>
        <v>#VALUE!</v>
      </c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</row>
    <row r="2036" spans="1:68" ht="19" x14ac:dyDescent="0.25">
      <c r="A2036" s="5"/>
      <c r="B2036" s="5"/>
      <c r="C2036" s="5"/>
      <c r="D2036" s="5"/>
      <c r="E2036" s="5"/>
      <c r="F2036" s="5"/>
      <c r="G2036" s="5"/>
      <c r="H2036" s="6"/>
      <c r="I2036" s="5"/>
      <c r="J2036" s="88"/>
      <c r="K2036" s="88"/>
      <c r="L2036" s="88"/>
      <c r="M2036" s="88"/>
      <c r="N2036" s="88"/>
      <c r="O2036" s="88"/>
      <c r="P2036" s="88"/>
      <c r="Q2036" s="89"/>
      <c r="R2036" s="88"/>
      <c r="S2036" s="88"/>
      <c r="T2036" s="90"/>
      <c r="U2036" s="6"/>
      <c r="V2036" s="92"/>
      <c r="W2036" s="77"/>
      <c r="X2036" s="91"/>
      <c r="Y2036" s="77"/>
      <c r="Z2036" s="5"/>
      <c r="AA2036" s="5"/>
      <c r="AB2036" s="5"/>
      <c r="AC2036" s="5"/>
      <c r="AD2036" s="5"/>
      <c r="AE2036" s="5"/>
      <c r="AF2036" s="5"/>
      <c r="AG2036" s="5"/>
      <c r="AH2036" s="6"/>
      <c r="AI2036" s="92"/>
      <c r="AJ2036" s="93"/>
      <c r="AK2036" s="94"/>
      <c r="AL2036" s="95"/>
      <c r="AM2036" s="56"/>
      <c r="AN2036" s="57">
        <f t="shared" si="327"/>
        <v>0</v>
      </c>
      <c r="AO2036" s="76">
        <f t="shared" si="329"/>
        <v>0</v>
      </c>
      <c r="AP2036" s="63" t="str">
        <f t="shared" si="330"/>
        <v/>
      </c>
      <c r="AQ2036" s="63" t="str">
        <f t="shared" si="331"/>
        <v/>
      </c>
      <c r="AR2036" s="63" t="str">
        <f t="shared" si="332"/>
        <v/>
      </c>
      <c r="AS2036" s="63" t="str">
        <f t="shared" si="333"/>
        <v/>
      </c>
      <c r="AT2036" s="78" t="str">
        <f t="shared" si="334"/>
        <v/>
      </c>
      <c r="AU2036" s="78" t="str">
        <f t="shared" si="335"/>
        <v/>
      </c>
      <c r="AV2036" s="64" t="str">
        <f ca="1">IFERROR(__xludf.DUMMYFUNCTION("IF(TRIM(AU2036)="""","""",AU2036/INDEX(FILTER(AT$3:AT2036,TRIM(AT$3:AT2036)&lt;&gt;""""),ROWS(FILTER(AT$3:AT2036,TRIM(AT$3:AT2036)&lt;&gt;"""")))-1)"),"")</f>
        <v/>
      </c>
      <c r="AW2036" s="65" t="e">
        <f t="shared" ca="1" si="328"/>
        <v>#VALUE!</v>
      </c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</row>
    <row r="2037" spans="1:68" ht="19" x14ac:dyDescent="0.25">
      <c r="A2037" s="5"/>
      <c r="B2037" s="5"/>
      <c r="C2037" s="5"/>
      <c r="D2037" s="5"/>
      <c r="E2037" s="5"/>
      <c r="F2037" s="5"/>
      <c r="G2037" s="5"/>
      <c r="H2037" s="6"/>
      <c r="I2037" s="5"/>
      <c r="J2037" s="88"/>
      <c r="K2037" s="88"/>
      <c r="L2037" s="88"/>
      <c r="M2037" s="88"/>
      <c r="N2037" s="88"/>
      <c r="O2037" s="88"/>
      <c r="P2037" s="88"/>
      <c r="Q2037" s="89"/>
      <c r="R2037" s="88"/>
      <c r="S2037" s="88"/>
      <c r="T2037" s="90"/>
      <c r="U2037" s="6"/>
      <c r="V2037" s="92"/>
      <c r="W2037" s="77"/>
      <c r="X2037" s="91"/>
      <c r="Y2037" s="77"/>
      <c r="Z2037" s="5"/>
      <c r="AA2037" s="5"/>
      <c r="AB2037" s="5"/>
      <c r="AC2037" s="5"/>
      <c r="AD2037" s="5"/>
      <c r="AE2037" s="5"/>
      <c r="AF2037" s="5"/>
      <c r="AG2037" s="5"/>
      <c r="AH2037" s="6"/>
      <c r="AI2037" s="92"/>
      <c r="AJ2037" s="93"/>
      <c r="AK2037" s="94"/>
      <c r="AL2037" s="95"/>
      <c r="AM2037" s="56"/>
      <c r="AN2037" s="57">
        <f t="shared" si="327"/>
        <v>0</v>
      </c>
      <c r="AO2037" s="76">
        <f t="shared" si="329"/>
        <v>0</v>
      </c>
      <c r="AP2037" s="63" t="str">
        <f t="shared" si="330"/>
        <v/>
      </c>
      <c r="AQ2037" s="63" t="str">
        <f t="shared" si="331"/>
        <v/>
      </c>
      <c r="AR2037" s="63" t="str">
        <f t="shared" si="332"/>
        <v/>
      </c>
      <c r="AS2037" s="63" t="str">
        <f t="shared" si="333"/>
        <v/>
      </c>
      <c r="AT2037" s="78" t="str">
        <f t="shared" si="334"/>
        <v/>
      </c>
      <c r="AU2037" s="78" t="str">
        <f t="shared" si="335"/>
        <v/>
      </c>
      <c r="AV2037" s="64" t="str">
        <f ca="1">IFERROR(__xludf.DUMMYFUNCTION("IF(TRIM(AU2037)="""","""",AU2037/INDEX(FILTER(AT$3:AT2037,TRIM(AT$3:AT2037)&lt;&gt;""""),ROWS(FILTER(AT$3:AT2037,TRIM(AT$3:AT2037)&lt;&gt;"""")))-1)"),"")</f>
        <v/>
      </c>
      <c r="AW2037" s="65" t="e">
        <f t="shared" ca="1" si="328"/>
        <v>#VALUE!</v>
      </c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</row>
    <row r="2038" spans="1:68" ht="19" x14ac:dyDescent="0.25">
      <c r="A2038" s="5"/>
      <c r="B2038" s="5"/>
      <c r="C2038" s="5"/>
      <c r="D2038" s="5"/>
      <c r="E2038" s="5"/>
      <c r="F2038" s="5"/>
      <c r="G2038" s="5"/>
      <c r="H2038" s="6"/>
      <c r="I2038" s="5"/>
      <c r="J2038" s="88"/>
      <c r="K2038" s="88"/>
      <c r="L2038" s="88"/>
      <c r="M2038" s="88"/>
      <c r="N2038" s="88"/>
      <c r="O2038" s="88"/>
      <c r="P2038" s="88"/>
      <c r="Q2038" s="89"/>
      <c r="R2038" s="88"/>
      <c r="S2038" s="88"/>
      <c r="T2038" s="90"/>
      <c r="U2038" s="6"/>
      <c r="V2038" s="92"/>
      <c r="W2038" s="77"/>
      <c r="X2038" s="91"/>
      <c r="Y2038" s="77"/>
      <c r="Z2038" s="5"/>
      <c r="AA2038" s="5"/>
      <c r="AB2038" s="5"/>
      <c r="AC2038" s="5"/>
      <c r="AD2038" s="5"/>
      <c r="AE2038" s="5"/>
      <c r="AF2038" s="5"/>
      <c r="AG2038" s="5"/>
      <c r="AH2038" s="6"/>
      <c r="AI2038" s="92"/>
      <c r="AJ2038" s="93"/>
      <c r="AK2038" s="94"/>
      <c r="AL2038" s="95"/>
      <c r="AM2038" s="56"/>
      <c r="AN2038" s="57">
        <f t="shared" si="327"/>
        <v>0</v>
      </c>
      <c r="AO2038" s="76">
        <f t="shared" si="329"/>
        <v>0</v>
      </c>
      <c r="AP2038" s="63" t="str">
        <f t="shared" si="330"/>
        <v/>
      </c>
      <c r="AQ2038" s="63" t="str">
        <f t="shared" si="331"/>
        <v/>
      </c>
      <c r="AR2038" s="63" t="str">
        <f t="shared" si="332"/>
        <v/>
      </c>
      <c r="AS2038" s="63" t="str">
        <f t="shared" si="333"/>
        <v/>
      </c>
      <c r="AT2038" s="78" t="str">
        <f t="shared" si="334"/>
        <v/>
      </c>
      <c r="AU2038" s="78" t="str">
        <f t="shared" si="335"/>
        <v/>
      </c>
      <c r="AV2038" s="64" t="str">
        <f ca="1">IFERROR(__xludf.DUMMYFUNCTION("IF(TRIM(AU2038)="""","""",AU2038/INDEX(FILTER(AT$3:AT2038,TRIM(AT$3:AT2038)&lt;&gt;""""),ROWS(FILTER(AT$3:AT2038,TRIM(AT$3:AT2038)&lt;&gt;"""")))-1)"),"")</f>
        <v/>
      </c>
      <c r="AW2038" s="65" t="e">
        <f t="shared" ca="1" si="328"/>
        <v>#VALUE!</v>
      </c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</row>
    <row r="2039" spans="1:68" ht="19" x14ac:dyDescent="0.25">
      <c r="A2039" s="5"/>
      <c r="B2039" s="5"/>
      <c r="C2039" s="5"/>
      <c r="D2039" s="5"/>
      <c r="E2039" s="5"/>
      <c r="F2039" s="5"/>
      <c r="G2039" s="5"/>
      <c r="H2039" s="6"/>
      <c r="I2039" s="5"/>
      <c r="J2039" s="88"/>
      <c r="K2039" s="88"/>
      <c r="L2039" s="88"/>
      <c r="M2039" s="88"/>
      <c r="N2039" s="88"/>
      <c r="O2039" s="88"/>
      <c r="P2039" s="88"/>
      <c r="Q2039" s="89"/>
      <c r="R2039" s="88"/>
      <c r="S2039" s="88"/>
      <c r="T2039" s="90"/>
      <c r="U2039" s="6"/>
      <c r="V2039" s="92"/>
      <c r="W2039" s="77"/>
      <c r="X2039" s="91"/>
      <c r="Y2039" s="77"/>
      <c r="Z2039" s="5"/>
      <c r="AA2039" s="5"/>
      <c r="AB2039" s="5"/>
      <c r="AC2039" s="5"/>
      <c r="AD2039" s="5"/>
      <c r="AE2039" s="5"/>
      <c r="AF2039" s="5"/>
      <c r="AG2039" s="5"/>
      <c r="AH2039" s="6"/>
      <c r="AI2039" s="92"/>
      <c r="AJ2039" s="93"/>
      <c r="AK2039" s="94"/>
      <c r="AL2039" s="95"/>
      <c r="AM2039" s="56"/>
      <c r="AN2039" s="57">
        <f t="shared" si="327"/>
        <v>0</v>
      </c>
      <c r="AO2039" s="76">
        <f t="shared" si="329"/>
        <v>0</v>
      </c>
      <c r="AP2039" s="63" t="str">
        <f t="shared" si="330"/>
        <v/>
      </c>
      <c r="AQ2039" s="63" t="str">
        <f t="shared" si="331"/>
        <v/>
      </c>
      <c r="AR2039" s="63" t="str">
        <f t="shared" si="332"/>
        <v/>
      </c>
      <c r="AS2039" s="63" t="str">
        <f t="shared" si="333"/>
        <v/>
      </c>
      <c r="AT2039" s="78" t="str">
        <f t="shared" si="334"/>
        <v/>
      </c>
      <c r="AU2039" s="78" t="str">
        <f t="shared" si="335"/>
        <v/>
      </c>
      <c r="AV2039" s="64" t="str">
        <f ca="1">IFERROR(__xludf.DUMMYFUNCTION("IF(TRIM(AU2039)="""","""",AU2039/INDEX(FILTER(AT$3:AT2039,TRIM(AT$3:AT2039)&lt;&gt;""""),ROWS(FILTER(AT$3:AT2039,TRIM(AT$3:AT2039)&lt;&gt;"""")))-1)"),"")</f>
        <v/>
      </c>
      <c r="AW2039" s="65" t="e">
        <f t="shared" ca="1" si="328"/>
        <v>#VALUE!</v>
      </c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</row>
    <row r="2040" spans="1:68" ht="19" x14ac:dyDescent="0.25">
      <c r="A2040" s="5"/>
      <c r="B2040" s="5"/>
      <c r="C2040" s="5"/>
      <c r="D2040" s="5"/>
      <c r="E2040" s="5"/>
      <c r="F2040" s="5"/>
      <c r="G2040" s="5"/>
      <c r="H2040" s="6"/>
      <c r="I2040" s="5"/>
      <c r="J2040" s="88"/>
      <c r="K2040" s="88"/>
      <c r="L2040" s="88"/>
      <c r="M2040" s="88"/>
      <c r="N2040" s="88"/>
      <c r="O2040" s="88"/>
      <c r="P2040" s="88"/>
      <c r="Q2040" s="89"/>
      <c r="R2040" s="88"/>
      <c r="S2040" s="88"/>
      <c r="T2040" s="90"/>
      <c r="U2040" s="6"/>
      <c r="V2040" s="92"/>
      <c r="W2040" s="77"/>
      <c r="X2040" s="91"/>
      <c r="Y2040" s="77"/>
      <c r="Z2040" s="5"/>
      <c r="AA2040" s="5"/>
      <c r="AB2040" s="5"/>
      <c r="AC2040" s="5"/>
      <c r="AD2040" s="5"/>
      <c r="AE2040" s="5"/>
      <c r="AF2040" s="5"/>
      <c r="AG2040" s="5"/>
      <c r="AH2040" s="6"/>
      <c r="AI2040" s="92"/>
      <c r="AJ2040" s="93"/>
      <c r="AK2040" s="94"/>
      <c r="AL2040" s="95"/>
      <c r="AM2040" s="56"/>
      <c r="AN2040" s="57">
        <f t="shared" si="327"/>
        <v>0</v>
      </c>
      <c r="AO2040" s="76">
        <f t="shared" si="329"/>
        <v>0</v>
      </c>
      <c r="AP2040" s="63" t="str">
        <f t="shared" si="330"/>
        <v/>
      </c>
      <c r="AQ2040" s="63" t="str">
        <f t="shared" si="331"/>
        <v/>
      </c>
      <c r="AR2040" s="63" t="str">
        <f t="shared" si="332"/>
        <v/>
      </c>
      <c r="AS2040" s="63" t="str">
        <f t="shared" si="333"/>
        <v/>
      </c>
      <c r="AT2040" s="78" t="str">
        <f t="shared" si="334"/>
        <v/>
      </c>
      <c r="AU2040" s="78" t="str">
        <f t="shared" si="335"/>
        <v/>
      </c>
      <c r="AV2040" s="64" t="str">
        <f ca="1">IFERROR(__xludf.DUMMYFUNCTION("IF(TRIM(AU2040)="""","""",AU2040/INDEX(FILTER(AT$3:AT2040,TRIM(AT$3:AT2040)&lt;&gt;""""),ROWS(FILTER(AT$3:AT2040,TRIM(AT$3:AT2040)&lt;&gt;"""")))-1)"),"")</f>
        <v/>
      </c>
      <c r="AW2040" s="65" t="e">
        <f t="shared" ca="1" si="328"/>
        <v>#VALUE!</v>
      </c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</row>
    <row r="2041" spans="1:68" ht="19" x14ac:dyDescent="0.25">
      <c r="A2041" s="5"/>
      <c r="B2041" s="5"/>
      <c r="C2041" s="5"/>
      <c r="D2041" s="5"/>
      <c r="E2041" s="5"/>
      <c r="F2041" s="5"/>
      <c r="G2041" s="5"/>
      <c r="H2041" s="6"/>
      <c r="I2041" s="5"/>
      <c r="J2041" s="88"/>
      <c r="K2041" s="88"/>
      <c r="L2041" s="88"/>
      <c r="M2041" s="88"/>
      <c r="N2041" s="88"/>
      <c r="O2041" s="88"/>
      <c r="P2041" s="88"/>
      <c r="Q2041" s="89"/>
      <c r="R2041" s="88"/>
      <c r="S2041" s="88"/>
      <c r="T2041" s="90"/>
      <c r="U2041" s="6"/>
      <c r="V2041" s="92"/>
      <c r="W2041" s="77"/>
      <c r="X2041" s="91"/>
      <c r="Y2041" s="77"/>
      <c r="Z2041" s="5"/>
      <c r="AA2041" s="5"/>
      <c r="AB2041" s="5"/>
      <c r="AC2041" s="5"/>
      <c r="AD2041" s="5"/>
      <c r="AE2041" s="5"/>
      <c r="AF2041" s="5"/>
      <c r="AG2041" s="5"/>
      <c r="AH2041" s="6"/>
      <c r="AI2041" s="92"/>
      <c r="AJ2041" s="93"/>
      <c r="AK2041" s="94"/>
      <c r="AL2041" s="95"/>
      <c r="AM2041" s="56"/>
      <c r="AN2041" s="57">
        <f t="shared" si="327"/>
        <v>0</v>
      </c>
      <c r="AO2041" s="76">
        <f t="shared" si="329"/>
        <v>0</v>
      </c>
      <c r="AP2041" s="63" t="str">
        <f t="shared" si="330"/>
        <v/>
      </c>
      <c r="AQ2041" s="63" t="str">
        <f t="shared" si="331"/>
        <v/>
      </c>
      <c r="AR2041" s="63" t="str">
        <f t="shared" si="332"/>
        <v/>
      </c>
      <c r="AS2041" s="63" t="str">
        <f t="shared" si="333"/>
        <v/>
      </c>
      <c r="AT2041" s="78" t="str">
        <f t="shared" si="334"/>
        <v/>
      </c>
      <c r="AU2041" s="78" t="str">
        <f t="shared" si="335"/>
        <v/>
      </c>
      <c r="AV2041" s="64" t="str">
        <f ca="1">IFERROR(__xludf.DUMMYFUNCTION("IF(TRIM(AU2041)="""","""",AU2041/INDEX(FILTER(AT$3:AT2041,TRIM(AT$3:AT2041)&lt;&gt;""""),ROWS(FILTER(AT$3:AT2041,TRIM(AT$3:AT2041)&lt;&gt;"""")))-1)"),"")</f>
        <v/>
      </c>
      <c r="AW2041" s="65" t="e">
        <f t="shared" ca="1" si="328"/>
        <v>#VALUE!</v>
      </c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</row>
    <row r="2042" spans="1:68" ht="19" x14ac:dyDescent="0.25">
      <c r="A2042" s="5"/>
      <c r="B2042" s="5"/>
      <c r="C2042" s="5"/>
      <c r="D2042" s="5"/>
      <c r="E2042" s="5"/>
      <c r="F2042" s="5"/>
      <c r="G2042" s="5"/>
      <c r="H2042" s="6"/>
      <c r="I2042" s="5"/>
      <c r="J2042" s="88"/>
      <c r="K2042" s="88"/>
      <c r="L2042" s="88"/>
      <c r="M2042" s="88"/>
      <c r="N2042" s="88"/>
      <c r="O2042" s="88"/>
      <c r="P2042" s="88"/>
      <c r="Q2042" s="89"/>
      <c r="R2042" s="88"/>
      <c r="S2042" s="88"/>
      <c r="T2042" s="90"/>
      <c r="U2042" s="6"/>
      <c r="V2042" s="92"/>
      <c r="W2042" s="77"/>
      <c r="X2042" s="91"/>
      <c r="Y2042" s="77"/>
      <c r="Z2042" s="5"/>
      <c r="AA2042" s="5"/>
      <c r="AB2042" s="5"/>
      <c r="AC2042" s="5"/>
      <c r="AD2042" s="5"/>
      <c r="AE2042" s="5"/>
      <c r="AF2042" s="5"/>
      <c r="AG2042" s="5"/>
      <c r="AH2042" s="6"/>
      <c r="AI2042" s="92"/>
      <c r="AJ2042" s="93"/>
      <c r="AK2042" s="94"/>
      <c r="AL2042" s="95"/>
      <c r="AM2042" s="56"/>
      <c r="AN2042" s="57">
        <f t="shared" si="327"/>
        <v>0</v>
      </c>
      <c r="AO2042" s="76">
        <f t="shared" si="329"/>
        <v>0</v>
      </c>
      <c r="AP2042" s="63" t="str">
        <f t="shared" si="330"/>
        <v/>
      </c>
      <c r="AQ2042" s="63" t="str">
        <f t="shared" si="331"/>
        <v/>
      </c>
      <c r="AR2042" s="63" t="str">
        <f t="shared" si="332"/>
        <v/>
      </c>
      <c r="AS2042" s="63" t="str">
        <f t="shared" si="333"/>
        <v/>
      </c>
      <c r="AT2042" s="78" t="str">
        <f t="shared" si="334"/>
        <v/>
      </c>
      <c r="AU2042" s="78" t="str">
        <f t="shared" si="335"/>
        <v/>
      </c>
      <c r="AV2042" s="64" t="str">
        <f ca="1">IFERROR(__xludf.DUMMYFUNCTION("IF(TRIM(AU2042)="""","""",AU2042/INDEX(FILTER(AT$3:AT2042,TRIM(AT$3:AT2042)&lt;&gt;""""),ROWS(FILTER(AT$3:AT2042,TRIM(AT$3:AT2042)&lt;&gt;"""")))-1)"),"")</f>
        <v/>
      </c>
      <c r="AW2042" s="65" t="e">
        <f t="shared" ca="1" si="328"/>
        <v>#VALUE!</v>
      </c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</row>
    <row r="2043" spans="1:68" ht="19" x14ac:dyDescent="0.25">
      <c r="A2043" s="5"/>
      <c r="B2043" s="5"/>
      <c r="C2043" s="5"/>
      <c r="D2043" s="5"/>
      <c r="E2043" s="5"/>
      <c r="F2043" s="5"/>
      <c r="G2043" s="5"/>
      <c r="H2043" s="6"/>
      <c r="I2043" s="5"/>
      <c r="J2043" s="88"/>
      <c r="K2043" s="88"/>
      <c r="L2043" s="88"/>
      <c r="M2043" s="88"/>
      <c r="N2043" s="88"/>
      <c r="O2043" s="88"/>
      <c r="P2043" s="88"/>
      <c r="Q2043" s="89"/>
      <c r="R2043" s="88"/>
      <c r="S2043" s="88"/>
      <c r="T2043" s="90"/>
      <c r="U2043" s="6"/>
      <c r="V2043" s="92"/>
      <c r="W2043" s="77"/>
      <c r="X2043" s="91"/>
      <c r="Y2043" s="77"/>
      <c r="Z2043" s="5"/>
      <c r="AA2043" s="5"/>
      <c r="AB2043" s="5"/>
      <c r="AC2043" s="5"/>
      <c r="AD2043" s="5"/>
      <c r="AE2043" s="5"/>
      <c r="AF2043" s="5"/>
      <c r="AG2043" s="5"/>
      <c r="AH2043" s="6"/>
      <c r="AI2043" s="92"/>
      <c r="AJ2043" s="93"/>
      <c r="AK2043" s="94"/>
      <c r="AL2043" s="95"/>
      <c r="AM2043" s="56"/>
      <c r="AN2043" s="57">
        <f t="shared" si="327"/>
        <v>0</v>
      </c>
      <c r="AO2043" s="76">
        <f t="shared" si="329"/>
        <v>0</v>
      </c>
      <c r="AP2043" s="63" t="str">
        <f t="shared" si="330"/>
        <v/>
      </c>
      <c r="AQ2043" s="63" t="str">
        <f t="shared" si="331"/>
        <v/>
      </c>
      <c r="AR2043" s="63" t="str">
        <f t="shared" si="332"/>
        <v/>
      </c>
      <c r="AS2043" s="63" t="str">
        <f t="shared" si="333"/>
        <v/>
      </c>
      <c r="AT2043" s="78" t="str">
        <f t="shared" si="334"/>
        <v/>
      </c>
      <c r="AU2043" s="78" t="str">
        <f t="shared" si="335"/>
        <v/>
      </c>
      <c r="AV2043" s="64" t="str">
        <f ca="1">IFERROR(__xludf.DUMMYFUNCTION("IF(TRIM(AU2043)="""","""",AU2043/INDEX(FILTER(AT$3:AT2043,TRIM(AT$3:AT2043)&lt;&gt;""""),ROWS(FILTER(AT$3:AT2043,TRIM(AT$3:AT2043)&lt;&gt;"""")))-1)"),"")</f>
        <v/>
      </c>
      <c r="AW2043" s="65" t="e">
        <f t="shared" ca="1" si="328"/>
        <v>#VALUE!</v>
      </c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</row>
    <row r="2044" spans="1:68" ht="19" x14ac:dyDescent="0.25">
      <c r="A2044" s="5"/>
      <c r="B2044" s="5"/>
      <c r="C2044" s="5"/>
      <c r="D2044" s="5"/>
      <c r="E2044" s="5"/>
      <c r="F2044" s="5"/>
      <c r="G2044" s="5"/>
      <c r="H2044" s="6"/>
      <c r="I2044" s="5"/>
      <c r="J2044" s="88"/>
      <c r="K2044" s="88"/>
      <c r="L2044" s="88"/>
      <c r="M2044" s="88"/>
      <c r="N2044" s="88"/>
      <c r="O2044" s="88"/>
      <c r="P2044" s="88"/>
      <c r="Q2044" s="89"/>
      <c r="R2044" s="88"/>
      <c r="S2044" s="88"/>
      <c r="T2044" s="90"/>
      <c r="U2044" s="6"/>
      <c r="V2044" s="92"/>
      <c r="W2044" s="77"/>
      <c r="X2044" s="91"/>
      <c r="Y2044" s="77"/>
      <c r="Z2044" s="5"/>
      <c r="AA2044" s="5"/>
      <c r="AB2044" s="5"/>
      <c r="AC2044" s="5"/>
      <c r="AD2044" s="5"/>
      <c r="AE2044" s="5"/>
      <c r="AF2044" s="5"/>
      <c r="AG2044" s="5"/>
      <c r="AH2044" s="6"/>
      <c r="AI2044" s="92"/>
      <c r="AJ2044" s="93"/>
      <c r="AK2044" s="94"/>
      <c r="AL2044" s="95"/>
      <c r="AM2044" s="56"/>
      <c r="AN2044" s="57">
        <f t="shared" si="327"/>
        <v>0</v>
      </c>
      <c r="AO2044" s="76">
        <f t="shared" si="329"/>
        <v>0</v>
      </c>
      <c r="AP2044" s="63" t="str">
        <f t="shared" si="330"/>
        <v/>
      </c>
      <c r="AQ2044" s="63" t="str">
        <f t="shared" si="331"/>
        <v/>
      </c>
      <c r="AR2044" s="63" t="str">
        <f t="shared" si="332"/>
        <v/>
      </c>
      <c r="AS2044" s="63" t="str">
        <f t="shared" si="333"/>
        <v/>
      </c>
      <c r="AT2044" s="78" t="str">
        <f t="shared" si="334"/>
        <v/>
      </c>
      <c r="AU2044" s="78" t="str">
        <f t="shared" si="335"/>
        <v/>
      </c>
      <c r="AV2044" s="64" t="str">
        <f ca="1">IFERROR(__xludf.DUMMYFUNCTION("IF(TRIM(AU2044)="""","""",AU2044/INDEX(FILTER(AT$3:AT2044,TRIM(AT$3:AT2044)&lt;&gt;""""),ROWS(FILTER(AT$3:AT2044,TRIM(AT$3:AT2044)&lt;&gt;"""")))-1)"),"")</f>
        <v/>
      </c>
      <c r="AW2044" s="65" t="e">
        <f t="shared" ca="1" si="328"/>
        <v>#VALUE!</v>
      </c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</row>
    <row r="2045" spans="1:68" ht="19" x14ac:dyDescent="0.25">
      <c r="A2045" s="5"/>
      <c r="B2045" s="5"/>
      <c r="C2045" s="5"/>
      <c r="D2045" s="5"/>
      <c r="E2045" s="5"/>
      <c r="F2045" s="5"/>
      <c r="G2045" s="5"/>
      <c r="H2045" s="6"/>
      <c r="I2045" s="5"/>
      <c r="J2045" s="88"/>
      <c r="K2045" s="88"/>
      <c r="L2045" s="88"/>
      <c r="M2045" s="88"/>
      <c r="N2045" s="88"/>
      <c r="O2045" s="88"/>
      <c r="P2045" s="88"/>
      <c r="Q2045" s="89"/>
      <c r="R2045" s="88"/>
      <c r="S2045" s="88"/>
      <c r="T2045" s="90"/>
      <c r="U2045" s="6"/>
      <c r="V2045" s="92"/>
      <c r="W2045" s="77"/>
      <c r="X2045" s="91"/>
      <c r="Y2045" s="77"/>
      <c r="Z2045" s="5"/>
      <c r="AA2045" s="5"/>
      <c r="AB2045" s="5"/>
      <c r="AC2045" s="5"/>
      <c r="AD2045" s="5"/>
      <c r="AE2045" s="5"/>
      <c r="AF2045" s="5"/>
      <c r="AG2045" s="5"/>
      <c r="AH2045" s="6"/>
      <c r="AI2045" s="92"/>
      <c r="AJ2045" s="93"/>
      <c r="AK2045" s="94"/>
      <c r="AL2045" s="95"/>
      <c r="AM2045" s="56"/>
      <c r="AN2045" s="57">
        <f t="shared" si="327"/>
        <v>0</v>
      </c>
      <c r="AO2045" s="76">
        <f t="shared" si="329"/>
        <v>0</v>
      </c>
      <c r="AP2045" s="63" t="str">
        <f t="shared" si="330"/>
        <v/>
      </c>
      <c r="AQ2045" s="63" t="str">
        <f t="shared" si="331"/>
        <v/>
      </c>
      <c r="AR2045" s="63" t="str">
        <f t="shared" si="332"/>
        <v/>
      </c>
      <c r="AS2045" s="63" t="str">
        <f t="shared" si="333"/>
        <v/>
      </c>
      <c r="AT2045" s="78" t="str">
        <f t="shared" si="334"/>
        <v/>
      </c>
      <c r="AU2045" s="78" t="str">
        <f t="shared" si="335"/>
        <v/>
      </c>
      <c r="AV2045" s="64" t="str">
        <f ca="1">IFERROR(__xludf.DUMMYFUNCTION("IF(TRIM(AU2045)="""","""",AU2045/INDEX(FILTER(AT$3:AT2045,TRIM(AT$3:AT2045)&lt;&gt;""""),ROWS(FILTER(AT$3:AT2045,TRIM(AT$3:AT2045)&lt;&gt;"""")))-1)"),"")</f>
        <v/>
      </c>
      <c r="AW2045" s="65" t="e">
        <f t="shared" ca="1" si="328"/>
        <v>#VALUE!</v>
      </c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</row>
    <row r="2046" spans="1:68" ht="19" x14ac:dyDescent="0.25">
      <c r="A2046" s="5"/>
      <c r="B2046" s="5"/>
      <c r="C2046" s="5"/>
      <c r="D2046" s="5"/>
      <c r="E2046" s="5"/>
      <c r="F2046" s="5"/>
      <c r="G2046" s="5"/>
      <c r="H2046" s="6"/>
      <c r="I2046" s="5"/>
      <c r="J2046" s="88"/>
      <c r="K2046" s="88"/>
      <c r="L2046" s="88"/>
      <c r="M2046" s="88"/>
      <c r="N2046" s="88"/>
      <c r="O2046" s="88"/>
      <c r="P2046" s="88"/>
      <c r="Q2046" s="89"/>
      <c r="R2046" s="88"/>
      <c r="S2046" s="88"/>
      <c r="T2046" s="90"/>
      <c r="U2046" s="6"/>
      <c r="V2046" s="92"/>
      <c r="W2046" s="77"/>
      <c r="X2046" s="91"/>
      <c r="Y2046" s="77"/>
      <c r="Z2046" s="5"/>
      <c r="AA2046" s="5"/>
      <c r="AB2046" s="5"/>
      <c r="AC2046" s="5"/>
      <c r="AD2046" s="5"/>
      <c r="AE2046" s="5"/>
      <c r="AF2046" s="5"/>
      <c r="AG2046" s="5"/>
      <c r="AH2046" s="6"/>
      <c r="AI2046" s="92"/>
      <c r="AJ2046" s="93"/>
      <c r="AK2046" s="94"/>
      <c r="AL2046" s="95"/>
      <c r="AM2046" s="56"/>
      <c r="AN2046" s="57">
        <f t="shared" si="327"/>
        <v>0</v>
      </c>
      <c r="AO2046" s="76">
        <f t="shared" si="329"/>
        <v>0</v>
      </c>
      <c r="AP2046" s="63" t="str">
        <f t="shared" si="330"/>
        <v/>
      </c>
      <c r="AQ2046" s="63" t="str">
        <f t="shared" si="331"/>
        <v/>
      </c>
      <c r="AR2046" s="63" t="str">
        <f t="shared" si="332"/>
        <v/>
      </c>
      <c r="AS2046" s="63" t="str">
        <f t="shared" si="333"/>
        <v/>
      </c>
      <c r="AT2046" s="78" t="str">
        <f t="shared" si="334"/>
        <v/>
      </c>
      <c r="AU2046" s="78" t="str">
        <f t="shared" si="335"/>
        <v/>
      </c>
      <c r="AV2046" s="64" t="str">
        <f ca="1">IFERROR(__xludf.DUMMYFUNCTION("IF(TRIM(AU2046)="""","""",AU2046/INDEX(FILTER(AT$3:AT2046,TRIM(AT$3:AT2046)&lt;&gt;""""),ROWS(FILTER(AT$3:AT2046,TRIM(AT$3:AT2046)&lt;&gt;"""")))-1)"),"")</f>
        <v/>
      </c>
      <c r="AW2046" s="65" t="e">
        <f t="shared" ca="1" si="328"/>
        <v>#VALUE!</v>
      </c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</row>
    <row r="2047" spans="1:68" ht="19" x14ac:dyDescent="0.25">
      <c r="A2047" s="5"/>
      <c r="B2047" s="5"/>
      <c r="C2047" s="5"/>
      <c r="D2047" s="5"/>
      <c r="E2047" s="5"/>
      <c r="F2047" s="5"/>
      <c r="G2047" s="5"/>
      <c r="H2047" s="6"/>
      <c r="I2047" s="5"/>
      <c r="J2047" s="88"/>
      <c r="K2047" s="88"/>
      <c r="L2047" s="88"/>
      <c r="M2047" s="88"/>
      <c r="N2047" s="88"/>
      <c r="O2047" s="88"/>
      <c r="P2047" s="88"/>
      <c r="Q2047" s="89"/>
      <c r="R2047" s="88"/>
      <c r="S2047" s="88"/>
      <c r="T2047" s="90"/>
      <c r="U2047" s="6"/>
      <c r="V2047" s="92"/>
      <c r="W2047" s="77"/>
      <c r="X2047" s="91"/>
      <c r="Y2047" s="77"/>
      <c r="Z2047" s="5"/>
      <c r="AA2047" s="5"/>
      <c r="AB2047" s="5"/>
      <c r="AC2047" s="5"/>
      <c r="AD2047" s="5"/>
      <c r="AE2047" s="5"/>
      <c r="AF2047" s="5"/>
      <c r="AG2047" s="5"/>
      <c r="AH2047" s="6"/>
      <c r="AI2047" s="92"/>
      <c r="AJ2047" s="93"/>
      <c r="AK2047" s="94"/>
      <c r="AL2047" s="95"/>
      <c r="AM2047" s="56"/>
      <c r="AN2047" s="57">
        <f t="shared" si="327"/>
        <v>0</v>
      </c>
      <c r="AO2047" s="76">
        <f t="shared" si="329"/>
        <v>0</v>
      </c>
      <c r="AP2047" s="63" t="str">
        <f t="shared" si="330"/>
        <v/>
      </c>
      <c r="AQ2047" s="63" t="str">
        <f t="shared" si="331"/>
        <v/>
      </c>
      <c r="AR2047" s="63" t="str">
        <f t="shared" si="332"/>
        <v/>
      </c>
      <c r="AS2047" s="63" t="str">
        <f t="shared" si="333"/>
        <v/>
      </c>
      <c r="AT2047" s="78" t="str">
        <f t="shared" si="334"/>
        <v/>
      </c>
      <c r="AU2047" s="78" t="str">
        <f t="shared" si="335"/>
        <v/>
      </c>
      <c r="AV2047" s="64" t="str">
        <f ca="1">IFERROR(__xludf.DUMMYFUNCTION("IF(TRIM(AU2047)="""","""",AU2047/INDEX(FILTER(AT$3:AT2047,TRIM(AT$3:AT2047)&lt;&gt;""""),ROWS(FILTER(AT$3:AT2047,TRIM(AT$3:AT2047)&lt;&gt;"""")))-1)"),"")</f>
        <v/>
      </c>
      <c r="AW2047" s="65" t="e">
        <f t="shared" ca="1" si="328"/>
        <v>#VALUE!</v>
      </c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</row>
    <row r="2048" spans="1:68" ht="19" x14ac:dyDescent="0.25">
      <c r="A2048" s="5"/>
      <c r="B2048" s="5"/>
      <c r="C2048" s="5"/>
      <c r="D2048" s="5"/>
      <c r="E2048" s="5"/>
      <c r="F2048" s="5"/>
      <c r="G2048" s="5"/>
      <c r="H2048" s="6"/>
      <c r="I2048" s="5"/>
      <c r="J2048" s="88"/>
      <c r="K2048" s="88"/>
      <c r="L2048" s="88"/>
      <c r="M2048" s="88"/>
      <c r="N2048" s="88"/>
      <c r="O2048" s="88"/>
      <c r="P2048" s="88"/>
      <c r="Q2048" s="89"/>
      <c r="R2048" s="88"/>
      <c r="S2048" s="88"/>
      <c r="T2048" s="90"/>
      <c r="U2048" s="6"/>
      <c r="V2048" s="92"/>
      <c r="W2048" s="77"/>
      <c r="X2048" s="91"/>
      <c r="Y2048" s="77"/>
      <c r="Z2048" s="5"/>
      <c r="AA2048" s="5"/>
      <c r="AB2048" s="5"/>
      <c r="AC2048" s="5"/>
      <c r="AD2048" s="5"/>
      <c r="AE2048" s="5"/>
      <c r="AF2048" s="5"/>
      <c r="AG2048" s="5"/>
      <c r="AH2048" s="6"/>
      <c r="AI2048" s="92"/>
      <c r="AJ2048" s="93"/>
      <c r="AK2048" s="94"/>
      <c r="AL2048" s="95"/>
      <c r="AM2048" s="56"/>
      <c r="AN2048" s="57">
        <f t="shared" si="327"/>
        <v>0</v>
      </c>
      <c r="AO2048" s="76">
        <f t="shared" si="329"/>
        <v>0</v>
      </c>
      <c r="AP2048" s="63" t="str">
        <f t="shared" si="330"/>
        <v/>
      </c>
      <c r="AQ2048" s="63" t="str">
        <f t="shared" si="331"/>
        <v/>
      </c>
      <c r="AR2048" s="63" t="str">
        <f t="shared" si="332"/>
        <v/>
      </c>
      <c r="AS2048" s="63" t="str">
        <f t="shared" si="333"/>
        <v/>
      </c>
      <c r="AT2048" s="78" t="str">
        <f t="shared" si="334"/>
        <v/>
      </c>
      <c r="AU2048" s="78" t="str">
        <f t="shared" si="335"/>
        <v/>
      </c>
      <c r="AV2048" s="64" t="str">
        <f ca="1">IFERROR(__xludf.DUMMYFUNCTION("IF(TRIM(AU2048)="""","""",AU2048/INDEX(FILTER(AT$3:AT2048,TRIM(AT$3:AT2048)&lt;&gt;""""),ROWS(FILTER(AT$3:AT2048,TRIM(AT$3:AT2048)&lt;&gt;"""")))-1)"),"")</f>
        <v/>
      </c>
      <c r="AW2048" s="65" t="e">
        <f t="shared" ca="1" si="328"/>
        <v>#VALUE!</v>
      </c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</row>
    <row r="2049" spans="1:68" ht="19" x14ac:dyDescent="0.25">
      <c r="A2049" s="5"/>
      <c r="B2049" s="5"/>
      <c r="C2049" s="5"/>
      <c r="D2049" s="5"/>
      <c r="E2049" s="5"/>
      <c r="F2049" s="5"/>
      <c r="G2049" s="5"/>
      <c r="H2049" s="6"/>
      <c r="I2049" s="5"/>
      <c r="J2049" s="88"/>
      <c r="K2049" s="88"/>
      <c r="L2049" s="88"/>
      <c r="M2049" s="88"/>
      <c r="N2049" s="88"/>
      <c r="O2049" s="88"/>
      <c r="P2049" s="88"/>
      <c r="Q2049" s="89"/>
      <c r="R2049" s="88"/>
      <c r="S2049" s="88"/>
      <c r="T2049" s="90"/>
      <c r="U2049" s="6"/>
      <c r="V2049" s="92"/>
      <c r="W2049" s="77"/>
      <c r="X2049" s="91"/>
      <c r="Y2049" s="77"/>
      <c r="Z2049" s="5"/>
      <c r="AA2049" s="5"/>
      <c r="AB2049" s="5"/>
      <c r="AC2049" s="5"/>
      <c r="AD2049" s="5"/>
      <c r="AE2049" s="5"/>
      <c r="AF2049" s="5"/>
      <c r="AG2049" s="5"/>
      <c r="AH2049" s="6"/>
      <c r="AI2049" s="92"/>
      <c r="AJ2049" s="93"/>
      <c r="AK2049" s="94"/>
      <c r="AL2049" s="95"/>
      <c r="AM2049" s="56"/>
      <c r="AN2049" s="57">
        <f t="shared" si="327"/>
        <v>0</v>
      </c>
      <c r="AO2049" s="76">
        <f t="shared" si="329"/>
        <v>0</v>
      </c>
      <c r="AP2049" s="63" t="str">
        <f t="shared" si="330"/>
        <v/>
      </c>
      <c r="AQ2049" s="63" t="str">
        <f t="shared" si="331"/>
        <v/>
      </c>
      <c r="AR2049" s="63" t="str">
        <f t="shared" si="332"/>
        <v/>
      </c>
      <c r="AS2049" s="63" t="str">
        <f t="shared" si="333"/>
        <v/>
      </c>
      <c r="AT2049" s="78" t="str">
        <f t="shared" si="334"/>
        <v/>
      </c>
      <c r="AU2049" s="78" t="str">
        <f t="shared" si="335"/>
        <v/>
      </c>
      <c r="AV2049" s="64" t="str">
        <f ca="1">IFERROR(__xludf.DUMMYFUNCTION("IF(TRIM(AU2049)="""","""",AU2049/INDEX(FILTER(AT$3:AT2049,TRIM(AT$3:AT2049)&lt;&gt;""""),ROWS(FILTER(AT$3:AT2049,TRIM(AT$3:AT2049)&lt;&gt;"""")))-1)"),"")</f>
        <v/>
      </c>
      <c r="AW2049" s="65" t="e">
        <f t="shared" ca="1" si="328"/>
        <v>#VALUE!</v>
      </c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</row>
    <row r="2050" spans="1:68" ht="19" x14ac:dyDescent="0.25">
      <c r="A2050" s="5"/>
      <c r="B2050" s="5"/>
      <c r="C2050" s="5"/>
      <c r="D2050" s="5"/>
      <c r="E2050" s="5"/>
      <c r="F2050" s="5"/>
      <c r="G2050" s="5"/>
      <c r="H2050" s="6"/>
      <c r="I2050" s="5"/>
      <c r="J2050" s="88"/>
      <c r="K2050" s="88"/>
      <c r="L2050" s="88"/>
      <c r="M2050" s="88"/>
      <c r="N2050" s="88"/>
      <c r="O2050" s="88"/>
      <c r="P2050" s="88"/>
      <c r="Q2050" s="89"/>
      <c r="R2050" s="88"/>
      <c r="S2050" s="88"/>
      <c r="T2050" s="90"/>
      <c r="U2050" s="6"/>
      <c r="V2050" s="92"/>
      <c r="W2050" s="77"/>
      <c r="X2050" s="91"/>
      <c r="Y2050" s="77"/>
      <c r="Z2050" s="5"/>
      <c r="AA2050" s="5"/>
      <c r="AB2050" s="5"/>
      <c r="AC2050" s="5"/>
      <c r="AD2050" s="5"/>
      <c r="AE2050" s="5"/>
      <c r="AF2050" s="5"/>
      <c r="AG2050" s="5"/>
      <c r="AH2050" s="6"/>
      <c r="AI2050" s="92"/>
      <c r="AJ2050" s="93"/>
      <c r="AK2050" s="94"/>
      <c r="AL2050" s="95"/>
      <c r="AM2050" s="56"/>
      <c r="AN2050" s="57">
        <f t="shared" si="327"/>
        <v>0</v>
      </c>
      <c r="AO2050" s="76">
        <f t="shared" si="329"/>
        <v>0</v>
      </c>
      <c r="AP2050" s="63" t="str">
        <f t="shared" si="330"/>
        <v/>
      </c>
      <c r="AQ2050" s="63" t="str">
        <f t="shared" si="331"/>
        <v/>
      </c>
      <c r="AR2050" s="63" t="str">
        <f t="shared" si="332"/>
        <v/>
      </c>
      <c r="AS2050" s="63" t="str">
        <f t="shared" si="333"/>
        <v/>
      </c>
      <c r="AT2050" s="78" t="str">
        <f t="shared" si="334"/>
        <v/>
      </c>
      <c r="AU2050" s="78" t="str">
        <f t="shared" si="335"/>
        <v/>
      </c>
      <c r="AV2050" s="64" t="str">
        <f ca="1">IFERROR(__xludf.DUMMYFUNCTION("IF(TRIM(AU2050)="""","""",AU2050/INDEX(FILTER(AT$3:AT2050,TRIM(AT$3:AT2050)&lt;&gt;""""),ROWS(FILTER(AT$3:AT2050,TRIM(AT$3:AT2050)&lt;&gt;"""")))-1)"),"")</f>
        <v/>
      </c>
      <c r="AW2050" s="65" t="e">
        <f t="shared" ca="1" si="328"/>
        <v>#VALUE!</v>
      </c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</row>
    <row r="2051" spans="1:68" ht="19" x14ac:dyDescent="0.25">
      <c r="A2051" s="5"/>
      <c r="B2051" s="5"/>
      <c r="C2051" s="5"/>
      <c r="D2051" s="5"/>
      <c r="E2051" s="5"/>
      <c r="F2051" s="5"/>
      <c r="G2051" s="5"/>
      <c r="H2051" s="6"/>
      <c r="I2051" s="5"/>
      <c r="J2051" s="88"/>
      <c r="K2051" s="88"/>
      <c r="L2051" s="88"/>
      <c r="M2051" s="88"/>
      <c r="N2051" s="88"/>
      <c r="O2051" s="88"/>
      <c r="P2051" s="88"/>
      <c r="Q2051" s="89"/>
      <c r="R2051" s="88"/>
      <c r="S2051" s="88"/>
      <c r="T2051" s="90"/>
      <c r="U2051" s="6"/>
      <c r="V2051" s="92"/>
      <c r="W2051" s="77"/>
      <c r="X2051" s="91"/>
      <c r="Y2051" s="77"/>
      <c r="Z2051" s="5"/>
      <c r="AA2051" s="5"/>
      <c r="AB2051" s="5"/>
      <c r="AC2051" s="5"/>
      <c r="AD2051" s="5"/>
      <c r="AE2051" s="5"/>
      <c r="AF2051" s="5"/>
      <c r="AG2051" s="5"/>
      <c r="AH2051" s="6"/>
      <c r="AI2051" s="92"/>
      <c r="AJ2051" s="93"/>
      <c r="AK2051" s="94"/>
      <c r="AL2051" s="95"/>
      <c r="AM2051" s="56"/>
      <c r="AN2051" s="57">
        <f t="shared" ref="AN2051:AN2114" si="336">AM2051-AL2051</f>
        <v>0</v>
      </c>
      <c r="AO2051" s="76">
        <f t="shared" si="329"/>
        <v>0</v>
      </c>
      <c r="AP2051" s="63" t="str">
        <f t="shared" si="330"/>
        <v/>
      </c>
      <c r="AQ2051" s="63" t="str">
        <f t="shared" si="331"/>
        <v/>
      </c>
      <c r="AR2051" s="63" t="str">
        <f t="shared" si="332"/>
        <v/>
      </c>
      <c r="AS2051" s="63" t="str">
        <f t="shared" si="333"/>
        <v/>
      </c>
      <c r="AT2051" s="78" t="str">
        <f t="shared" si="334"/>
        <v/>
      </c>
      <c r="AU2051" s="78" t="str">
        <f t="shared" si="335"/>
        <v/>
      </c>
      <c r="AV2051" s="64" t="str">
        <f ca="1">IFERROR(__xludf.DUMMYFUNCTION("IF(TRIM(AU2051)="""","""",AU2051/INDEX(FILTER(AT$3:AT2051,TRIM(AT$3:AT2051)&lt;&gt;""""),ROWS(FILTER(AT$3:AT2051,TRIM(AT$3:AT2051)&lt;&gt;"""")))-1)"),"")</f>
        <v/>
      </c>
      <c r="AW2051" s="65" t="e">
        <f t="shared" ref="AW2051:AW2114" ca="1" si="337">AW2050*(1+AV2051)</f>
        <v>#VALUE!</v>
      </c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</row>
    <row r="2052" spans="1:68" ht="19" x14ac:dyDescent="0.25">
      <c r="A2052" s="5"/>
      <c r="B2052" s="5"/>
      <c r="C2052" s="5"/>
      <c r="D2052" s="5"/>
      <c r="E2052" s="5"/>
      <c r="F2052" s="5"/>
      <c r="G2052" s="5"/>
      <c r="H2052" s="6"/>
      <c r="I2052" s="5"/>
      <c r="J2052" s="88"/>
      <c r="K2052" s="88"/>
      <c r="L2052" s="88"/>
      <c r="M2052" s="88"/>
      <c r="N2052" s="88"/>
      <c r="O2052" s="88"/>
      <c r="P2052" s="88"/>
      <c r="Q2052" s="89"/>
      <c r="R2052" s="88"/>
      <c r="S2052" s="88"/>
      <c r="T2052" s="90"/>
      <c r="U2052" s="6"/>
      <c r="V2052" s="92"/>
      <c r="W2052" s="77"/>
      <c r="X2052" s="91"/>
      <c r="Y2052" s="77"/>
      <c r="Z2052" s="5"/>
      <c r="AA2052" s="5"/>
      <c r="AB2052" s="5"/>
      <c r="AC2052" s="5"/>
      <c r="AD2052" s="5"/>
      <c r="AE2052" s="5"/>
      <c r="AF2052" s="5"/>
      <c r="AG2052" s="5"/>
      <c r="AH2052" s="6"/>
      <c r="AI2052" s="92"/>
      <c r="AJ2052" s="93"/>
      <c r="AK2052" s="94"/>
      <c r="AL2052" s="95"/>
      <c r="AM2052" s="56"/>
      <c r="AN2052" s="57">
        <f t="shared" si="336"/>
        <v>0</v>
      </c>
      <c r="AO2052" s="76">
        <f t="shared" si="329"/>
        <v>0</v>
      </c>
      <c r="AP2052" s="63" t="str">
        <f t="shared" si="330"/>
        <v/>
      </c>
      <c r="AQ2052" s="63" t="str">
        <f t="shared" si="331"/>
        <v/>
      </c>
      <c r="AR2052" s="63" t="str">
        <f t="shared" si="332"/>
        <v/>
      </c>
      <c r="AS2052" s="63" t="str">
        <f t="shared" si="333"/>
        <v/>
      </c>
      <c r="AT2052" s="78" t="str">
        <f t="shared" si="334"/>
        <v/>
      </c>
      <c r="AU2052" s="78" t="str">
        <f t="shared" si="335"/>
        <v/>
      </c>
      <c r="AV2052" s="64" t="str">
        <f ca="1">IFERROR(__xludf.DUMMYFUNCTION("IF(TRIM(AU2052)="""","""",AU2052/INDEX(FILTER(AT$3:AT2052,TRIM(AT$3:AT2052)&lt;&gt;""""),ROWS(FILTER(AT$3:AT2052,TRIM(AT$3:AT2052)&lt;&gt;"""")))-1)"),"")</f>
        <v/>
      </c>
      <c r="AW2052" s="65" t="e">
        <f t="shared" ca="1" si="337"/>
        <v>#VALUE!</v>
      </c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</row>
    <row r="2053" spans="1:68" ht="19" x14ac:dyDescent="0.25">
      <c r="A2053" s="5"/>
      <c r="B2053" s="5"/>
      <c r="C2053" s="5"/>
      <c r="D2053" s="5"/>
      <c r="E2053" s="5"/>
      <c r="F2053" s="5"/>
      <c r="G2053" s="5"/>
      <c r="H2053" s="6"/>
      <c r="I2053" s="5"/>
      <c r="J2053" s="88"/>
      <c r="K2053" s="88"/>
      <c r="L2053" s="88"/>
      <c r="M2053" s="88"/>
      <c r="N2053" s="88"/>
      <c r="O2053" s="88"/>
      <c r="P2053" s="88"/>
      <c r="Q2053" s="89"/>
      <c r="R2053" s="88"/>
      <c r="S2053" s="88"/>
      <c r="T2053" s="90"/>
      <c r="U2053" s="6"/>
      <c r="V2053" s="92"/>
      <c r="W2053" s="77"/>
      <c r="X2053" s="91"/>
      <c r="Y2053" s="77"/>
      <c r="Z2053" s="5"/>
      <c r="AA2053" s="5"/>
      <c r="AB2053" s="5"/>
      <c r="AC2053" s="5"/>
      <c r="AD2053" s="5"/>
      <c r="AE2053" s="5"/>
      <c r="AF2053" s="5"/>
      <c r="AG2053" s="5"/>
      <c r="AH2053" s="6"/>
      <c r="AI2053" s="92"/>
      <c r="AJ2053" s="93"/>
      <c r="AK2053" s="94"/>
      <c r="AL2053" s="95"/>
      <c r="AM2053" s="56"/>
      <c r="AN2053" s="57">
        <f t="shared" si="336"/>
        <v>0</v>
      </c>
      <c r="AO2053" s="76">
        <f t="shared" si="329"/>
        <v>0</v>
      </c>
      <c r="AP2053" s="63" t="str">
        <f t="shared" si="330"/>
        <v/>
      </c>
      <c r="AQ2053" s="63" t="str">
        <f t="shared" si="331"/>
        <v/>
      </c>
      <c r="AR2053" s="63" t="str">
        <f t="shared" si="332"/>
        <v/>
      </c>
      <c r="AS2053" s="63" t="str">
        <f t="shared" si="333"/>
        <v/>
      </c>
      <c r="AT2053" s="78" t="str">
        <f t="shared" si="334"/>
        <v/>
      </c>
      <c r="AU2053" s="78" t="str">
        <f t="shared" si="335"/>
        <v/>
      </c>
      <c r="AV2053" s="64" t="str">
        <f ca="1">IFERROR(__xludf.DUMMYFUNCTION("IF(TRIM(AU2053)="""","""",AU2053/INDEX(FILTER(AT$3:AT2053,TRIM(AT$3:AT2053)&lt;&gt;""""),ROWS(FILTER(AT$3:AT2053,TRIM(AT$3:AT2053)&lt;&gt;"""")))-1)"),"")</f>
        <v/>
      </c>
      <c r="AW2053" s="65" t="e">
        <f t="shared" ca="1" si="337"/>
        <v>#VALUE!</v>
      </c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</row>
    <row r="2054" spans="1:68" ht="19" x14ac:dyDescent="0.25">
      <c r="A2054" s="5"/>
      <c r="B2054" s="5"/>
      <c r="C2054" s="5"/>
      <c r="D2054" s="5"/>
      <c r="E2054" s="5"/>
      <c r="F2054" s="5"/>
      <c r="G2054" s="5"/>
      <c r="H2054" s="6"/>
      <c r="I2054" s="5"/>
      <c r="J2054" s="88"/>
      <c r="K2054" s="88"/>
      <c r="L2054" s="88"/>
      <c r="M2054" s="88"/>
      <c r="N2054" s="88"/>
      <c r="O2054" s="88"/>
      <c r="P2054" s="88"/>
      <c r="Q2054" s="89"/>
      <c r="R2054" s="88"/>
      <c r="S2054" s="88"/>
      <c r="T2054" s="90"/>
      <c r="U2054" s="6"/>
      <c r="V2054" s="92"/>
      <c r="W2054" s="77"/>
      <c r="X2054" s="91"/>
      <c r="Y2054" s="77"/>
      <c r="Z2054" s="5"/>
      <c r="AA2054" s="5"/>
      <c r="AB2054" s="5"/>
      <c r="AC2054" s="5"/>
      <c r="AD2054" s="5"/>
      <c r="AE2054" s="5"/>
      <c r="AF2054" s="5"/>
      <c r="AG2054" s="5"/>
      <c r="AH2054" s="6"/>
      <c r="AI2054" s="92"/>
      <c r="AJ2054" s="93"/>
      <c r="AK2054" s="94"/>
      <c r="AL2054" s="95"/>
      <c r="AM2054" s="56"/>
      <c r="AN2054" s="57">
        <f t="shared" si="336"/>
        <v>0</v>
      </c>
      <c r="AO2054" s="76">
        <f t="shared" si="329"/>
        <v>0</v>
      </c>
      <c r="AP2054" s="63" t="str">
        <f t="shared" si="330"/>
        <v/>
      </c>
      <c r="AQ2054" s="63" t="str">
        <f t="shared" si="331"/>
        <v/>
      </c>
      <c r="AR2054" s="63" t="str">
        <f t="shared" si="332"/>
        <v/>
      </c>
      <c r="AS2054" s="63" t="str">
        <f t="shared" si="333"/>
        <v/>
      </c>
      <c r="AT2054" s="78" t="str">
        <f t="shared" si="334"/>
        <v/>
      </c>
      <c r="AU2054" s="78" t="str">
        <f t="shared" si="335"/>
        <v/>
      </c>
      <c r="AV2054" s="64" t="str">
        <f ca="1">IFERROR(__xludf.DUMMYFUNCTION("IF(TRIM(AU2054)="""","""",AU2054/INDEX(FILTER(AT$3:AT2054,TRIM(AT$3:AT2054)&lt;&gt;""""),ROWS(FILTER(AT$3:AT2054,TRIM(AT$3:AT2054)&lt;&gt;"""")))-1)"),"")</f>
        <v/>
      </c>
      <c r="AW2054" s="65" t="e">
        <f t="shared" ca="1" si="337"/>
        <v>#VALUE!</v>
      </c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</row>
    <row r="2055" spans="1:68" ht="19" x14ac:dyDescent="0.25">
      <c r="A2055" s="5"/>
      <c r="B2055" s="5"/>
      <c r="C2055" s="5"/>
      <c r="D2055" s="5"/>
      <c r="E2055" s="5"/>
      <c r="F2055" s="5"/>
      <c r="G2055" s="5"/>
      <c r="H2055" s="6"/>
      <c r="I2055" s="5"/>
      <c r="J2055" s="88"/>
      <c r="K2055" s="88"/>
      <c r="L2055" s="88"/>
      <c r="M2055" s="88"/>
      <c r="N2055" s="88"/>
      <c r="O2055" s="88"/>
      <c r="P2055" s="88"/>
      <c r="Q2055" s="89"/>
      <c r="R2055" s="88"/>
      <c r="S2055" s="88"/>
      <c r="T2055" s="90"/>
      <c r="U2055" s="6"/>
      <c r="V2055" s="92"/>
      <c r="W2055" s="77"/>
      <c r="X2055" s="91"/>
      <c r="Y2055" s="77"/>
      <c r="Z2055" s="5"/>
      <c r="AA2055" s="5"/>
      <c r="AB2055" s="5"/>
      <c r="AC2055" s="5"/>
      <c r="AD2055" s="5"/>
      <c r="AE2055" s="5"/>
      <c r="AF2055" s="5"/>
      <c r="AG2055" s="5"/>
      <c r="AH2055" s="6"/>
      <c r="AI2055" s="92"/>
      <c r="AJ2055" s="93"/>
      <c r="AK2055" s="94"/>
      <c r="AL2055" s="95"/>
      <c r="AM2055" s="56"/>
      <c r="AN2055" s="57">
        <f t="shared" si="336"/>
        <v>0</v>
      </c>
      <c r="AO2055" s="76">
        <f t="shared" ref="AO2055:AO2118" si="338">AVERAGE(AN2051:AN2055)</f>
        <v>0</v>
      </c>
      <c r="AP2055" s="63" t="str">
        <f t="shared" ref="AP2055:AP2118" si="339">IF(AO2055&gt;0,"Buy Stocks","")</f>
        <v/>
      </c>
      <c r="AQ2055" s="63" t="str">
        <f t="shared" ref="AQ2055:AQ2118" si="340">IF(AO2055&lt;0,"Sell Stocks","")</f>
        <v/>
      </c>
      <c r="AR2055" s="63" t="str">
        <f t="shared" ref="AR2055:AR2118" si="341">IF(AND(AP2055="Buy Stocks",AP2054=""),"Buy Stocks","")</f>
        <v/>
      </c>
      <c r="AS2055" s="63" t="str">
        <f t="shared" ref="AS2055:AS2118" si="342">IF(AND(AQ2055="Sell Stocks",AQ2054=""),"Sell Stocks","")</f>
        <v/>
      </c>
      <c r="AT2055" s="78" t="str">
        <f t="shared" ref="AT2055:AT2118" si="343">IF(AR2055="Buy Stocks",AJ2055,"")</f>
        <v/>
      </c>
      <c r="AU2055" s="78" t="str">
        <f t="shared" ref="AU2055:AU2118" si="344">IF(AS2055="Sell Stocks",AJ2055,"")</f>
        <v/>
      </c>
      <c r="AV2055" s="64" t="str">
        <f ca="1">IFERROR(__xludf.DUMMYFUNCTION("IF(TRIM(AU2055)="""","""",AU2055/INDEX(FILTER(AT$3:AT2055,TRIM(AT$3:AT2055)&lt;&gt;""""),ROWS(FILTER(AT$3:AT2055,TRIM(AT$3:AT2055)&lt;&gt;"""")))-1)"),"")</f>
        <v/>
      </c>
      <c r="AW2055" s="65" t="e">
        <f t="shared" ca="1" si="337"/>
        <v>#VALUE!</v>
      </c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</row>
    <row r="2056" spans="1:68" ht="19" x14ac:dyDescent="0.25">
      <c r="A2056" s="5"/>
      <c r="B2056" s="5"/>
      <c r="C2056" s="5"/>
      <c r="D2056" s="5"/>
      <c r="E2056" s="5"/>
      <c r="F2056" s="5"/>
      <c r="G2056" s="5"/>
      <c r="H2056" s="6"/>
      <c r="I2056" s="5"/>
      <c r="J2056" s="88"/>
      <c r="K2056" s="88"/>
      <c r="L2056" s="88"/>
      <c r="M2056" s="88"/>
      <c r="N2056" s="88"/>
      <c r="O2056" s="88"/>
      <c r="P2056" s="88"/>
      <c r="Q2056" s="89"/>
      <c r="R2056" s="88"/>
      <c r="S2056" s="88"/>
      <c r="T2056" s="90"/>
      <c r="U2056" s="6"/>
      <c r="V2056" s="92"/>
      <c r="W2056" s="77"/>
      <c r="X2056" s="91"/>
      <c r="Y2056" s="77"/>
      <c r="Z2056" s="5"/>
      <c r="AA2056" s="5"/>
      <c r="AB2056" s="5"/>
      <c r="AC2056" s="5"/>
      <c r="AD2056" s="5"/>
      <c r="AE2056" s="5"/>
      <c r="AF2056" s="5"/>
      <c r="AG2056" s="5"/>
      <c r="AH2056" s="6"/>
      <c r="AI2056" s="92"/>
      <c r="AJ2056" s="93"/>
      <c r="AK2056" s="94"/>
      <c r="AL2056" s="95"/>
      <c r="AM2056" s="56"/>
      <c r="AN2056" s="57">
        <f t="shared" si="336"/>
        <v>0</v>
      </c>
      <c r="AO2056" s="76">
        <f t="shared" si="338"/>
        <v>0</v>
      </c>
      <c r="AP2056" s="63" t="str">
        <f t="shared" si="339"/>
        <v/>
      </c>
      <c r="AQ2056" s="63" t="str">
        <f t="shared" si="340"/>
        <v/>
      </c>
      <c r="AR2056" s="63" t="str">
        <f t="shared" si="341"/>
        <v/>
      </c>
      <c r="AS2056" s="63" t="str">
        <f t="shared" si="342"/>
        <v/>
      </c>
      <c r="AT2056" s="78" t="str">
        <f t="shared" si="343"/>
        <v/>
      </c>
      <c r="AU2056" s="78" t="str">
        <f t="shared" si="344"/>
        <v/>
      </c>
      <c r="AV2056" s="64" t="str">
        <f ca="1">IFERROR(__xludf.DUMMYFUNCTION("IF(TRIM(AU2056)="""","""",AU2056/INDEX(FILTER(AT$3:AT2056,TRIM(AT$3:AT2056)&lt;&gt;""""),ROWS(FILTER(AT$3:AT2056,TRIM(AT$3:AT2056)&lt;&gt;"""")))-1)"),"")</f>
        <v/>
      </c>
      <c r="AW2056" s="65" t="e">
        <f t="shared" ca="1" si="337"/>
        <v>#VALUE!</v>
      </c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</row>
    <row r="2057" spans="1:68" ht="19" x14ac:dyDescent="0.25">
      <c r="A2057" s="5"/>
      <c r="B2057" s="5"/>
      <c r="C2057" s="5"/>
      <c r="D2057" s="5"/>
      <c r="E2057" s="5"/>
      <c r="F2057" s="5"/>
      <c r="G2057" s="5"/>
      <c r="H2057" s="6"/>
      <c r="I2057" s="5"/>
      <c r="J2057" s="88"/>
      <c r="K2057" s="88"/>
      <c r="L2057" s="88"/>
      <c r="M2057" s="88"/>
      <c r="N2057" s="88"/>
      <c r="O2057" s="88"/>
      <c r="P2057" s="88"/>
      <c r="Q2057" s="89"/>
      <c r="R2057" s="88"/>
      <c r="S2057" s="88"/>
      <c r="T2057" s="90"/>
      <c r="U2057" s="6"/>
      <c r="V2057" s="92"/>
      <c r="W2057" s="77"/>
      <c r="X2057" s="91"/>
      <c r="Y2057" s="77"/>
      <c r="Z2057" s="5"/>
      <c r="AA2057" s="5"/>
      <c r="AB2057" s="5"/>
      <c r="AC2057" s="5"/>
      <c r="AD2057" s="5"/>
      <c r="AE2057" s="5"/>
      <c r="AF2057" s="5"/>
      <c r="AG2057" s="5"/>
      <c r="AH2057" s="6"/>
      <c r="AI2057" s="92"/>
      <c r="AJ2057" s="93"/>
      <c r="AK2057" s="94"/>
      <c r="AL2057" s="95"/>
      <c r="AM2057" s="56"/>
      <c r="AN2057" s="57">
        <f t="shared" si="336"/>
        <v>0</v>
      </c>
      <c r="AO2057" s="76">
        <f t="shared" si="338"/>
        <v>0</v>
      </c>
      <c r="AP2057" s="63" t="str">
        <f t="shared" si="339"/>
        <v/>
      </c>
      <c r="AQ2057" s="63" t="str">
        <f t="shared" si="340"/>
        <v/>
      </c>
      <c r="AR2057" s="63" t="str">
        <f t="shared" si="341"/>
        <v/>
      </c>
      <c r="AS2057" s="63" t="str">
        <f t="shared" si="342"/>
        <v/>
      </c>
      <c r="AT2057" s="78" t="str">
        <f t="shared" si="343"/>
        <v/>
      </c>
      <c r="AU2057" s="78" t="str">
        <f t="shared" si="344"/>
        <v/>
      </c>
      <c r="AV2057" s="64" t="str">
        <f ca="1">IFERROR(__xludf.DUMMYFUNCTION("IF(TRIM(AU2057)="""","""",AU2057/INDEX(FILTER(AT$3:AT2057,TRIM(AT$3:AT2057)&lt;&gt;""""),ROWS(FILTER(AT$3:AT2057,TRIM(AT$3:AT2057)&lt;&gt;"""")))-1)"),"")</f>
        <v/>
      </c>
      <c r="AW2057" s="65" t="e">
        <f t="shared" ca="1" si="337"/>
        <v>#VALUE!</v>
      </c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</row>
    <row r="2058" spans="1:68" ht="19" x14ac:dyDescent="0.25">
      <c r="A2058" s="5"/>
      <c r="B2058" s="5"/>
      <c r="C2058" s="5"/>
      <c r="D2058" s="5"/>
      <c r="E2058" s="5"/>
      <c r="F2058" s="5"/>
      <c r="G2058" s="5"/>
      <c r="H2058" s="6"/>
      <c r="I2058" s="5"/>
      <c r="J2058" s="88"/>
      <c r="K2058" s="88"/>
      <c r="L2058" s="88"/>
      <c r="M2058" s="88"/>
      <c r="N2058" s="88"/>
      <c r="O2058" s="88"/>
      <c r="P2058" s="88"/>
      <c r="Q2058" s="89"/>
      <c r="R2058" s="88"/>
      <c r="S2058" s="88"/>
      <c r="T2058" s="90"/>
      <c r="U2058" s="6"/>
      <c r="V2058" s="92"/>
      <c r="W2058" s="77"/>
      <c r="X2058" s="91"/>
      <c r="Y2058" s="77"/>
      <c r="Z2058" s="5"/>
      <c r="AA2058" s="5"/>
      <c r="AB2058" s="5"/>
      <c r="AC2058" s="5"/>
      <c r="AD2058" s="5"/>
      <c r="AE2058" s="5"/>
      <c r="AF2058" s="5"/>
      <c r="AG2058" s="5"/>
      <c r="AH2058" s="6"/>
      <c r="AI2058" s="92"/>
      <c r="AJ2058" s="93"/>
      <c r="AK2058" s="94"/>
      <c r="AL2058" s="95"/>
      <c r="AM2058" s="56"/>
      <c r="AN2058" s="57">
        <f t="shared" si="336"/>
        <v>0</v>
      </c>
      <c r="AO2058" s="76">
        <f t="shared" si="338"/>
        <v>0</v>
      </c>
      <c r="AP2058" s="63" t="str">
        <f t="shared" si="339"/>
        <v/>
      </c>
      <c r="AQ2058" s="63" t="str">
        <f t="shared" si="340"/>
        <v/>
      </c>
      <c r="AR2058" s="63" t="str">
        <f t="shared" si="341"/>
        <v/>
      </c>
      <c r="AS2058" s="63" t="str">
        <f t="shared" si="342"/>
        <v/>
      </c>
      <c r="AT2058" s="78" t="str">
        <f t="shared" si="343"/>
        <v/>
      </c>
      <c r="AU2058" s="78" t="str">
        <f t="shared" si="344"/>
        <v/>
      </c>
      <c r="AV2058" s="64" t="str">
        <f ca="1">IFERROR(__xludf.DUMMYFUNCTION("IF(TRIM(AU2058)="""","""",AU2058/INDEX(FILTER(AT$3:AT2058,TRIM(AT$3:AT2058)&lt;&gt;""""),ROWS(FILTER(AT$3:AT2058,TRIM(AT$3:AT2058)&lt;&gt;"""")))-1)"),"")</f>
        <v/>
      </c>
      <c r="AW2058" s="65" t="e">
        <f t="shared" ca="1" si="337"/>
        <v>#VALUE!</v>
      </c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</row>
    <row r="2059" spans="1:68" ht="19" x14ac:dyDescent="0.25">
      <c r="A2059" s="5"/>
      <c r="B2059" s="5"/>
      <c r="C2059" s="5"/>
      <c r="D2059" s="5"/>
      <c r="E2059" s="5"/>
      <c r="F2059" s="5"/>
      <c r="G2059" s="5"/>
      <c r="H2059" s="6"/>
      <c r="I2059" s="5"/>
      <c r="J2059" s="88"/>
      <c r="K2059" s="88"/>
      <c r="L2059" s="88"/>
      <c r="M2059" s="88"/>
      <c r="N2059" s="88"/>
      <c r="O2059" s="88"/>
      <c r="P2059" s="88"/>
      <c r="Q2059" s="89"/>
      <c r="R2059" s="88"/>
      <c r="S2059" s="88"/>
      <c r="T2059" s="90"/>
      <c r="U2059" s="6"/>
      <c r="V2059" s="92"/>
      <c r="W2059" s="77"/>
      <c r="X2059" s="91"/>
      <c r="Y2059" s="77"/>
      <c r="Z2059" s="5"/>
      <c r="AA2059" s="5"/>
      <c r="AB2059" s="5"/>
      <c r="AC2059" s="5"/>
      <c r="AD2059" s="5"/>
      <c r="AE2059" s="5"/>
      <c r="AF2059" s="5"/>
      <c r="AG2059" s="5"/>
      <c r="AH2059" s="6"/>
      <c r="AI2059" s="92"/>
      <c r="AJ2059" s="93"/>
      <c r="AK2059" s="94"/>
      <c r="AL2059" s="95"/>
      <c r="AM2059" s="56"/>
      <c r="AN2059" s="57">
        <f t="shared" si="336"/>
        <v>0</v>
      </c>
      <c r="AO2059" s="76">
        <f t="shared" si="338"/>
        <v>0</v>
      </c>
      <c r="AP2059" s="63" t="str">
        <f t="shared" si="339"/>
        <v/>
      </c>
      <c r="AQ2059" s="63" t="str">
        <f t="shared" si="340"/>
        <v/>
      </c>
      <c r="AR2059" s="63" t="str">
        <f t="shared" si="341"/>
        <v/>
      </c>
      <c r="AS2059" s="63" t="str">
        <f t="shared" si="342"/>
        <v/>
      </c>
      <c r="AT2059" s="78" t="str">
        <f t="shared" si="343"/>
        <v/>
      </c>
      <c r="AU2059" s="78" t="str">
        <f t="shared" si="344"/>
        <v/>
      </c>
      <c r="AV2059" s="64" t="str">
        <f ca="1">IFERROR(__xludf.DUMMYFUNCTION("IF(TRIM(AU2059)="""","""",AU2059/INDEX(FILTER(AT$3:AT2059,TRIM(AT$3:AT2059)&lt;&gt;""""),ROWS(FILTER(AT$3:AT2059,TRIM(AT$3:AT2059)&lt;&gt;"""")))-1)"),"")</f>
        <v/>
      </c>
      <c r="AW2059" s="65" t="e">
        <f t="shared" ca="1" si="337"/>
        <v>#VALUE!</v>
      </c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</row>
    <row r="2060" spans="1:68" ht="19" x14ac:dyDescent="0.25">
      <c r="A2060" s="5"/>
      <c r="B2060" s="5"/>
      <c r="C2060" s="5"/>
      <c r="D2060" s="5"/>
      <c r="E2060" s="5"/>
      <c r="F2060" s="5"/>
      <c r="G2060" s="5"/>
      <c r="H2060" s="6"/>
      <c r="I2060" s="5"/>
      <c r="J2060" s="88"/>
      <c r="K2060" s="88"/>
      <c r="L2060" s="88"/>
      <c r="M2060" s="88"/>
      <c r="N2060" s="88"/>
      <c r="O2060" s="88"/>
      <c r="P2060" s="88"/>
      <c r="Q2060" s="89"/>
      <c r="R2060" s="88"/>
      <c r="S2060" s="88"/>
      <c r="T2060" s="90"/>
      <c r="U2060" s="6"/>
      <c r="V2060" s="96"/>
      <c r="W2060" s="77"/>
      <c r="X2060" s="91"/>
      <c r="Y2060" s="77"/>
      <c r="Z2060" s="5"/>
      <c r="AA2060" s="5"/>
      <c r="AB2060" s="5"/>
      <c r="AC2060" s="5"/>
      <c r="AD2060" s="5"/>
      <c r="AE2060" s="5"/>
      <c r="AF2060" s="5"/>
      <c r="AG2060" s="5"/>
      <c r="AH2060" s="6"/>
      <c r="AI2060" s="96"/>
      <c r="AJ2060" s="93"/>
      <c r="AK2060" s="94"/>
      <c r="AL2060" s="95"/>
      <c r="AM2060" s="56"/>
      <c r="AN2060" s="57">
        <f t="shared" si="336"/>
        <v>0</v>
      </c>
      <c r="AO2060" s="76">
        <f t="shared" si="338"/>
        <v>0</v>
      </c>
      <c r="AP2060" s="63" t="str">
        <f t="shared" si="339"/>
        <v/>
      </c>
      <c r="AQ2060" s="63" t="str">
        <f t="shared" si="340"/>
        <v/>
      </c>
      <c r="AR2060" s="63" t="str">
        <f t="shared" si="341"/>
        <v/>
      </c>
      <c r="AS2060" s="63" t="str">
        <f t="shared" si="342"/>
        <v/>
      </c>
      <c r="AT2060" s="78" t="str">
        <f t="shared" si="343"/>
        <v/>
      </c>
      <c r="AU2060" s="78" t="str">
        <f t="shared" si="344"/>
        <v/>
      </c>
      <c r="AV2060" s="64" t="str">
        <f ca="1">IFERROR(__xludf.DUMMYFUNCTION("IF(TRIM(AU2060)="""","""",AU2060/INDEX(FILTER(AT$3:AT2060,TRIM(AT$3:AT2060)&lt;&gt;""""),ROWS(FILTER(AT$3:AT2060,TRIM(AT$3:AT2060)&lt;&gt;"""")))-1)"),"")</f>
        <v/>
      </c>
      <c r="AW2060" s="65" t="e">
        <f t="shared" ca="1" si="337"/>
        <v>#VALUE!</v>
      </c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</row>
    <row r="2061" spans="1:68" ht="19" x14ac:dyDescent="0.25">
      <c r="A2061" s="5"/>
      <c r="B2061" s="5"/>
      <c r="C2061" s="5"/>
      <c r="D2061" s="5"/>
      <c r="E2061" s="5"/>
      <c r="F2061" s="5"/>
      <c r="G2061" s="5"/>
      <c r="H2061" s="6"/>
      <c r="I2061" s="5"/>
      <c r="J2061" s="88"/>
      <c r="K2061" s="88"/>
      <c r="L2061" s="88"/>
      <c r="M2061" s="88"/>
      <c r="N2061" s="88"/>
      <c r="O2061" s="88"/>
      <c r="P2061" s="88"/>
      <c r="Q2061" s="89"/>
      <c r="R2061" s="88"/>
      <c r="S2061" s="88"/>
      <c r="T2061" s="90"/>
      <c r="U2061" s="6"/>
      <c r="V2061" s="96"/>
      <c r="W2061" s="77"/>
      <c r="X2061" s="91"/>
      <c r="Y2061" s="77"/>
      <c r="Z2061" s="5"/>
      <c r="AA2061" s="5"/>
      <c r="AB2061" s="5"/>
      <c r="AC2061" s="5"/>
      <c r="AD2061" s="5"/>
      <c r="AE2061" s="5"/>
      <c r="AF2061" s="5"/>
      <c r="AG2061" s="5"/>
      <c r="AH2061" s="6"/>
      <c r="AI2061" s="96"/>
      <c r="AJ2061" s="93"/>
      <c r="AK2061" s="94"/>
      <c r="AL2061" s="95"/>
      <c r="AM2061" s="56"/>
      <c r="AN2061" s="57">
        <f t="shared" si="336"/>
        <v>0</v>
      </c>
      <c r="AO2061" s="76">
        <f t="shared" si="338"/>
        <v>0</v>
      </c>
      <c r="AP2061" s="63" t="str">
        <f t="shared" si="339"/>
        <v/>
      </c>
      <c r="AQ2061" s="63" t="str">
        <f t="shared" si="340"/>
        <v/>
      </c>
      <c r="AR2061" s="63" t="str">
        <f t="shared" si="341"/>
        <v/>
      </c>
      <c r="AS2061" s="63" t="str">
        <f t="shared" si="342"/>
        <v/>
      </c>
      <c r="AT2061" s="78" t="str">
        <f t="shared" si="343"/>
        <v/>
      </c>
      <c r="AU2061" s="78" t="str">
        <f t="shared" si="344"/>
        <v/>
      </c>
      <c r="AV2061" s="64" t="str">
        <f ca="1">IFERROR(__xludf.DUMMYFUNCTION("IF(TRIM(AU2061)="""","""",AU2061/INDEX(FILTER(AT$3:AT2061,TRIM(AT$3:AT2061)&lt;&gt;""""),ROWS(FILTER(AT$3:AT2061,TRIM(AT$3:AT2061)&lt;&gt;"""")))-1)"),"")</f>
        <v/>
      </c>
      <c r="AW2061" s="65" t="e">
        <f t="shared" ca="1" si="337"/>
        <v>#VALUE!</v>
      </c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</row>
    <row r="2062" spans="1:68" ht="19" x14ac:dyDescent="0.25">
      <c r="A2062" s="5"/>
      <c r="B2062" s="5"/>
      <c r="C2062" s="5"/>
      <c r="D2062" s="5"/>
      <c r="E2062" s="5"/>
      <c r="F2062" s="5"/>
      <c r="G2062" s="5"/>
      <c r="H2062" s="6"/>
      <c r="I2062" s="5"/>
      <c r="J2062" s="88"/>
      <c r="K2062" s="88"/>
      <c r="L2062" s="88"/>
      <c r="M2062" s="88"/>
      <c r="N2062" s="88"/>
      <c r="O2062" s="88"/>
      <c r="P2062" s="88"/>
      <c r="Q2062" s="89"/>
      <c r="R2062" s="88"/>
      <c r="S2062" s="88"/>
      <c r="T2062" s="90"/>
      <c r="U2062" s="6"/>
      <c r="V2062" s="96"/>
      <c r="W2062" s="77"/>
      <c r="X2062" s="91"/>
      <c r="Y2062" s="77"/>
      <c r="Z2062" s="5"/>
      <c r="AA2062" s="5"/>
      <c r="AB2062" s="5"/>
      <c r="AC2062" s="5"/>
      <c r="AD2062" s="5"/>
      <c r="AE2062" s="5"/>
      <c r="AF2062" s="5"/>
      <c r="AG2062" s="5"/>
      <c r="AH2062" s="6"/>
      <c r="AI2062" s="96"/>
      <c r="AJ2062" s="93"/>
      <c r="AK2062" s="94"/>
      <c r="AL2062" s="95"/>
      <c r="AM2062" s="56"/>
      <c r="AN2062" s="57">
        <f t="shared" si="336"/>
        <v>0</v>
      </c>
      <c r="AO2062" s="76">
        <f t="shared" si="338"/>
        <v>0</v>
      </c>
      <c r="AP2062" s="63" t="str">
        <f t="shared" si="339"/>
        <v/>
      </c>
      <c r="AQ2062" s="63" t="str">
        <f t="shared" si="340"/>
        <v/>
      </c>
      <c r="AR2062" s="63" t="str">
        <f t="shared" si="341"/>
        <v/>
      </c>
      <c r="AS2062" s="63" t="str">
        <f t="shared" si="342"/>
        <v/>
      </c>
      <c r="AT2062" s="78" t="str">
        <f t="shared" si="343"/>
        <v/>
      </c>
      <c r="AU2062" s="78" t="str">
        <f t="shared" si="344"/>
        <v/>
      </c>
      <c r="AV2062" s="64" t="str">
        <f ca="1">IFERROR(__xludf.DUMMYFUNCTION("IF(TRIM(AU2062)="""","""",AU2062/INDEX(FILTER(AT$3:AT2062,TRIM(AT$3:AT2062)&lt;&gt;""""),ROWS(FILTER(AT$3:AT2062,TRIM(AT$3:AT2062)&lt;&gt;"""")))-1)"),"")</f>
        <v/>
      </c>
      <c r="AW2062" s="65" t="e">
        <f t="shared" ca="1" si="337"/>
        <v>#VALUE!</v>
      </c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</row>
    <row r="2063" spans="1:68" ht="19" x14ac:dyDescent="0.25">
      <c r="A2063" s="5"/>
      <c r="B2063" s="5"/>
      <c r="C2063" s="5"/>
      <c r="D2063" s="5"/>
      <c r="E2063" s="5"/>
      <c r="F2063" s="5"/>
      <c r="G2063" s="5"/>
      <c r="H2063" s="6"/>
      <c r="I2063" s="5"/>
      <c r="J2063" s="88"/>
      <c r="K2063" s="88"/>
      <c r="L2063" s="88"/>
      <c r="M2063" s="88"/>
      <c r="N2063" s="88"/>
      <c r="O2063" s="88"/>
      <c r="P2063" s="88"/>
      <c r="Q2063" s="89"/>
      <c r="R2063" s="88"/>
      <c r="S2063" s="88"/>
      <c r="T2063" s="90"/>
      <c r="U2063" s="6"/>
      <c r="V2063" s="96"/>
      <c r="W2063" s="77"/>
      <c r="X2063" s="91"/>
      <c r="Y2063" s="77"/>
      <c r="Z2063" s="5"/>
      <c r="AA2063" s="5"/>
      <c r="AB2063" s="5"/>
      <c r="AC2063" s="5"/>
      <c r="AD2063" s="5"/>
      <c r="AE2063" s="5"/>
      <c r="AF2063" s="5"/>
      <c r="AG2063" s="5"/>
      <c r="AH2063" s="6"/>
      <c r="AI2063" s="96"/>
      <c r="AJ2063" s="93"/>
      <c r="AK2063" s="94"/>
      <c r="AL2063" s="95"/>
      <c r="AM2063" s="56"/>
      <c r="AN2063" s="57">
        <f t="shared" si="336"/>
        <v>0</v>
      </c>
      <c r="AO2063" s="76">
        <f t="shared" si="338"/>
        <v>0</v>
      </c>
      <c r="AP2063" s="63" t="str">
        <f t="shared" si="339"/>
        <v/>
      </c>
      <c r="AQ2063" s="63" t="str">
        <f t="shared" si="340"/>
        <v/>
      </c>
      <c r="AR2063" s="63" t="str">
        <f t="shared" si="341"/>
        <v/>
      </c>
      <c r="AS2063" s="63" t="str">
        <f t="shared" si="342"/>
        <v/>
      </c>
      <c r="AT2063" s="78" t="str">
        <f t="shared" si="343"/>
        <v/>
      </c>
      <c r="AU2063" s="78" t="str">
        <f t="shared" si="344"/>
        <v/>
      </c>
      <c r="AV2063" s="64" t="str">
        <f ca="1">IFERROR(__xludf.DUMMYFUNCTION("IF(TRIM(AU2063)="""","""",AU2063/INDEX(FILTER(AT$3:AT2063,TRIM(AT$3:AT2063)&lt;&gt;""""),ROWS(FILTER(AT$3:AT2063,TRIM(AT$3:AT2063)&lt;&gt;"""")))-1)"),"")</f>
        <v/>
      </c>
      <c r="AW2063" s="65" t="e">
        <f t="shared" ca="1" si="337"/>
        <v>#VALUE!</v>
      </c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</row>
    <row r="2064" spans="1:68" ht="19" x14ac:dyDescent="0.25">
      <c r="A2064" s="5"/>
      <c r="B2064" s="5"/>
      <c r="C2064" s="5"/>
      <c r="D2064" s="5"/>
      <c r="E2064" s="5"/>
      <c r="F2064" s="5"/>
      <c r="G2064" s="5"/>
      <c r="H2064" s="6"/>
      <c r="I2064" s="5"/>
      <c r="J2064" s="88"/>
      <c r="K2064" s="88"/>
      <c r="L2064" s="88"/>
      <c r="M2064" s="88"/>
      <c r="N2064" s="88"/>
      <c r="O2064" s="88"/>
      <c r="P2064" s="88"/>
      <c r="Q2064" s="89"/>
      <c r="R2064" s="88"/>
      <c r="S2064" s="88"/>
      <c r="T2064" s="90"/>
      <c r="U2064" s="6"/>
      <c r="V2064" s="96"/>
      <c r="W2064" s="77"/>
      <c r="X2064" s="91"/>
      <c r="Y2064" s="77"/>
      <c r="Z2064" s="5"/>
      <c r="AA2064" s="5"/>
      <c r="AB2064" s="5"/>
      <c r="AC2064" s="5"/>
      <c r="AD2064" s="5"/>
      <c r="AE2064" s="5"/>
      <c r="AF2064" s="5"/>
      <c r="AG2064" s="5"/>
      <c r="AH2064" s="6"/>
      <c r="AI2064" s="96"/>
      <c r="AJ2064" s="93"/>
      <c r="AK2064" s="94"/>
      <c r="AL2064" s="95"/>
      <c r="AM2064" s="56"/>
      <c r="AN2064" s="57">
        <f t="shared" si="336"/>
        <v>0</v>
      </c>
      <c r="AO2064" s="76">
        <f t="shared" si="338"/>
        <v>0</v>
      </c>
      <c r="AP2064" s="63" t="str">
        <f t="shared" si="339"/>
        <v/>
      </c>
      <c r="AQ2064" s="63" t="str">
        <f t="shared" si="340"/>
        <v/>
      </c>
      <c r="AR2064" s="63" t="str">
        <f t="shared" si="341"/>
        <v/>
      </c>
      <c r="AS2064" s="63" t="str">
        <f t="shared" si="342"/>
        <v/>
      </c>
      <c r="AT2064" s="78" t="str">
        <f t="shared" si="343"/>
        <v/>
      </c>
      <c r="AU2064" s="78" t="str">
        <f t="shared" si="344"/>
        <v/>
      </c>
      <c r="AV2064" s="64" t="str">
        <f ca="1">IFERROR(__xludf.DUMMYFUNCTION("IF(TRIM(AU2064)="""","""",AU2064/INDEX(FILTER(AT$3:AT2064,TRIM(AT$3:AT2064)&lt;&gt;""""),ROWS(FILTER(AT$3:AT2064,TRIM(AT$3:AT2064)&lt;&gt;"""")))-1)"),"")</f>
        <v/>
      </c>
      <c r="AW2064" s="65" t="e">
        <f t="shared" ca="1" si="337"/>
        <v>#VALUE!</v>
      </c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</row>
    <row r="2065" spans="1:68" ht="19" x14ac:dyDescent="0.25">
      <c r="A2065" s="5"/>
      <c r="B2065" s="5"/>
      <c r="C2065" s="5"/>
      <c r="D2065" s="5"/>
      <c r="E2065" s="5"/>
      <c r="F2065" s="5"/>
      <c r="G2065" s="5"/>
      <c r="H2065" s="6"/>
      <c r="I2065" s="5"/>
      <c r="J2065" s="88"/>
      <c r="K2065" s="88"/>
      <c r="L2065" s="88"/>
      <c r="M2065" s="88"/>
      <c r="N2065" s="88"/>
      <c r="O2065" s="88"/>
      <c r="P2065" s="88"/>
      <c r="Q2065" s="89"/>
      <c r="R2065" s="88"/>
      <c r="S2065" s="88"/>
      <c r="T2065" s="90"/>
      <c r="U2065" s="6"/>
      <c r="V2065" s="96"/>
      <c r="W2065" s="77"/>
      <c r="X2065" s="91"/>
      <c r="Y2065" s="77"/>
      <c r="Z2065" s="5"/>
      <c r="AA2065" s="5"/>
      <c r="AB2065" s="5"/>
      <c r="AC2065" s="5"/>
      <c r="AD2065" s="5"/>
      <c r="AE2065" s="5"/>
      <c r="AF2065" s="5"/>
      <c r="AG2065" s="5"/>
      <c r="AH2065" s="6"/>
      <c r="AI2065" s="96"/>
      <c r="AJ2065" s="93"/>
      <c r="AK2065" s="94"/>
      <c r="AL2065" s="95"/>
      <c r="AM2065" s="56"/>
      <c r="AN2065" s="57">
        <f t="shared" si="336"/>
        <v>0</v>
      </c>
      <c r="AO2065" s="76">
        <f t="shared" si="338"/>
        <v>0</v>
      </c>
      <c r="AP2065" s="63" t="str">
        <f t="shared" si="339"/>
        <v/>
      </c>
      <c r="AQ2065" s="63" t="str">
        <f t="shared" si="340"/>
        <v/>
      </c>
      <c r="AR2065" s="63" t="str">
        <f t="shared" si="341"/>
        <v/>
      </c>
      <c r="AS2065" s="63" t="str">
        <f t="shared" si="342"/>
        <v/>
      </c>
      <c r="AT2065" s="78" t="str">
        <f t="shared" si="343"/>
        <v/>
      </c>
      <c r="AU2065" s="78" t="str">
        <f t="shared" si="344"/>
        <v/>
      </c>
      <c r="AV2065" s="64" t="str">
        <f ca="1">IFERROR(__xludf.DUMMYFUNCTION("IF(TRIM(AU2065)="""","""",AU2065/INDEX(FILTER(AT$3:AT2065,TRIM(AT$3:AT2065)&lt;&gt;""""),ROWS(FILTER(AT$3:AT2065,TRIM(AT$3:AT2065)&lt;&gt;"""")))-1)"),"")</f>
        <v/>
      </c>
      <c r="AW2065" s="65" t="e">
        <f t="shared" ca="1" si="337"/>
        <v>#VALUE!</v>
      </c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</row>
    <row r="2066" spans="1:68" ht="19" x14ac:dyDescent="0.25">
      <c r="A2066" s="5"/>
      <c r="B2066" s="5"/>
      <c r="C2066" s="5"/>
      <c r="D2066" s="5"/>
      <c r="E2066" s="5"/>
      <c r="F2066" s="5"/>
      <c r="G2066" s="5"/>
      <c r="H2066" s="6"/>
      <c r="I2066" s="5"/>
      <c r="J2066" s="88"/>
      <c r="K2066" s="88"/>
      <c r="L2066" s="88"/>
      <c r="M2066" s="88"/>
      <c r="N2066" s="88"/>
      <c r="O2066" s="88"/>
      <c r="P2066" s="88"/>
      <c r="Q2066" s="89"/>
      <c r="R2066" s="88"/>
      <c r="S2066" s="88"/>
      <c r="T2066" s="90"/>
      <c r="U2066" s="6"/>
      <c r="V2066" s="96"/>
      <c r="W2066" s="77"/>
      <c r="X2066" s="91"/>
      <c r="Y2066" s="77"/>
      <c r="Z2066" s="5"/>
      <c r="AA2066" s="5"/>
      <c r="AB2066" s="5"/>
      <c r="AC2066" s="5"/>
      <c r="AD2066" s="5"/>
      <c r="AE2066" s="5"/>
      <c r="AF2066" s="5"/>
      <c r="AG2066" s="5"/>
      <c r="AH2066" s="6"/>
      <c r="AI2066" s="96"/>
      <c r="AJ2066" s="93"/>
      <c r="AK2066" s="94"/>
      <c r="AL2066" s="95"/>
      <c r="AM2066" s="56"/>
      <c r="AN2066" s="57">
        <f t="shared" si="336"/>
        <v>0</v>
      </c>
      <c r="AO2066" s="76">
        <f t="shared" si="338"/>
        <v>0</v>
      </c>
      <c r="AP2066" s="63" t="str">
        <f t="shared" si="339"/>
        <v/>
      </c>
      <c r="AQ2066" s="63" t="str">
        <f t="shared" si="340"/>
        <v/>
      </c>
      <c r="AR2066" s="63" t="str">
        <f t="shared" si="341"/>
        <v/>
      </c>
      <c r="AS2066" s="63" t="str">
        <f t="shared" si="342"/>
        <v/>
      </c>
      <c r="AT2066" s="78" t="str">
        <f t="shared" si="343"/>
        <v/>
      </c>
      <c r="AU2066" s="78" t="str">
        <f t="shared" si="344"/>
        <v/>
      </c>
      <c r="AV2066" s="64" t="str">
        <f ca="1">IFERROR(__xludf.DUMMYFUNCTION("IF(TRIM(AU2066)="""","""",AU2066/INDEX(FILTER(AT$3:AT2066,TRIM(AT$3:AT2066)&lt;&gt;""""),ROWS(FILTER(AT$3:AT2066,TRIM(AT$3:AT2066)&lt;&gt;"""")))-1)"),"")</f>
        <v/>
      </c>
      <c r="AW2066" s="65" t="e">
        <f t="shared" ca="1" si="337"/>
        <v>#VALUE!</v>
      </c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</row>
    <row r="2067" spans="1:68" ht="19" x14ac:dyDescent="0.25">
      <c r="A2067" s="5"/>
      <c r="B2067" s="5"/>
      <c r="C2067" s="5"/>
      <c r="D2067" s="5"/>
      <c r="E2067" s="5"/>
      <c r="F2067" s="5"/>
      <c r="G2067" s="5"/>
      <c r="H2067" s="6"/>
      <c r="I2067" s="5"/>
      <c r="J2067" s="88"/>
      <c r="K2067" s="88"/>
      <c r="L2067" s="88"/>
      <c r="M2067" s="88"/>
      <c r="N2067" s="88"/>
      <c r="O2067" s="88"/>
      <c r="P2067" s="88"/>
      <c r="Q2067" s="89"/>
      <c r="R2067" s="88"/>
      <c r="S2067" s="88"/>
      <c r="T2067" s="90"/>
      <c r="U2067" s="6"/>
      <c r="V2067" s="96"/>
      <c r="W2067" s="77"/>
      <c r="X2067" s="91"/>
      <c r="Y2067" s="77"/>
      <c r="Z2067" s="5"/>
      <c r="AA2067" s="5"/>
      <c r="AB2067" s="5"/>
      <c r="AC2067" s="5"/>
      <c r="AD2067" s="5"/>
      <c r="AE2067" s="5"/>
      <c r="AF2067" s="5"/>
      <c r="AG2067" s="5"/>
      <c r="AH2067" s="6"/>
      <c r="AI2067" s="96"/>
      <c r="AJ2067" s="93"/>
      <c r="AK2067" s="94"/>
      <c r="AL2067" s="95"/>
      <c r="AM2067" s="56"/>
      <c r="AN2067" s="57">
        <f t="shared" si="336"/>
        <v>0</v>
      </c>
      <c r="AO2067" s="76">
        <f t="shared" si="338"/>
        <v>0</v>
      </c>
      <c r="AP2067" s="63" t="str">
        <f t="shared" si="339"/>
        <v/>
      </c>
      <c r="AQ2067" s="63" t="str">
        <f t="shared" si="340"/>
        <v/>
      </c>
      <c r="AR2067" s="63" t="str">
        <f t="shared" si="341"/>
        <v/>
      </c>
      <c r="AS2067" s="63" t="str">
        <f t="shared" si="342"/>
        <v/>
      </c>
      <c r="AT2067" s="78" t="str">
        <f t="shared" si="343"/>
        <v/>
      </c>
      <c r="AU2067" s="78" t="str">
        <f t="shared" si="344"/>
        <v/>
      </c>
      <c r="AV2067" s="64" t="str">
        <f ca="1">IFERROR(__xludf.DUMMYFUNCTION("IF(TRIM(AU2067)="""","""",AU2067/INDEX(FILTER(AT$3:AT2067,TRIM(AT$3:AT2067)&lt;&gt;""""),ROWS(FILTER(AT$3:AT2067,TRIM(AT$3:AT2067)&lt;&gt;"""")))-1)"),"")</f>
        <v/>
      </c>
      <c r="AW2067" s="65" t="e">
        <f t="shared" ca="1" si="337"/>
        <v>#VALUE!</v>
      </c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</row>
    <row r="2068" spans="1:68" ht="19" x14ac:dyDescent="0.25">
      <c r="A2068" s="5"/>
      <c r="B2068" s="5"/>
      <c r="C2068" s="5"/>
      <c r="D2068" s="5"/>
      <c r="E2068" s="5"/>
      <c r="F2068" s="5"/>
      <c r="G2068" s="5"/>
      <c r="H2068" s="6"/>
      <c r="I2068" s="5"/>
      <c r="J2068" s="88"/>
      <c r="K2068" s="88"/>
      <c r="L2068" s="88"/>
      <c r="M2068" s="88"/>
      <c r="N2068" s="88"/>
      <c r="O2068" s="88"/>
      <c r="P2068" s="88"/>
      <c r="Q2068" s="89"/>
      <c r="R2068" s="88"/>
      <c r="S2068" s="88"/>
      <c r="T2068" s="90"/>
      <c r="U2068" s="6"/>
      <c r="V2068" s="96"/>
      <c r="W2068" s="77"/>
      <c r="X2068" s="91"/>
      <c r="Y2068" s="77"/>
      <c r="Z2068" s="5"/>
      <c r="AA2068" s="5"/>
      <c r="AB2068" s="5"/>
      <c r="AC2068" s="5"/>
      <c r="AD2068" s="5"/>
      <c r="AE2068" s="5"/>
      <c r="AF2068" s="5"/>
      <c r="AG2068" s="5"/>
      <c r="AH2068" s="6"/>
      <c r="AI2068" s="96"/>
      <c r="AJ2068" s="93"/>
      <c r="AK2068" s="94"/>
      <c r="AL2068" s="95"/>
      <c r="AM2068" s="56"/>
      <c r="AN2068" s="57">
        <f t="shared" si="336"/>
        <v>0</v>
      </c>
      <c r="AO2068" s="76">
        <f t="shared" si="338"/>
        <v>0</v>
      </c>
      <c r="AP2068" s="63" t="str">
        <f t="shared" si="339"/>
        <v/>
      </c>
      <c r="AQ2068" s="63" t="str">
        <f t="shared" si="340"/>
        <v/>
      </c>
      <c r="AR2068" s="63" t="str">
        <f t="shared" si="341"/>
        <v/>
      </c>
      <c r="AS2068" s="63" t="str">
        <f t="shared" si="342"/>
        <v/>
      </c>
      <c r="AT2068" s="78" t="str">
        <f t="shared" si="343"/>
        <v/>
      </c>
      <c r="AU2068" s="78" t="str">
        <f t="shared" si="344"/>
        <v/>
      </c>
      <c r="AV2068" s="64" t="str">
        <f ca="1">IFERROR(__xludf.DUMMYFUNCTION("IF(TRIM(AU2068)="""","""",AU2068/INDEX(FILTER(AT$3:AT2068,TRIM(AT$3:AT2068)&lt;&gt;""""),ROWS(FILTER(AT$3:AT2068,TRIM(AT$3:AT2068)&lt;&gt;"""")))-1)"),"")</f>
        <v/>
      </c>
      <c r="AW2068" s="65" t="e">
        <f t="shared" ca="1" si="337"/>
        <v>#VALUE!</v>
      </c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</row>
    <row r="2069" spans="1:68" ht="19" x14ac:dyDescent="0.25">
      <c r="A2069" s="5"/>
      <c r="B2069" s="5"/>
      <c r="C2069" s="5"/>
      <c r="D2069" s="5"/>
      <c r="E2069" s="5"/>
      <c r="F2069" s="5"/>
      <c r="G2069" s="5"/>
      <c r="H2069" s="6"/>
      <c r="I2069" s="5"/>
      <c r="J2069" s="88"/>
      <c r="K2069" s="88"/>
      <c r="L2069" s="88"/>
      <c r="M2069" s="88"/>
      <c r="N2069" s="88"/>
      <c r="O2069" s="88"/>
      <c r="P2069" s="88"/>
      <c r="Q2069" s="89"/>
      <c r="R2069" s="88"/>
      <c r="S2069" s="88"/>
      <c r="T2069" s="90"/>
      <c r="U2069" s="6"/>
      <c r="V2069" s="96"/>
      <c r="W2069" s="77"/>
      <c r="X2069" s="91"/>
      <c r="Y2069" s="77"/>
      <c r="Z2069" s="5"/>
      <c r="AA2069" s="5"/>
      <c r="AB2069" s="5"/>
      <c r="AC2069" s="5"/>
      <c r="AD2069" s="5"/>
      <c r="AE2069" s="5"/>
      <c r="AF2069" s="5"/>
      <c r="AG2069" s="5"/>
      <c r="AH2069" s="6"/>
      <c r="AI2069" s="96"/>
      <c r="AJ2069" s="93"/>
      <c r="AK2069" s="94"/>
      <c r="AL2069" s="95"/>
      <c r="AM2069" s="56"/>
      <c r="AN2069" s="57">
        <f t="shared" si="336"/>
        <v>0</v>
      </c>
      <c r="AO2069" s="76">
        <f t="shared" si="338"/>
        <v>0</v>
      </c>
      <c r="AP2069" s="63" t="str">
        <f t="shared" si="339"/>
        <v/>
      </c>
      <c r="AQ2069" s="63" t="str">
        <f t="shared" si="340"/>
        <v/>
      </c>
      <c r="AR2069" s="63" t="str">
        <f t="shared" si="341"/>
        <v/>
      </c>
      <c r="AS2069" s="63" t="str">
        <f t="shared" si="342"/>
        <v/>
      </c>
      <c r="AT2069" s="78" t="str">
        <f t="shared" si="343"/>
        <v/>
      </c>
      <c r="AU2069" s="78" t="str">
        <f t="shared" si="344"/>
        <v/>
      </c>
      <c r="AV2069" s="64" t="str">
        <f ca="1">IFERROR(__xludf.DUMMYFUNCTION("IF(TRIM(AU2069)="""","""",AU2069/INDEX(FILTER(AT$3:AT2069,TRIM(AT$3:AT2069)&lt;&gt;""""),ROWS(FILTER(AT$3:AT2069,TRIM(AT$3:AT2069)&lt;&gt;"""")))-1)"),"")</f>
        <v/>
      </c>
      <c r="AW2069" s="65" t="e">
        <f t="shared" ca="1" si="337"/>
        <v>#VALUE!</v>
      </c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</row>
    <row r="2070" spans="1:68" ht="19" x14ac:dyDescent="0.25">
      <c r="A2070" s="5"/>
      <c r="B2070" s="5"/>
      <c r="C2070" s="5"/>
      <c r="D2070" s="5"/>
      <c r="E2070" s="5"/>
      <c r="F2070" s="5"/>
      <c r="G2070" s="5"/>
      <c r="H2070" s="6"/>
      <c r="I2070" s="5"/>
      <c r="J2070" s="88"/>
      <c r="K2070" s="88"/>
      <c r="L2070" s="88"/>
      <c r="M2070" s="88"/>
      <c r="N2070" s="88"/>
      <c r="O2070" s="88"/>
      <c r="P2070" s="88"/>
      <c r="Q2070" s="89"/>
      <c r="R2070" s="88"/>
      <c r="S2070" s="88"/>
      <c r="T2070" s="90"/>
      <c r="U2070" s="6"/>
      <c r="V2070" s="96"/>
      <c r="W2070" s="77"/>
      <c r="X2070" s="91"/>
      <c r="Y2070" s="77"/>
      <c r="Z2070" s="5"/>
      <c r="AA2070" s="5"/>
      <c r="AB2070" s="5"/>
      <c r="AC2070" s="5"/>
      <c r="AD2070" s="5"/>
      <c r="AE2070" s="5"/>
      <c r="AF2070" s="5"/>
      <c r="AG2070" s="5"/>
      <c r="AH2070" s="6"/>
      <c r="AI2070" s="96"/>
      <c r="AJ2070" s="93"/>
      <c r="AK2070" s="94"/>
      <c r="AL2070" s="95"/>
      <c r="AM2070" s="56"/>
      <c r="AN2070" s="57">
        <f t="shared" si="336"/>
        <v>0</v>
      </c>
      <c r="AO2070" s="76">
        <f t="shared" si="338"/>
        <v>0</v>
      </c>
      <c r="AP2070" s="63" t="str">
        <f t="shared" si="339"/>
        <v/>
      </c>
      <c r="AQ2070" s="63" t="str">
        <f t="shared" si="340"/>
        <v/>
      </c>
      <c r="AR2070" s="63" t="str">
        <f t="shared" si="341"/>
        <v/>
      </c>
      <c r="AS2070" s="63" t="str">
        <f t="shared" si="342"/>
        <v/>
      </c>
      <c r="AT2070" s="78" t="str">
        <f t="shared" si="343"/>
        <v/>
      </c>
      <c r="AU2070" s="78" t="str">
        <f t="shared" si="344"/>
        <v/>
      </c>
      <c r="AV2070" s="64" t="str">
        <f ca="1">IFERROR(__xludf.DUMMYFUNCTION("IF(TRIM(AU2070)="""","""",AU2070/INDEX(FILTER(AT$3:AT2070,TRIM(AT$3:AT2070)&lt;&gt;""""),ROWS(FILTER(AT$3:AT2070,TRIM(AT$3:AT2070)&lt;&gt;"""")))-1)"),"")</f>
        <v/>
      </c>
      <c r="AW2070" s="65" t="e">
        <f t="shared" ca="1" si="337"/>
        <v>#VALUE!</v>
      </c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</row>
    <row r="2071" spans="1:68" ht="19" x14ac:dyDescent="0.25">
      <c r="A2071" s="5"/>
      <c r="B2071" s="5"/>
      <c r="C2071" s="5"/>
      <c r="D2071" s="5"/>
      <c r="E2071" s="5"/>
      <c r="F2071" s="5"/>
      <c r="G2071" s="5"/>
      <c r="H2071" s="6"/>
      <c r="I2071" s="5"/>
      <c r="J2071" s="88"/>
      <c r="K2071" s="88"/>
      <c r="L2071" s="88"/>
      <c r="M2071" s="88"/>
      <c r="N2071" s="88"/>
      <c r="O2071" s="88"/>
      <c r="P2071" s="88"/>
      <c r="Q2071" s="89"/>
      <c r="R2071" s="88"/>
      <c r="S2071" s="88"/>
      <c r="T2071" s="90"/>
      <c r="U2071" s="6"/>
      <c r="V2071" s="96"/>
      <c r="W2071" s="77"/>
      <c r="X2071" s="91"/>
      <c r="Y2071" s="77"/>
      <c r="Z2071" s="5"/>
      <c r="AA2071" s="5"/>
      <c r="AB2071" s="5"/>
      <c r="AC2071" s="5"/>
      <c r="AD2071" s="5"/>
      <c r="AE2071" s="5"/>
      <c r="AF2071" s="5"/>
      <c r="AG2071" s="5"/>
      <c r="AH2071" s="6"/>
      <c r="AI2071" s="96"/>
      <c r="AJ2071" s="93"/>
      <c r="AK2071" s="94"/>
      <c r="AL2071" s="95"/>
      <c r="AM2071" s="56"/>
      <c r="AN2071" s="57">
        <f t="shared" si="336"/>
        <v>0</v>
      </c>
      <c r="AO2071" s="76">
        <f t="shared" si="338"/>
        <v>0</v>
      </c>
      <c r="AP2071" s="63" t="str">
        <f t="shared" si="339"/>
        <v/>
      </c>
      <c r="AQ2071" s="63" t="str">
        <f t="shared" si="340"/>
        <v/>
      </c>
      <c r="AR2071" s="63" t="str">
        <f t="shared" si="341"/>
        <v/>
      </c>
      <c r="AS2071" s="63" t="str">
        <f t="shared" si="342"/>
        <v/>
      </c>
      <c r="AT2071" s="78" t="str">
        <f t="shared" si="343"/>
        <v/>
      </c>
      <c r="AU2071" s="78" t="str">
        <f t="shared" si="344"/>
        <v/>
      </c>
      <c r="AV2071" s="64" t="str">
        <f ca="1">IFERROR(__xludf.DUMMYFUNCTION("IF(TRIM(AU2071)="""","""",AU2071/INDEX(FILTER(AT$3:AT2071,TRIM(AT$3:AT2071)&lt;&gt;""""),ROWS(FILTER(AT$3:AT2071,TRIM(AT$3:AT2071)&lt;&gt;"""")))-1)"),"")</f>
        <v/>
      </c>
      <c r="AW2071" s="65" t="e">
        <f t="shared" ca="1" si="337"/>
        <v>#VALUE!</v>
      </c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</row>
    <row r="2072" spans="1:68" ht="19" x14ac:dyDescent="0.25">
      <c r="A2072" s="5"/>
      <c r="B2072" s="5"/>
      <c r="C2072" s="5"/>
      <c r="D2072" s="5"/>
      <c r="E2072" s="5"/>
      <c r="F2072" s="5"/>
      <c r="G2072" s="5"/>
      <c r="H2072" s="6"/>
      <c r="I2072" s="5"/>
      <c r="J2072" s="88"/>
      <c r="K2072" s="88"/>
      <c r="L2072" s="88"/>
      <c r="M2072" s="88"/>
      <c r="N2072" s="88"/>
      <c r="O2072" s="88"/>
      <c r="P2072" s="88"/>
      <c r="Q2072" s="89"/>
      <c r="R2072" s="88"/>
      <c r="S2072" s="88"/>
      <c r="T2072" s="90"/>
      <c r="U2072" s="6"/>
      <c r="V2072" s="96"/>
      <c r="W2072" s="77"/>
      <c r="X2072" s="91"/>
      <c r="Y2072" s="77"/>
      <c r="Z2072" s="5"/>
      <c r="AA2072" s="5"/>
      <c r="AB2072" s="5"/>
      <c r="AC2072" s="5"/>
      <c r="AD2072" s="5"/>
      <c r="AE2072" s="5"/>
      <c r="AF2072" s="5"/>
      <c r="AG2072" s="5"/>
      <c r="AH2072" s="6"/>
      <c r="AI2072" s="96"/>
      <c r="AJ2072" s="93"/>
      <c r="AK2072" s="94"/>
      <c r="AL2072" s="95"/>
      <c r="AM2072" s="56"/>
      <c r="AN2072" s="57">
        <f t="shared" si="336"/>
        <v>0</v>
      </c>
      <c r="AO2072" s="76">
        <f t="shared" si="338"/>
        <v>0</v>
      </c>
      <c r="AP2072" s="63" t="str">
        <f t="shared" si="339"/>
        <v/>
      </c>
      <c r="AQ2072" s="63" t="str">
        <f t="shared" si="340"/>
        <v/>
      </c>
      <c r="AR2072" s="63" t="str">
        <f t="shared" si="341"/>
        <v/>
      </c>
      <c r="AS2072" s="63" t="str">
        <f t="shared" si="342"/>
        <v/>
      </c>
      <c r="AT2072" s="78" t="str">
        <f t="shared" si="343"/>
        <v/>
      </c>
      <c r="AU2072" s="78" t="str">
        <f t="shared" si="344"/>
        <v/>
      </c>
      <c r="AV2072" s="64" t="str">
        <f ca="1">IFERROR(__xludf.DUMMYFUNCTION("IF(TRIM(AU2072)="""","""",AU2072/INDEX(FILTER(AT$3:AT2072,TRIM(AT$3:AT2072)&lt;&gt;""""),ROWS(FILTER(AT$3:AT2072,TRIM(AT$3:AT2072)&lt;&gt;"""")))-1)"),"")</f>
        <v/>
      </c>
      <c r="AW2072" s="65" t="e">
        <f t="shared" ca="1" si="337"/>
        <v>#VALUE!</v>
      </c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</row>
    <row r="2073" spans="1:68" ht="19" x14ac:dyDescent="0.25">
      <c r="A2073" s="5"/>
      <c r="B2073" s="5"/>
      <c r="C2073" s="5"/>
      <c r="D2073" s="5"/>
      <c r="E2073" s="5"/>
      <c r="F2073" s="5"/>
      <c r="G2073" s="5"/>
      <c r="H2073" s="6"/>
      <c r="I2073" s="5"/>
      <c r="J2073" s="88"/>
      <c r="K2073" s="88"/>
      <c r="L2073" s="88"/>
      <c r="M2073" s="88"/>
      <c r="N2073" s="88"/>
      <c r="O2073" s="88"/>
      <c r="P2073" s="88"/>
      <c r="Q2073" s="89"/>
      <c r="R2073" s="88"/>
      <c r="S2073" s="88"/>
      <c r="T2073" s="90"/>
      <c r="U2073" s="6"/>
      <c r="V2073" s="96"/>
      <c r="W2073" s="77"/>
      <c r="X2073" s="91"/>
      <c r="Y2073" s="77"/>
      <c r="Z2073" s="5"/>
      <c r="AA2073" s="5"/>
      <c r="AB2073" s="5"/>
      <c r="AC2073" s="5"/>
      <c r="AD2073" s="5"/>
      <c r="AE2073" s="5"/>
      <c r="AF2073" s="5"/>
      <c r="AG2073" s="5"/>
      <c r="AH2073" s="6"/>
      <c r="AI2073" s="96"/>
      <c r="AJ2073" s="93"/>
      <c r="AK2073" s="94"/>
      <c r="AL2073" s="95"/>
      <c r="AM2073" s="56"/>
      <c r="AN2073" s="57">
        <f t="shared" si="336"/>
        <v>0</v>
      </c>
      <c r="AO2073" s="76">
        <f t="shared" si="338"/>
        <v>0</v>
      </c>
      <c r="AP2073" s="63" t="str">
        <f t="shared" si="339"/>
        <v/>
      </c>
      <c r="AQ2073" s="63" t="str">
        <f t="shared" si="340"/>
        <v/>
      </c>
      <c r="AR2073" s="63" t="str">
        <f t="shared" si="341"/>
        <v/>
      </c>
      <c r="AS2073" s="63" t="str">
        <f t="shared" si="342"/>
        <v/>
      </c>
      <c r="AT2073" s="78" t="str">
        <f t="shared" si="343"/>
        <v/>
      </c>
      <c r="AU2073" s="78" t="str">
        <f t="shared" si="344"/>
        <v/>
      </c>
      <c r="AV2073" s="64" t="str">
        <f ca="1">IFERROR(__xludf.DUMMYFUNCTION("IF(TRIM(AU2073)="""","""",AU2073/INDEX(FILTER(AT$3:AT2073,TRIM(AT$3:AT2073)&lt;&gt;""""),ROWS(FILTER(AT$3:AT2073,TRIM(AT$3:AT2073)&lt;&gt;"""")))-1)"),"")</f>
        <v/>
      </c>
      <c r="AW2073" s="65" t="e">
        <f t="shared" ca="1" si="337"/>
        <v>#VALUE!</v>
      </c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</row>
    <row r="2074" spans="1:68" ht="19" x14ac:dyDescent="0.25">
      <c r="A2074" s="5"/>
      <c r="B2074" s="5"/>
      <c r="C2074" s="5"/>
      <c r="D2074" s="5"/>
      <c r="E2074" s="5"/>
      <c r="F2074" s="5"/>
      <c r="G2074" s="5"/>
      <c r="H2074" s="6"/>
      <c r="I2074" s="5"/>
      <c r="J2074" s="88"/>
      <c r="K2074" s="88"/>
      <c r="L2074" s="88"/>
      <c r="M2074" s="88"/>
      <c r="N2074" s="88"/>
      <c r="O2074" s="88"/>
      <c r="P2074" s="88"/>
      <c r="Q2074" s="89"/>
      <c r="R2074" s="88"/>
      <c r="S2074" s="88"/>
      <c r="T2074" s="90"/>
      <c r="U2074" s="6"/>
      <c r="V2074" s="92"/>
      <c r="W2074" s="77"/>
      <c r="X2074" s="91"/>
      <c r="Y2074" s="77"/>
      <c r="Z2074" s="5"/>
      <c r="AA2074" s="5"/>
      <c r="AB2074" s="5"/>
      <c r="AC2074" s="5"/>
      <c r="AD2074" s="5"/>
      <c r="AE2074" s="5"/>
      <c r="AF2074" s="5"/>
      <c r="AG2074" s="5"/>
      <c r="AH2074" s="6"/>
      <c r="AI2074" s="92"/>
      <c r="AJ2074" s="93"/>
      <c r="AK2074" s="94"/>
      <c r="AL2074" s="95"/>
      <c r="AM2074" s="56"/>
      <c r="AN2074" s="57">
        <f t="shared" si="336"/>
        <v>0</v>
      </c>
      <c r="AO2074" s="76">
        <f t="shared" si="338"/>
        <v>0</v>
      </c>
      <c r="AP2074" s="63" t="str">
        <f t="shared" si="339"/>
        <v/>
      </c>
      <c r="AQ2074" s="63" t="str">
        <f t="shared" si="340"/>
        <v/>
      </c>
      <c r="AR2074" s="63" t="str">
        <f t="shared" si="341"/>
        <v/>
      </c>
      <c r="AS2074" s="63" t="str">
        <f t="shared" si="342"/>
        <v/>
      </c>
      <c r="AT2074" s="78" t="str">
        <f t="shared" si="343"/>
        <v/>
      </c>
      <c r="AU2074" s="78" t="str">
        <f t="shared" si="344"/>
        <v/>
      </c>
      <c r="AV2074" s="64" t="str">
        <f ca="1">IFERROR(__xludf.DUMMYFUNCTION("IF(TRIM(AU2074)="""","""",AU2074/INDEX(FILTER(AT$3:AT2074,TRIM(AT$3:AT2074)&lt;&gt;""""),ROWS(FILTER(AT$3:AT2074,TRIM(AT$3:AT2074)&lt;&gt;"""")))-1)"),"")</f>
        <v/>
      </c>
      <c r="AW2074" s="65" t="e">
        <f t="shared" ca="1" si="337"/>
        <v>#VALUE!</v>
      </c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</row>
    <row r="2075" spans="1:68" ht="19" x14ac:dyDescent="0.25">
      <c r="A2075" s="5"/>
      <c r="B2075" s="5"/>
      <c r="C2075" s="5"/>
      <c r="D2075" s="5"/>
      <c r="E2075" s="5"/>
      <c r="F2075" s="5"/>
      <c r="G2075" s="5"/>
      <c r="H2075" s="6"/>
      <c r="I2075" s="5"/>
      <c r="J2075" s="88"/>
      <c r="K2075" s="88"/>
      <c r="L2075" s="88"/>
      <c r="M2075" s="88"/>
      <c r="N2075" s="88"/>
      <c r="O2075" s="88"/>
      <c r="P2075" s="88"/>
      <c r="Q2075" s="89"/>
      <c r="R2075" s="88"/>
      <c r="S2075" s="88"/>
      <c r="T2075" s="90"/>
      <c r="U2075" s="6"/>
      <c r="V2075" s="92"/>
      <c r="W2075" s="77"/>
      <c r="X2075" s="91"/>
      <c r="Y2075" s="77"/>
      <c r="Z2075" s="5"/>
      <c r="AA2075" s="5"/>
      <c r="AB2075" s="5"/>
      <c r="AC2075" s="5"/>
      <c r="AD2075" s="5"/>
      <c r="AE2075" s="5"/>
      <c r="AF2075" s="5"/>
      <c r="AG2075" s="5"/>
      <c r="AH2075" s="6"/>
      <c r="AI2075" s="92"/>
      <c r="AJ2075" s="93"/>
      <c r="AK2075" s="94"/>
      <c r="AL2075" s="95"/>
      <c r="AM2075" s="56"/>
      <c r="AN2075" s="57">
        <f t="shared" si="336"/>
        <v>0</v>
      </c>
      <c r="AO2075" s="76">
        <f t="shared" si="338"/>
        <v>0</v>
      </c>
      <c r="AP2075" s="63" t="str">
        <f t="shared" si="339"/>
        <v/>
      </c>
      <c r="AQ2075" s="63" t="str">
        <f t="shared" si="340"/>
        <v/>
      </c>
      <c r="AR2075" s="63" t="str">
        <f t="shared" si="341"/>
        <v/>
      </c>
      <c r="AS2075" s="63" t="str">
        <f t="shared" si="342"/>
        <v/>
      </c>
      <c r="AT2075" s="78" t="str">
        <f t="shared" si="343"/>
        <v/>
      </c>
      <c r="AU2075" s="78" t="str">
        <f t="shared" si="344"/>
        <v/>
      </c>
      <c r="AV2075" s="64" t="str">
        <f ca="1">IFERROR(__xludf.DUMMYFUNCTION("IF(TRIM(AU2075)="""","""",AU2075/INDEX(FILTER(AT$3:AT2075,TRIM(AT$3:AT2075)&lt;&gt;""""),ROWS(FILTER(AT$3:AT2075,TRIM(AT$3:AT2075)&lt;&gt;"""")))-1)"),"")</f>
        <v/>
      </c>
      <c r="AW2075" s="65" t="e">
        <f t="shared" ca="1" si="337"/>
        <v>#VALUE!</v>
      </c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</row>
    <row r="2076" spans="1:68" ht="19" x14ac:dyDescent="0.25">
      <c r="A2076" s="5"/>
      <c r="B2076" s="5"/>
      <c r="C2076" s="5"/>
      <c r="D2076" s="5"/>
      <c r="E2076" s="5"/>
      <c r="F2076" s="5"/>
      <c r="G2076" s="5"/>
      <c r="H2076" s="6"/>
      <c r="I2076" s="5"/>
      <c r="J2076" s="88"/>
      <c r="K2076" s="88"/>
      <c r="L2076" s="88"/>
      <c r="M2076" s="88"/>
      <c r="N2076" s="88"/>
      <c r="O2076" s="88"/>
      <c r="P2076" s="88"/>
      <c r="Q2076" s="89"/>
      <c r="R2076" s="88"/>
      <c r="S2076" s="88"/>
      <c r="T2076" s="90"/>
      <c r="U2076" s="6"/>
      <c r="V2076" s="92"/>
      <c r="W2076" s="77"/>
      <c r="X2076" s="91"/>
      <c r="Y2076" s="77"/>
      <c r="Z2076" s="5"/>
      <c r="AA2076" s="5"/>
      <c r="AB2076" s="5"/>
      <c r="AC2076" s="5"/>
      <c r="AD2076" s="5"/>
      <c r="AE2076" s="5"/>
      <c r="AF2076" s="5"/>
      <c r="AG2076" s="5"/>
      <c r="AH2076" s="6"/>
      <c r="AI2076" s="92"/>
      <c r="AJ2076" s="93"/>
      <c r="AK2076" s="94"/>
      <c r="AL2076" s="95"/>
      <c r="AM2076" s="56"/>
      <c r="AN2076" s="57">
        <f t="shared" si="336"/>
        <v>0</v>
      </c>
      <c r="AO2076" s="76">
        <f t="shared" si="338"/>
        <v>0</v>
      </c>
      <c r="AP2076" s="63" t="str">
        <f t="shared" si="339"/>
        <v/>
      </c>
      <c r="AQ2076" s="63" t="str">
        <f t="shared" si="340"/>
        <v/>
      </c>
      <c r="AR2076" s="63" t="str">
        <f t="shared" si="341"/>
        <v/>
      </c>
      <c r="AS2076" s="63" t="str">
        <f t="shared" si="342"/>
        <v/>
      </c>
      <c r="AT2076" s="78" t="str">
        <f t="shared" si="343"/>
        <v/>
      </c>
      <c r="AU2076" s="78" t="str">
        <f t="shared" si="344"/>
        <v/>
      </c>
      <c r="AV2076" s="64" t="str">
        <f ca="1">IFERROR(__xludf.DUMMYFUNCTION("IF(TRIM(AU2076)="""","""",AU2076/INDEX(FILTER(AT$3:AT2076,TRIM(AT$3:AT2076)&lt;&gt;""""),ROWS(FILTER(AT$3:AT2076,TRIM(AT$3:AT2076)&lt;&gt;"""")))-1)"),"")</f>
        <v/>
      </c>
      <c r="AW2076" s="65" t="e">
        <f t="shared" ca="1" si="337"/>
        <v>#VALUE!</v>
      </c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</row>
    <row r="2077" spans="1:68" ht="19" x14ac:dyDescent="0.25">
      <c r="A2077" s="5"/>
      <c r="B2077" s="5"/>
      <c r="C2077" s="5"/>
      <c r="D2077" s="5"/>
      <c r="E2077" s="5"/>
      <c r="F2077" s="5"/>
      <c r="G2077" s="5"/>
      <c r="H2077" s="6"/>
      <c r="I2077" s="5"/>
      <c r="J2077" s="88"/>
      <c r="K2077" s="88"/>
      <c r="L2077" s="88"/>
      <c r="M2077" s="88"/>
      <c r="N2077" s="88"/>
      <c r="O2077" s="88"/>
      <c r="P2077" s="88"/>
      <c r="Q2077" s="89"/>
      <c r="R2077" s="88"/>
      <c r="S2077" s="88"/>
      <c r="T2077" s="90"/>
      <c r="U2077" s="6"/>
      <c r="V2077" s="92"/>
      <c r="W2077" s="77"/>
      <c r="X2077" s="91"/>
      <c r="Y2077" s="77"/>
      <c r="Z2077" s="5"/>
      <c r="AA2077" s="5"/>
      <c r="AB2077" s="5"/>
      <c r="AC2077" s="5"/>
      <c r="AD2077" s="5"/>
      <c r="AE2077" s="5"/>
      <c r="AF2077" s="5"/>
      <c r="AG2077" s="5"/>
      <c r="AH2077" s="6"/>
      <c r="AI2077" s="92"/>
      <c r="AJ2077" s="93"/>
      <c r="AK2077" s="94"/>
      <c r="AL2077" s="95"/>
      <c r="AM2077" s="56"/>
      <c r="AN2077" s="57">
        <f t="shared" si="336"/>
        <v>0</v>
      </c>
      <c r="AO2077" s="76">
        <f t="shared" si="338"/>
        <v>0</v>
      </c>
      <c r="AP2077" s="63" t="str">
        <f t="shared" si="339"/>
        <v/>
      </c>
      <c r="AQ2077" s="63" t="str">
        <f t="shared" si="340"/>
        <v/>
      </c>
      <c r="AR2077" s="63" t="str">
        <f t="shared" si="341"/>
        <v/>
      </c>
      <c r="AS2077" s="63" t="str">
        <f t="shared" si="342"/>
        <v/>
      </c>
      <c r="AT2077" s="78" t="str">
        <f t="shared" si="343"/>
        <v/>
      </c>
      <c r="AU2077" s="78" t="str">
        <f t="shared" si="344"/>
        <v/>
      </c>
      <c r="AV2077" s="64" t="str">
        <f ca="1">IFERROR(__xludf.DUMMYFUNCTION("IF(TRIM(AU2077)="""","""",AU2077/INDEX(FILTER(AT$3:AT2077,TRIM(AT$3:AT2077)&lt;&gt;""""),ROWS(FILTER(AT$3:AT2077,TRIM(AT$3:AT2077)&lt;&gt;"""")))-1)"),"")</f>
        <v/>
      </c>
      <c r="AW2077" s="65" t="e">
        <f t="shared" ca="1" si="337"/>
        <v>#VALUE!</v>
      </c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</row>
    <row r="2078" spans="1:68" ht="19" x14ac:dyDescent="0.25">
      <c r="A2078" s="5"/>
      <c r="B2078" s="5"/>
      <c r="C2078" s="5"/>
      <c r="D2078" s="5"/>
      <c r="E2078" s="5"/>
      <c r="F2078" s="5"/>
      <c r="G2078" s="5"/>
      <c r="H2078" s="6"/>
      <c r="I2078" s="5"/>
      <c r="J2078" s="88"/>
      <c r="K2078" s="88"/>
      <c r="L2078" s="88"/>
      <c r="M2078" s="88"/>
      <c r="N2078" s="88"/>
      <c r="O2078" s="88"/>
      <c r="P2078" s="88"/>
      <c r="Q2078" s="89"/>
      <c r="R2078" s="88"/>
      <c r="S2078" s="88"/>
      <c r="T2078" s="90"/>
      <c r="U2078" s="6"/>
      <c r="V2078" s="92"/>
      <c r="W2078" s="77"/>
      <c r="X2078" s="91"/>
      <c r="Y2078" s="77"/>
      <c r="Z2078" s="5"/>
      <c r="AA2078" s="5"/>
      <c r="AB2078" s="5"/>
      <c r="AC2078" s="5"/>
      <c r="AD2078" s="5"/>
      <c r="AE2078" s="5"/>
      <c r="AF2078" s="5"/>
      <c r="AG2078" s="5"/>
      <c r="AH2078" s="6"/>
      <c r="AI2078" s="92"/>
      <c r="AJ2078" s="93"/>
      <c r="AK2078" s="94"/>
      <c r="AL2078" s="95"/>
      <c r="AM2078" s="56"/>
      <c r="AN2078" s="57">
        <f t="shared" si="336"/>
        <v>0</v>
      </c>
      <c r="AO2078" s="76">
        <f t="shared" si="338"/>
        <v>0</v>
      </c>
      <c r="AP2078" s="63" t="str">
        <f t="shared" si="339"/>
        <v/>
      </c>
      <c r="AQ2078" s="63" t="str">
        <f t="shared" si="340"/>
        <v/>
      </c>
      <c r="AR2078" s="63" t="str">
        <f t="shared" si="341"/>
        <v/>
      </c>
      <c r="AS2078" s="63" t="str">
        <f t="shared" si="342"/>
        <v/>
      </c>
      <c r="AT2078" s="78" t="str">
        <f t="shared" si="343"/>
        <v/>
      </c>
      <c r="AU2078" s="78" t="str">
        <f t="shared" si="344"/>
        <v/>
      </c>
      <c r="AV2078" s="64" t="str">
        <f ca="1">IFERROR(__xludf.DUMMYFUNCTION("IF(TRIM(AU2078)="""","""",AU2078/INDEX(FILTER(AT$3:AT2078,TRIM(AT$3:AT2078)&lt;&gt;""""),ROWS(FILTER(AT$3:AT2078,TRIM(AT$3:AT2078)&lt;&gt;"""")))-1)"),"")</f>
        <v/>
      </c>
      <c r="AW2078" s="65" t="e">
        <f t="shared" ca="1" si="337"/>
        <v>#VALUE!</v>
      </c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</row>
    <row r="2079" spans="1:68" ht="19" x14ac:dyDescent="0.25">
      <c r="A2079" s="5"/>
      <c r="B2079" s="5"/>
      <c r="C2079" s="5"/>
      <c r="D2079" s="5"/>
      <c r="E2079" s="5"/>
      <c r="F2079" s="5"/>
      <c r="G2079" s="5"/>
      <c r="H2079" s="6"/>
      <c r="I2079" s="5"/>
      <c r="J2079" s="88"/>
      <c r="K2079" s="88"/>
      <c r="L2079" s="88"/>
      <c r="M2079" s="88"/>
      <c r="N2079" s="88"/>
      <c r="O2079" s="88"/>
      <c r="P2079" s="88"/>
      <c r="Q2079" s="89"/>
      <c r="R2079" s="88"/>
      <c r="S2079" s="88"/>
      <c r="T2079" s="90"/>
      <c r="U2079" s="6"/>
      <c r="V2079" s="92"/>
      <c r="W2079" s="77"/>
      <c r="X2079" s="91"/>
      <c r="Y2079" s="77"/>
      <c r="Z2079" s="5"/>
      <c r="AA2079" s="5"/>
      <c r="AB2079" s="5"/>
      <c r="AC2079" s="5"/>
      <c r="AD2079" s="5"/>
      <c r="AE2079" s="5"/>
      <c r="AF2079" s="5"/>
      <c r="AG2079" s="5"/>
      <c r="AH2079" s="6"/>
      <c r="AI2079" s="92"/>
      <c r="AJ2079" s="93"/>
      <c r="AK2079" s="94"/>
      <c r="AL2079" s="95"/>
      <c r="AM2079" s="56"/>
      <c r="AN2079" s="57">
        <f t="shared" si="336"/>
        <v>0</v>
      </c>
      <c r="AO2079" s="76">
        <f t="shared" si="338"/>
        <v>0</v>
      </c>
      <c r="AP2079" s="63" t="str">
        <f t="shared" si="339"/>
        <v/>
      </c>
      <c r="AQ2079" s="63" t="str">
        <f t="shared" si="340"/>
        <v/>
      </c>
      <c r="AR2079" s="63" t="str">
        <f t="shared" si="341"/>
        <v/>
      </c>
      <c r="AS2079" s="63" t="str">
        <f t="shared" si="342"/>
        <v/>
      </c>
      <c r="AT2079" s="78" t="str">
        <f t="shared" si="343"/>
        <v/>
      </c>
      <c r="AU2079" s="78" t="str">
        <f t="shared" si="344"/>
        <v/>
      </c>
      <c r="AV2079" s="64" t="str">
        <f ca="1">IFERROR(__xludf.DUMMYFUNCTION("IF(TRIM(AU2079)="""","""",AU2079/INDEX(FILTER(AT$3:AT2079,TRIM(AT$3:AT2079)&lt;&gt;""""),ROWS(FILTER(AT$3:AT2079,TRIM(AT$3:AT2079)&lt;&gt;"""")))-1)"),"")</f>
        <v/>
      </c>
      <c r="AW2079" s="65" t="e">
        <f t="shared" ca="1" si="337"/>
        <v>#VALUE!</v>
      </c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</row>
    <row r="2080" spans="1:68" ht="19" x14ac:dyDescent="0.25">
      <c r="A2080" s="5"/>
      <c r="B2080" s="5"/>
      <c r="C2080" s="5"/>
      <c r="D2080" s="5"/>
      <c r="E2080" s="5"/>
      <c r="F2080" s="5"/>
      <c r="G2080" s="5"/>
      <c r="H2080" s="6"/>
      <c r="I2080" s="5"/>
      <c r="J2080" s="88"/>
      <c r="K2080" s="88"/>
      <c r="L2080" s="88"/>
      <c r="M2080" s="88"/>
      <c r="N2080" s="88"/>
      <c r="O2080" s="88"/>
      <c r="P2080" s="88"/>
      <c r="Q2080" s="89"/>
      <c r="R2080" s="88"/>
      <c r="S2080" s="88"/>
      <c r="T2080" s="90"/>
      <c r="U2080" s="6"/>
      <c r="V2080" s="96"/>
      <c r="W2080" s="77"/>
      <c r="X2080" s="91"/>
      <c r="Y2080" s="77"/>
      <c r="Z2080" s="5"/>
      <c r="AA2080" s="5"/>
      <c r="AB2080" s="5"/>
      <c r="AC2080" s="5"/>
      <c r="AD2080" s="5"/>
      <c r="AE2080" s="5"/>
      <c r="AF2080" s="5"/>
      <c r="AG2080" s="5"/>
      <c r="AH2080" s="6"/>
      <c r="AI2080" s="96"/>
      <c r="AJ2080" s="93"/>
      <c r="AK2080" s="94"/>
      <c r="AL2080" s="95"/>
      <c r="AM2080" s="56"/>
      <c r="AN2080" s="57">
        <f t="shared" si="336"/>
        <v>0</v>
      </c>
      <c r="AO2080" s="76">
        <f t="shared" si="338"/>
        <v>0</v>
      </c>
      <c r="AP2080" s="63" t="str">
        <f t="shared" si="339"/>
        <v/>
      </c>
      <c r="AQ2080" s="63" t="str">
        <f t="shared" si="340"/>
        <v/>
      </c>
      <c r="AR2080" s="63" t="str">
        <f t="shared" si="341"/>
        <v/>
      </c>
      <c r="AS2080" s="63" t="str">
        <f t="shared" si="342"/>
        <v/>
      </c>
      <c r="AT2080" s="78" t="str">
        <f t="shared" si="343"/>
        <v/>
      </c>
      <c r="AU2080" s="78" t="str">
        <f t="shared" si="344"/>
        <v/>
      </c>
      <c r="AV2080" s="64" t="str">
        <f ca="1">IFERROR(__xludf.DUMMYFUNCTION("IF(TRIM(AU2080)="""","""",AU2080/INDEX(FILTER(AT$3:AT2080,TRIM(AT$3:AT2080)&lt;&gt;""""),ROWS(FILTER(AT$3:AT2080,TRIM(AT$3:AT2080)&lt;&gt;"""")))-1)"),"")</f>
        <v/>
      </c>
      <c r="AW2080" s="65" t="e">
        <f t="shared" ca="1" si="337"/>
        <v>#VALUE!</v>
      </c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</row>
    <row r="2081" spans="1:68" ht="19" x14ac:dyDescent="0.25">
      <c r="A2081" s="5"/>
      <c r="B2081" s="5"/>
      <c r="C2081" s="5"/>
      <c r="D2081" s="5"/>
      <c r="E2081" s="5"/>
      <c r="F2081" s="5"/>
      <c r="G2081" s="5"/>
      <c r="H2081" s="6"/>
      <c r="I2081" s="5"/>
      <c r="J2081" s="88"/>
      <c r="K2081" s="88"/>
      <c r="L2081" s="88"/>
      <c r="M2081" s="88"/>
      <c r="N2081" s="88"/>
      <c r="O2081" s="88"/>
      <c r="P2081" s="88"/>
      <c r="Q2081" s="89"/>
      <c r="R2081" s="88"/>
      <c r="S2081" s="88"/>
      <c r="T2081" s="90"/>
      <c r="U2081" s="6"/>
      <c r="V2081" s="96"/>
      <c r="W2081" s="77"/>
      <c r="X2081" s="91"/>
      <c r="Y2081" s="77"/>
      <c r="Z2081" s="5"/>
      <c r="AA2081" s="5"/>
      <c r="AB2081" s="5"/>
      <c r="AC2081" s="5"/>
      <c r="AD2081" s="5"/>
      <c r="AE2081" s="5"/>
      <c r="AF2081" s="5"/>
      <c r="AG2081" s="5"/>
      <c r="AH2081" s="6"/>
      <c r="AI2081" s="96"/>
      <c r="AJ2081" s="93"/>
      <c r="AK2081" s="94"/>
      <c r="AL2081" s="95"/>
      <c r="AM2081" s="56"/>
      <c r="AN2081" s="57">
        <f t="shared" si="336"/>
        <v>0</v>
      </c>
      <c r="AO2081" s="76">
        <f t="shared" si="338"/>
        <v>0</v>
      </c>
      <c r="AP2081" s="63" t="str">
        <f t="shared" si="339"/>
        <v/>
      </c>
      <c r="AQ2081" s="63" t="str">
        <f t="shared" si="340"/>
        <v/>
      </c>
      <c r="AR2081" s="63" t="str">
        <f t="shared" si="341"/>
        <v/>
      </c>
      <c r="AS2081" s="63" t="str">
        <f t="shared" si="342"/>
        <v/>
      </c>
      <c r="AT2081" s="78" t="str">
        <f t="shared" si="343"/>
        <v/>
      </c>
      <c r="AU2081" s="78" t="str">
        <f t="shared" si="344"/>
        <v/>
      </c>
      <c r="AV2081" s="64" t="str">
        <f ca="1">IFERROR(__xludf.DUMMYFUNCTION("IF(TRIM(AU2081)="""","""",AU2081/INDEX(FILTER(AT$3:AT2081,TRIM(AT$3:AT2081)&lt;&gt;""""),ROWS(FILTER(AT$3:AT2081,TRIM(AT$3:AT2081)&lt;&gt;"""")))-1)"),"")</f>
        <v/>
      </c>
      <c r="AW2081" s="65" t="e">
        <f t="shared" ca="1" si="337"/>
        <v>#VALUE!</v>
      </c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</row>
    <row r="2082" spans="1:68" ht="19" x14ac:dyDescent="0.25">
      <c r="A2082" s="5"/>
      <c r="B2082" s="5"/>
      <c r="C2082" s="5"/>
      <c r="D2082" s="5"/>
      <c r="E2082" s="5"/>
      <c r="F2082" s="5"/>
      <c r="G2082" s="5"/>
      <c r="H2082" s="6"/>
      <c r="I2082" s="5"/>
      <c r="J2082" s="88"/>
      <c r="K2082" s="88"/>
      <c r="L2082" s="88"/>
      <c r="M2082" s="88"/>
      <c r="N2082" s="88"/>
      <c r="O2082" s="88"/>
      <c r="P2082" s="88"/>
      <c r="Q2082" s="89"/>
      <c r="R2082" s="88"/>
      <c r="S2082" s="88"/>
      <c r="T2082" s="90"/>
      <c r="U2082" s="6"/>
      <c r="V2082" s="96"/>
      <c r="W2082" s="77"/>
      <c r="X2082" s="91"/>
      <c r="Y2082" s="77"/>
      <c r="Z2082" s="5"/>
      <c r="AA2082" s="5"/>
      <c r="AB2082" s="5"/>
      <c r="AC2082" s="5"/>
      <c r="AD2082" s="5"/>
      <c r="AE2082" s="5"/>
      <c r="AF2082" s="5"/>
      <c r="AG2082" s="5"/>
      <c r="AH2082" s="6"/>
      <c r="AI2082" s="96"/>
      <c r="AJ2082" s="93"/>
      <c r="AK2082" s="94"/>
      <c r="AL2082" s="95"/>
      <c r="AM2082" s="56"/>
      <c r="AN2082" s="57">
        <f t="shared" si="336"/>
        <v>0</v>
      </c>
      <c r="AO2082" s="76">
        <f t="shared" si="338"/>
        <v>0</v>
      </c>
      <c r="AP2082" s="63" t="str">
        <f t="shared" si="339"/>
        <v/>
      </c>
      <c r="AQ2082" s="63" t="str">
        <f t="shared" si="340"/>
        <v/>
      </c>
      <c r="AR2082" s="63" t="str">
        <f t="shared" si="341"/>
        <v/>
      </c>
      <c r="AS2082" s="63" t="str">
        <f t="shared" si="342"/>
        <v/>
      </c>
      <c r="AT2082" s="78" t="str">
        <f t="shared" si="343"/>
        <v/>
      </c>
      <c r="AU2082" s="78" t="str">
        <f t="shared" si="344"/>
        <v/>
      </c>
      <c r="AV2082" s="64" t="str">
        <f ca="1">IFERROR(__xludf.DUMMYFUNCTION("IF(TRIM(AU2082)="""","""",AU2082/INDEX(FILTER(AT$3:AT2082,TRIM(AT$3:AT2082)&lt;&gt;""""),ROWS(FILTER(AT$3:AT2082,TRIM(AT$3:AT2082)&lt;&gt;"""")))-1)"),"")</f>
        <v/>
      </c>
      <c r="AW2082" s="65" t="e">
        <f t="shared" ca="1" si="337"/>
        <v>#VALUE!</v>
      </c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</row>
    <row r="2083" spans="1:68" ht="19" x14ac:dyDescent="0.25">
      <c r="A2083" s="5"/>
      <c r="B2083" s="5"/>
      <c r="C2083" s="5"/>
      <c r="D2083" s="5"/>
      <c r="E2083" s="5"/>
      <c r="F2083" s="5"/>
      <c r="G2083" s="5"/>
      <c r="H2083" s="6"/>
      <c r="I2083" s="5"/>
      <c r="J2083" s="88"/>
      <c r="K2083" s="88"/>
      <c r="L2083" s="88"/>
      <c r="M2083" s="88"/>
      <c r="N2083" s="88"/>
      <c r="O2083" s="88"/>
      <c r="P2083" s="88"/>
      <c r="Q2083" s="89"/>
      <c r="R2083" s="88"/>
      <c r="S2083" s="88"/>
      <c r="T2083" s="90"/>
      <c r="U2083" s="6"/>
      <c r="V2083" s="96"/>
      <c r="W2083" s="77"/>
      <c r="X2083" s="91"/>
      <c r="Y2083" s="77"/>
      <c r="Z2083" s="5"/>
      <c r="AA2083" s="5"/>
      <c r="AB2083" s="5"/>
      <c r="AC2083" s="5"/>
      <c r="AD2083" s="5"/>
      <c r="AE2083" s="5"/>
      <c r="AF2083" s="5"/>
      <c r="AG2083" s="5"/>
      <c r="AH2083" s="6"/>
      <c r="AI2083" s="96"/>
      <c r="AJ2083" s="93"/>
      <c r="AK2083" s="94"/>
      <c r="AL2083" s="95"/>
      <c r="AM2083" s="56"/>
      <c r="AN2083" s="57">
        <f t="shared" si="336"/>
        <v>0</v>
      </c>
      <c r="AO2083" s="76">
        <f t="shared" si="338"/>
        <v>0</v>
      </c>
      <c r="AP2083" s="63" t="str">
        <f t="shared" si="339"/>
        <v/>
      </c>
      <c r="AQ2083" s="63" t="str">
        <f t="shared" si="340"/>
        <v/>
      </c>
      <c r="AR2083" s="63" t="str">
        <f t="shared" si="341"/>
        <v/>
      </c>
      <c r="AS2083" s="63" t="str">
        <f t="shared" si="342"/>
        <v/>
      </c>
      <c r="AT2083" s="78" t="str">
        <f t="shared" si="343"/>
        <v/>
      </c>
      <c r="AU2083" s="78" t="str">
        <f t="shared" si="344"/>
        <v/>
      </c>
      <c r="AV2083" s="64" t="str">
        <f ca="1">IFERROR(__xludf.DUMMYFUNCTION("IF(TRIM(AU2083)="""","""",AU2083/INDEX(FILTER(AT$3:AT2083,TRIM(AT$3:AT2083)&lt;&gt;""""),ROWS(FILTER(AT$3:AT2083,TRIM(AT$3:AT2083)&lt;&gt;"""")))-1)"),"")</f>
        <v/>
      </c>
      <c r="AW2083" s="65" t="e">
        <f t="shared" ca="1" si="337"/>
        <v>#VALUE!</v>
      </c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</row>
    <row r="2084" spans="1:68" ht="19" x14ac:dyDescent="0.25">
      <c r="A2084" s="5"/>
      <c r="B2084" s="5"/>
      <c r="C2084" s="5"/>
      <c r="D2084" s="5"/>
      <c r="E2084" s="5"/>
      <c r="F2084" s="5"/>
      <c r="G2084" s="5"/>
      <c r="H2084" s="6"/>
      <c r="I2084" s="5"/>
      <c r="J2084" s="88"/>
      <c r="K2084" s="88"/>
      <c r="L2084" s="88"/>
      <c r="M2084" s="88"/>
      <c r="N2084" s="88"/>
      <c r="O2084" s="88"/>
      <c r="P2084" s="88"/>
      <c r="Q2084" s="89"/>
      <c r="R2084" s="88"/>
      <c r="S2084" s="88"/>
      <c r="T2084" s="90"/>
      <c r="U2084" s="6"/>
      <c r="V2084" s="96"/>
      <c r="W2084" s="77"/>
      <c r="X2084" s="91"/>
      <c r="Y2084" s="77"/>
      <c r="Z2084" s="5"/>
      <c r="AA2084" s="5"/>
      <c r="AB2084" s="5"/>
      <c r="AC2084" s="5"/>
      <c r="AD2084" s="5"/>
      <c r="AE2084" s="5"/>
      <c r="AF2084" s="5"/>
      <c r="AG2084" s="5"/>
      <c r="AH2084" s="6"/>
      <c r="AI2084" s="96"/>
      <c r="AJ2084" s="93"/>
      <c r="AK2084" s="94"/>
      <c r="AL2084" s="95"/>
      <c r="AM2084" s="56"/>
      <c r="AN2084" s="57">
        <f t="shared" si="336"/>
        <v>0</v>
      </c>
      <c r="AO2084" s="76">
        <f t="shared" si="338"/>
        <v>0</v>
      </c>
      <c r="AP2084" s="63" t="str">
        <f t="shared" si="339"/>
        <v/>
      </c>
      <c r="AQ2084" s="63" t="str">
        <f t="shared" si="340"/>
        <v/>
      </c>
      <c r="AR2084" s="63" t="str">
        <f t="shared" si="341"/>
        <v/>
      </c>
      <c r="AS2084" s="63" t="str">
        <f t="shared" si="342"/>
        <v/>
      </c>
      <c r="AT2084" s="78" t="str">
        <f t="shared" si="343"/>
        <v/>
      </c>
      <c r="AU2084" s="78" t="str">
        <f t="shared" si="344"/>
        <v/>
      </c>
      <c r="AV2084" s="64" t="str">
        <f ca="1">IFERROR(__xludf.DUMMYFUNCTION("IF(TRIM(AU2084)="""","""",AU2084/INDEX(FILTER(AT$3:AT2084,TRIM(AT$3:AT2084)&lt;&gt;""""),ROWS(FILTER(AT$3:AT2084,TRIM(AT$3:AT2084)&lt;&gt;"""")))-1)"),"")</f>
        <v/>
      </c>
      <c r="AW2084" s="65" t="e">
        <f t="shared" ca="1" si="337"/>
        <v>#VALUE!</v>
      </c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</row>
    <row r="2085" spans="1:68" ht="19" x14ac:dyDescent="0.25">
      <c r="A2085" s="5"/>
      <c r="B2085" s="5"/>
      <c r="C2085" s="5"/>
      <c r="D2085" s="5"/>
      <c r="E2085" s="5"/>
      <c r="F2085" s="5"/>
      <c r="G2085" s="5"/>
      <c r="H2085" s="6"/>
      <c r="I2085" s="5"/>
      <c r="J2085" s="88"/>
      <c r="K2085" s="88"/>
      <c r="L2085" s="88"/>
      <c r="M2085" s="88"/>
      <c r="N2085" s="88"/>
      <c r="O2085" s="88"/>
      <c r="P2085" s="88"/>
      <c r="Q2085" s="89"/>
      <c r="R2085" s="88"/>
      <c r="S2085" s="88"/>
      <c r="T2085" s="90"/>
      <c r="U2085" s="6"/>
      <c r="V2085" s="96"/>
      <c r="W2085" s="77"/>
      <c r="X2085" s="91"/>
      <c r="Y2085" s="77"/>
      <c r="Z2085" s="5"/>
      <c r="AA2085" s="5"/>
      <c r="AB2085" s="5"/>
      <c r="AC2085" s="5"/>
      <c r="AD2085" s="5"/>
      <c r="AE2085" s="5"/>
      <c r="AF2085" s="5"/>
      <c r="AG2085" s="5"/>
      <c r="AH2085" s="6"/>
      <c r="AI2085" s="96"/>
      <c r="AJ2085" s="93"/>
      <c r="AK2085" s="94"/>
      <c r="AL2085" s="95"/>
      <c r="AM2085" s="56"/>
      <c r="AN2085" s="57">
        <f t="shared" si="336"/>
        <v>0</v>
      </c>
      <c r="AO2085" s="76">
        <f t="shared" si="338"/>
        <v>0</v>
      </c>
      <c r="AP2085" s="63" t="str">
        <f t="shared" si="339"/>
        <v/>
      </c>
      <c r="AQ2085" s="63" t="str">
        <f t="shared" si="340"/>
        <v/>
      </c>
      <c r="AR2085" s="63" t="str">
        <f t="shared" si="341"/>
        <v/>
      </c>
      <c r="AS2085" s="63" t="str">
        <f t="shared" si="342"/>
        <v/>
      </c>
      <c r="AT2085" s="78" t="str">
        <f t="shared" si="343"/>
        <v/>
      </c>
      <c r="AU2085" s="78" t="str">
        <f t="shared" si="344"/>
        <v/>
      </c>
      <c r="AV2085" s="64" t="str">
        <f ca="1">IFERROR(__xludf.DUMMYFUNCTION("IF(TRIM(AU2085)="""","""",AU2085/INDEX(FILTER(AT$3:AT2085,TRIM(AT$3:AT2085)&lt;&gt;""""),ROWS(FILTER(AT$3:AT2085,TRIM(AT$3:AT2085)&lt;&gt;"""")))-1)"),"")</f>
        <v/>
      </c>
      <c r="AW2085" s="65" t="e">
        <f t="shared" ca="1" si="337"/>
        <v>#VALUE!</v>
      </c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</row>
    <row r="2086" spans="1:68" ht="19" x14ac:dyDescent="0.25">
      <c r="A2086" s="5"/>
      <c r="B2086" s="5"/>
      <c r="C2086" s="5"/>
      <c r="D2086" s="5"/>
      <c r="E2086" s="5"/>
      <c r="F2086" s="5"/>
      <c r="G2086" s="5"/>
      <c r="H2086" s="6"/>
      <c r="I2086" s="5"/>
      <c r="J2086" s="88"/>
      <c r="K2086" s="88"/>
      <c r="L2086" s="88"/>
      <c r="M2086" s="88"/>
      <c r="N2086" s="88"/>
      <c r="O2086" s="88"/>
      <c r="P2086" s="88"/>
      <c r="Q2086" s="89"/>
      <c r="R2086" s="88"/>
      <c r="S2086" s="88"/>
      <c r="T2086" s="90"/>
      <c r="U2086" s="6"/>
      <c r="V2086" s="96"/>
      <c r="W2086" s="77"/>
      <c r="X2086" s="91"/>
      <c r="Y2086" s="77"/>
      <c r="Z2086" s="5"/>
      <c r="AA2086" s="5"/>
      <c r="AB2086" s="5"/>
      <c r="AC2086" s="5"/>
      <c r="AD2086" s="5"/>
      <c r="AE2086" s="5"/>
      <c r="AF2086" s="5"/>
      <c r="AG2086" s="5"/>
      <c r="AH2086" s="6"/>
      <c r="AI2086" s="96"/>
      <c r="AJ2086" s="93"/>
      <c r="AK2086" s="94"/>
      <c r="AL2086" s="95"/>
      <c r="AM2086" s="56"/>
      <c r="AN2086" s="57">
        <f t="shared" si="336"/>
        <v>0</v>
      </c>
      <c r="AO2086" s="76">
        <f t="shared" si="338"/>
        <v>0</v>
      </c>
      <c r="AP2086" s="63" t="str">
        <f t="shared" si="339"/>
        <v/>
      </c>
      <c r="AQ2086" s="63" t="str">
        <f t="shared" si="340"/>
        <v/>
      </c>
      <c r="AR2086" s="63" t="str">
        <f t="shared" si="341"/>
        <v/>
      </c>
      <c r="AS2086" s="63" t="str">
        <f t="shared" si="342"/>
        <v/>
      </c>
      <c r="AT2086" s="78" t="str">
        <f t="shared" si="343"/>
        <v/>
      </c>
      <c r="AU2086" s="78" t="str">
        <f t="shared" si="344"/>
        <v/>
      </c>
      <c r="AV2086" s="64" t="str">
        <f ca="1">IFERROR(__xludf.DUMMYFUNCTION("IF(TRIM(AU2086)="""","""",AU2086/INDEX(FILTER(AT$3:AT2086,TRIM(AT$3:AT2086)&lt;&gt;""""),ROWS(FILTER(AT$3:AT2086,TRIM(AT$3:AT2086)&lt;&gt;"""")))-1)"),"")</f>
        <v/>
      </c>
      <c r="AW2086" s="65" t="e">
        <f t="shared" ca="1" si="337"/>
        <v>#VALUE!</v>
      </c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</row>
    <row r="2087" spans="1:68" ht="19" x14ac:dyDescent="0.25">
      <c r="A2087" s="5"/>
      <c r="B2087" s="5"/>
      <c r="C2087" s="5"/>
      <c r="D2087" s="5"/>
      <c r="E2087" s="5"/>
      <c r="F2087" s="5"/>
      <c r="G2087" s="5"/>
      <c r="H2087" s="6"/>
      <c r="I2087" s="5"/>
      <c r="J2087" s="88"/>
      <c r="K2087" s="88"/>
      <c r="L2087" s="88"/>
      <c r="M2087" s="88"/>
      <c r="N2087" s="88"/>
      <c r="O2087" s="88"/>
      <c r="P2087" s="88"/>
      <c r="Q2087" s="89"/>
      <c r="R2087" s="88"/>
      <c r="S2087" s="88"/>
      <c r="T2087" s="90"/>
      <c r="U2087" s="6"/>
      <c r="V2087" s="96"/>
      <c r="W2087" s="77"/>
      <c r="X2087" s="91"/>
      <c r="Y2087" s="77"/>
      <c r="Z2087" s="5"/>
      <c r="AA2087" s="5"/>
      <c r="AB2087" s="5"/>
      <c r="AC2087" s="5"/>
      <c r="AD2087" s="5"/>
      <c r="AE2087" s="5"/>
      <c r="AF2087" s="5"/>
      <c r="AG2087" s="5"/>
      <c r="AH2087" s="6"/>
      <c r="AI2087" s="96"/>
      <c r="AJ2087" s="93"/>
      <c r="AK2087" s="94"/>
      <c r="AL2087" s="95"/>
      <c r="AM2087" s="56"/>
      <c r="AN2087" s="57">
        <f t="shared" si="336"/>
        <v>0</v>
      </c>
      <c r="AO2087" s="76">
        <f t="shared" si="338"/>
        <v>0</v>
      </c>
      <c r="AP2087" s="63" t="str">
        <f t="shared" si="339"/>
        <v/>
      </c>
      <c r="AQ2087" s="63" t="str">
        <f t="shared" si="340"/>
        <v/>
      </c>
      <c r="AR2087" s="63" t="str">
        <f t="shared" si="341"/>
        <v/>
      </c>
      <c r="AS2087" s="63" t="str">
        <f t="shared" si="342"/>
        <v/>
      </c>
      <c r="AT2087" s="78" t="str">
        <f t="shared" si="343"/>
        <v/>
      </c>
      <c r="AU2087" s="78" t="str">
        <f t="shared" si="344"/>
        <v/>
      </c>
      <c r="AV2087" s="64" t="str">
        <f ca="1">IFERROR(__xludf.DUMMYFUNCTION("IF(TRIM(AU2087)="""","""",AU2087/INDEX(FILTER(AT$3:AT2087,TRIM(AT$3:AT2087)&lt;&gt;""""),ROWS(FILTER(AT$3:AT2087,TRIM(AT$3:AT2087)&lt;&gt;"""")))-1)"),"")</f>
        <v/>
      </c>
      <c r="AW2087" s="65" t="e">
        <f t="shared" ca="1" si="337"/>
        <v>#VALUE!</v>
      </c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</row>
    <row r="2088" spans="1:68" ht="19" x14ac:dyDescent="0.25">
      <c r="A2088" s="5"/>
      <c r="B2088" s="5"/>
      <c r="C2088" s="5"/>
      <c r="D2088" s="5"/>
      <c r="E2088" s="5"/>
      <c r="F2088" s="5"/>
      <c r="G2088" s="5"/>
      <c r="H2088" s="6"/>
      <c r="I2088" s="5"/>
      <c r="J2088" s="88"/>
      <c r="K2088" s="88"/>
      <c r="L2088" s="88"/>
      <c r="M2088" s="88"/>
      <c r="N2088" s="88"/>
      <c r="O2088" s="88"/>
      <c r="P2088" s="88"/>
      <c r="Q2088" s="89"/>
      <c r="R2088" s="88"/>
      <c r="S2088" s="88"/>
      <c r="T2088" s="90"/>
      <c r="U2088" s="6"/>
      <c r="V2088" s="96"/>
      <c r="W2088" s="77"/>
      <c r="X2088" s="91"/>
      <c r="Y2088" s="77"/>
      <c r="Z2088" s="5"/>
      <c r="AA2088" s="5"/>
      <c r="AB2088" s="5"/>
      <c r="AC2088" s="5"/>
      <c r="AD2088" s="5"/>
      <c r="AE2088" s="5"/>
      <c r="AF2088" s="5"/>
      <c r="AG2088" s="5"/>
      <c r="AH2088" s="6"/>
      <c r="AI2088" s="96"/>
      <c r="AJ2088" s="93"/>
      <c r="AK2088" s="94"/>
      <c r="AL2088" s="95"/>
      <c r="AM2088" s="56"/>
      <c r="AN2088" s="57">
        <f t="shared" si="336"/>
        <v>0</v>
      </c>
      <c r="AO2088" s="76">
        <f t="shared" si="338"/>
        <v>0</v>
      </c>
      <c r="AP2088" s="63" t="str">
        <f t="shared" si="339"/>
        <v/>
      </c>
      <c r="AQ2088" s="63" t="str">
        <f t="shared" si="340"/>
        <v/>
      </c>
      <c r="AR2088" s="63" t="str">
        <f t="shared" si="341"/>
        <v/>
      </c>
      <c r="AS2088" s="63" t="str">
        <f t="shared" si="342"/>
        <v/>
      </c>
      <c r="AT2088" s="78" t="str">
        <f t="shared" si="343"/>
        <v/>
      </c>
      <c r="AU2088" s="78" t="str">
        <f t="shared" si="344"/>
        <v/>
      </c>
      <c r="AV2088" s="64" t="str">
        <f ca="1">IFERROR(__xludf.DUMMYFUNCTION("IF(TRIM(AU2088)="""","""",AU2088/INDEX(FILTER(AT$3:AT2088,TRIM(AT$3:AT2088)&lt;&gt;""""),ROWS(FILTER(AT$3:AT2088,TRIM(AT$3:AT2088)&lt;&gt;"""")))-1)"),"")</f>
        <v/>
      </c>
      <c r="AW2088" s="65" t="e">
        <f t="shared" ca="1" si="337"/>
        <v>#VALUE!</v>
      </c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</row>
    <row r="2089" spans="1:68" ht="19" x14ac:dyDescent="0.25">
      <c r="A2089" s="5"/>
      <c r="B2089" s="5"/>
      <c r="C2089" s="5"/>
      <c r="D2089" s="5"/>
      <c r="E2089" s="5"/>
      <c r="F2089" s="5"/>
      <c r="G2089" s="5"/>
      <c r="H2089" s="6"/>
      <c r="I2089" s="5"/>
      <c r="J2089" s="88"/>
      <c r="K2089" s="88"/>
      <c r="L2089" s="88"/>
      <c r="M2089" s="88"/>
      <c r="N2089" s="88"/>
      <c r="O2089" s="88"/>
      <c r="P2089" s="88"/>
      <c r="Q2089" s="89"/>
      <c r="R2089" s="88"/>
      <c r="S2089" s="88"/>
      <c r="T2089" s="90"/>
      <c r="U2089" s="6"/>
      <c r="V2089" s="96"/>
      <c r="W2089" s="77"/>
      <c r="X2089" s="91"/>
      <c r="Y2089" s="77"/>
      <c r="Z2089" s="5"/>
      <c r="AA2089" s="5"/>
      <c r="AB2089" s="5"/>
      <c r="AC2089" s="5"/>
      <c r="AD2089" s="5"/>
      <c r="AE2089" s="5"/>
      <c r="AF2089" s="5"/>
      <c r="AG2089" s="5"/>
      <c r="AH2089" s="6"/>
      <c r="AI2089" s="96"/>
      <c r="AJ2089" s="93"/>
      <c r="AK2089" s="94"/>
      <c r="AL2089" s="95"/>
      <c r="AM2089" s="56"/>
      <c r="AN2089" s="57">
        <f t="shared" si="336"/>
        <v>0</v>
      </c>
      <c r="AO2089" s="76">
        <f t="shared" si="338"/>
        <v>0</v>
      </c>
      <c r="AP2089" s="63" t="str">
        <f t="shared" si="339"/>
        <v/>
      </c>
      <c r="AQ2089" s="63" t="str">
        <f t="shared" si="340"/>
        <v/>
      </c>
      <c r="AR2089" s="63" t="str">
        <f t="shared" si="341"/>
        <v/>
      </c>
      <c r="AS2089" s="63" t="str">
        <f t="shared" si="342"/>
        <v/>
      </c>
      <c r="AT2089" s="78" t="str">
        <f t="shared" si="343"/>
        <v/>
      </c>
      <c r="AU2089" s="78" t="str">
        <f t="shared" si="344"/>
        <v/>
      </c>
      <c r="AV2089" s="64" t="str">
        <f ca="1">IFERROR(__xludf.DUMMYFUNCTION("IF(TRIM(AU2089)="""","""",AU2089/INDEX(FILTER(AT$3:AT2089,TRIM(AT$3:AT2089)&lt;&gt;""""),ROWS(FILTER(AT$3:AT2089,TRIM(AT$3:AT2089)&lt;&gt;"""")))-1)"),"")</f>
        <v/>
      </c>
      <c r="AW2089" s="65" t="e">
        <f t="shared" ca="1" si="337"/>
        <v>#VALUE!</v>
      </c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</row>
    <row r="2090" spans="1:68" ht="19" x14ac:dyDescent="0.25">
      <c r="A2090" s="5"/>
      <c r="B2090" s="5"/>
      <c r="C2090" s="5"/>
      <c r="D2090" s="5"/>
      <c r="E2090" s="5"/>
      <c r="F2090" s="5"/>
      <c r="G2090" s="5"/>
      <c r="H2090" s="6"/>
      <c r="I2090" s="5"/>
      <c r="J2090" s="88"/>
      <c r="K2090" s="88"/>
      <c r="L2090" s="88"/>
      <c r="M2090" s="88"/>
      <c r="N2090" s="88"/>
      <c r="O2090" s="88"/>
      <c r="P2090" s="88"/>
      <c r="Q2090" s="89"/>
      <c r="R2090" s="88"/>
      <c r="S2090" s="88"/>
      <c r="T2090" s="90"/>
      <c r="U2090" s="6"/>
      <c r="V2090" s="96"/>
      <c r="W2090" s="77"/>
      <c r="X2090" s="91"/>
      <c r="Y2090" s="77"/>
      <c r="Z2090" s="5"/>
      <c r="AA2090" s="5"/>
      <c r="AB2090" s="5"/>
      <c r="AC2090" s="5"/>
      <c r="AD2090" s="5"/>
      <c r="AE2090" s="5"/>
      <c r="AF2090" s="5"/>
      <c r="AG2090" s="5"/>
      <c r="AH2090" s="6"/>
      <c r="AI2090" s="96"/>
      <c r="AJ2090" s="93"/>
      <c r="AK2090" s="94"/>
      <c r="AL2090" s="95"/>
      <c r="AM2090" s="56"/>
      <c r="AN2090" s="57">
        <f t="shared" si="336"/>
        <v>0</v>
      </c>
      <c r="AO2090" s="76">
        <f t="shared" si="338"/>
        <v>0</v>
      </c>
      <c r="AP2090" s="63" t="str">
        <f t="shared" si="339"/>
        <v/>
      </c>
      <c r="AQ2090" s="63" t="str">
        <f t="shared" si="340"/>
        <v/>
      </c>
      <c r="AR2090" s="63" t="str">
        <f t="shared" si="341"/>
        <v/>
      </c>
      <c r="AS2090" s="63" t="str">
        <f t="shared" si="342"/>
        <v/>
      </c>
      <c r="AT2090" s="78" t="str">
        <f t="shared" si="343"/>
        <v/>
      </c>
      <c r="AU2090" s="78" t="str">
        <f t="shared" si="344"/>
        <v/>
      </c>
      <c r="AV2090" s="64" t="str">
        <f ca="1">IFERROR(__xludf.DUMMYFUNCTION("IF(TRIM(AU2090)="""","""",AU2090/INDEX(FILTER(AT$3:AT2090,TRIM(AT$3:AT2090)&lt;&gt;""""),ROWS(FILTER(AT$3:AT2090,TRIM(AT$3:AT2090)&lt;&gt;"""")))-1)"),"")</f>
        <v/>
      </c>
      <c r="AW2090" s="65" t="e">
        <f t="shared" ca="1" si="337"/>
        <v>#VALUE!</v>
      </c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</row>
    <row r="2091" spans="1:68" ht="19" x14ac:dyDescent="0.25">
      <c r="A2091" s="5"/>
      <c r="B2091" s="5"/>
      <c r="C2091" s="5"/>
      <c r="D2091" s="5"/>
      <c r="E2091" s="5"/>
      <c r="F2091" s="5"/>
      <c r="G2091" s="5"/>
      <c r="H2091" s="6"/>
      <c r="I2091" s="5"/>
      <c r="J2091" s="88"/>
      <c r="K2091" s="88"/>
      <c r="L2091" s="88"/>
      <c r="M2091" s="88"/>
      <c r="N2091" s="88"/>
      <c r="O2091" s="88"/>
      <c r="P2091" s="88"/>
      <c r="Q2091" s="89"/>
      <c r="R2091" s="88"/>
      <c r="S2091" s="88"/>
      <c r="T2091" s="90"/>
      <c r="U2091" s="6"/>
      <c r="V2091" s="96"/>
      <c r="W2091" s="77"/>
      <c r="X2091" s="91"/>
      <c r="Y2091" s="77"/>
      <c r="Z2091" s="5"/>
      <c r="AA2091" s="5"/>
      <c r="AB2091" s="5"/>
      <c r="AC2091" s="5"/>
      <c r="AD2091" s="5"/>
      <c r="AE2091" s="5"/>
      <c r="AF2091" s="5"/>
      <c r="AG2091" s="5"/>
      <c r="AH2091" s="6"/>
      <c r="AI2091" s="96"/>
      <c r="AJ2091" s="93"/>
      <c r="AK2091" s="94"/>
      <c r="AL2091" s="95"/>
      <c r="AM2091" s="56"/>
      <c r="AN2091" s="57">
        <f t="shared" si="336"/>
        <v>0</v>
      </c>
      <c r="AO2091" s="76">
        <f t="shared" si="338"/>
        <v>0</v>
      </c>
      <c r="AP2091" s="63" t="str">
        <f t="shared" si="339"/>
        <v/>
      </c>
      <c r="AQ2091" s="63" t="str">
        <f t="shared" si="340"/>
        <v/>
      </c>
      <c r="AR2091" s="63" t="str">
        <f t="shared" si="341"/>
        <v/>
      </c>
      <c r="AS2091" s="63" t="str">
        <f t="shared" si="342"/>
        <v/>
      </c>
      <c r="AT2091" s="78" t="str">
        <f t="shared" si="343"/>
        <v/>
      </c>
      <c r="AU2091" s="78" t="str">
        <f t="shared" si="344"/>
        <v/>
      </c>
      <c r="AV2091" s="64" t="str">
        <f ca="1">IFERROR(__xludf.DUMMYFUNCTION("IF(TRIM(AU2091)="""","""",AU2091/INDEX(FILTER(AT$3:AT2091,TRIM(AT$3:AT2091)&lt;&gt;""""),ROWS(FILTER(AT$3:AT2091,TRIM(AT$3:AT2091)&lt;&gt;"""")))-1)"),"")</f>
        <v/>
      </c>
      <c r="AW2091" s="65" t="e">
        <f t="shared" ca="1" si="337"/>
        <v>#VALUE!</v>
      </c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</row>
    <row r="2092" spans="1:68" ht="19" x14ac:dyDescent="0.25">
      <c r="A2092" s="5"/>
      <c r="B2092" s="5"/>
      <c r="C2092" s="5"/>
      <c r="D2092" s="5"/>
      <c r="E2092" s="5"/>
      <c r="F2092" s="5"/>
      <c r="G2092" s="5"/>
      <c r="H2092" s="6"/>
      <c r="I2092" s="5"/>
      <c r="J2092" s="88"/>
      <c r="K2092" s="88"/>
      <c r="L2092" s="88"/>
      <c r="M2092" s="88"/>
      <c r="N2092" s="88"/>
      <c r="O2092" s="88"/>
      <c r="P2092" s="88"/>
      <c r="Q2092" s="89"/>
      <c r="R2092" s="88"/>
      <c r="S2092" s="88"/>
      <c r="T2092" s="90"/>
      <c r="U2092" s="6"/>
      <c r="V2092" s="96"/>
      <c r="W2092" s="77"/>
      <c r="X2092" s="91"/>
      <c r="Y2092" s="77"/>
      <c r="Z2092" s="5"/>
      <c r="AA2092" s="5"/>
      <c r="AB2092" s="5"/>
      <c r="AC2092" s="5"/>
      <c r="AD2092" s="5"/>
      <c r="AE2092" s="5"/>
      <c r="AF2092" s="5"/>
      <c r="AG2092" s="5"/>
      <c r="AH2092" s="6"/>
      <c r="AI2092" s="96"/>
      <c r="AJ2092" s="93"/>
      <c r="AK2092" s="94"/>
      <c r="AL2092" s="95"/>
      <c r="AM2092" s="56"/>
      <c r="AN2092" s="57">
        <f t="shared" si="336"/>
        <v>0</v>
      </c>
      <c r="AO2092" s="76">
        <f t="shared" si="338"/>
        <v>0</v>
      </c>
      <c r="AP2092" s="63" t="str">
        <f t="shared" si="339"/>
        <v/>
      </c>
      <c r="AQ2092" s="63" t="str">
        <f t="shared" si="340"/>
        <v/>
      </c>
      <c r="AR2092" s="63" t="str">
        <f t="shared" si="341"/>
        <v/>
      </c>
      <c r="AS2092" s="63" t="str">
        <f t="shared" si="342"/>
        <v/>
      </c>
      <c r="AT2092" s="78" t="str">
        <f t="shared" si="343"/>
        <v/>
      </c>
      <c r="AU2092" s="78" t="str">
        <f t="shared" si="344"/>
        <v/>
      </c>
      <c r="AV2092" s="64" t="str">
        <f ca="1">IFERROR(__xludf.DUMMYFUNCTION("IF(TRIM(AU2092)="""","""",AU2092/INDEX(FILTER(AT$3:AT2092,TRIM(AT$3:AT2092)&lt;&gt;""""),ROWS(FILTER(AT$3:AT2092,TRIM(AT$3:AT2092)&lt;&gt;"""")))-1)"),"")</f>
        <v/>
      </c>
      <c r="AW2092" s="65" t="e">
        <f t="shared" ca="1" si="337"/>
        <v>#VALUE!</v>
      </c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</row>
    <row r="2093" spans="1:68" ht="19" x14ac:dyDescent="0.25">
      <c r="A2093" s="5"/>
      <c r="B2093" s="5"/>
      <c r="C2093" s="5"/>
      <c r="D2093" s="5"/>
      <c r="E2093" s="5"/>
      <c r="F2093" s="5"/>
      <c r="G2093" s="5"/>
      <c r="H2093" s="6"/>
      <c r="I2093" s="5"/>
      <c r="J2093" s="88"/>
      <c r="K2093" s="88"/>
      <c r="L2093" s="88"/>
      <c r="M2093" s="88"/>
      <c r="N2093" s="88"/>
      <c r="O2093" s="88"/>
      <c r="P2093" s="88"/>
      <c r="Q2093" s="89"/>
      <c r="R2093" s="88"/>
      <c r="S2093" s="88"/>
      <c r="T2093" s="90"/>
      <c r="U2093" s="6"/>
      <c r="V2093" s="96"/>
      <c r="W2093" s="77"/>
      <c r="X2093" s="91"/>
      <c r="Y2093" s="77"/>
      <c r="Z2093" s="5"/>
      <c r="AA2093" s="5"/>
      <c r="AB2093" s="5"/>
      <c r="AC2093" s="5"/>
      <c r="AD2093" s="5"/>
      <c r="AE2093" s="5"/>
      <c r="AF2093" s="5"/>
      <c r="AG2093" s="5"/>
      <c r="AH2093" s="6"/>
      <c r="AI2093" s="96"/>
      <c r="AJ2093" s="93"/>
      <c r="AK2093" s="94"/>
      <c r="AL2093" s="95"/>
      <c r="AM2093" s="56"/>
      <c r="AN2093" s="57">
        <f t="shared" si="336"/>
        <v>0</v>
      </c>
      <c r="AO2093" s="76">
        <f t="shared" si="338"/>
        <v>0</v>
      </c>
      <c r="AP2093" s="63" t="str">
        <f t="shared" si="339"/>
        <v/>
      </c>
      <c r="AQ2093" s="63" t="str">
        <f t="shared" si="340"/>
        <v/>
      </c>
      <c r="AR2093" s="63" t="str">
        <f t="shared" si="341"/>
        <v/>
      </c>
      <c r="AS2093" s="63" t="str">
        <f t="shared" si="342"/>
        <v/>
      </c>
      <c r="AT2093" s="78" t="str">
        <f t="shared" si="343"/>
        <v/>
      </c>
      <c r="AU2093" s="78" t="str">
        <f t="shared" si="344"/>
        <v/>
      </c>
      <c r="AV2093" s="64" t="str">
        <f ca="1">IFERROR(__xludf.DUMMYFUNCTION("IF(TRIM(AU2093)="""","""",AU2093/INDEX(FILTER(AT$3:AT2093,TRIM(AT$3:AT2093)&lt;&gt;""""),ROWS(FILTER(AT$3:AT2093,TRIM(AT$3:AT2093)&lt;&gt;"""")))-1)"),"")</f>
        <v/>
      </c>
      <c r="AW2093" s="65" t="e">
        <f t="shared" ca="1" si="337"/>
        <v>#VALUE!</v>
      </c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</row>
    <row r="2094" spans="1:68" ht="19" x14ac:dyDescent="0.25">
      <c r="A2094" s="5"/>
      <c r="B2094" s="5"/>
      <c r="C2094" s="5"/>
      <c r="D2094" s="5"/>
      <c r="E2094" s="5"/>
      <c r="F2094" s="5"/>
      <c r="G2094" s="5"/>
      <c r="H2094" s="6"/>
      <c r="I2094" s="5"/>
      <c r="J2094" s="88"/>
      <c r="K2094" s="88"/>
      <c r="L2094" s="88"/>
      <c r="M2094" s="88"/>
      <c r="N2094" s="88"/>
      <c r="O2094" s="88"/>
      <c r="P2094" s="88"/>
      <c r="Q2094" s="89"/>
      <c r="R2094" s="88"/>
      <c r="S2094" s="88"/>
      <c r="T2094" s="90"/>
      <c r="U2094" s="6"/>
      <c r="V2094" s="92"/>
      <c r="W2094" s="77"/>
      <c r="X2094" s="91"/>
      <c r="Y2094" s="77"/>
      <c r="Z2094" s="5"/>
      <c r="AA2094" s="5"/>
      <c r="AB2094" s="5"/>
      <c r="AC2094" s="5"/>
      <c r="AD2094" s="5"/>
      <c r="AE2094" s="5"/>
      <c r="AF2094" s="5"/>
      <c r="AG2094" s="5"/>
      <c r="AH2094" s="6"/>
      <c r="AI2094" s="92"/>
      <c r="AJ2094" s="93"/>
      <c r="AK2094" s="94"/>
      <c r="AL2094" s="95"/>
      <c r="AM2094" s="56"/>
      <c r="AN2094" s="57">
        <f t="shared" si="336"/>
        <v>0</v>
      </c>
      <c r="AO2094" s="76">
        <f t="shared" si="338"/>
        <v>0</v>
      </c>
      <c r="AP2094" s="63" t="str">
        <f t="shared" si="339"/>
        <v/>
      </c>
      <c r="AQ2094" s="63" t="str">
        <f t="shared" si="340"/>
        <v/>
      </c>
      <c r="AR2094" s="63" t="str">
        <f t="shared" si="341"/>
        <v/>
      </c>
      <c r="AS2094" s="63" t="str">
        <f t="shared" si="342"/>
        <v/>
      </c>
      <c r="AT2094" s="78" t="str">
        <f t="shared" si="343"/>
        <v/>
      </c>
      <c r="AU2094" s="78" t="str">
        <f t="shared" si="344"/>
        <v/>
      </c>
      <c r="AV2094" s="64" t="str">
        <f ca="1">IFERROR(__xludf.DUMMYFUNCTION("IF(TRIM(AU2094)="""","""",AU2094/INDEX(FILTER(AT$3:AT2094,TRIM(AT$3:AT2094)&lt;&gt;""""),ROWS(FILTER(AT$3:AT2094,TRIM(AT$3:AT2094)&lt;&gt;"""")))-1)"),"")</f>
        <v/>
      </c>
      <c r="AW2094" s="65" t="e">
        <f t="shared" ca="1" si="337"/>
        <v>#VALUE!</v>
      </c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</row>
    <row r="2095" spans="1:68" ht="19" x14ac:dyDescent="0.25">
      <c r="A2095" s="5"/>
      <c r="B2095" s="5"/>
      <c r="C2095" s="5"/>
      <c r="D2095" s="5"/>
      <c r="E2095" s="5"/>
      <c r="F2095" s="5"/>
      <c r="G2095" s="5"/>
      <c r="H2095" s="6"/>
      <c r="I2095" s="5"/>
      <c r="J2095" s="88"/>
      <c r="K2095" s="88"/>
      <c r="L2095" s="88"/>
      <c r="M2095" s="88"/>
      <c r="N2095" s="88"/>
      <c r="O2095" s="88"/>
      <c r="P2095" s="88"/>
      <c r="Q2095" s="89"/>
      <c r="R2095" s="88"/>
      <c r="S2095" s="88"/>
      <c r="T2095" s="90"/>
      <c r="U2095" s="6"/>
      <c r="V2095" s="92"/>
      <c r="W2095" s="77"/>
      <c r="X2095" s="91"/>
      <c r="Y2095" s="77"/>
      <c r="Z2095" s="5"/>
      <c r="AA2095" s="5"/>
      <c r="AB2095" s="5"/>
      <c r="AC2095" s="5"/>
      <c r="AD2095" s="5"/>
      <c r="AE2095" s="5"/>
      <c r="AF2095" s="5"/>
      <c r="AG2095" s="5"/>
      <c r="AH2095" s="6"/>
      <c r="AI2095" s="92"/>
      <c r="AJ2095" s="93"/>
      <c r="AK2095" s="94"/>
      <c r="AL2095" s="95"/>
      <c r="AM2095" s="56"/>
      <c r="AN2095" s="57">
        <f t="shared" si="336"/>
        <v>0</v>
      </c>
      <c r="AO2095" s="76">
        <f t="shared" si="338"/>
        <v>0</v>
      </c>
      <c r="AP2095" s="63" t="str">
        <f t="shared" si="339"/>
        <v/>
      </c>
      <c r="AQ2095" s="63" t="str">
        <f t="shared" si="340"/>
        <v/>
      </c>
      <c r="AR2095" s="63" t="str">
        <f t="shared" si="341"/>
        <v/>
      </c>
      <c r="AS2095" s="63" t="str">
        <f t="shared" si="342"/>
        <v/>
      </c>
      <c r="AT2095" s="78" t="str">
        <f t="shared" si="343"/>
        <v/>
      </c>
      <c r="AU2095" s="78" t="str">
        <f t="shared" si="344"/>
        <v/>
      </c>
      <c r="AV2095" s="64" t="str">
        <f ca="1">IFERROR(__xludf.DUMMYFUNCTION("IF(TRIM(AU2095)="""","""",AU2095/INDEX(FILTER(AT$3:AT2095,TRIM(AT$3:AT2095)&lt;&gt;""""),ROWS(FILTER(AT$3:AT2095,TRIM(AT$3:AT2095)&lt;&gt;"""")))-1)"),"")</f>
        <v/>
      </c>
      <c r="AW2095" s="65" t="e">
        <f t="shared" ca="1" si="337"/>
        <v>#VALUE!</v>
      </c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</row>
    <row r="2096" spans="1:68" ht="19" x14ac:dyDescent="0.25">
      <c r="A2096" s="5"/>
      <c r="B2096" s="5"/>
      <c r="C2096" s="5"/>
      <c r="D2096" s="5"/>
      <c r="E2096" s="5"/>
      <c r="F2096" s="5"/>
      <c r="G2096" s="5"/>
      <c r="H2096" s="6"/>
      <c r="I2096" s="5"/>
      <c r="J2096" s="88"/>
      <c r="K2096" s="88"/>
      <c r="L2096" s="88"/>
      <c r="M2096" s="88"/>
      <c r="N2096" s="88"/>
      <c r="O2096" s="88"/>
      <c r="P2096" s="88"/>
      <c r="Q2096" s="89"/>
      <c r="R2096" s="88"/>
      <c r="S2096" s="88"/>
      <c r="T2096" s="90"/>
      <c r="U2096" s="6"/>
      <c r="V2096" s="92"/>
      <c r="W2096" s="77"/>
      <c r="X2096" s="91"/>
      <c r="Y2096" s="77"/>
      <c r="Z2096" s="5"/>
      <c r="AA2096" s="5"/>
      <c r="AB2096" s="5"/>
      <c r="AC2096" s="5"/>
      <c r="AD2096" s="5"/>
      <c r="AE2096" s="5"/>
      <c r="AF2096" s="5"/>
      <c r="AG2096" s="5"/>
      <c r="AH2096" s="6"/>
      <c r="AI2096" s="92"/>
      <c r="AJ2096" s="93"/>
      <c r="AK2096" s="94"/>
      <c r="AL2096" s="95"/>
      <c r="AM2096" s="56"/>
      <c r="AN2096" s="57">
        <f t="shared" si="336"/>
        <v>0</v>
      </c>
      <c r="AO2096" s="76">
        <f t="shared" si="338"/>
        <v>0</v>
      </c>
      <c r="AP2096" s="63" t="str">
        <f t="shared" si="339"/>
        <v/>
      </c>
      <c r="AQ2096" s="63" t="str">
        <f t="shared" si="340"/>
        <v/>
      </c>
      <c r="AR2096" s="63" t="str">
        <f t="shared" si="341"/>
        <v/>
      </c>
      <c r="AS2096" s="63" t="str">
        <f t="shared" si="342"/>
        <v/>
      </c>
      <c r="AT2096" s="78" t="str">
        <f t="shared" si="343"/>
        <v/>
      </c>
      <c r="AU2096" s="78" t="str">
        <f t="shared" si="344"/>
        <v/>
      </c>
      <c r="AV2096" s="64" t="str">
        <f ca="1">IFERROR(__xludf.DUMMYFUNCTION("IF(TRIM(AU2096)="""","""",AU2096/INDEX(FILTER(AT$3:AT2096,TRIM(AT$3:AT2096)&lt;&gt;""""),ROWS(FILTER(AT$3:AT2096,TRIM(AT$3:AT2096)&lt;&gt;"""")))-1)"),"")</f>
        <v/>
      </c>
      <c r="AW2096" s="65" t="e">
        <f t="shared" ca="1" si="337"/>
        <v>#VALUE!</v>
      </c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</row>
    <row r="2097" spans="1:68" ht="19" x14ac:dyDescent="0.25">
      <c r="A2097" s="5"/>
      <c r="B2097" s="5"/>
      <c r="C2097" s="5"/>
      <c r="D2097" s="5"/>
      <c r="E2097" s="5"/>
      <c r="F2097" s="5"/>
      <c r="G2097" s="5"/>
      <c r="H2097" s="6"/>
      <c r="I2097" s="5"/>
      <c r="J2097" s="88"/>
      <c r="K2097" s="88"/>
      <c r="L2097" s="88"/>
      <c r="M2097" s="88"/>
      <c r="N2097" s="88"/>
      <c r="O2097" s="88"/>
      <c r="P2097" s="88"/>
      <c r="Q2097" s="89"/>
      <c r="R2097" s="88"/>
      <c r="S2097" s="88"/>
      <c r="T2097" s="90"/>
      <c r="U2097" s="6"/>
      <c r="V2097" s="92"/>
      <c r="W2097" s="77"/>
      <c r="X2097" s="91"/>
      <c r="Y2097" s="77"/>
      <c r="Z2097" s="5"/>
      <c r="AA2097" s="5"/>
      <c r="AB2097" s="5"/>
      <c r="AC2097" s="5"/>
      <c r="AD2097" s="5"/>
      <c r="AE2097" s="5"/>
      <c r="AF2097" s="5"/>
      <c r="AG2097" s="5"/>
      <c r="AH2097" s="6"/>
      <c r="AI2097" s="92"/>
      <c r="AJ2097" s="93"/>
      <c r="AK2097" s="94"/>
      <c r="AL2097" s="95"/>
      <c r="AM2097" s="56"/>
      <c r="AN2097" s="57">
        <f t="shared" si="336"/>
        <v>0</v>
      </c>
      <c r="AO2097" s="76">
        <f t="shared" si="338"/>
        <v>0</v>
      </c>
      <c r="AP2097" s="63" t="str">
        <f t="shared" si="339"/>
        <v/>
      </c>
      <c r="AQ2097" s="63" t="str">
        <f t="shared" si="340"/>
        <v/>
      </c>
      <c r="AR2097" s="63" t="str">
        <f t="shared" si="341"/>
        <v/>
      </c>
      <c r="AS2097" s="63" t="str">
        <f t="shared" si="342"/>
        <v/>
      </c>
      <c r="AT2097" s="78" t="str">
        <f t="shared" si="343"/>
        <v/>
      </c>
      <c r="AU2097" s="78" t="str">
        <f t="shared" si="344"/>
        <v/>
      </c>
      <c r="AV2097" s="64" t="str">
        <f ca="1">IFERROR(__xludf.DUMMYFUNCTION("IF(TRIM(AU2097)="""","""",AU2097/INDEX(FILTER(AT$3:AT2097,TRIM(AT$3:AT2097)&lt;&gt;""""),ROWS(FILTER(AT$3:AT2097,TRIM(AT$3:AT2097)&lt;&gt;"""")))-1)"),"")</f>
        <v/>
      </c>
      <c r="AW2097" s="65" t="e">
        <f t="shared" ca="1" si="337"/>
        <v>#VALUE!</v>
      </c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</row>
    <row r="2098" spans="1:68" ht="19" x14ac:dyDescent="0.25">
      <c r="A2098" s="5"/>
      <c r="B2098" s="5"/>
      <c r="C2098" s="5"/>
      <c r="D2098" s="5"/>
      <c r="E2098" s="5"/>
      <c r="F2098" s="5"/>
      <c r="G2098" s="5"/>
      <c r="H2098" s="6"/>
      <c r="I2098" s="5"/>
      <c r="J2098" s="88"/>
      <c r="K2098" s="88"/>
      <c r="L2098" s="88"/>
      <c r="M2098" s="88"/>
      <c r="N2098" s="88"/>
      <c r="O2098" s="88"/>
      <c r="P2098" s="88"/>
      <c r="Q2098" s="89"/>
      <c r="R2098" s="88"/>
      <c r="S2098" s="88"/>
      <c r="T2098" s="90"/>
      <c r="U2098" s="6"/>
      <c r="V2098" s="92"/>
      <c r="W2098" s="77"/>
      <c r="X2098" s="91"/>
      <c r="Y2098" s="77"/>
      <c r="Z2098" s="5"/>
      <c r="AA2098" s="5"/>
      <c r="AB2098" s="5"/>
      <c r="AC2098" s="5"/>
      <c r="AD2098" s="5"/>
      <c r="AE2098" s="5"/>
      <c r="AF2098" s="5"/>
      <c r="AG2098" s="5"/>
      <c r="AH2098" s="6"/>
      <c r="AI2098" s="92"/>
      <c r="AJ2098" s="93"/>
      <c r="AK2098" s="94"/>
      <c r="AL2098" s="95"/>
      <c r="AM2098" s="56"/>
      <c r="AN2098" s="57">
        <f t="shared" si="336"/>
        <v>0</v>
      </c>
      <c r="AO2098" s="76">
        <f t="shared" si="338"/>
        <v>0</v>
      </c>
      <c r="AP2098" s="63" t="str">
        <f t="shared" si="339"/>
        <v/>
      </c>
      <c r="AQ2098" s="63" t="str">
        <f t="shared" si="340"/>
        <v/>
      </c>
      <c r="AR2098" s="63" t="str">
        <f t="shared" si="341"/>
        <v/>
      </c>
      <c r="AS2098" s="63" t="str">
        <f t="shared" si="342"/>
        <v/>
      </c>
      <c r="AT2098" s="78" t="str">
        <f t="shared" si="343"/>
        <v/>
      </c>
      <c r="AU2098" s="78" t="str">
        <f t="shared" si="344"/>
        <v/>
      </c>
      <c r="AV2098" s="64" t="str">
        <f ca="1">IFERROR(__xludf.DUMMYFUNCTION("IF(TRIM(AU2098)="""","""",AU2098/INDEX(FILTER(AT$3:AT2098,TRIM(AT$3:AT2098)&lt;&gt;""""),ROWS(FILTER(AT$3:AT2098,TRIM(AT$3:AT2098)&lt;&gt;"""")))-1)"),"")</f>
        <v/>
      </c>
      <c r="AW2098" s="65" t="e">
        <f t="shared" ca="1" si="337"/>
        <v>#VALUE!</v>
      </c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</row>
    <row r="2099" spans="1:68" ht="19" x14ac:dyDescent="0.25">
      <c r="A2099" s="5"/>
      <c r="B2099" s="5"/>
      <c r="C2099" s="5"/>
      <c r="D2099" s="5"/>
      <c r="E2099" s="5"/>
      <c r="F2099" s="5"/>
      <c r="G2099" s="5"/>
      <c r="H2099" s="6"/>
      <c r="I2099" s="5"/>
      <c r="J2099" s="88"/>
      <c r="K2099" s="88"/>
      <c r="L2099" s="88"/>
      <c r="M2099" s="88"/>
      <c r="N2099" s="88"/>
      <c r="O2099" s="88"/>
      <c r="P2099" s="88"/>
      <c r="Q2099" s="89"/>
      <c r="R2099" s="88"/>
      <c r="S2099" s="88"/>
      <c r="T2099" s="90"/>
      <c r="U2099" s="6"/>
      <c r="V2099" s="92"/>
      <c r="W2099" s="77"/>
      <c r="X2099" s="91"/>
      <c r="Y2099" s="77"/>
      <c r="Z2099" s="5"/>
      <c r="AA2099" s="5"/>
      <c r="AB2099" s="5"/>
      <c r="AC2099" s="5"/>
      <c r="AD2099" s="5"/>
      <c r="AE2099" s="5"/>
      <c r="AF2099" s="5"/>
      <c r="AG2099" s="5"/>
      <c r="AH2099" s="6"/>
      <c r="AI2099" s="92"/>
      <c r="AJ2099" s="93"/>
      <c r="AK2099" s="94"/>
      <c r="AL2099" s="95"/>
      <c r="AM2099" s="56"/>
      <c r="AN2099" s="57">
        <f t="shared" si="336"/>
        <v>0</v>
      </c>
      <c r="AO2099" s="76">
        <f t="shared" si="338"/>
        <v>0</v>
      </c>
      <c r="AP2099" s="63" t="str">
        <f t="shared" si="339"/>
        <v/>
      </c>
      <c r="AQ2099" s="63" t="str">
        <f t="shared" si="340"/>
        <v/>
      </c>
      <c r="AR2099" s="63" t="str">
        <f t="shared" si="341"/>
        <v/>
      </c>
      <c r="AS2099" s="63" t="str">
        <f t="shared" si="342"/>
        <v/>
      </c>
      <c r="AT2099" s="78" t="str">
        <f t="shared" si="343"/>
        <v/>
      </c>
      <c r="AU2099" s="78" t="str">
        <f t="shared" si="344"/>
        <v/>
      </c>
      <c r="AV2099" s="64" t="str">
        <f ca="1">IFERROR(__xludf.DUMMYFUNCTION("IF(TRIM(AU2099)="""","""",AU2099/INDEX(FILTER(AT$3:AT2099,TRIM(AT$3:AT2099)&lt;&gt;""""),ROWS(FILTER(AT$3:AT2099,TRIM(AT$3:AT2099)&lt;&gt;"""")))-1)"),"")</f>
        <v/>
      </c>
      <c r="AW2099" s="65" t="e">
        <f t="shared" ca="1" si="337"/>
        <v>#VALUE!</v>
      </c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</row>
    <row r="2100" spans="1:68" ht="19" x14ac:dyDescent="0.25">
      <c r="A2100" s="5"/>
      <c r="B2100" s="5"/>
      <c r="C2100" s="5"/>
      <c r="D2100" s="5"/>
      <c r="E2100" s="5"/>
      <c r="F2100" s="5"/>
      <c r="G2100" s="5"/>
      <c r="H2100" s="6"/>
      <c r="I2100" s="5"/>
      <c r="J2100" s="88"/>
      <c r="K2100" s="88"/>
      <c r="L2100" s="88"/>
      <c r="M2100" s="88"/>
      <c r="N2100" s="88"/>
      <c r="O2100" s="88"/>
      <c r="P2100" s="88"/>
      <c r="Q2100" s="89"/>
      <c r="R2100" s="88"/>
      <c r="S2100" s="88"/>
      <c r="T2100" s="90"/>
      <c r="U2100" s="6"/>
      <c r="V2100" s="92"/>
      <c r="W2100" s="77"/>
      <c r="X2100" s="91"/>
      <c r="Y2100" s="77"/>
      <c r="Z2100" s="5"/>
      <c r="AA2100" s="5"/>
      <c r="AB2100" s="5"/>
      <c r="AC2100" s="5"/>
      <c r="AD2100" s="5"/>
      <c r="AE2100" s="5"/>
      <c r="AF2100" s="5"/>
      <c r="AG2100" s="5"/>
      <c r="AH2100" s="6"/>
      <c r="AI2100" s="92"/>
      <c r="AJ2100" s="93"/>
      <c r="AK2100" s="94"/>
      <c r="AL2100" s="95"/>
      <c r="AM2100" s="56"/>
      <c r="AN2100" s="57">
        <f t="shared" si="336"/>
        <v>0</v>
      </c>
      <c r="AO2100" s="76">
        <f t="shared" si="338"/>
        <v>0</v>
      </c>
      <c r="AP2100" s="63" t="str">
        <f t="shared" si="339"/>
        <v/>
      </c>
      <c r="AQ2100" s="63" t="str">
        <f t="shared" si="340"/>
        <v/>
      </c>
      <c r="AR2100" s="63" t="str">
        <f t="shared" si="341"/>
        <v/>
      </c>
      <c r="AS2100" s="63" t="str">
        <f t="shared" si="342"/>
        <v/>
      </c>
      <c r="AT2100" s="78" t="str">
        <f t="shared" si="343"/>
        <v/>
      </c>
      <c r="AU2100" s="78" t="str">
        <f t="shared" si="344"/>
        <v/>
      </c>
      <c r="AV2100" s="64" t="str">
        <f ca="1">IFERROR(__xludf.DUMMYFUNCTION("IF(TRIM(AU2100)="""","""",AU2100/INDEX(FILTER(AT$3:AT2100,TRIM(AT$3:AT2100)&lt;&gt;""""),ROWS(FILTER(AT$3:AT2100,TRIM(AT$3:AT2100)&lt;&gt;"""")))-1)"),"")</f>
        <v/>
      </c>
      <c r="AW2100" s="65" t="e">
        <f t="shared" ca="1" si="337"/>
        <v>#VALUE!</v>
      </c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</row>
    <row r="2101" spans="1:68" ht="19" x14ac:dyDescent="0.25">
      <c r="A2101" s="5"/>
      <c r="B2101" s="5"/>
      <c r="C2101" s="5"/>
      <c r="D2101" s="5"/>
      <c r="E2101" s="5"/>
      <c r="F2101" s="5"/>
      <c r="G2101" s="5"/>
      <c r="H2101" s="6"/>
      <c r="I2101" s="5"/>
      <c r="J2101" s="88"/>
      <c r="K2101" s="88"/>
      <c r="L2101" s="88"/>
      <c r="M2101" s="88"/>
      <c r="N2101" s="88"/>
      <c r="O2101" s="88"/>
      <c r="P2101" s="88"/>
      <c r="Q2101" s="89"/>
      <c r="R2101" s="88"/>
      <c r="S2101" s="88"/>
      <c r="T2101" s="90"/>
      <c r="U2101" s="6"/>
      <c r="V2101" s="96"/>
      <c r="W2101" s="77"/>
      <c r="X2101" s="91"/>
      <c r="Y2101" s="77"/>
      <c r="Z2101" s="5"/>
      <c r="AA2101" s="5"/>
      <c r="AB2101" s="5"/>
      <c r="AC2101" s="5"/>
      <c r="AD2101" s="5"/>
      <c r="AE2101" s="5"/>
      <c r="AF2101" s="5"/>
      <c r="AG2101" s="5"/>
      <c r="AH2101" s="6"/>
      <c r="AI2101" s="96"/>
      <c r="AJ2101" s="93"/>
      <c r="AK2101" s="94"/>
      <c r="AL2101" s="95"/>
      <c r="AM2101" s="56"/>
      <c r="AN2101" s="57">
        <f t="shared" si="336"/>
        <v>0</v>
      </c>
      <c r="AO2101" s="76">
        <f t="shared" si="338"/>
        <v>0</v>
      </c>
      <c r="AP2101" s="63" t="str">
        <f t="shared" si="339"/>
        <v/>
      </c>
      <c r="AQ2101" s="63" t="str">
        <f t="shared" si="340"/>
        <v/>
      </c>
      <c r="AR2101" s="63" t="str">
        <f t="shared" si="341"/>
        <v/>
      </c>
      <c r="AS2101" s="63" t="str">
        <f t="shared" si="342"/>
        <v/>
      </c>
      <c r="AT2101" s="78" t="str">
        <f t="shared" si="343"/>
        <v/>
      </c>
      <c r="AU2101" s="78" t="str">
        <f t="shared" si="344"/>
        <v/>
      </c>
      <c r="AV2101" s="64" t="str">
        <f ca="1">IFERROR(__xludf.DUMMYFUNCTION("IF(TRIM(AU2101)="""","""",AU2101/INDEX(FILTER(AT$3:AT2101,TRIM(AT$3:AT2101)&lt;&gt;""""),ROWS(FILTER(AT$3:AT2101,TRIM(AT$3:AT2101)&lt;&gt;"""")))-1)"),"")</f>
        <v/>
      </c>
      <c r="AW2101" s="65" t="e">
        <f t="shared" ca="1" si="337"/>
        <v>#VALUE!</v>
      </c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</row>
    <row r="2102" spans="1:68" ht="19" x14ac:dyDescent="0.25">
      <c r="A2102" s="5"/>
      <c r="B2102" s="5"/>
      <c r="C2102" s="5"/>
      <c r="D2102" s="5"/>
      <c r="E2102" s="5"/>
      <c r="F2102" s="5"/>
      <c r="G2102" s="5"/>
      <c r="H2102" s="6"/>
      <c r="I2102" s="5"/>
      <c r="J2102" s="88"/>
      <c r="K2102" s="88"/>
      <c r="L2102" s="88"/>
      <c r="M2102" s="88"/>
      <c r="N2102" s="88"/>
      <c r="O2102" s="88"/>
      <c r="P2102" s="88"/>
      <c r="Q2102" s="89"/>
      <c r="R2102" s="88"/>
      <c r="S2102" s="88"/>
      <c r="T2102" s="90"/>
      <c r="U2102" s="6"/>
      <c r="V2102" s="96"/>
      <c r="W2102" s="77"/>
      <c r="X2102" s="91"/>
      <c r="Y2102" s="77"/>
      <c r="Z2102" s="5"/>
      <c r="AA2102" s="5"/>
      <c r="AB2102" s="5"/>
      <c r="AC2102" s="5"/>
      <c r="AD2102" s="5"/>
      <c r="AE2102" s="5"/>
      <c r="AF2102" s="5"/>
      <c r="AG2102" s="5"/>
      <c r="AH2102" s="6"/>
      <c r="AI2102" s="96"/>
      <c r="AJ2102" s="93"/>
      <c r="AK2102" s="94"/>
      <c r="AL2102" s="95"/>
      <c r="AM2102" s="56"/>
      <c r="AN2102" s="57">
        <f t="shared" si="336"/>
        <v>0</v>
      </c>
      <c r="AO2102" s="76">
        <f t="shared" si="338"/>
        <v>0</v>
      </c>
      <c r="AP2102" s="63" t="str">
        <f t="shared" si="339"/>
        <v/>
      </c>
      <c r="AQ2102" s="63" t="str">
        <f t="shared" si="340"/>
        <v/>
      </c>
      <c r="AR2102" s="63" t="str">
        <f t="shared" si="341"/>
        <v/>
      </c>
      <c r="AS2102" s="63" t="str">
        <f t="shared" si="342"/>
        <v/>
      </c>
      <c r="AT2102" s="78" t="str">
        <f t="shared" si="343"/>
        <v/>
      </c>
      <c r="AU2102" s="78" t="str">
        <f t="shared" si="344"/>
        <v/>
      </c>
      <c r="AV2102" s="64" t="str">
        <f ca="1">IFERROR(__xludf.DUMMYFUNCTION("IF(TRIM(AU2102)="""","""",AU2102/INDEX(FILTER(AT$3:AT2102,TRIM(AT$3:AT2102)&lt;&gt;""""),ROWS(FILTER(AT$3:AT2102,TRIM(AT$3:AT2102)&lt;&gt;"""")))-1)"),"")</f>
        <v/>
      </c>
      <c r="AW2102" s="65" t="e">
        <f t="shared" ca="1" si="337"/>
        <v>#VALUE!</v>
      </c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</row>
    <row r="2103" spans="1:68" ht="19" x14ac:dyDescent="0.25">
      <c r="A2103" s="5"/>
      <c r="B2103" s="5"/>
      <c r="C2103" s="5"/>
      <c r="D2103" s="5"/>
      <c r="E2103" s="5"/>
      <c r="F2103" s="5"/>
      <c r="G2103" s="5"/>
      <c r="H2103" s="6"/>
      <c r="I2103" s="5"/>
      <c r="J2103" s="88"/>
      <c r="K2103" s="88"/>
      <c r="L2103" s="88"/>
      <c r="M2103" s="88"/>
      <c r="N2103" s="88"/>
      <c r="O2103" s="88"/>
      <c r="P2103" s="88"/>
      <c r="Q2103" s="89"/>
      <c r="R2103" s="88"/>
      <c r="S2103" s="88"/>
      <c r="T2103" s="90"/>
      <c r="U2103" s="6"/>
      <c r="V2103" s="96"/>
      <c r="W2103" s="77"/>
      <c r="X2103" s="91"/>
      <c r="Y2103" s="77"/>
      <c r="Z2103" s="5"/>
      <c r="AA2103" s="5"/>
      <c r="AB2103" s="5"/>
      <c r="AC2103" s="5"/>
      <c r="AD2103" s="5"/>
      <c r="AE2103" s="5"/>
      <c r="AF2103" s="5"/>
      <c r="AG2103" s="5"/>
      <c r="AH2103" s="6"/>
      <c r="AI2103" s="96"/>
      <c r="AJ2103" s="93"/>
      <c r="AK2103" s="94"/>
      <c r="AL2103" s="95"/>
      <c r="AM2103" s="56"/>
      <c r="AN2103" s="57">
        <f t="shared" si="336"/>
        <v>0</v>
      </c>
      <c r="AO2103" s="76">
        <f t="shared" si="338"/>
        <v>0</v>
      </c>
      <c r="AP2103" s="63" t="str">
        <f t="shared" si="339"/>
        <v/>
      </c>
      <c r="AQ2103" s="63" t="str">
        <f t="shared" si="340"/>
        <v/>
      </c>
      <c r="AR2103" s="63" t="str">
        <f t="shared" si="341"/>
        <v/>
      </c>
      <c r="AS2103" s="63" t="str">
        <f t="shared" si="342"/>
        <v/>
      </c>
      <c r="AT2103" s="78" t="str">
        <f t="shared" si="343"/>
        <v/>
      </c>
      <c r="AU2103" s="78" t="str">
        <f t="shared" si="344"/>
        <v/>
      </c>
      <c r="AV2103" s="64" t="str">
        <f ca="1">IFERROR(__xludf.DUMMYFUNCTION("IF(TRIM(AU2103)="""","""",AU2103/INDEX(FILTER(AT$3:AT2103,TRIM(AT$3:AT2103)&lt;&gt;""""),ROWS(FILTER(AT$3:AT2103,TRIM(AT$3:AT2103)&lt;&gt;"""")))-1)"),"")</f>
        <v/>
      </c>
      <c r="AW2103" s="65" t="e">
        <f t="shared" ca="1" si="337"/>
        <v>#VALUE!</v>
      </c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</row>
    <row r="2104" spans="1:68" ht="19" x14ac:dyDescent="0.25">
      <c r="A2104" s="5"/>
      <c r="B2104" s="5"/>
      <c r="C2104" s="5"/>
      <c r="D2104" s="5"/>
      <c r="E2104" s="5"/>
      <c r="F2104" s="5"/>
      <c r="G2104" s="5"/>
      <c r="H2104" s="6"/>
      <c r="I2104" s="5"/>
      <c r="J2104" s="88"/>
      <c r="K2104" s="88"/>
      <c r="L2104" s="88"/>
      <c r="M2104" s="88"/>
      <c r="N2104" s="88"/>
      <c r="O2104" s="88"/>
      <c r="P2104" s="88"/>
      <c r="Q2104" s="89"/>
      <c r="R2104" s="88"/>
      <c r="S2104" s="88"/>
      <c r="T2104" s="90"/>
      <c r="U2104" s="6"/>
      <c r="V2104" s="96"/>
      <c r="W2104" s="77"/>
      <c r="X2104" s="91"/>
      <c r="Y2104" s="77"/>
      <c r="Z2104" s="5"/>
      <c r="AA2104" s="5"/>
      <c r="AB2104" s="5"/>
      <c r="AC2104" s="5"/>
      <c r="AD2104" s="5"/>
      <c r="AE2104" s="5"/>
      <c r="AF2104" s="5"/>
      <c r="AG2104" s="5"/>
      <c r="AH2104" s="6"/>
      <c r="AI2104" s="96"/>
      <c r="AJ2104" s="93"/>
      <c r="AK2104" s="94"/>
      <c r="AL2104" s="95"/>
      <c r="AM2104" s="56"/>
      <c r="AN2104" s="57">
        <f t="shared" si="336"/>
        <v>0</v>
      </c>
      <c r="AO2104" s="76">
        <f t="shared" si="338"/>
        <v>0</v>
      </c>
      <c r="AP2104" s="63" t="str">
        <f t="shared" si="339"/>
        <v/>
      </c>
      <c r="AQ2104" s="63" t="str">
        <f t="shared" si="340"/>
        <v/>
      </c>
      <c r="AR2104" s="63" t="str">
        <f t="shared" si="341"/>
        <v/>
      </c>
      <c r="AS2104" s="63" t="str">
        <f t="shared" si="342"/>
        <v/>
      </c>
      <c r="AT2104" s="78" t="str">
        <f t="shared" si="343"/>
        <v/>
      </c>
      <c r="AU2104" s="78" t="str">
        <f t="shared" si="344"/>
        <v/>
      </c>
      <c r="AV2104" s="64" t="str">
        <f ca="1">IFERROR(__xludf.DUMMYFUNCTION("IF(TRIM(AU2104)="""","""",AU2104/INDEX(FILTER(AT$3:AT2104,TRIM(AT$3:AT2104)&lt;&gt;""""),ROWS(FILTER(AT$3:AT2104,TRIM(AT$3:AT2104)&lt;&gt;"""")))-1)"),"")</f>
        <v/>
      </c>
      <c r="AW2104" s="65" t="e">
        <f t="shared" ca="1" si="337"/>
        <v>#VALUE!</v>
      </c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</row>
    <row r="2105" spans="1:68" ht="19" x14ac:dyDescent="0.25">
      <c r="A2105" s="5"/>
      <c r="B2105" s="5"/>
      <c r="C2105" s="5"/>
      <c r="D2105" s="5"/>
      <c r="E2105" s="5"/>
      <c r="F2105" s="5"/>
      <c r="G2105" s="5"/>
      <c r="H2105" s="6"/>
      <c r="I2105" s="5"/>
      <c r="J2105" s="88"/>
      <c r="K2105" s="88"/>
      <c r="L2105" s="88"/>
      <c r="M2105" s="88"/>
      <c r="N2105" s="88"/>
      <c r="O2105" s="88"/>
      <c r="P2105" s="88"/>
      <c r="Q2105" s="89"/>
      <c r="R2105" s="88"/>
      <c r="S2105" s="88"/>
      <c r="T2105" s="90"/>
      <c r="U2105" s="6"/>
      <c r="V2105" s="96"/>
      <c r="W2105" s="77"/>
      <c r="X2105" s="91"/>
      <c r="Y2105" s="77"/>
      <c r="Z2105" s="5"/>
      <c r="AA2105" s="5"/>
      <c r="AB2105" s="5"/>
      <c r="AC2105" s="5"/>
      <c r="AD2105" s="5"/>
      <c r="AE2105" s="5"/>
      <c r="AF2105" s="5"/>
      <c r="AG2105" s="5"/>
      <c r="AH2105" s="6"/>
      <c r="AI2105" s="96"/>
      <c r="AJ2105" s="93"/>
      <c r="AK2105" s="94"/>
      <c r="AL2105" s="95"/>
      <c r="AM2105" s="56"/>
      <c r="AN2105" s="57">
        <f t="shared" si="336"/>
        <v>0</v>
      </c>
      <c r="AO2105" s="76">
        <f t="shared" si="338"/>
        <v>0</v>
      </c>
      <c r="AP2105" s="63" t="str">
        <f t="shared" si="339"/>
        <v/>
      </c>
      <c r="AQ2105" s="63" t="str">
        <f t="shared" si="340"/>
        <v/>
      </c>
      <c r="AR2105" s="63" t="str">
        <f t="shared" si="341"/>
        <v/>
      </c>
      <c r="AS2105" s="63" t="str">
        <f t="shared" si="342"/>
        <v/>
      </c>
      <c r="AT2105" s="78" t="str">
        <f t="shared" si="343"/>
        <v/>
      </c>
      <c r="AU2105" s="78" t="str">
        <f t="shared" si="344"/>
        <v/>
      </c>
      <c r="AV2105" s="64" t="str">
        <f ca="1">IFERROR(__xludf.DUMMYFUNCTION("IF(TRIM(AU2105)="""","""",AU2105/INDEX(FILTER(AT$3:AT2105,TRIM(AT$3:AT2105)&lt;&gt;""""),ROWS(FILTER(AT$3:AT2105,TRIM(AT$3:AT2105)&lt;&gt;"""")))-1)"),"")</f>
        <v/>
      </c>
      <c r="AW2105" s="65" t="e">
        <f t="shared" ca="1" si="337"/>
        <v>#VALUE!</v>
      </c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</row>
    <row r="2106" spans="1:68" ht="19" x14ac:dyDescent="0.25">
      <c r="A2106" s="5"/>
      <c r="B2106" s="5"/>
      <c r="C2106" s="5"/>
      <c r="D2106" s="5"/>
      <c r="E2106" s="5"/>
      <c r="F2106" s="5"/>
      <c r="G2106" s="5"/>
      <c r="H2106" s="6"/>
      <c r="I2106" s="5"/>
      <c r="J2106" s="88"/>
      <c r="K2106" s="88"/>
      <c r="L2106" s="88"/>
      <c r="M2106" s="88"/>
      <c r="N2106" s="88"/>
      <c r="O2106" s="88"/>
      <c r="P2106" s="88"/>
      <c r="Q2106" s="89"/>
      <c r="R2106" s="88"/>
      <c r="S2106" s="88"/>
      <c r="T2106" s="90"/>
      <c r="U2106" s="6"/>
      <c r="V2106" s="96"/>
      <c r="W2106" s="77"/>
      <c r="X2106" s="91"/>
      <c r="Y2106" s="77"/>
      <c r="Z2106" s="5"/>
      <c r="AA2106" s="5"/>
      <c r="AB2106" s="5"/>
      <c r="AC2106" s="5"/>
      <c r="AD2106" s="5"/>
      <c r="AE2106" s="5"/>
      <c r="AF2106" s="5"/>
      <c r="AG2106" s="5"/>
      <c r="AH2106" s="6"/>
      <c r="AI2106" s="96"/>
      <c r="AJ2106" s="93"/>
      <c r="AK2106" s="94"/>
      <c r="AL2106" s="95"/>
      <c r="AM2106" s="56"/>
      <c r="AN2106" s="57">
        <f t="shared" si="336"/>
        <v>0</v>
      </c>
      <c r="AO2106" s="76">
        <f t="shared" si="338"/>
        <v>0</v>
      </c>
      <c r="AP2106" s="63" t="str">
        <f t="shared" si="339"/>
        <v/>
      </c>
      <c r="AQ2106" s="63" t="str">
        <f t="shared" si="340"/>
        <v/>
      </c>
      <c r="AR2106" s="63" t="str">
        <f t="shared" si="341"/>
        <v/>
      </c>
      <c r="AS2106" s="63" t="str">
        <f t="shared" si="342"/>
        <v/>
      </c>
      <c r="AT2106" s="78" t="str">
        <f t="shared" si="343"/>
        <v/>
      </c>
      <c r="AU2106" s="78" t="str">
        <f t="shared" si="344"/>
        <v/>
      </c>
      <c r="AV2106" s="64" t="str">
        <f ca="1">IFERROR(__xludf.DUMMYFUNCTION("IF(TRIM(AU2106)="""","""",AU2106/INDEX(FILTER(AT$3:AT2106,TRIM(AT$3:AT2106)&lt;&gt;""""),ROWS(FILTER(AT$3:AT2106,TRIM(AT$3:AT2106)&lt;&gt;"""")))-1)"),"")</f>
        <v/>
      </c>
      <c r="AW2106" s="65" t="e">
        <f t="shared" ca="1" si="337"/>
        <v>#VALUE!</v>
      </c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</row>
    <row r="2107" spans="1:68" ht="19" x14ac:dyDescent="0.25">
      <c r="A2107" s="5"/>
      <c r="B2107" s="5"/>
      <c r="C2107" s="5"/>
      <c r="D2107" s="5"/>
      <c r="E2107" s="5"/>
      <c r="F2107" s="5"/>
      <c r="G2107" s="5"/>
      <c r="H2107" s="6"/>
      <c r="I2107" s="5"/>
      <c r="J2107" s="88"/>
      <c r="K2107" s="88"/>
      <c r="L2107" s="88"/>
      <c r="M2107" s="88"/>
      <c r="N2107" s="88"/>
      <c r="O2107" s="88"/>
      <c r="P2107" s="88"/>
      <c r="Q2107" s="89"/>
      <c r="R2107" s="88"/>
      <c r="S2107" s="88"/>
      <c r="T2107" s="90"/>
      <c r="U2107" s="6"/>
      <c r="V2107" s="96"/>
      <c r="W2107" s="77"/>
      <c r="X2107" s="91"/>
      <c r="Y2107" s="77"/>
      <c r="Z2107" s="5"/>
      <c r="AA2107" s="5"/>
      <c r="AB2107" s="5"/>
      <c r="AC2107" s="5"/>
      <c r="AD2107" s="5"/>
      <c r="AE2107" s="5"/>
      <c r="AF2107" s="5"/>
      <c r="AG2107" s="5"/>
      <c r="AH2107" s="6"/>
      <c r="AI2107" s="96"/>
      <c r="AJ2107" s="93"/>
      <c r="AK2107" s="94"/>
      <c r="AL2107" s="95"/>
      <c r="AM2107" s="56"/>
      <c r="AN2107" s="57">
        <f t="shared" si="336"/>
        <v>0</v>
      </c>
      <c r="AO2107" s="76">
        <f t="shared" si="338"/>
        <v>0</v>
      </c>
      <c r="AP2107" s="63" t="str">
        <f t="shared" si="339"/>
        <v/>
      </c>
      <c r="AQ2107" s="63" t="str">
        <f t="shared" si="340"/>
        <v/>
      </c>
      <c r="AR2107" s="63" t="str">
        <f t="shared" si="341"/>
        <v/>
      </c>
      <c r="AS2107" s="63" t="str">
        <f t="shared" si="342"/>
        <v/>
      </c>
      <c r="AT2107" s="78" t="str">
        <f t="shared" si="343"/>
        <v/>
      </c>
      <c r="AU2107" s="78" t="str">
        <f t="shared" si="344"/>
        <v/>
      </c>
      <c r="AV2107" s="64" t="str">
        <f ca="1">IFERROR(__xludf.DUMMYFUNCTION("IF(TRIM(AU2107)="""","""",AU2107/INDEX(FILTER(AT$3:AT2107,TRIM(AT$3:AT2107)&lt;&gt;""""),ROWS(FILTER(AT$3:AT2107,TRIM(AT$3:AT2107)&lt;&gt;"""")))-1)"),"")</f>
        <v/>
      </c>
      <c r="AW2107" s="65" t="e">
        <f t="shared" ca="1" si="337"/>
        <v>#VALUE!</v>
      </c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</row>
    <row r="2108" spans="1:68" ht="19" x14ac:dyDescent="0.25">
      <c r="A2108" s="5"/>
      <c r="B2108" s="5"/>
      <c r="C2108" s="5"/>
      <c r="D2108" s="5"/>
      <c r="E2108" s="5"/>
      <c r="F2108" s="5"/>
      <c r="G2108" s="5"/>
      <c r="H2108" s="6"/>
      <c r="I2108" s="5"/>
      <c r="J2108" s="88"/>
      <c r="K2108" s="88"/>
      <c r="L2108" s="88"/>
      <c r="M2108" s="88"/>
      <c r="N2108" s="88"/>
      <c r="O2108" s="88"/>
      <c r="P2108" s="88"/>
      <c r="Q2108" s="89"/>
      <c r="R2108" s="88"/>
      <c r="S2108" s="88"/>
      <c r="T2108" s="90"/>
      <c r="U2108" s="6"/>
      <c r="V2108" s="96"/>
      <c r="W2108" s="77"/>
      <c r="X2108" s="91"/>
      <c r="Y2108" s="77"/>
      <c r="Z2108" s="5"/>
      <c r="AA2108" s="5"/>
      <c r="AB2108" s="5"/>
      <c r="AC2108" s="5"/>
      <c r="AD2108" s="5"/>
      <c r="AE2108" s="5"/>
      <c r="AF2108" s="5"/>
      <c r="AG2108" s="5"/>
      <c r="AH2108" s="6"/>
      <c r="AI2108" s="96"/>
      <c r="AJ2108" s="93"/>
      <c r="AK2108" s="94"/>
      <c r="AL2108" s="95"/>
      <c r="AM2108" s="56"/>
      <c r="AN2108" s="57">
        <f t="shared" si="336"/>
        <v>0</v>
      </c>
      <c r="AO2108" s="76">
        <f t="shared" si="338"/>
        <v>0</v>
      </c>
      <c r="AP2108" s="63" t="str">
        <f t="shared" si="339"/>
        <v/>
      </c>
      <c r="AQ2108" s="63" t="str">
        <f t="shared" si="340"/>
        <v/>
      </c>
      <c r="AR2108" s="63" t="str">
        <f t="shared" si="341"/>
        <v/>
      </c>
      <c r="AS2108" s="63" t="str">
        <f t="shared" si="342"/>
        <v/>
      </c>
      <c r="AT2108" s="78" t="str">
        <f t="shared" si="343"/>
        <v/>
      </c>
      <c r="AU2108" s="78" t="str">
        <f t="shared" si="344"/>
        <v/>
      </c>
      <c r="AV2108" s="64" t="str">
        <f ca="1">IFERROR(__xludf.DUMMYFUNCTION("IF(TRIM(AU2108)="""","""",AU2108/INDEX(FILTER(AT$3:AT2108,TRIM(AT$3:AT2108)&lt;&gt;""""),ROWS(FILTER(AT$3:AT2108,TRIM(AT$3:AT2108)&lt;&gt;"""")))-1)"),"")</f>
        <v/>
      </c>
      <c r="AW2108" s="65" t="e">
        <f t="shared" ca="1" si="337"/>
        <v>#VALUE!</v>
      </c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</row>
    <row r="2109" spans="1:68" ht="19" x14ac:dyDescent="0.25">
      <c r="A2109" s="5"/>
      <c r="B2109" s="5"/>
      <c r="C2109" s="5"/>
      <c r="D2109" s="5"/>
      <c r="E2109" s="5"/>
      <c r="F2109" s="5"/>
      <c r="G2109" s="5"/>
      <c r="H2109" s="6"/>
      <c r="I2109" s="5"/>
      <c r="J2109" s="88"/>
      <c r="K2109" s="88"/>
      <c r="L2109" s="88"/>
      <c r="M2109" s="88"/>
      <c r="N2109" s="88"/>
      <c r="O2109" s="88"/>
      <c r="P2109" s="88"/>
      <c r="Q2109" s="89"/>
      <c r="R2109" s="88"/>
      <c r="S2109" s="88"/>
      <c r="T2109" s="90"/>
      <c r="U2109" s="6"/>
      <c r="V2109" s="96"/>
      <c r="W2109" s="77"/>
      <c r="X2109" s="91"/>
      <c r="Y2109" s="77"/>
      <c r="Z2109" s="5"/>
      <c r="AA2109" s="5"/>
      <c r="AB2109" s="5"/>
      <c r="AC2109" s="5"/>
      <c r="AD2109" s="5"/>
      <c r="AE2109" s="5"/>
      <c r="AF2109" s="5"/>
      <c r="AG2109" s="5"/>
      <c r="AH2109" s="6"/>
      <c r="AI2109" s="96"/>
      <c r="AJ2109" s="93"/>
      <c r="AK2109" s="94"/>
      <c r="AL2109" s="95"/>
      <c r="AM2109" s="56"/>
      <c r="AN2109" s="57">
        <f t="shared" si="336"/>
        <v>0</v>
      </c>
      <c r="AO2109" s="76">
        <f t="shared" si="338"/>
        <v>0</v>
      </c>
      <c r="AP2109" s="63" t="str">
        <f t="shared" si="339"/>
        <v/>
      </c>
      <c r="AQ2109" s="63" t="str">
        <f t="shared" si="340"/>
        <v/>
      </c>
      <c r="AR2109" s="63" t="str">
        <f t="shared" si="341"/>
        <v/>
      </c>
      <c r="AS2109" s="63" t="str">
        <f t="shared" si="342"/>
        <v/>
      </c>
      <c r="AT2109" s="78" t="str">
        <f t="shared" si="343"/>
        <v/>
      </c>
      <c r="AU2109" s="78" t="str">
        <f t="shared" si="344"/>
        <v/>
      </c>
      <c r="AV2109" s="64" t="str">
        <f ca="1">IFERROR(__xludf.DUMMYFUNCTION("IF(TRIM(AU2109)="""","""",AU2109/INDEX(FILTER(AT$3:AT2109,TRIM(AT$3:AT2109)&lt;&gt;""""),ROWS(FILTER(AT$3:AT2109,TRIM(AT$3:AT2109)&lt;&gt;"""")))-1)"),"")</f>
        <v/>
      </c>
      <c r="AW2109" s="65" t="e">
        <f t="shared" ca="1" si="337"/>
        <v>#VALUE!</v>
      </c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</row>
    <row r="2110" spans="1:68" ht="19" x14ac:dyDescent="0.25">
      <c r="A2110" s="5"/>
      <c r="B2110" s="5"/>
      <c r="C2110" s="5"/>
      <c r="D2110" s="5"/>
      <c r="E2110" s="5"/>
      <c r="F2110" s="5"/>
      <c r="G2110" s="5"/>
      <c r="H2110" s="6"/>
      <c r="I2110" s="5"/>
      <c r="J2110" s="88"/>
      <c r="K2110" s="88"/>
      <c r="L2110" s="88"/>
      <c r="M2110" s="88"/>
      <c r="N2110" s="88"/>
      <c r="O2110" s="88"/>
      <c r="P2110" s="88"/>
      <c r="Q2110" s="89"/>
      <c r="R2110" s="88"/>
      <c r="S2110" s="88"/>
      <c r="T2110" s="90"/>
      <c r="U2110" s="6"/>
      <c r="V2110" s="96"/>
      <c r="W2110" s="77"/>
      <c r="X2110" s="91"/>
      <c r="Y2110" s="77"/>
      <c r="Z2110" s="5"/>
      <c r="AA2110" s="5"/>
      <c r="AB2110" s="5"/>
      <c r="AC2110" s="5"/>
      <c r="AD2110" s="5"/>
      <c r="AE2110" s="5"/>
      <c r="AF2110" s="5"/>
      <c r="AG2110" s="5"/>
      <c r="AH2110" s="6"/>
      <c r="AI2110" s="96"/>
      <c r="AJ2110" s="93"/>
      <c r="AK2110" s="94"/>
      <c r="AL2110" s="95"/>
      <c r="AM2110" s="56"/>
      <c r="AN2110" s="57">
        <f t="shared" si="336"/>
        <v>0</v>
      </c>
      <c r="AO2110" s="76">
        <f t="shared" si="338"/>
        <v>0</v>
      </c>
      <c r="AP2110" s="63" t="str">
        <f t="shared" si="339"/>
        <v/>
      </c>
      <c r="AQ2110" s="63" t="str">
        <f t="shared" si="340"/>
        <v/>
      </c>
      <c r="AR2110" s="63" t="str">
        <f t="shared" si="341"/>
        <v/>
      </c>
      <c r="AS2110" s="63" t="str">
        <f t="shared" si="342"/>
        <v/>
      </c>
      <c r="AT2110" s="78" t="str">
        <f t="shared" si="343"/>
        <v/>
      </c>
      <c r="AU2110" s="78" t="str">
        <f t="shared" si="344"/>
        <v/>
      </c>
      <c r="AV2110" s="64" t="str">
        <f ca="1">IFERROR(__xludf.DUMMYFUNCTION("IF(TRIM(AU2110)="""","""",AU2110/INDEX(FILTER(AT$3:AT2110,TRIM(AT$3:AT2110)&lt;&gt;""""),ROWS(FILTER(AT$3:AT2110,TRIM(AT$3:AT2110)&lt;&gt;"""")))-1)"),"")</f>
        <v/>
      </c>
      <c r="AW2110" s="65" t="e">
        <f t="shared" ca="1" si="337"/>
        <v>#VALUE!</v>
      </c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</row>
    <row r="2111" spans="1:68" ht="19" x14ac:dyDescent="0.25">
      <c r="A2111" s="5"/>
      <c r="B2111" s="5"/>
      <c r="C2111" s="5"/>
      <c r="D2111" s="5"/>
      <c r="E2111" s="5"/>
      <c r="F2111" s="5"/>
      <c r="G2111" s="5"/>
      <c r="H2111" s="6"/>
      <c r="I2111" s="5"/>
      <c r="J2111" s="88"/>
      <c r="K2111" s="88"/>
      <c r="L2111" s="88"/>
      <c r="M2111" s="88"/>
      <c r="N2111" s="88"/>
      <c r="O2111" s="88"/>
      <c r="P2111" s="88"/>
      <c r="Q2111" s="89"/>
      <c r="R2111" s="88"/>
      <c r="S2111" s="88"/>
      <c r="T2111" s="90"/>
      <c r="U2111" s="6"/>
      <c r="V2111" s="96"/>
      <c r="W2111" s="77"/>
      <c r="X2111" s="91"/>
      <c r="Y2111" s="77"/>
      <c r="Z2111" s="5"/>
      <c r="AA2111" s="5"/>
      <c r="AB2111" s="5"/>
      <c r="AC2111" s="5"/>
      <c r="AD2111" s="5"/>
      <c r="AE2111" s="5"/>
      <c r="AF2111" s="5"/>
      <c r="AG2111" s="5"/>
      <c r="AH2111" s="6"/>
      <c r="AI2111" s="96"/>
      <c r="AJ2111" s="93"/>
      <c r="AK2111" s="94"/>
      <c r="AL2111" s="95"/>
      <c r="AM2111" s="56"/>
      <c r="AN2111" s="57">
        <f t="shared" si="336"/>
        <v>0</v>
      </c>
      <c r="AO2111" s="76">
        <f t="shared" si="338"/>
        <v>0</v>
      </c>
      <c r="AP2111" s="63" t="str">
        <f t="shared" si="339"/>
        <v/>
      </c>
      <c r="AQ2111" s="63" t="str">
        <f t="shared" si="340"/>
        <v/>
      </c>
      <c r="AR2111" s="63" t="str">
        <f t="shared" si="341"/>
        <v/>
      </c>
      <c r="AS2111" s="63" t="str">
        <f t="shared" si="342"/>
        <v/>
      </c>
      <c r="AT2111" s="78" t="str">
        <f t="shared" si="343"/>
        <v/>
      </c>
      <c r="AU2111" s="78" t="str">
        <f t="shared" si="344"/>
        <v/>
      </c>
      <c r="AV2111" s="64" t="str">
        <f ca="1">IFERROR(__xludf.DUMMYFUNCTION("IF(TRIM(AU2111)="""","""",AU2111/INDEX(FILTER(AT$3:AT2111,TRIM(AT$3:AT2111)&lt;&gt;""""),ROWS(FILTER(AT$3:AT2111,TRIM(AT$3:AT2111)&lt;&gt;"""")))-1)"),"")</f>
        <v/>
      </c>
      <c r="AW2111" s="65" t="e">
        <f t="shared" ca="1" si="337"/>
        <v>#VALUE!</v>
      </c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</row>
    <row r="2112" spans="1:68" ht="19" x14ac:dyDescent="0.25">
      <c r="A2112" s="5"/>
      <c r="B2112" s="5"/>
      <c r="C2112" s="5"/>
      <c r="D2112" s="5"/>
      <c r="E2112" s="5"/>
      <c r="F2112" s="5"/>
      <c r="G2112" s="5"/>
      <c r="H2112" s="6"/>
      <c r="I2112" s="5"/>
      <c r="J2112" s="88"/>
      <c r="K2112" s="88"/>
      <c r="L2112" s="88"/>
      <c r="M2112" s="88"/>
      <c r="N2112" s="88"/>
      <c r="O2112" s="88"/>
      <c r="P2112" s="88"/>
      <c r="Q2112" s="89"/>
      <c r="R2112" s="88"/>
      <c r="S2112" s="88"/>
      <c r="T2112" s="90"/>
      <c r="U2112" s="6"/>
      <c r="V2112" s="96"/>
      <c r="W2112" s="77"/>
      <c r="X2112" s="91"/>
      <c r="Y2112" s="77"/>
      <c r="Z2112" s="5"/>
      <c r="AA2112" s="5"/>
      <c r="AB2112" s="5"/>
      <c r="AC2112" s="5"/>
      <c r="AD2112" s="5"/>
      <c r="AE2112" s="5"/>
      <c r="AF2112" s="5"/>
      <c r="AG2112" s="5"/>
      <c r="AH2112" s="6"/>
      <c r="AI2112" s="96"/>
      <c r="AJ2112" s="93"/>
      <c r="AK2112" s="94"/>
      <c r="AL2112" s="95"/>
      <c r="AM2112" s="56"/>
      <c r="AN2112" s="57">
        <f t="shared" si="336"/>
        <v>0</v>
      </c>
      <c r="AO2112" s="76">
        <f t="shared" si="338"/>
        <v>0</v>
      </c>
      <c r="AP2112" s="63" t="str">
        <f t="shared" si="339"/>
        <v/>
      </c>
      <c r="AQ2112" s="63" t="str">
        <f t="shared" si="340"/>
        <v/>
      </c>
      <c r="AR2112" s="63" t="str">
        <f t="shared" si="341"/>
        <v/>
      </c>
      <c r="AS2112" s="63" t="str">
        <f t="shared" si="342"/>
        <v/>
      </c>
      <c r="AT2112" s="78" t="str">
        <f t="shared" si="343"/>
        <v/>
      </c>
      <c r="AU2112" s="78" t="str">
        <f t="shared" si="344"/>
        <v/>
      </c>
      <c r="AV2112" s="64" t="str">
        <f ca="1">IFERROR(__xludf.DUMMYFUNCTION("IF(TRIM(AU2112)="""","""",AU2112/INDEX(FILTER(AT$3:AT2112,TRIM(AT$3:AT2112)&lt;&gt;""""),ROWS(FILTER(AT$3:AT2112,TRIM(AT$3:AT2112)&lt;&gt;"""")))-1)"),"")</f>
        <v/>
      </c>
      <c r="AW2112" s="65" t="e">
        <f t="shared" ca="1" si="337"/>
        <v>#VALUE!</v>
      </c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</row>
    <row r="2113" spans="1:68" ht="19" x14ac:dyDescent="0.25">
      <c r="A2113" s="5"/>
      <c r="B2113" s="5"/>
      <c r="C2113" s="5"/>
      <c r="D2113" s="5"/>
      <c r="E2113" s="5"/>
      <c r="F2113" s="5"/>
      <c r="G2113" s="5"/>
      <c r="H2113" s="6"/>
      <c r="I2113" s="5"/>
      <c r="J2113" s="88"/>
      <c r="K2113" s="88"/>
      <c r="L2113" s="88"/>
      <c r="M2113" s="88"/>
      <c r="N2113" s="88"/>
      <c r="O2113" s="88"/>
      <c r="P2113" s="88"/>
      <c r="Q2113" s="89"/>
      <c r="R2113" s="88"/>
      <c r="S2113" s="88"/>
      <c r="T2113" s="90"/>
      <c r="U2113" s="6"/>
      <c r="V2113" s="96"/>
      <c r="W2113" s="77"/>
      <c r="X2113" s="91"/>
      <c r="Y2113" s="77"/>
      <c r="Z2113" s="5"/>
      <c r="AA2113" s="5"/>
      <c r="AB2113" s="5"/>
      <c r="AC2113" s="5"/>
      <c r="AD2113" s="5"/>
      <c r="AE2113" s="5"/>
      <c r="AF2113" s="5"/>
      <c r="AG2113" s="5"/>
      <c r="AH2113" s="6"/>
      <c r="AI2113" s="96"/>
      <c r="AJ2113" s="93"/>
      <c r="AK2113" s="94"/>
      <c r="AL2113" s="95"/>
      <c r="AM2113" s="56"/>
      <c r="AN2113" s="57">
        <f t="shared" si="336"/>
        <v>0</v>
      </c>
      <c r="AO2113" s="76">
        <f t="shared" si="338"/>
        <v>0</v>
      </c>
      <c r="AP2113" s="63" t="str">
        <f t="shared" si="339"/>
        <v/>
      </c>
      <c r="AQ2113" s="63" t="str">
        <f t="shared" si="340"/>
        <v/>
      </c>
      <c r="AR2113" s="63" t="str">
        <f t="shared" si="341"/>
        <v/>
      </c>
      <c r="AS2113" s="63" t="str">
        <f t="shared" si="342"/>
        <v/>
      </c>
      <c r="AT2113" s="78" t="str">
        <f t="shared" si="343"/>
        <v/>
      </c>
      <c r="AU2113" s="78" t="str">
        <f t="shared" si="344"/>
        <v/>
      </c>
      <c r="AV2113" s="64" t="str">
        <f ca="1">IFERROR(__xludf.DUMMYFUNCTION("IF(TRIM(AU2113)="""","""",AU2113/INDEX(FILTER(AT$3:AT2113,TRIM(AT$3:AT2113)&lt;&gt;""""),ROWS(FILTER(AT$3:AT2113,TRIM(AT$3:AT2113)&lt;&gt;"""")))-1)"),"")</f>
        <v/>
      </c>
      <c r="AW2113" s="65" t="e">
        <f t="shared" ca="1" si="337"/>
        <v>#VALUE!</v>
      </c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</row>
    <row r="2114" spans="1:68" ht="19" x14ac:dyDescent="0.25">
      <c r="A2114" s="5"/>
      <c r="B2114" s="5"/>
      <c r="C2114" s="5"/>
      <c r="D2114" s="5"/>
      <c r="E2114" s="5"/>
      <c r="F2114" s="5"/>
      <c r="G2114" s="5"/>
      <c r="H2114" s="6"/>
      <c r="I2114" s="5"/>
      <c r="J2114" s="88"/>
      <c r="K2114" s="88"/>
      <c r="L2114" s="88"/>
      <c r="M2114" s="88"/>
      <c r="N2114" s="88"/>
      <c r="O2114" s="88"/>
      <c r="P2114" s="88"/>
      <c r="Q2114" s="89"/>
      <c r="R2114" s="88"/>
      <c r="S2114" s="88"/>
      <c r="T2114" s="90"/>
      <c r="U2114" s="6"/>
      <c r="V2114" s="96"/>
      <c r="W2114" s="77"/>
      <c r="X2114" s="91"/>
      <c r="Y2114" s="77"/>
      <c r="Z2114" s="5"/>
      <c r="AA2114" s="5"/>
      <c r="AB2114" s="5"/>
      <c r="AC2114" s="5"/>
      <c r="AD2114" s="5"/>
      <c r="AE2114" s="5"/>
      <c r="AF2114" s="5"/>
      <c r="AG2114" s="5"/>
      <c r="AH2114" s="6"/>
      <c r="AI2114" s="96"/>
      <c r="AJ2114" s="93"/>
      <c r="AK2114" s="94"/>
      <c r="AL2114" s="95"/>
      <c r="AM2114" s="56"/>
      <c r="AN2114" s="57">
        <f t="shared" si="336"/>
        <v>0</v>
      </c>
      <c r="AO2114" s="76">
        <f t="shared" si="338"/>
        <v>0</v>
      </c>
      <c r="AP2114" s="63" t="str">
        <f t="shared" si="339"/>
        <v/>
      </c>
      <c r="AQ2114" s="63" t="str">
        <f t="shared" si="340"/>
        <v/>
      </c>
      <c r="AR2114" s="63" t="str">
        <f t="shared" si="341"/>
        <v/>
      </c>
      <c r="AS2114" s="63" t="str">
        <f t="shared" si="342"/>
        <v/>
      </c>
      <c r="AT2114" s="78" t="str">
        <f t="shared" si="343"/>
        <v/>
      </c>
      <c r="AU2114" s="78" t="str">
        <f t="shared" si="344"/>
        <v/>
      </c>
      <c r="AV2114" s="64" t="str">
        <f ca="1">IFERROR(__xludf.DUMMYFUNCTION("IF(TRIM(AU2114)="""","""",AU2114/INDEX(FILTER(AT$3:AT2114,TRIM(AT$3:AT2114)&lt;&gt;""""),ROWS(FILTER(AT$3:AT2114,TRIM(AT$3:AT2114)&lt;&gt;"""")))-1)"),"")</f>
        <v/>
      </c>
      <c r="AW2114" s="65" t="e">
        <f t="shared" ca="1" si="337"/>
        <v>#VALUE!</v>
      </c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</row>
    <row r="2115" spans="1:68" ht="19" x14ac:dyDescent="0.25">
      <c r="A2115" s="5"/>
      <c r="B2115" s="5"/>
      <c r="C2115" s="5"/>
      <c r="D2115" s="5"/>
      <c r="E2115" s="5"/>
      <c r="F2115" s="5"/>
      <c r="G2115" s="5"/>
      <c r="H2115" s="6"/>
      <c r="I2115" s="5"/>
      <c r="J2115" s="88"/>
      <c r="K2115" s="88"/>
      <c r="L2115" s="88"/>
      <c r="M2115" s="88"/>
      <c r="N2115" s="88"/>
      <c r="O2115" s="88"/>
      <c r="P2115" s="88"/>
      <c r="Q2115" s="89"/>
      <c r="R2115" s="88"/>
      <c r="S2115" s="88"/>
      <c r="T2115" s="90"/>
      <c r="U2115" s="6"/>
      <c r="V2115" s="96"/>
      <c r="W2115" s="77"/>
      <c r="X2115" s="91"/>
      <c r="Y2115" s="77"/>
      <c r="Z2115" s="5"/>
      <c r="AA2115" s="5"/>
      <c r="AB2115" s="5"/>
      <c r="AC2115" s="5"/>
      <c r="AD2115" s="5"/>
      <c r="AE2115" s="5"/>
      <c r="AF2115" s="5"/>
      <c r="AG2115" s="5"/>
      <c r="AH2115" s="6"/>
      <c r="AI2115" s="96"/>
      <c r="AJ2115" s="93"/>
      <c r="AK2115" s="94"/>
      <c r="AL2115" s="95"/>
      <c r="AM2115" s="56"/>
      <c r="AN2115" s="57">
        <f t="shared" ref="AN2115:AN2178" si="345">AM2115-AL2115</f>
        <v>0</v>
      </c>
      <c r="AO2115" s="76">
        <f t="shared" si="338"/>
        <v>0</v>
      </c>
      <c r="AP2115" s="63" t="str">
        <f t="shared" si="339"/>
        <v/>
      </c>
      <c r="AQ2115" s="63" t="str">
        <f t="shared" si="340"/>
        <v/>
      </c>
      <c r="AR2115" s="63" t="str">
        <f t="shared" si="341"/>
        <v/>
      </c>
      <c r="AS2115" s="63" t="str">
        <f t="shared" si="342"/>
        <v/>
      </c>
      <c r="AT2115" s="78" t="str">
        <f t="shared" si="343"/>
        <v/>
      </c>
      <c r="AU2115" s="78" t="str">
        <f t="shared" si="344"/>
        <v/>
      </c>
      <c r="AV2115" s="64" t="str">
        <f ca="1">IFERROR(__xludf.DUMMYFUNCTION("IF(TRIM(AU2115)="""","""",AU2115/INDEX(FILTER(AT$3:AT2115,TRIM(AT$3:AT2115)&lt;&gt;""""),ROWS(FILTER(AT$3:AT2115,TRIM(AT$3:AT2115)&lt;&gt;"""")))-1)"),"")</f>
        <v/>
      </c>
      <c r="AW2115" s="65" t="e">
        <f t="shared" ref="AW2115:AW2178" ca="1" si="346">AW2114*(1+AV2115)</f>
        <v>#VALUE!</v>
      </c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</row>
    <row r="2116" spans="1:68" ht="19" x14ac:dyDescent="0.25">
      <c r="A2116" s="5"/>
      <c r="B2116" s="5"/>
      <c r="C2116" s="5"/>
      <c r="D2116" s="5"/>
      <c r="E2116" s="5"/>
      <c r="F2116" s="5"/>
      <c r="G2116" s="5"/>
      <c r="H2116" s="6"/>
      <c r="I2116" s="5"/>
      <c r="J2116" s="88"/>
      <c r="K2116" s="88"/>
      <c r="L2116" s="88"/>
      <c r="M2116" s="88"/>
      <c r="N2116" s="88"/>
      <c r="O2116" s="88"/>
      <c r="P2116" s="88"/>
      <c r="Q2116" s="89"/>
      <c r="R2116" s="88"/>
      <c r="S2116" s="88"/>
      <c r="T2116" s="90"/>
      <c r="U2116" s="6"/>
      <c r="V2116" s="96"/>
      <c r="W2116" s="77"/>
      <c r="X2116" s="91"/>
      <c r="Y2116" s="77"/>
      <c r="Z2116" s="5"/>
      <c r="AA2116" s="5"/>
      <c r="AB2116" s="5"/>
      <c r="AC2116" s="5"/>
      <c r="AD2116" s="5"/>
      <c r="AE2116" s="5"/>
      <c r="AF2116" s="5"/>
      <c r="AG2116" s="5"/>
      <c r="AH2116" s="6"/>
      <c r="AI2116" s="96"/>
      <c r="AJ2116" s="93"/>
      <c r="AK2116" s="94"/>
      <c r="AL2116" s="95"/>
      <c r="AM2116" s="56"/>
      <c r="AN2116" s="57">
        <f t="shared" si="345"/>
        <v>0</v>
      </c>
      <c r="AO2116" s="76">
        <f t="shared" si="338"/>
        <v>0</v>
      </c>
      <c r="AP2116" s="63" t="str">
        <f t="shared" si="339"/>
        <v/>
      </c>
      <c r="AQ2116" s="63" t="str">
        <f t="shared" si="340"/>
        <v/>
      </c>
      <c r="AR2116" s="63" t="str">
        <f t="shared" si="341"/>
        <v/>
      </c>
      <c r="AS2116" s="63" t="str">
        <f t="shared" si="342"/>
        <v/>
      </c>
      <c r="AT2116" s="78" t="str">
        <f t="shared" si="343"/>
        <v/>
      </c>
      <c r="AU2116" s="78" t="str">
        <f t="shared" si="344"/>
        <v/>
      </c>
      <c r="AV2116" s="64" t="str">
        <f ca="1">IFERROR(__xludf.DUMMYFUNCTION("IF(TRIM(AU2116)="""","""",AU2116/INDEX(FILTER(AT$3:AT2116,TRIM(AT$3:AT2116)&lt;&gt;""""),ROWS(FILTER(AT$3:AT2116,TRIM(AT$3:AT2116)&lt;&gt;"""")))-1)"),"")</f>
        <v/>
      </c>
      <c r="AW2116" s="65" t="e">
        <f t="shared" ca="1" si="346"/>
        <v>#VALUE!</v>
      </c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</row>
    <row r="2117" spans="1:68" ht="19" x14ac:dyDescent="0.25">
      <c r="A2117" s="5"/>
      <c r="B2117" s="5"/>
      <c r="C2117" s="5"/>
      <c r="D2117" s="5"/>
      <c r="E2117" s="5"/>
      <c r="F2117" s="5"/>
      <c r="G2117" s="5"/>
      <c r="H2117" s="6"/>
      <c r="I2117" s="5"/>
      <c r="J2117" s="88"/>
      <c r="K2117" s="88"/>
      <c r="L2117" s="88"/>
      <c r="M2117" s="88"/>
      <c r="N2117" s="88"/>
      <c r="O2117" s="88"/>
      <c r="P2117" s="88"/>
      <c r="Q2117" s="89"/>
      <c r="R2117" s="88"/>
      <c r="S2117" s="88"/>
      <c r="T2117" s="90"/>
      <c r="U2117" s="6"/>
      <c r="V2117" s="92"/>
      <c r="W2117" s="77"/>
      <c r="X2117" s="91"/>
      <c r="Y2117" s="77"/>
      <c r="Z2117" s="5"/>
      <c r="AA2117" s="5"/>
      <c r="AB2117" s="5"/>
      <c r="AC2117" s="5"/>
      <c r="AD2117" s="5"/>
      <c r="AE2117" s="5"/>
      <c r="AF2117" s="5"/>
      <c r="AG2117" s="5"/>
      <c r="AH2117" s="6"/>
      <c r="AI2117" s="92"/>
      <c r="AJ2117" s="93"/>
      <c r="AK2117" s="94"/>
      <c r="AL2117" s="95"/>
      <c r="AM2117" s="56"/>
      <c r="AN2117" s="57">
        <f t="shared" si="345"/>
        <v>0</v>
      </c>
      <c r="AO2117" s="76">
        <f t="shared" si="338"/>
        <v>0</v>
      </c>
      <c r="AP2117" s="63" t="str">
        <f t="shared" si="339"/>
        <v/>
      </c>
      <c r="AQ2117" s="63" t="str">
        <f t="shared" si="340"/>
        <v/>
      </c>
      <c r="AR2117" s="63" t="str">
        <f t="shared" si="341"/>
        <v/>
      </c>
      <c r="AS2117" s="63" t="str">
        <f t="shared" si="342"/>
        <v/>
      </c>
      <c r="AT2117" s="78" t="str">
        <f t="shared" si="343"/>
        <v/>
      </c>
      <c r="AU2117" s="78" t="str">
        <f t="shared" si="344"/>
        <v/>
      </c>
      <c r="AV2117" s="64" t="str">
        <f ca="1">IFERROR(__xludf.DUMMYFUNCTION("IF(TRIM(AU2117)="""","""",AU2117/INDEX(FILTER(AT$3:AT2117,TRIM(AT$3:AT2117)&lt;&gt;""""),ROWS(FILTER(AT$3:AT2117,TRIM(AT$3:AT2117)&lt;&gt;"""")))-1)"),"")</f>
        <v/>
      </c>
      <c r="AW2117" s="65" t="e">
        <f t="shared" ca="1" si="346"/>
        <v>#VALUE!</v>
      </c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</row>
    <row r="2118" spans="1:68" ht="19" x14ac:dyDescent="0.25">
      <c r="A2118" s="5"/>
      <c r="B2118" s="5"/>
      <c r="C2118" s="5"/>
      <c r="D2118" s="5"/>
      <c r="E2118" s="5"/>
      <c r="F2118" s="5"/>
      <c r="G2118" s="5"/>
      <c r="H2118" s="6"/>
      <c r="I2118" s="5"/>
      <c r="J2118" s="88"/>
      <c r="K2118" s="88"/>
      <c r="L2118" s="88"/>
      <c r="M2118" s="88"/>
      <c r="N2118" s="88"/>
      <c r="O2118" s="88"/>
      <c r="P2118" s="88"/>
      <c r="Q2118" s="89"/>
      <c r="R2118" s="88"/>
      <c r="S2118" s="88"/>
      <c r="T2118" s="90"/>
      <c r="U2118" s="6"/>
      <c r="V2118" s="92"/>
      <c r="W2118" s="77"/>
      <c r="X2118" s="91"/>
      <c r="Y2118" s="77"/>
      <c r="Z2118" s="5"/>
      <c r="AA2118" s="5"/>
      <c r="AB2118" s="5"/>
      <c r="AC2118" s="5"/>
      <c r="AD2118" s="5"/>
      <c r="AE2118" s="5"/>
      <c r="AF2118" s="5"/>
      <c r="AG2118" s="5"/>
      <c r="AH2118" s="6"/>
      <c r="AI2118" s="92"/>
      <c r="AJ2118" s="93"/>
      <c r="AK2118" s="94"/>
      <c r="AL2118" s="95"/>
      <c r="AM2118" s="56"/>
      <c r="AN2118" s="57">
        <f t="shared" si="345"/>
        <v>0</v>
      </c>
      <c r="AO2118" s="76">
        <f t="shared" si="338"/>
        <v>0</v>
      </c>
      <c r="AP2118" s="63" t="str">
        <f t="shared" si="339"/>
        <v/>
      </c>
      <c r="AQ2118" s="63" t="str">
        <f t="shared" si="340"/>
        <v/>
      </c>
      <c r="AR2118" s="63" t="str">
        <f t="shared" si="341"/>
        <v/>
      </c>
      <c r="AS2118" s="63" t="str">
        <f t="shared" si="342"/>
        <v/>
      </c>
      <c r="AT2118" s="78" t="str">
        <f t="shared" si="343"/>
        <v/>
      </c>
      <c r="AU2118" s="78" t="str">
        <f t="shared" si="344"/>
        <v/>
      </c>
      <c r="AV2118" s="64" t="str">
        <f ca="1">IFERROR(__xludf.DUMMYFUNCTION("IF(TRIM(AU2118)="""","""",AU2118/INDEX(FILTER(AT$3:AT2118,TRIM(AT$3:AT2118)&lt;&gt;""""),ROWS(FILTER(AT$3:AT2118,TRIM(AT$3:AT2118)&lt;&gt;"""")))-1)"),"")</f>
        <v/>
      </c>
      <c r="AW2118" s="65" t="e">
        <f t="shared" ca="1" si="346"/>
        <v>#VALUE!</v>
      </c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</row>
    <row r="2119" spans="1:68" ht="19" x14ac:dyDescent="0.25">
      <c r="A2119" s="5"/>
      <c r="B2119" s="5"/>
      <c r="C2119" s="5"/>
      <c r="D2119" s="5"/>
      <c r="E2119" s="5"/>
      <c r="F2119" s="5"/>
      <c r="G2119" s="5"/>
      <c r="H2119" s="6"/>
      <c r="I2119" s="5"/>
      <c r="J2119" s="88"/>
      <c r="K2119" s="88"/>
      <c r="L2119" s="88"/>
      <c r="M2119" s="88"/>
      <c r="N2119" s="88"/>
      <c r="O2119" s="88"/>
      <c r="P2119" s="88"/>
      <c r="Q2119" s="89"/>
      <c r="R2119" s="88"/>
      <c r="S2119" s="88"/>
      <c r="T2119" s="90"/>
      <c r="U2119" s="6"/>
      <c r="V2119" s="92"/>
      <c r="W2119" s="77"/>
      <c r="X2119" s="91"/>
      <c r="Y2119" s="77"/>
      <c r="Z2119" s="5"/>
      <c r="AA2119" s="5"/>
      <c r="AB2119" s="5"/>
      <c r="AC2119" s="5"/>
      <c r="AD2119" s="5"/>
      <c r="AE2119" s="5"/>
      <c r="AF2119" s="5"/>
      <c r="AG2119" s="5"/>
      <c r="AH2119" s="6"/>
      <c r="AI2119" s="92"/>
      <c r="AJ2119" s="93"/>
      <c r="AK2119" s="94"/>
      <c r="AL2119" s="95"/>
      <c r="AM2119" s="56"/>
      <c r="AN2119" s="57">
        <f t="shared" si="345"/>
        <v>0</v>
      </c>
      <c r="AO2119" s="76">
        <f t="shared" ref="AO2119:AO2182" si="347">AVERAGE(AN2115:AN2119)</f>
        <v>0</v>
      </c>
      <c r="AP2119" s="63" t="str">
        <f t="shared" ref="AP2119:AP2182" si="348">IF(AO2119&gt;0,"Buy Stocks","")</f>
        <v/>
      </c>
      <c r="AQ2119" s="63" t="str">
        <f t="shared" ref="AQ2119:AQ2182" si="349">IF(AO2119&lt;0,"Sell Stocks","")</f>
        <v/>
      </c>
      <c r="AR2119" s="63" t="str">
        <f t="shared" ref="AR2119:AR2182" si="350">IF(AND(AP2119="Buy Stocks",AP2118=""),"Buy Stocks","")</f>
        <v/>
      </c>
      <c r="AS2119" s="63" t="str">
        <f t="shared" ref="AS2119:AS2182" si="351">IF(AND(AQ2119="Sell Stocks",AQ2118=""),"Sell Stocks","")</f>
        <v/>
      </c>
      <c r="AT2119" s="78" t="str">
        <f t="shared" ref="AT2119:AT2182" si="352">IF(AR2119="Buy Stocks",AJ2119,"")</f>
        <v/>
      </c>
      <c r="AU2119" s="78" t="str">
        <f t="shared" ref="AU2119:AU2182" si="353">IF(AS2119="Sell Stocks",AJ2119,"")</f>
        <v/>
      </c>
      <c r="AV2119" s="64" t="str">
        <f ca="1">IFERROR(__xludf.DUMMYFUNCTION("IF(TRIM(AU2119)="""","""",AU2119/INDEX(FILTER(AT$3:AT2119,TRIM(AT$3:AT2119)&lt;&gt;""""),ROWS(FILTER(AT$3:AT2119,TRIM(AT$3:AT2119)&lt;&gt;"""")))-1)"),"")</f>
        <v/>
      </c>
      <c r="AW2119" s="65" t="e">
        <f t="shared" ca="1" si="346"/>
        <v>#VALUE!</v>
      </c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</row>
    <row r="2120" spans="1:68" ht="19" x14ac:dyDescent="0.25">
      <c r="A2120" s="5"/>
      <c r="B2120" s="5"/>
      <c r="C2120" s="5"/>
      <c r="D2120" s="5"/>
      <c r="E2120" s="5"/>
      <c r="F2120" s="5"/>
      <c r="G2120" s="5"/>
      <c r="H2120" s="6"/>
      <c r="I2120" s="5"/>
      <c r="J2120" s="88"/>
      <c r="K2120" s="88"/>
      <c r="L2120" s="88"/>
      <c r="M2120" s="88"/>
      <c r="N2120" s="88"/>
      <c r="O2120" s="88"/>
      <c r="P2120" s="88"/>
      <c r="Q2120" s="89"/>
      <c r="R2120" s="88"/>
      <c r="S2120" s="88"/>
      <c r="T2120" s="90"/>
      <c r="U2120" s="6"/>
      <c r="V2120" s="92"/>
      <c r="W2120" s="77"/>
      <c r="X2120" s="91"/>
      <c r="Y2120" s="77"/>
      <c r="Z2120" s="5"/>
      <c r="AA2120" s="5"/>
      <c r="AB2120" s="5"/>
      <c r="AC2120" s="5"/>
      <c r="AD2120" s="5"/>
      <c r="AE2120" s="5"/>
      <c r="AF2120" s="5"/>
      <c r="AG2120" s="5"/>
      <c r="AH2120" s="6"/>
      <c r="AI2120" s="92"/>
      <c r="AJ2120" s="93"/>
      <c r="AK2120" s="94"/>
      <c r="AL2120" s="95"/>
      <c r="AM2120" s="56"/>
      <c r="AN2120" s="57">
        <f t="shared" si="345"/>
        <v>0</v>
      </c>
      <c r="AO2120" s="76">
        <f t="shared" si="347"/>
        <v>0</v>
      </c>
      <c r="AP2120" s="63" t="str">
        <f t="shared" si="348"/>
        <v/>
      </c>
      <c r="AQ2120" s="63" t="str">
        <f t="shared" si="349"/>
        <v/>
      </c>
      <c r="AR2120" s="63" t="str">
        <f t="shared" si="350"/>
        <v/>
      </c>
      <c r="AS2120" s="63" t="str">
        <f t="shared" si="351"/>
        <v/>
      </c>
      <c r="AT2120" s="78" t="str">
        <f t="shared" si="352"/>
        <v/>
      </c>
      <c r="AU2120" s="78" t="str">
        <f t="shared" si="353"/>
        <v/>
      </c>
      <c r="AV2120" s="64" t="str">
        <f ca="1">IFERROR(__xludf.DUMMYFUNCTION("IF(TRIM(AU2120)="""","""",AU2120/INDEX(FILTER(AT$3:AT2120,TRIM(AT$3:AT2120)&lt;&gt;""""),ROWS(FILTER(AT$3:AT2120,TRIM(AT$3:AT2120)&lt;&gt;"""")))-1)"),"")</f>
        <v/>
      </c>
      <c r="AW2120" s="65" t="e">
        <f t="shared" ca="1" si="346"/>
        <v>#VALUE!</v>
      </c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</row>
    <row r="2121" spans="1:68" ht="19" x14ac:dyDescent="0.25">
      <c r="A2121" s="5"/>
      <c r="B2121" s="5"/>
      <c r="C2121" s="5"/>
      <c r="D2121" s="5"/>
      <c r="E2121" s="5"/>
      <c r="F2121" s="5"/>
      <c r="G2121" s="5"/>
      <c r="H2121" s="6"/>
      <c r="I2121" s="5"/>
      <c r="J2121" s="88"/>
      <c r="K2121" s="88"/>
      <c r="L2121" s="88"/>
      <c r="M2121" s="88"/>
      <c r="N2121" s="88"/>
      <c r="O2121" s="88"/>
      <c r="P2121" s="88"/>
      <c r="Q2121" s="89"/>
      <c r="R2121" s="88"/>
      <c r="S2121" s="88"/>
      <c r="T2121" s="90"/>
      <c r="U2121" s="6"/>
      <c r="V2121" s="92"/>
      <c r="W2121" s="77"/>
      <c r="X2121" s="91"/>
      <c r="Y2121" s="77"/>
      <c r="Z2121" s="5"/>
      <c r="AA2121" s="5"/>
      <c r="AB2121" s="5"/>
      <c r="AC2121" s="5"/>
      <c r="AD2121" s="5"/>
      <c r="AE2121" s="5"/>
      <c r="AF2121" s="5"/>
      <c r="AG2121" s="5"/>
      <c r="AH2121" s="6"/>
      <c r="AI2121" s="92"/>
      <c r="AJ2121" s="93"/>
      <c r="AK2121" s="94"/>
      <c r="AL2121" s="95"/>
      <c r="AM2121" s="56"/>
      <c r="AN2121" s="57">
        <f t="shared" si="345"/>
        <v>0</v>
      </c>
      <c r="AO2121" s="76">
        <f t="shared" si="347"/>
        <v>0</v>
      </c>
      <c r="AP2121" s="63" t="str">
        <f t="shared" si="348"/>
        <v/>
      </c>
      <c r="AQ2121" s="63" t="str">
        <f t="shared" si="349"/>
        <v/>
      </c>
      <c r="AR2121" s="63" t="str">
        <f t="shared" si="350"/>
        <v/>
      </c>
      <c r="AS2121" s="63" t="str">
        <f t="shared" si="351"/>
        <v/>
      </c>
      <c r="AT2121" s="78" t="str">
        <f t="shared" si="352"/>
        <v/>
      </c>
      <c r="AU2121" s="78" t="str">
        <f t="shared" si="353"/>
        <v/>
      </c>
      <c r="AV2121" s="64" t="str">
        <f ca="1">IFERROR(__xludf.DUMMYFUNCTION("IF(TRIM(AU2121)="""","""",AU2121/INDEX(FILTER(AT$3:AT2121,TRIM(AT$3:AT2121)&lt;&gt;""""),ROWS(FILTER(AT$3:AT2121,TRIM(AT$3:AT2121)&lt;&gt;"""")))-1)"),"")</f>
        <v/>
      </c>
      <c r="AW2121" s="65" t="e">
        <f t="shared" ca="1" si="346"/>
        <v>#VALUE!</v>
      </c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</row>
    <row r="2122" spans="1:68" ht="19" x14ac:dyDescent="0.25">
      <c r="A2122" s="5"/>
      <c r="B2122" s="5"/>
      <c r="C2122" s="5"/>
      <c r="D2122" s="5"/>
      <c r="E2122" s="5"/>
      <c r="F2122" s="5"/>
      <c r="G2122" s="5"/>
      <c r="H2122" s="6"/>
      <c r="I2122" s="5"/>
      <c r="J2122" s="88"/>
      <c r="K2122" s="88"/>
      <c r="L2122" s="88"/>
      <c r="M2122" s="88"/>
      <c r="N2122" s="88"/>
      <c r="O2122" s="88"/>
      <c r="P2122" s="88"/>
      <c r="Q2122" s="89"/>
      <c r="R2122" s="88"/>
      <c r="S2122" s="88"/>
      <c r="T2122" s="90"/>
      <c r="U2122" s="6"/>
      <c r="V2122" s="92"/>
      <c r="W2122" s="77"/>
      <c r="X2122" s="91"/>
      <c r="Y2122" s="77"/>
      <c r="Z2122" s="5"/>
      <c r="AA2122" s="5"/>
      <c r="AB2122" s="5"/>
      <c r="AC2122" s="5"/>
      <c r="AD2122" s="5"/>
      <c r="AE2122" s="5"/>
      <c r="AF2122" s="5"/>
      <c r="AG2122" s="5"/>
      <c r="AH2122" s="6"/>
      <c r="AI2122" s="92"/>
      <c r="AJ2122" s="93"/>
      <c r="AK2122" s="94"/>
      <c r="AL2122" s="95"/>
      <c r="AM2122" s="56"/>
      <c r="AN2122" s="57">
        <f t="shared" si="345"/>
        <v>0</v>
      </c>
      <c r="AO2122" s="76">
        <f t="shared" si="347"/>
        <v>0</v>
      </c>
      <c r="AP2122" s="63" t="str">
        <f t="shared" si="348"/>
        <v/>
      </c>
      <c r="AQ2122" s="63" t="str">
        <f t="shared" si="349"/>
        <v/>
      </c>
      <c r="AR2122" s="63" t="str">
        <f t="shared" si="350"/>
        <v/>
      </c>
      <c r="AS2122" s="63" t="str">
        <f t="shared" si="351"/>
        <v/>
      </c>
      <c r="AT2122" s="78" t="str">
        <f t="shared" si="352"/>
        <v/>
      </c>
      <c r="AU2122" s="78" t="str">
        <f t="shared" si="353"/>
        <v/>
      </c>
      <c r="AV2122" s="64" t="str">
        <f ca="1">IFERROR(__xludf.DUMMYFUNCTION("IF(TRIM(AU2122)="""","""",AU2122/INDEX(FILTER(AT$3:AT2122,TRIM(AT$3:AT2122)&lt;&gt;""""),ROWS(FILTER(AT$3:AT2122,TRIM(AT$3:AT2122)&lt;&gt;"""")))-1)"),"")</f>
        <v/>
      </c>
      <c r="AW2122" s="65" t="e">
        <f t="shared" ca="1" si="346"/>
        <v>#VALUE!</v>
      </c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</row>
    <row r="2123" spans="1:68" ht="19" x14ac:dyDescent="0.25">
      <c r="A2123" s="5"/>
      <c r="B2123" s="5"/>
      <c r="C2123" s="5"/>
      <c r="D2123" s="5"/>
      <c r="E2123" s="5"/>
      <c r="F2123" s="5"/>
      <c r="G2123" s="5"/>
      <c r="H2123" s="6"/>
      <c r="I2123" s="5"/>
      <c r="J2123" s="88"/>
      <c r="K2123" s="88"/>
      <c r="L2123" s="88"/>
      <c r="M2123" s="88"/>
      <c r="N2123" s="88"/>
      <c r="O2123" s="88"/>
      <c r="P2123" s="88"/>
      <c r="Q2123" s="89"/>
      <c r="R2123" s="88"/>
      <c r="S2123" s="88"/>
      <c r="T2123" s="90"/>
      <c r="U2123" s="6"/>
      <c r="V2123" s="92"/>
      <c r="W2123" s="77"/>
      <c r="X2123" s="91"/>
      <c r="Y2123" s="77"/>
      <c r="Z2123" s="5"/>
      <c r="AA2123" s="5"/>
      <c r="AB2123" s="5"/>
      <c r="AC2123" s="5"/>
      <c r="AD2123" s="5"/>
      <c r="AE2123" s="5"/>
      <c r="AF2123" s="5"/>
      <c r="AG2123" s="5"/>
      <c r="AH2123" s="6"/>
      <c r="AI2123" s="92"/>
      <c r="AJ2123" s="93"/>
      <c r="AK2123" s="94"/>
      <c r="AL2123" s="95"/>
      <c r="AM2123" s="56"/>
      <c r="AN2123" s="57">
        <f t="shared" si="345"/>
        <v>0</v>
      </c>
      <c r="AO2123" s="76">
        <f t="shared" si="347"/>
        <v>0</v>
      </c>
      <c r="AP2123" s="63" t="str">
        <f t="shared" si="348"/>
        <v/>
      </c>
      <c r="AQ2123" s="63" t="str">
        <f t="shared" si="349"/>
        <v/>
      </c>
      <c r="AR2123" s="63" t="str">
        <f t="shared" si="350"/>
        <v/>
      </c>
      <c r="AS2123" s="63" t="str">
        <f t="shared" si="351"/>
        <v/>
      </c>
      <c r="AT2123" s="78" t="str">
        <f t="shared" si="352"/>
        <v/>
      </c>
      <c r="AU2123" s="78" t="str">
        <f t="shared" si="353"/>
        <v/>
      </c>
      <c r="AV2123" s="64" t="str">
        <f ca="1">IFERROR(__xludf.DUMMYFUNCTION("IF(TRIM(AU2123)="""","""",AU2123/INDEX(FILTER(AT$3:AT2123,TRIM(AT$3:AT2123)&lt;&gt;""""),ROWS(FILTER(AT$3:AT2123,TRIM(AT$3:AT2123)&lt;&gt;"""")))-1)"),"")</f>
        <v/>
      </c>
      <c r="AW2123" s="65" t="e">
        <f t="shared" ca="1" si="346"/>
        <v>#VALUE!</v>
      </c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</row>
    <row r="2124" spans="1:68" ht="19" x14ac:dyDescent="0.25">
      <c r="A2124" s="5"/>
      <c r="B2124" s="5"/>
      <c r="C2124" s="5"/>
      <c r="D2124" s="5"/>
      <c r="E2124" s="5"/>
      <c r="F2124" s="5"/>
      <c r="G2124" s="5"/>
      <c r="H2124" s="6"/>
      <c r="I2124" s="5"/>
      <c r="J2124" s="88"/>
      <c r="K2124" s="88"/>
      <c r="L2124" s="88"/>
      <c r="M2124" s="88"/>
      <c r="N2124" s="88"/>
      <c r="O2124" s="88"/>
      <c r="P2124" s="88"/>
      <c r="Q2124" s="89"/>
      <c r="R2124" s="88"/>
      <c r="S2124" s="88"/>
      <c r="T2124" s="90"/>
      <c r="U2124" s="6"/>
      <c r="V2124" s="92"/>
      <c r="W2124" s="77"/>
      <c r="X2124" s="91"/>
      <c r="Y2124" s="77"/>
      <c r="Z2124" s="5"/>
      <c r="AA2124" s="5"/>
      <c r="AB2124" s="5"/>
      <c r="AC2124" s="5"/>
      <c r="AD2124" s="5"/>
      <c r="AE2124" s="5"/>
      <c r="AF2124" s="5"/>
      <c r="AG2124" s="5"/>
      <c r="AH2124" s="6"/>
      <c r="AI2124" s="92"/>
      <c r="AJ2124" s="93"/>
      <c r="AK2124" s="94"/>
      <c r="AL2124" s="95"/>
      <c r="AM2124" s="56"/>
      <c r="AN2124" s="57">
        <f t="shared" si="345"/>
        <v>0</v>
      </c>
      <c r="AO2124" s="76">
        <f t="shared" si="347"/>
        <v>0</v>
      </c>
      <c r="AP2124" s="63" t="str">
        <f t="shared" si="348"/>
        <v/>
      </c>
      <c r="AQ2124" s="63" t="str">
        <f t="shared" si="349"/>
        <v/>
      </c>
      <c r="AR2124" s="63" t="str">
        <f t="shared" si="350"/>
        <v/>
      </c>
      <c r="AS2124" s="63" t="str">
        <f t="shared" si="351"/>
        <v/>
      </c>
      <c r="AT2124" s="78" t="str">
        <f t="shared" si="352"/>
        <v/>
      </c>
      <c r="AU2124" s="78" t="str">
        <f t="shared" si="353"/>
        <v/>
      </c>
      <c r="AV2124" s="64" t="str">
        <f ca="1">IFERROR(__xludf.DUMMYFUNCTION("IF(TRIM(AU2124)="""","""",AU2124/INDEX(FILTER(AT$3:AT2124,TRIM(AT$3:AT2124)&lt;&gt;""""),ROWS(FILTER(AT$3:AT2124,TRIM(AT$3:AT2124)&lt;&gt;"""")))-1)"),"")</f>
        <v/>
      </c>
      <c r="AW2124" s="65" t="e">
        <f t="shared" ca="1" si="346"/>
        <v>#VALUE!</v>
      </c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</row>
    <row r="2125" spans="1:68" ht="19" x14ac:dyDescent="0.25">
      <c r="A2125" s="5"/>
      <c r="B2125" s="5"/>
      <c r="C2125" s="5"/>
      <c r="D2125" s="5"/>
      <c r="E2125" s="5"/>
      <c r="F2125" s="5"/>
      <c r="G2125" s="5"/>
      <c r="H2125" s="6"/>
      <c r="I2125" s="5"/>
      <c r="J2125" s="88"/>
      <c r="K2125" s="88"/>
      <c r="L2125" s="88"/>
      <c r="M2125" s="88"/>
      <c r="N2125" s="88"/>
      <c r="O2125" s="88"/>
      <c r="P2125" s="88"/>
      <c r="Q2125" s="89"/>
      <c r="R2125" s="88"/>
      <c r="S2125" s="88"/>
      <c r="T2125" s="90"/>
      <c r="U2125" s="6"/>
      <c r="V2125" s="92"/>
      <c r="W2125" s="77"/>
      <c r="X2125" s="91"/>
      <c r="Y2125" s="77"/>
      <c r="Z2125" s="5"/>
      <c r="AA2125" s="5"/>
      <c r="AB2125" s="5"/>
      <c r="AC2125" s="5"/>
      <c r="AD2125" s="5"/>
      <c r="AE2125" s="5"/>
      <c r="AF2125" s="5"/>
      <c r="AG2125" s="5"/>
      <c r="AH2125" s="6"/>
      <c r="AI2125" s="92"/>
      <c r="AJ2125" s="93"/>
      <c r="AK2125" s="94"/>
      <c r="AL2125" s="95"/>
      <c r="AM2125" s="56"/>
      <c r="AN2125" s="57">
        <f t="shared" si="345"/>
        <v>0</v>
      </c>
      <c r="AO2125" s="76">
        <f t="shared" si="347"/>
        <v>0</v>
      </c>
      <c r="AP2125" s="63" t="str">
        <f t="shared" si="348"/>
        <v/>
      </c>
      <c r="AQ2125" s="63" t="str">
        <f t="shared" si="349"/>
        <v/>
      </c>
      <c r="AR2125" s="63" t="str">
        <f t="shared" si="350"/>
        <v/>
      </c>
      <c r="AS2125" s="63" t="str">
        <f t="shared" si="351"/>
        <v/>
      </c>
      <c r="AT2125" s="78" t="str">
        <f t="shared" si="352"/>
        <v/>
      </c>
      <c r="AU2125" s="78" t="str">
        <f t="shared" si="353"/>
        <v/>
      </c>
      <c r="AV2125" s="64" t="str">
        <f ca="1">IFERROR(__xludf.DUMMYFUNCTION("IF(TRIM(AU2125)="""","""",AU2125/INDEX(FILTER(AT$3:AT2125,TRIM(AT$3:AT2125)&lt;&gt;""""),ROWS(FILTER(AT$3:AT2125,TRIM(AT$3:AT2125)&lt;&gt;"""")))-1)"),"")</f>
        <v/>
      </c>
      <c r="AW2125" s="65" t="e">
        <f t="shared" ca="1" si="346"/>
        <v>#VALUE!</v>
      </c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</row>
    <row r="2126" spans="1:68" ht="19" x14ac:dyDescent="0.25">
      <c r="A2126" s="5"/>
      <c r="B2126" s="5"/>
      <c r="C2126" s="5"/>
      <c r="D2126" s="5"/>
      <c r="E2126" s="5"/>
      <c r="F2126" s="5"/>
      <c r="G2126" s="5"/>
      <c r="H2126" s="6"/>
      <c r="I2126" s="5"/>
      <c r="J2126" s="88"/>
      <c r="K2126" s="88"/>
      <c r="L2126" s="88"/>
      <c r="M2126" s="88"/>
      <c r="N2126" s="88"/>
      <c r="O2126" s="88"/>
      <c r="P2126" s="88"/>
      <c r="Q2126" s="89"/>
      <c r="R2126" s="88"/>
      <c r="S2126" s="88"/>
      <c r="T2126" s="90"/>
      <c r="U2126" s="6"/>
      <c r="V2126" s="92"/>
      <c r="W2126" s="77"/>
      <c r="X2126" s="91"/>
      <c r="Y2126" s="77"/>
      <c r="Z2126" s="5"/>
      <c r="AA2126" s="5"/>
      <c r="AB2126" s="5"/>
      <c r="AC2126" s="5"/>
      <c r="AD2126" s="5"/>
      <c r="AE2126" s="5"/>
      <c r="AF2126" s="5"/>
      <c r="AG2126" s="5"/>
      <c r="AH2126" s="6"/>
      <c r="AI2126" s="92"/>
      <c r="AJ2126" s="93"/>
      <c r="AK2126" s="94"/>
      <c r="AL2126" s="95"/>
      <c r="AM2126" s="56"/>
      <c r="AN2126" s="57">
        <f t="shared" si="345"/>
        <v>0</v>
      </c>
      <c r="AO2126" s="76">
        <f t="shared" si="347"/>
        <v>0</v>
      </c>
      <c r="AP2126" s="63" t="str">
        <f t="shared" si="348"/>
        <v/>
      </c>
      <c r="AQ2126" s="63" t="str">
        <f t="shared" si="349"/>
        <v/>
      </c>
      <c r="AR2126" s="63" t="str">
        <f t="shared" si="350"/>
        <v/>
      </c>
      <c r="AS2126" s="63" t="str">
        <f t="shared" si="351"/>
        <v/>
      </c>
      <c r="AT2126" s="78" t="str">
        <f t="shared" si="352"/>
        <v/>
      </c>
      <c r="AU2126" s="78" t="str">
        <f t="shared" si="353"/>
        <v/>
      </c>
      <c r="AV2126" s="64" t="str">
        <f ca="1">IFERROR(__xludf.DUMMYFUNCTION("IF(TRIM(AU2126)="""","""",AU2126/INDEX(FILTER(AT$3:AT2126,TRIM(AT$3:AT2126)&lt;&gt;""""),ROWS(FILTER(AT$3:AT2126,TRIM(AT$3:AT2126)&lt;&gt;"""")))-1)"),"")</f>
        <v/>
      </c>
      <c r="AW2126" s="65" t="e">
        <f t="shared" ca="1" si="346"/>
        <v>#VALUE!</v>
      </c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</row>
    <row r="2127" spans="1:68" ht="19" x14ac:dyDescent="0.25">
      <c r="A2127" s="5"/>
      <c r="B2127" s="5"/>
      <c r="C2127" s="5"/>
      <c r="D2127" s="5"/>
      <c r="E2127" s="5"/>
      <c r="F2127" s="5"/>
      <c r="G2127" s="5"/>
      <c r="H2127" s="6"/>
      <c r="I2127" s="5"/>
      <c r="J2127" s="88"/>
      <c r="K2127" s="88"/>
      <c r="L2127" s="88"/>
      <c r="M2127" s="88"/>
      <c r="N2127" s="88"/>
      <c r="O2127" s="88"/>
      <c r="P2127" s="88"/>
      <c r="Q2127" s="89"/>
      <c r="R2127" s="88"/>
      <c r="S2127" s="88"/>
      <c r="T2127" s="90"/>
      <c r="U2127" s="6"/>
      <c r="V2127" s="92"/>
      <c r="W2127" s="77"/>
      <c r="X2127" s="91"/>
      <c r="Y2127" s="77"/>
      <c r="Z2127" s="5"/>
      <c r="AA2127" s="5"/>
      <c r="AB2127" s="5"/>
      <c r="AC2127" s="5"/>
      <c r="AD2127" s="5"/>
      <c r="AE2127" s="5"/>
      <c r="AF2127" s="5"/>
      <c r="AG2127" s="5"/>
      <c r="AH2127" s="6"/>
      <c r="AI2127" s="92"/>
      <c r="AJ2127" s="93"/>
      <c r="AK2127" s="94"/>
      <c r="AL2127" s="95"/>
      <c r="AM2127" s="56"/>
      <c r="AN2127" s="57">
        <f t="shared" si="345"/>
        <v>0</v>
      </c>
      <c r="AO2127" s="76">
        <f t="shared" si="347"/>
        <v>0</v>
      </c>
      <c r="AP2127" s="63" t="str">
        <f t="shared" si="348"/>
        <v/>
      </c>
      <c r="AQ2127" s="63" t="str">
        <f t="shared" si="349"/>
        <v/>
      </c>
      <c r="AR2127" s="63" t="str">
        <f t="shared" si="350"/>
        <v/>
      </c>
      <c r="AS2127" s="63" t="str">
        <f t="shared" si="351"/>
        <v/>
      </c>
      <c r="AT2127" s="78" t="str">
        <f t="shared" si="352"/>
        <v/>
      </c>
      <c r="AU2127" s="78" t="str">
        <f t="shared" si="353"/>
        <v/>
      </c>
      <c r="AV2127" s="64" t="str">
        <f ca="1">IFERROR(__xludf.DUMMYFUNCTION("IF(TRIM(AU2127)="""","""",AU2127/INDEX(FILTER(AT$3:AT2127,TRIM(AT$3:AT2127)&lt;&gt;""""),ROWS(FILTER(AT$3:AT2127,TRIM(AT$3:AT2127)&lt;&gt;"""")))-1)"),"")</f>
        <v/>
      </c>
      <c r="AW2127" s="65" t="e">
        <f t="shared" ca="1" si="346"/>
        <v>#VALUE!</v>
      </c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</row>
    <row r="2128" spans="1:68" ht="19" x14ac:dyDescent="0.25">
      <c r="A2128" s="5"/>
      <c r="B2128" s="5"/>
      <c r="C2128" s="5"/>
      <c r="D2128" s="5"/>
      <c r="E2128" s="5"/>
      <c r="F2128" s="5"/>
      <c r="G2128" s="5"/>
      <c r="H2128" s="6"/>
      <c r="I2128" s="5"/>
      <c r="J2128" s="88"/>
      <c r="K2128" s="88"/>
      <c r="L2128" s="88"/>
      <c r="M2128" s="88"/>
      <c r="N2128" s="88"/>
      <c r="O2128" s="88"/>
      <c r="P2128" s="88"/>
      <c r="Q2128" s="89"/>
      <c r="R2128" s="88"/>
      <c r="S2128" s="88"/>
      <c r="T2128" s="90"/>
      <c r="U2128" s="6"/>
      <c r="V2128" s="92"/>
      <c r="W2128" s="77"/>
      <c r="X2128" s="91"/>
      <c r="Y2128" s="77"/>
      <c r="Z2128" s="5"/>
      <c r="AA2128" s="5"/>
      <c r="AB2128" s="5"/>
      <c r="AC2128" s="5"/>
      <c r="AD2128" s="5"/>
      <c r="AE2128" s="5"/>
      <c r="AF2128" s="5"/>
      <c r="AG2128" s="5"/>
      <c r="AH2128" s="6"/>
      <c r="AI2128" s="92"/>
      <c r="AJ2128" s="93"/>
      <c r="AK2128" s="94"/>
      <c r="AL2128" s="95"/>
      <c r="AM2128" s="56"/>
      <c r="AN2128" s="57">
        <f t="shared" si="345"/>
        <v>0</v>
      </c>
      <c r="AO2128" s="76">
        <f t="shared" si="347"/>
        <v>0</v>
      </c>
      <c r="AP2128" s="63" t="str">
        <f t="shared" si="348"/>
        <v/>
      </c>
      <c r="AQ2128" s="63" t="str">
        <f t="shared" si="349"/>
        <v/>
      </c>
      <c r="AR2128" s="63" t="str">
        <f t="shared" si="350"/>
        <v/>
      </c>
      <c r="AS2128" s="63" t="str">
        <f t="shared" si="351"/>
        <v/>
      </c>
      <c r="AT2128" s="78" t="str">
        <f t="shared" si="352"/>
        <v/>
      </c>
      <c r="AU2128" s="78" t="str">
        <f t="shared" si="353"/>
        <v/>
      </c>
      <c r="AV2128" s="64" t="str">
        <f ca="1">IFERROR(__xludf.DUMMYFUNCTION("IF(TRIM(AU2128)="""","""",AU2128/INDEX(FILTER(AT$3:AT2128,TRIM(AT$3:AT2128)&lt;&gt;""""),ROWS(FILTER(AT$3:AT2128,TRIM(AT$3:AT2128)&lt;&gt;"""")))-1)"),"")</f>
        <v/>
      </c>
      <c r="AW2128" s="65" t="e">
        <f t="shared" ca="1" si="346"/>
        <v>#VALUE!</v>
      </c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</row>
    <row r="2129" spans="1:68" ht="19" x14ac:dyDescent="0.25">
      <c r="A2129" s="5"/>
      <c r="B2129" s="5"/>
      <c r="C2129" s="5"/>
      <c r="D2129" s="5"/>
      <c r="E2129" s="5"/>
      <c r="F2129" s="5"/>
      <c r="G2129" s="5"/>
      <c r="H2129" s="6"/>
      <c r="I2129" s="5"/>
      <c r="J2129" s="88"/>
      <c r="K2129" s="88"/>
      <c r="L2129" s="88"/>
      <c r="M2129" s="88"/>
      <c r="N2129" s="88"/>
      <c r="O2129" s="88"/>
      <c r="P2129" s="88"/>
      <c r="Q2129" s="89"/>
      <c r="R2129" s="88"/>
      <c r="S2129" s="88"/>
      <c r="T2129" s="90"/>
      <c r="U2129" s="6"/>
      <c r="V2129" s="92"/>
      <c r="W2129" s="77"/>
      <c r="X2129" s="91"/>
      <c r="Y2129" s="77"/>
      <c r="Z2129" s="5"/>
      <c r="AA2129" s="5"/>
      <c r="AB2129" s="5"/>
      <c r="AC2129" s="5"/>
      <c r="AD2129" s="5"/>
      <c r="AE2129" s="5"/>
      <c r="AF2129" s="5"/>
      <c r="AG2129" s="5"/>
      <c r="AH2129" s="6"/>
      <c r="AI2129" s="92"/>
      <c r="AJ2129" s="93"/>
      <c r="AK2129" s="94"/>
      <c r="AL2129" s="95"/>
      <c r="AM2129" s="56"/>
      <c r="AN2129" s="57">
        <f t="shared" si="345"/>
        <v>0</v>
      </c>
      <c r="AO2129" s="76">
        <f t="shared" si="347"/>
        <v>0</v>
      </c>
      <c r="AP2129" s="63" t="str">
        <f t="shared" si="348"/>
        <v/>
      </c>
      <c r="AQ2129" s="63" t="str">
        <f t="shared" si="349"/>
        <v/>
      </c>
      <c r="AR2129" s="63" t="str">
        <f t="shared" si="350"/>
        <v/>
      </c>
      <c r="AS2129" s="63" t="str">
        <f t="shared" si="351"/>
        <v/>
      </c>
      <c r="AT2129" s="78" t="str">
        <f t="shared" si="352"/>
        <v/>
      </c>
      <c r="AU2129" s="78" t="str">
        <f t="shared" si="353"/>
        <v/>
      </c>
      <c r="AV2129" s="64" t="str">
        <f ca="1">IFERROR(__xludf.DUMMYFUNCTION("IF(TRIM(AU2129)="""","""",AU2129/INDEX(FILTER(AT$3:AT2129,TRIM(AT$3:AT2129)&lt;&gt;""""),ROWS(FILTER(AT$3:AT2129,TRIM(AT$3:AT2129)&lt;&gt;"""")))-1)"),"")</f>
        <v/>
      </c>
      <c r="AW2129" s="65" t="e">
        <f t="shared" ca="1" si="346"/>
        <v>#VALUE!</v>
      </c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</row>
    <row r="2130" spans="1:68" ht="19" x14ac:dyDescent="0.25">
      <c r="A2130" s="5"/>
      <c r="B2130" s="5"/>
      <c r="C2130" s="5"/>
      <c r="D2130" s="5"/>
      <c r="E2130" s="5"/>
      <c r="F2130" s="5"/>
      <c r="G2130" s="5"/>
      <c r="H2130" s="6"/>
      <c r="I2130" s="5"/>
      <c r="J2130" s="88"/>
      <c r="K2130" s="88"/>
      <c r="L2130" s="88"/>
      <c r="M2130" s="88"/>
      <c r="N2130" s="88"/>
      <c r="O2130" s="88"/>
      <c r="P2130" s="88"/>
      <c r="Q2130" s="89"/>
      <c r="R2130" s="88"/>
      <c r="S2130" s="88"/>
      <c r="T2130" s="90"/>
      <c r="U2130" s="6"/>
      <c r="V2130" s="92"/>
      <c r="W2130" s="77"/>
      <c r="X2130" s="91"/>
      <c r="Y2130" s="77"/>
      <c r="Z2130" s="5"/>
      <c r="AA2130" s="5"/>
      <c r="AB2130" s="5"/>
      <c r="AC2130" s="5"/>
      <c r="AD2130" s="5"/>
      <c r="AE2130" s="5"/>
      <c r="AF2130" s="5"/>
      <c r="AG2130" s="5"/>
      <c r="AH2130" s="6"/>
      <c r="AI2130" s="92"/>
      <c r="AJ2130" s="93"/>
      <c r="AK2130" s="94"/>
      <c r="AL2130" s="95"/>
      <c r="AM2130" s="56"/>
      <c r="AN2130" s="57">
        <f t="shared" si="345"/>
        <v>0</v>
      </c>
      <c r="AO2130" s="76">
        <f t="shared" si="347"/>
        <v>0</v>
      </c>
      <c r="AP2130" s="63" t="str">
        <f t="shared" si="348"/>
        <v/>
      </c>
      <c r="AQ2130" s="63" t="str">
        <f t="shared" si="349"/>
        <v/>
      </c>
      <c r="AR2130" s="63" t="str">
        <f t="shared" si="350"/>
        <v/>
      </c>
      <c r="AS2130" s="63" t="str">
        <f t="shared" si="351"/>
        <v/>
      </c>
      <c r="AT2130" s="78" t="str">
        <f t="shared" si="352"/>
        <v/>
      </c>
      <c r="AU2130" s="78" t="str">
        <f t="shared" si="353"/>
        <v/>
      </c>
      <c r="AV2130" s="64" t="str">
        <f ca="1">IFERROR(__xludf.DUMMYFUNCTION("IF(TRIM(AU2130)="""","""",AU2130/INDEX(FILTER(AT$3:AT2130,TRIM(AT$3:AT2130)&lt;&gt;""""),ROWS(FILTER(AT$3:AT2130,TRIM(AT$3:AT2130)&lt;&gt;"""")))-1)"),"")</f>
        <v/>
      </c>
      <c r="AW2130" s="65" t="e">
        <f t="shared" ca="1" si="346"/>
        <v>#VALUE!</v>
      </c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</row>
    <row r="2131" spans="1:68" ht="19" x14ac:dyDescent="0.25">
      <c r="A2131" s="5"/>
      <c r="B2131" s="5"/>
      <c r="C2131" s="5"/>
      <c r="D2131" s="5"/>
      <c r="E2131" s="5"/>
      <c r="F2131" s="5"/>
      <c r="G2131" s="5"/>
      <c r="H2131" s="6"/>
      <c r="I2131" s="5"/>
      <c r="J2131" s="88"/>
      <c r="K2131" s="88"/>
      <c r="L2131" s="88"/>
      <c r="M2131" s="88"/>
      <c r="N2131" s="88"/>
      <c r="O2131" s="88"/>
      <c r="P2131" s="88"/>
      <c r="Q2131" s="89"/>
      <c r="R2131" s="88"/>
      <c r="S2131" s="88"/>
      <c r="T2131" s="90"/>
      <c r="U2131" s="6"/>
      <c r="V2131" s="92"/>
      <c r="W2131" s="77"/>
      <c r="X2131" s="91"/>
      <c r="Y2131" s="77"/>
      <c r="Z2131" s="5"/>
      <c r="AA2131" s="5"/>
      <c r="AB2131" s="5"/>
      <c r="AC2131" s="5"/>
      <c r="AD2131" s="5"/>
      <c r="AE2131" s="5"/>
      <c r="AF2131" s="5"/>
      <c r="AG2131" s="5"/>
      <c r="AH2131" s="6"/>
      <c r="AI2131" s="92"/>
      <c r="AJ2131" s="93"/>
      <c r="AK2131" s="94"/>
      <c r="AL2131" s="95"/>
      <c r="AM2131" s="56"/>
      <c r="AN2131" s="57">
        <f t="shared" si="345"/>
        <v>0</v>
      </c>
      <c r="AO2131" s="76">
        <f t="shared" si="347"/>
        <v>0</v>
      </c>
      <c r="AP2131" s="63" t="str">
        <f t="shared" si="348"/>
        <v/>
      </c>
      <c r="AQ2131" s="63" t="str">
        <f t="shared" si="349"/>
        <v/>
      </c>
      <c r="AR2131" s="63" t="str">
        <f t="shared" si="350"/>
        <v/>
      </c>
      <c r="AS2131" s="63" t="str">
        <f t="shared" si="351"/>
        <v/>
      </c>
      <c r="AT2131" s="78" t="str">
        <f t="shared" si="352"/>
        <v/>
      </c>
      <c r="AU2131" s="78" t="str">
        <f t="shared" si="353"/>
        <v/>
      </c>
      <c r="AV2131" s="64" t="str">
        <f ca="1">IFERROR(__xludf.DUMMYFUNCTION("IF(TRIM(AU2131)="""","""",AU2131/INDEX(FILTER(AT$3:AT2131,TRIM(AT$3:AT2131)&lt;&gt;""""),ROWS(FILTER(AT$3:AT2131,TRIM(AT$3:AT2131)&lt;&gt;"""")))-1)"),"")</f>
        <v/>
      </c>
      <c r="AW2131" s="65" t="e">
        <f t="shared" ca="1" si="346"/>
        <v>#VALUE!</v>
      </c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</row>
    <row r="2132" spans="1:68" ht="19" x14ac:dyDescent="0.25">
      <c r="A2132" s="5"/>
      <c r="B2132" s="5"/>
      <c r="C2132" s="5"/>
      <c r="D2132" s="5"/>
      <c r="E2132" s="5"/>
      <c r="F2132" s="5"/>
      <c r="G2132" s="5"/>
      <c r="H2132" s="6"/>
      <c r="I2132" s="5"/>
      <c r="J2132" s="88"/>
      <c r="K2132" s="88"/>
      <c r="L2132" s="88"/>
      <c r="M2132" s="88"/>
      <c r="N2132" s="88"/>
      <c r="O2132" s="88"/>
      <c r="P2132" s="88"/>
      <c r="Q2132" s="89"/>
      <c r="R2132" s="88"/>
      <c r="S2132" s="88"/>
      <c r="T2132" s="90"/>
      <c r="U2132" s="6"/>
      <c r="V2132" s="92"/>
      <c r="W2132" s="77"/>
      <c r="X2132" s="91"/>
      <c r="Y2132" s="77"/>
      <c r="Z2132" s="5"/>
      <c r="AA2132" s="5"/>
      <c r="AB2132" s="5"/>
      <c r="AC2132" s="5"/>
      <c r="AD2132" s="5"/>
      <c r="AE2132" s="5"/>
      <c r="AF2132" s="5"/>
      <c r="AG2132" s="5"/>
      <c r="AH2132" s="6"/>
      <c r="AI2132" s="92"/>
      <c r="AJ2132" s="93"/>
      <c r="AK2132" s="94"/>
      <c r="AL2132" s="95"/>
      <c r="AM2132" s="56"/>
      <c r="AN2132" s="57">
        <f t="shared" si="345"/>
        <v>0</v>
      </c>
      <c r="AO2132" s="76">
        <f t="shared" si="347"/>
        <v>0</v>
      </c>
      <c r="AP2132" s="63" t="str">
        <f t="shared" si="348"/>
        <v/>
      </c>
      <c r="AQ2132" s="63" t="str">
        <f t="shared" si="349"/>
        <v/>
      </c>
      <c r="AR2132" s="63" t="str">
        <f t="shared" si="350"/>
        <v/>
      </c>
      <c r="AS2132" s="63" t="str">
        <f t="shared" si="351"/>
        <v/>
      </c>
      <c r="AT2132" s="78" t="str">
        <f t="shared" si="352"/>
        <v/>
      </c>
      <c r="AU2132" s="78" t="str">
        <f t="shared" si="353"/>
        <v/>
      </c>
      <c r="AV2132" s="64" t="str">
        <f ca="1">IFERROR(__xludf.DUMMYFUNCTION("IF(TRIM(AU2132)="""","""",AU2132/INDEX(FILTER(AT$3:AT2132,TRIM(AT$3:AT2132)&lt;&gt;""""),ROWS(FILTER(AT$3:AT2132,TRIM(AT$3:AT2132)&lt;&gt;"""")))-1)"),"")</f>
        <v/>
      </c>
      <c r="AW2132" s="65" t="e">
        <f t="shared" ca="1" si="346"/>
        <v>#VALUE!</v>
      </c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</row>
    <row r="2133" spans="1:68" ht="19" x14ac:dyDescent="0.25">
      <c r="A2133" s="5"/>
      <c r="B2133" s="5"/>
      <c r="C2133" s="5"/>
      <c r="D2133" s="5"/>
      <c r="E2133" s="5"/>
      <c r="F2133" s="5"/>
      <c r="G2133" s="5"/>
      <c r="H2133" s="6"/>
      <c r="I2133" s="5"/>
      <c r="J2133" s="88"/>
      <c r="K2133" s="88"/>
      <c r="L2133" s="88"/>
      <c r="M2133" s="88"/>
      <c r="N2133" s="88"/>
      <c r="O2133" s="88"/>
      <c r="P2133" s="88"/>
      <c r="Q2133" s="89"/>
      <c r="R2133" s="88"/>
      <c r="S2133" s="88"/>
      <c r="T2133" s="90"/>
      <c r="U2133" s="6"/>
      <c r="V2133" s="92"/>
      <c r="W2133" s="77"/>
      <c r="X2133" s="91"/>
      <c r="Y2133" s="77"/>
      <c r="Z2133" s="5"/>
      <c r="AA2133" s="5"/>
      <c r="AB2133" s="5"/>
      <c r="AC2133" s="5"/>
      <c r="AD2133" s="5"/>
      <c r="AE2133" s="5"/>
      <c r="AF2133" s="5"/>
      <c r="AG2133" s="5"/>
      <c r="AH2133" s="6"/>
      <c r="AI2133" s="92"/>
      <c r="AJ2133" s="93"/>
      <c r="AK2133" s="94"/>
      <c r="AL2133" s="95"/>
      <c r="AM2133" s="56"/>
      <c r="AN2133" s="57">
        <f t="shared" si="345"/>
        <v>0</v>
      </c>
      <c r="AO2133" s="76">
        <f t="shared" si="347"/>
        <v>0</v>
      </c>
      <c r="AP2133" s="63" t="str">
        <f t="shared" si="348"/>
        <v/>
      </c>
      <c r="AQ2133" s="63" t="str">
        <f t="shared" si="349"/>
        <v/>
      </c>
      <c r="AR2133" s="63" t="str">
        <f t="shared" si="350"/>
        <v/>
      </c>
      <c r="AS2133" s="63" t="str">
        <f t="shared" si="351"/>
        <v/>
      </c>
      <c r="AT2133" s="78" t="str">
        <f t="shared" si="352"/>
        <v/>
      </c>
      <c r="AU2133" s="78" t="str">
        <f t="shared" si="353"/>
        <v/>
      </c>
      <c r="AV2133" s="64" t="str">
        <f ca="1">IFERROR(__xludf.DUMMYFUNCTION("IF(TRIM(AU2133)="""","""",AU2133/INDEX(FILTER(AT$3:AT2133,TRIM(AT$3:AT2133)&lt;&gt;""""),ROWS(FILTER(AT$3:AT2133,TRIM(AT$3:AT2133)&lt;&gt;"""")))-1)"),"")</f>
        <v/>
      </c>
      <c r="AW2133" s="65" t="e">
        <f t="shared" ca="1" si="346"/>
        <v>#VALUE!</v>
      </c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</row>
    <row r="2134" spans="1:68" ht="19" x14ac:dyDescent="0.25">
      <c r="A2134" s="5"/>
      <c r="B2134" s="5"/>
      <c r="C2134" s="5"/>
      <c r="D2134" s="5"/>
      <c r="E2134" s="5"/>
      <c r="F2134" s="5"/>
      <c r="G2134" s="5"/>
      <c r="H2134" s="6"/>
      <c r="I2134" s="5"/>
      <c r="J2134" s="88"/>
      <c r="K2134" s="88"/>
      <c r="L2134" s="88"/>
      <c r="M2134" s="88"/>
      <c r="N2134" s="88"/>
      <c r="O2134" s="88"/>
      <c r="P2134" s="88"/>
      <c r="Q2134" s="89"/>
      <c r="R2134" s="88"/>
      <c r="S2134" s="88"/>
      <c r="T2134" s="90"/>
      <c r="U2134" s="6"/>
      <c r="V2134" s="92"/>
      <c r="W2134" s="77"/>
      <c r="X2134" s="91"/>
      <c r="Y2134" s="77"/>
      <c r="Z2134" s="5"/>
      <c r="AA2134" s="5"/>
      <c r="AB2134" s="5"/>
      <c r="AC2134" s="5"/>
      <c r="AD2134" s="5"/>
      <c r="AE2134" s="5"/>
      <c r="AF2134" s="5"/>
      <c r="AG2134" s="5"/>
      <c r="AH2134" s="6"/>
      <c r="AI2134" s="92"/>
      <c r="AJ2134" s="93"/>
      <c r="AK2134" s="94"/>
      <c r="AL2134" s="95"/>
      <c r="AM2134" s="56"/>
      <c r="AN2134" s="57">
        <f t="shared" si="345"/>
        <v>0</v>
      </c>
      <c r="AO2134" s="76">
        <f t="shared" si="347"/>
        <v>0</v>
      </c>
      <c r="AP2134" s="63" t="str">
        <f t="shared" si="348"/>
        <v/>
      </c>
      <c r="AQ2134" s="63" t="str">
        <f t="shared" si="349"/>
        <v/>
      </c>
      <c r="AR2134" s="63" t="str">
        <f t="shared" si="350"/>
        <v/>
      </c>
      <c r="AS2134" s="63" t="str">
        <f t="shared" si="351"/>
        <v/>
      </c>
      <c r="AT2134" s="78" t="str">
        <f t="shared" si="352"/>
        <v/>
      </c>
      <c r="AU2134" s="78" t="str">
        <f t="shared" si="353"/>
        <v/>
      </c>
      <c r="AV2134" s="64" t="str">
        <f ca="1">IFERROR(__xludf.DUMMYFUNCTION("IF(TRIM(AU2134)="""","""",AU2134/INDEX(FILTER(AT$3:AT2134,TRIM(AT$3:AT2134)&lt;&gt;""""),ROWS(FILTER(AT$3:AT2134,TRIM(AT$3:AT2134)&lt;&gt;"""")))-1)"),"")</f>
        <v/>
      </c>
      <c r="AW2134" s="65" t="e">
        <f t="shared" ca="1" si="346"/>
        <v>#VALUE!</v>
      </c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</row>
    <row r="2135" spans="1:68" ht="19" x14ac:dyDescent="0.25">
      <c r="A2135" s="5"/>
      <c r="B2135" s="5"/>
      <c r="C2135" s="5"/>
      <c r="D2135" s="5"/>
      <c r="E2135" s="5"/>
      <c r="F2135" s="5"/>
      <c r="G2135" s="5"/>
      <c r="H2135" s="6"/>
      <c r="I2135" s="5"/>
      <c r="J2135" s="88"/>
      <c r="K2135" s="88"/>
      <c r="L2135" s="88"/>
      <c r="M2135" s="88"/>
      <c r="N2135" s="88"/>
      <c r="O2135" s="88"/>
      <c r="P2135" s="88"/>
      <c r="Q2135" s="89"/>
      <c r="R2135" s="88"/>
      <c r="S2135" s="88"/>
      <c r="T2135" s="90"/>
      <c r="U2135" s="6"/>
      <c r="V2135" s="92"/>
      <c r="W2135" s="77"/>
      <c r="X2135" s="91"/>
      <c r="Y2135" s="77"/>
      <c r="Z2135" s="5"/>
      <c r="AA2135" s="5"/>
      <c r="AB2135" s="5"/>
      <c r="AC2135" s="5"/>
      <c r="AD2135" s="5"/>
      <c r="AE2135" s="5"/>
      <c r="AF2135" s="5"/>
      <c r="AG2135" s="5"/>
      <c r="AH2135" s="6"/>
      <c r="AI2135" s="92"/>
      <c r="AJ2135" s="93"/>
      <c r="AK2135" s="94"/>
      <c r="AL2135" s="95"/>
      <c r="AM2135" s="56"/>
      <c r="AN2135" s="57">
        <f t="shared" si="345"/>
        <v>0</v>
      </c>
      <c r="AO2135" s="76">
        <f t="shared" si="347"/>
        <v>0</v>
      </c>
      <c r="AP2135" s="63" t="str">
        <f t="shared" si="348"/>
        <v/>
      </c>
      <c r="AQ2135" s="63" t="str">
        <f t="shared" si="349"/>
        <v/>
      </c>
      <c r="AR2135" s="63" t="str">
        <f t="shared" si="350"/>
        <v/>
      </c>
      <c r="AS2135" s="63" t="str">
        <f t="shared" si="351"/>
        <v/>
      </c>
      <c r="AT2135" s="78" t="str">
        <f t="shared" si="352"/>
        <v/>
      </c>
      <c r="AU2135" s="78" t="str">
        <f t="shared" si="353"/>
        <v/>
      </c>
      <c r="AV2135" s="64" t="str">
        <f ca="1">IFERROR(__xludf.DUMMYFUNCTION("IF(TRIM(AU2135)="""","""",AU2135/INDEX(FILTER(AT$3:AT2135,TRIM(AT$3:AT2135)&lt;&gt;""""),ROWS(FILTER(AT$3:AT2135,TRIM(AT$3:AT2135)&lt;&gt;"""")))-1)"),"")</f>
        <v/>
      </c>
      <c r="AW2135" s="65" t="e">
        <f t="shared" ca="1" si="346"/>
        <v>#VALUE!</v>
      </c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</row>
    <row r="2136" spans="1:68" ht="19" x14ac:dyDescent="0.25">
      <c r="A2136" s="5"/>
      <c r="B2136" s="5"/>
      <c r="C2136" s="5"/>
      <c r="D2136" s="5"/>
      <c r="E2136" s="5"/>
      <c r="F2136" s="5"/>
      <c r="G2136" s="5"/>
      <c r="H2136" s="6"/>
      <c r="I2136" s="5"/>
      <c r="J2136" s="88"/>
      <c r="K2136" s="88"/>
      <c r="L2136" s="88"/>
      <c r="M2136" s="88"/>
      <c r="N2136" s="88"/>
      <c r="O2136" s="88"/>
      <c r="P2136" s="88"/>
      <c r="Q2136" s="89"/>
      <c r="R2136" s="88"/>
      <c r="S2136" s="88"/>
      <c r="T2136" s="90"/>
      <c r="U2136" s="6"/>
      <c r="V2136" s="92"/>
      <c r="W2136" s="77"/>
      <c r="X2136" s="91"/>
      <c r="Y2136" s="77"/>
      <c r="Z2136" s="5"/>
      <c r="AA2136" s="5"/>
      <c r="AB2136" s="5"/>
      <c r="AC2136" s="5"/>
      <c r="AD2136" s="5"/>
      <c r="AE2136" s="5"/>
      <c r="AF2136" s="5"/>
      <c r="AG2136" s="5"/>
      <c r="AH2136" s="6"/>
      <c r="AI2136" s="92"/>
      <c r="AJ2136" s="93"/>
      <c r="AK2136" s="94"/>
      <c r="AL2136" s="95"/>
      <c r="AM2136" s="56"/>
      <c r="AN2136" s="57">
        <f t="shared" si="345"/>
        <v>0</v>
      </c>
      <c r="AO2136" s="76">
        <f t="shared" si="347"/>
        <v>0</v>
      </c>
      <c r="AP2136" s="63" t="str">
        <f t="shared" si="348"/>
        <v/>
      </c>
      <c r="AQ2136" s="63" t="str">
        <f t="shared" si="349"/>
        <v/>
      </c>
      <c r="AR2136" s="63" t="str">
        <f t="shared" si="350"/>
        <v/>
      </c>
      <c r="AS2136" s="63" t="str">
        <f t="shared" si="351"/>
        <v/>
      </c>
      <c r="AT2136" s="78" t="str">
        <f t="shared" si="352"/>
        <v/>
      </c>
      <c r="AU2136" s="78" t="str">
        <f t="shared" si="353"/>
        <v/>
      </c>
      <c r="AV2136" s="64" t="str">
        <f ca="1">IFERROR(__xludf.DUMMYFUNCTION("IF(TRIM(AU2136)="""","""",AU2136/INDEX(FILTER(AT$3:AT2136,TRIM(AT$3:AT2136)&lt;&gt;""""),ROWS(FILTER(AT$3:AT2136,TRIM(AT$3:AT2136)&lt;&gt;"""")))-1)"),"")</f>
        <v/>
      </c>
      <c r="AW2136" s="65" t="e">
        <f t="shared" ca="1" si="346"/>
        <v>#VALUE!</v>
      </c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</row>
    <row r="2137" spans="1:68" ht="19" x14ac:dyDescent="0.25">
      <c r="A2137" s="5"/>
      <c r="B2137" s="5"/>
      <c r="C2137" s="5"/>
      <c r="D2137" s="5"/>
      <c r="E2137" s="5"/>
      <c r="F2137" s="5"/>
      <c r="G2137" s="5"/>
      <c r="H2137" s="6"/>
      <c r="I2137" s="5"/>
      <c r="J2137" s="88"/>
      <c r="K2137" s="88"/>
      <c r="L2137" s="88"/>
      <c r="M2137" s="88"/>
      <c r="N2137" s="88"/>
      <c r="O2137" s="88"/>
      <c r="P2137" s="88"/>
      <c r="Q2137" s="89"/>
      <c r="R2137" s="88"/>
      <c r="S2137" s="88"/>
      <c r="T2137" s="90"/>
      <c r="U2137" s="6"/>
      <c r="V2137" s="92"/>
      <c r="W2137" s="77"/>
      <c r="X2137" s="91"/>
      <c r="Y2137" s="77"/>
      <c r="Z2137" s="5"/>
      <c r="AA2137" s="5"/>
      <c r="AB2137" s="5"/>
      <c r="AC2137" s="5"/>
      <c r="AD2137" s="5"/>
      <c r="AE2137" s="5"/>
      <c r="AF2137" s="5"/>
      <c r="AG2137" s="5"/>
      <c r="AH2137" s="6"/>
      <c r="AI2137" s="92"/>
      <c r="AJ2137" s="93"/>
      <c r="AK2137" s="94"/>
      <c r="AL2137" s="95"/>
      <c r="AM2137" s="56"/>
      <c r="AN2137" s="57">
        <f t="shared" si="345"/>
        <v>0</v>
      </c>
      <c r="AO2137" s="76">
        <f t="shared" si="347"/>
        <v>0</v>
      </c>
      <c r="AP2137" s="63" t="str">
        <f t="shared" si="348"/>
        <v/>
      </c>
      <c r="AQ2137" s="63" t="str">
        <f t="shared" si="349"/>
        <v/>
      </c>
      <c r="AR2137" s="63" t="str">
        <f t="shared" si="350"/>
        <v/>
      </c>
      <c r="AS2137" s="63" t="str">
        <f t="shared" si="351"/>
        <v/>
      </c>
      <c r="AT2137" s="78" t="str">
        <f t="shared" si="352"/>
        <v/>
      </c>
      <c r="AU2137" s="78" t="str">
        <f t="shared" si="353"/>
        <v/>
      </c>
      <c r="AV2137" s="64" t="str">
        <f ca="1">IFERROR(__xludf.DUMMYFUNCTION("IF(TRIM(AU2137)="""","""",AU2137/INDEX(FILTER(AT$3:AT2137,TRIM(AT$3:AT2137)&lt;&gt;""""),ROWS(FILTER(AT$3:AT2137,TRIM(AT$3:AT2137)&lt;&gt;"""")))-1)"),"")</f>
        <v/>
      </c>
      <c r="AW2137" s="65" t="e">
        <f t="shared" ca="1" si="346"/>
        <v>#VALUE!</v>
      </c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</row>
    <row r="2138" spans="1:68" ht="19" x14ac:dyDescent="0.25">
      <c r="A2138" s="5"/>
      <c r="B2138" s="5"/>
      <c r="C2138" s="5"/>
      <c r="D2138" s="5"/>
      <c r="E2138" s="5"/>
      <c r="F2138" s="5"/>
      <c r="G2138" s="5"/>
      <c r="H2138" s="6"/>
      <c r="I2138" s="5"/>
      <c r="J2138" s="88"/>
      <c r="K2138" s="88"/>
      <c r="L2138" s="88"/>
      <c r="M2138" s="88"/>
      <c r="N2138" s="88"/>
      <c r="O2138" s="88"/>
      <c r="P2138" s="88"/>
      <c r="Q2138" s="89"/>
      <c r="R2138" s="88"/>
      <c r="S2138" s="88"/>
      <c r="T2138" s="90"/>
      <c r="U2138" s="6"/>
      <c r="V2138" s="92"/>
      <c r="W2138" s="77"/>
      <c r="X2138" s="91"/>
      <c r="Y2138" s="77"/>
      <c r="Z2138" s="5"/>
      <c r="AA2138" s="5"/>
      <c r="AB2138" s="5"/>
      <c r="AC2138" s="5"/>
      <c r="AD2138" s="5"/>
      <c r="AE2138" s="5"/>
      <c r="AF2138" s="5"/>
      <c r="AG2138" s="5"/>
      <c r="AH2138" s="6"/>
      <c r="AI2138" s="92"/>
      <c r="AJ2138" s="93"/>
      <c r="AK2138" s="94"/>
      <c r="AL2138" s="95"/>
      <c r="AM2138" s="56"/>
      <c r="AN2138" s="57">
        <f t="shared" si="345"/>
        <v>0</v>
      </c>
      <c r="AO2138" s="76">
        <f t="shared" si="347"/>
        <v>0</v>
      </c>
      <c r="AP2138" s="63" t="str">
        <f t="shared" si="348"/>
        <v/>
      </c>
      <c r="AQ2138" s="63" t="str">
        <f t="shared" si="349"/>
        <v/>
      </c>
      <c r="AR2138" s="63" t="str">
        <f t="shared" si="350"/>
        <v/>
      </c>
      <c r="AS2138" s="63" t="str">
        <f t="shared" si="351"/>
        <v/>
      </c>
      <c r="AT2138" s="78" t="str">
        <f t="shared" si="352"/>
        <v/>
      </c>
      <c r="AU2138" s="78" t="str">
        <f t="shared" si="353"/>
        <v/>
      </c>
      <c r="AV2138" s="64" t="str">
        <f ca="1">IFERROR(__xludf.DUMMYFUNCTION("IF(TRIM(AU2138)="""","""",AU2138/INDEX(FILTER(AT$3:AT2138,TRIM(AT$3:AT2138)&lt;&gt;""""),ROWS(FILTER(AT$3:AT2138,TRIM(AT$3:AT2138)&lt;&gt;"""")))-1)"),"")</f>
        <v/>
      </c>
      <c r="AW2138" s="65" t="e">
        <f t="shared" ca="1" si="346"/>
        <v>#VALUE!</v>
      </c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</row>
    <row r="2139" spans="1:68" ht="19" x14ac:dyDescent="0.25">
      <c r="A2139" s="5"/>
      <c r="B2139" s="5"/>
      <c r="C2139" s="5"/>
      <c r="D2139" s="5"/>
      <c r="E2139" s="5"/>
      <c r="F2139" s="5"/>
      <c r="G2139" s="5"/>
      <c r="H2139" s="6"/>
      <c r="I2139" s="5"/>
      <c r="J2139" s="88"/>
      <c r="K2139" s="88"/>
      <c r="L2139" s="88"/>
      <c r="M2139" s="88"/>
      <c r="N2139" s="88"/>
      <c r="O2139" s="88"/>
      <c r="P2139" s="88"/>
      <c r="Q2139" s="89"/>
      <c r="R2139" s="88"/>
      <c r="S2139" s="88"/>
      <c r="T2139" s="90"/>
      <c r="U2139" s="6"/>
      <c r="V2139" s="92"/>
      <c r="W2139" s="77"/>
      <c r="X2139" s="91"/>
      <c r="Y2139" s="77"/>
      <c r="Z2139" s="5"/>
      <c r="AA2139" s="5"/>
      <c r="AB2139" s="5"/>
      <c r="AC2139" s="5"/>
      <c r="AD2139" s="5"/>
      <c r="AE2139" s="5"/>
      <c r="AF2139" s="5"/>
      <c r="AG2139" s="5"/>
      <c r="AH2139" s="6"/>
      <c r="AI2139" s="92"/>
      <c r="AJ2139" s="93"/>
      <c r="AK2139" s="94"/>
      <c r="AL2139" s="95"/>
      <c r="AM2139" s="56"/>
      <c r="AN2139" s="57">
        <f t="shared" si="345"/>
        <v>0</v>
      </c>
      <c r="AO2139" s="76">
        <f t="shared" si="347"/>
        <v>0</v>
      </c>
      <c r="AP2139" s="63" t="str">
        <f t="shared" si="348"/>
        <v/>
      </c>
      <c r="AQ2139" s="63" t="str">
        <f t="shared" si="349"/>
        <v/>
      </c>
      <c r="AR2139" s="63" t="str">
        <f t="shared" si="350"/>
        <v/>
      </c>
      <c r="AS2139" s="63" t="str">
        <f t="shared" si="351"/>
        <v/>
      </c>
      <c r="AT2139" s="78" t="str">
        <f t="shared" si="352"/>
        <v/>
      </c>
      <c r="AU2139" s="78" t="str">
        <f t="shared" si="353"/>
        <v/>
      </c>
      <c r="AV2139" s="64" t="str">
        <f ca="1">IFERROR(__xludf.DUMMYFUNCTION("IF(TRIM(AU2139)="""","""",AU2139/INDEX(FILTER(AT$3:AT2139,TRIM(AT$3:AT2139)&lt;&gt;""""),ROWS(FILTER(AT$3:AT2139,TRIM(AT$3:AT2139)&lt;&gt;"""")))-1)"),"")</f>
        <v/>
      </c>
      <c r="AW2139" s="65" t="e">
        <f t="shared" ca="1" si="346"/>
        <v>#VALUE!</v>
      </c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</row>
    <row r="2140" spans="1:68" ht="19" x14ac:dyDescent="0.25">
      <c r="A2140" s="5"/>
      <c r="B2140" s="5"/>
      <c r="C2140" s="5"/>
      <c r="D2140" s="5"/>
      <c r="E2140" s="5"/>
      <c r="F2140" s="5"/>
      <c r="G2140" s="5"/>
      <c r="H2140" s="6"/>
      <c r="I2140" s="5"/>
      <c r="J2140" s="88"/>
      <c r="K2140" s="88"/>
      <c r="L2140" s="88"/>
      <c r="M2140" s="88"/>
      <c r="N2140" s="88"/>
      <c r="O2140" s="88"/>
      <c r="P2140" s="88"/>
      <c r="Q2140" s="89"/>
      <c r="R2140" s="88"/>
      <c r="S2140" s="88"/>
      <c r="T2140" s="90"/>
      <c r="U2140" s="6"/>
      <c r="V2140" s="92"/>
      <c r="W2140" s="77"/>
      <c r="X2140" s="91"/>
      <c r="Y2140" s="77"/>
      <c r="Z2140" s="5"/>
      <c r="AA2140" s="5"/>
      <c r="AB2140" s="5"/>
      <c r="AC2140" s="5"/>
      <c r="AD2140" s="5"/>
      <c r="AE2140" s="5"/>
      <c r="AF2140" s="5"/>
      <c r="AG2140" s="5"/>
      <c r="AH2140" s="6"/>
      <c r="AI2140" s="92"/>
      <c r="AJ2140" s="93"/>
      <c r="AK2140" s="94"/>
      <c r="AL2140" s="95"/>
      <c r="AM2140" s="56"/>
      <c r="AN2140" s="57">
        <f t="shared" si="345"/>
        <v>0</v>
      </c>
      <c r="AO2140" s="76">
        <f t="shared" si="347"/>
        <v>0</v>
      </c>
      <c r="AP2140" s="63" t="str">
        <f t="shared" si="348"/>
        <v/>
      </c>
      <c r="AQ2140" s="63" t="str">
        <f t="shared" si="349"/>
        <v/>
      </c>
      <c r="AR2140" s="63" t="str">
        <f t="shared" si="350"/>
        <v/>
      </c>
      <c r="AS2140" s="63" t="str">
        <f t="shared" si="351"/>
        <v/>
      </c>
      <c r="AT2140" s="78" t="str">
        <f t="shared" si="352"/>
        <v/>
      </c>
      <c r="AU2140" s="78" t="str">
        <f t="shared" si="353"/>
        <v/>
      </c>
      <c r="AV2140" s="64" t="str">
        <f ca="1">IFERROR(__xludf.DUMMYFUNCTION("IF(TRIM(AU2140)="""","""",AU2140/INDEX(FILTER(AT$3:AT2140,TRIM(AT$3:AT2140)&lt;&gt;""""),ROWS(FILTER(AT$3:AT2140,TRIM(AT$3:AT2140)&lt;&gt;"""")))-1)"),"")</f>
        <v/>
      </c>
      <c r="AW2140" s="65" t="e">
        <f t="shared" ca="1" si="346"/>
        <v>#VALUE!</v>
      </c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</row>
    <row r="2141" spans="1:68" ht="19" x14ac:dyDescent="0.25">
      <c r="A2141" s="5"/>
      <c r="B2141" s="5"/>
      <c r="C2141" s="5"/>
      <c r="D2141" s="5"/>
      <c r="E2141" s="5"/>
      <c r="F2141" s="5"/>
      <c r="G2141" s="5"/>
      <c r="H2141" s="6"/>
      <c r="I2141" s="5"/>
      <c r="J2141" s="88"/>
      <c r="K2141" s="88"/>
      <c r="L2141" s="88"/>
      <c r="M2141" s="88"/>
      <c r="N2141" s="88"/>
      <c r="O2141" s="88"/>
      <c r="P2141" s="88"/>
      <c r="Q2141" s="89"/>
      <c r="R2141" s="88"/>
      <c r="S2141" s="88"/>
      <c r="T2141" s="90"/>
      <c r="U2141" s="6"/>
      <c r="V2141" s="92"/>
      <c r="W2141" s="77"/>
      <c r="X2141" s="91"/>
      <c r="Y2141" s="77"/>
      <c r="Z2141" s="5"/>
      <c r="AA2141" s="5"/>
      <c r="AB2141" s="5"/>
      <c r="AC2141" s="5"/>
      <c r="AD2141" s="5"/>
      <c r="AE2141" s="5"/>
      <c r="AF2141" s="5"/>
      <c r="AG2141" s="5"/>
      <c r="AH2141" s="6"/>
      <c r="AI2141" s="92"/>
      <c r="AJ2141" s="93"/>
      <c r="AK2141" s="94"/>
      <c r="AL2141" s="95"/>
      <c r="AM2141" s="56"/>
      <c r="AN2141" s="57">
        <f t="shared" si="345"/>
        <v>0</v>
      </c>
      <c r="AO2141" s="76">
        <f t="shared" si="347"/>
        <v>0</v>
      </c>
      <c r="AP2141" s="63" t="str">
        <f t="shared" si="348"/>
        <v/>
      </c>
      <c r="AQ2141" s="63" t="str">
        <f t="shared" si="349"/>
        <v/>
      </c>
      <c r="AR2141" s="63" t="str">
        <f t="shared" si="350"/>
        <v/>
      </c>
      <c r="AS2141" s="63" t="str">
        <f t="shared" si="351"/>
        <v/>
      </c>
      <c r="AT2141" s="78" t="str">
        <f t="shared" si="352"/>
        <v/>
      </c>
      <c r="AU2141" s="78" t="str">
        <f t="shared" si="353"/>
        <v/>
      </c>
      <c r="AV2141" s="64" t="str">
        <f ca="1">IFERROR(__xludf.DUMMYFUNCTION("IF(TRIM(AU2141)="""","""",AU2141/INDEX(FILTER(AT$3:AT2141,TRIM(AT$3:AT2141)&lt;&gt;""""),ROWS(FILTER(AT$3:AT2141,TRIM(AT$3:AT2141)&lt;&gt;"""")))-1)"),"")</f>
        <v/>
      </c>
      <c r="AW2141" s="65" t="e">
        <f t="shared" ca="1" si="346"/>
        <v>#VALUE!</v>
      </c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</row>
    <row r="2142" spans="1:68" ht="19" x14ac:dyDescent="0.25">
      <c r="A2142" s="5"/>
      <c r="B2142" s="5"/>
      <c r="C2142" s="5"/>
      <c r="D2142" s="5"/>
      <c r="E2142" s="5"/>
      <c r="F2142" s="5"/>
      <c r="G2142" s="5"/>
      <c r="H2142" s="6"/>
      <c r="I2142" s="5"/>
      <c r="J2142" s="88"/>
      <c r="K2142" s="88"/>
      <c r="L2142" s="88"/>
      <c r="M2142" s="88"/>
      <c r="N2142" s="88"/>
      <c r="O2142" s="88"/>
      <c r="P2142" s="88"/>
      <c r="Q2142" s="89"/>
      <c r="R2142" s="88"/>
      <c r="S2142" s="88"/>
      <c r="T2142" s="90"/>
      <c r="U2142" s="6"/>
      <c r="V2142" s="92"/>
      <c r="W2142" s="77"/>
      <c r="X2142" s="91"/>
      <c r="Y2142" s="77"/>
      <c r="Z2142" s="5"/>
      <c r="AA2142" s="5"/>
      <c r="AB2142" s="5"/>
      <c r="AC2142" s="5"/>
      <c r="AD2142" s="5"/>
      <c r="AE2142" s="5"/>
      <c r="AF2142" s="5"/>
      <c r="AG2142" s="5"/>
      <c r="AH2142" s="6"/>
      <c r="AI2142" s="92"/>
      <c r="AJ2142" s="93"/>
      <c r="AK2142" s="94"/>
      <c r="AL2142" s="95"/>
      <c r="AM2142" s="56"/>
      <c r="AN2142" s="57">
        <f t="shared" si="345"/>
        <v>0</v>
      </c>
      <c r="AO2142" s="76">
        <f t="shared" si="347"/>
        <v>0</v>
      </c>
      <c r="AP2142" s="63" t="str">
        <f t="shared" si="348"/>
        <v/>
      </c>
      <c r="AQ2142" s="63" t="str">
        <f t="shared" si="349"/>
        <v/>
      </c>
      <c r="AR2142" s="63" t="str">
        <f t="shared" si="350"/>
        <v/>
      </c>
      <c r="AS2142" s="63" t="str">
        <f t="shared" si="351"/>
        <v/>
      </c>
      <c r="AT2142" s="78" t="str">
        <f t="shared" si="352"/>
        <v/>
      </c>
      <c r="AU2142" s="78" t="str">
        <f t="shared" si="353"/>
        <v/>
      </c>
      <c r="AV2142" s="64" t="str">
        <f ca="1">IFERROR(__xludf.DUMMYFUNCTION("IF(TRIM(AU2142)="""","""",AU2142/INDEX(FILTER(AT$3:AT2142,TRIM(AT$3:AT2142)&lt;&gt;""""),ROWS(FILTER(AT$3:AT2142,TRIM(AT$3:AT2142)&lt;&gt;"""")))-1)"),"")</f>
        <v/>
      </c>
      <c r="AW2142" s="65" t="e">
        <f t="shared" ca="1" si="346"/>
        <v>#VALUE!</v>
      </c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</row>
    <row r="2143" spans="1:68" ht="19" x14ac:dyDescent="0.25">
      <c r="A2143" s="5"/>
      <c r="B2143" s="5"/>
      <c r="C2143" s="5"/>
      <c r="D2143" s="5"/>
      <c r="E2143" s="5"/>
      <c r="F2143" s="5"/>
      <c r="G2143" s="5"/>
      <c r="H2143" s="6"/>
      <c r="I2143" s="5"/>
      <c r="J2143" s="88"/>
      <c r="K2143" s="88"/>
      <c r="L2143" s="88"/>
      <c r="M2143" s="88"/>
      <c r="N2143" s="88"/>
      <c r="O2143" s="88"/>
      <c r="P2143" s="88"/>
      <c r="Q2143" s="89"/>
      <c r="R2143" s="88"/>
      <c r="S2143" s="88"/>
      <c r="T2143" s="90"/>
      <c r="U2143" s="6"/>
      <c r="V2143" s="92"/>
      <c r="W2143" s="77"/>
      <c r="X2143" s="91"/>
      <c r="Y2143" s="77"/>
      <c r="Z2143" s="5"/>
      <c r="AA2143" s="5"/>
      <c r="AB2143" s="5"/>
      <c r="AC2143" s="5"/>
      <c r="AD2143" s="5"/>
      <c r="AE2143" s="5"/>
      <c r="AF2143" s="5"/>
      <c r="AG2143" s="5"/>
      <c r="AH2143" s="6"/>
      <c r="AI2143" s="92"/>
      <c r="AJ2143" s="93"/>
      <c r="AK2143" s="94"/>
      <c r="AL2143" s="95"/>
      <c r="AM2143" s="56"/>
      <c r="AN2143" s="57">
        <f t="shared" si="345"/>
        <v>0</v>
      </c>
      <c r="AO2143" s="76">
        <f t="shared" si="347"/>
        <v>0</v>
      </c>
      <c r="AP2143" s="63" t="str">
        <f t="shared" si="348"/>
        <v/>
      </c>
      <c r="AQ2143" s="63" t="str">
        <f t="shared" si="349"/>
        <v/>
      </c>
      <c r="AR2143" s="63" t="str">
        <f t="shared" si="350"/>
        <v/>
      </c>
      <c r="AS2143" s="63" t="str">
        <f t="shared" si="351"/>
        <v/>
      </c>
      <c r="AT2143" s="78" t="str">
        <f t="shared" si="352"/>
        <v/>
      </c>
      <c r="AU2143" s="78" t="str">
        <f t="shared" si="353"/>
        <v/>
      </c>
      <c r="AV2143" s="64" t="str">
        <f ca="1">IFERROR(__xludf.DUMMYFUNCTION("IF(TRIM(AU2143)="""","""",AU2143/INDEX(FILTER(AT$3:AT2143,TRIM(AT$3:AT2143)&lt;&gt;""""),ROWS(FILTER(AT$3:AT2143,TRIM(AT$3:AT2143)&lt;&gt;"""")))-1)"),"")</f>
        <v/>
      </c>
      <c r="AW2143" s="65" t="e">
        <f t="shared" ca="1" si="346"/>
        <v>#VALUE!</v>
      </c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</row>
    <row r="2144" spans="1:68" ht="19" x14ac:dyDescent="0.25">
      <c r="A2144" s="5"/>
      <c r="B2144" s="5"/>
      <c r="C2144" s="5"/>
      <c r="D2144" s="5"/>
      <c r="E2144" s="5"/>
      <c r="F2144" s="5"/>
      <c r="G2144" s="5"/>
      <c r="H2144" s="6"/>
      <c r="I2144" s="5"/>
      <c r="J2144" s="88"/>
      <c r="K2144" s="88"/>
      <c r="L2144" s="88"/>
      <c r="M2144" s="88"/>
      <c r="N2144" s="88"/>
      <c r="O2144" s="88"/>
      <c r="P2144" s="88"/>
      <c r="Q2144" s="89"/>
      <c r="R2144" s="88"/>
      <c r="S2144" s="88"/>
      <c r="T2144" s="90"/>
      <c r="U2144" s="6"/>
      <c r="V2144" s="92"/>
      <c r="W2144" s="77"/>
      <c r="X2144" s="91"/>
      <c r="Y2144" s="77"/>
      <c r="Z2144" s="5"/>
      <c r="AA2144" s="5"/>
      <c r="AB2144" s="5"/>
      <c r="AC2144" s="5"/>
      <c r="AD2144" s="5"/>
      <c r="AE2144" s="5"/>
      <c r="AF2144" s="5"/>
      <c r="AG2144" s="5"/>
      <c r="AH2144" s="6"/>
      <c r="AI2144" s="92"/>
      <c r="AJ2144" s="93"/>
      <c r="AK2144" s="94"/>
      <c r="AL2144" s="95"/>
      <c r="AM2144" s="56"/>
      <c r="AN2144" s="57">
        <f t="shared" si="345"/>
        <v>0</v>
      </c>
      <c r="AO2144" s="76">
        <f t="shared" si="347"/>
        <v>0</v>
      </c>
      <c r="AP2144" s="63" t="str">
        <f t="shared" si="348"/>
        <v/>
      </c>
      <c r="AQ2144" s="63" t="str">
        <f t="shared" si="349"/>
        <v/>
      </c>
      <c r="AR2144" s="63" t="str">
        <f t="shared" si="350"/>
        <v/>
      </c>
      <c r="AS2144" s="63" t="str">
        <f t="shared" si="351"/>
        <v/>
      </c>
      <c r="AT2144" s="78" t="str">
        <f t="shared" si="352"/>
        <v/>
      </c>
      <c r="AU2144" s="78" t="str">
        <f t="shared" si="353"/>
        <v/>
      </c>
      <c r="AV2144" s="64" t="str">
        <f ca="1">IFERROR(__xludf.DUMMYFUNCTION("IF(TRIM(AU2144)="""","""",AU2144/INDEX(FILTER(AT$3:AT2144,TRIM(AT$3:AT2144)&lt;&gt;""""),ROWS(FILTER(AT$3:AT2144,TRIM(AT$3:AT2144)&lt;&gt;"""")))-1)"),"")</f>
        <v/>
      </c>
      <c r="AW2144" s="65" t="e">
        <f t="shared" ca="1" si="346"/>
        <v>#VALUE!</v>
      </c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</row>
    <row r="2145" spans="1:68" ht="19" x14ac:dyDescent="0.25">
      <c r="A2145" s="5"/>
      <c r="B2145" s="5"/>
      <c r="C2145" s="5"/>
      <c r="D2145" s="5"/>
      <c r="E2145" s="5"/>
      <c r="F2145" s="5"/>
      <c r="G2145" s="5"/>
      <c r="H2145" s="6"/>
      <c r="I2145" s="5"/>
      <c r="J2145" s="88"/>
      <c r="K2145" s="88"/>
      <c r="L2145" s="88"/>
      <c r="M2145" s="88"/>
      <c r="N2145" s="88"/>
      <c r="O2145" s="88"/>
      <c r="P2145" s="88"/>
      <c r="Q2145" s="89"/>
      <c r="R2145" s="88"/>
      <c r="S2145" s="88"/>
      <c r="T2145" s="90"/>
      <c r="U2145" s="6"/>
      <c r="V2145" s="92"/>
      <c r="W2145" s="77"/>
      <c r="X2145" s="91"/>
      <c r="Y2145" s="77"/>
      <c r="Z2145" s="5"/>
      <c r="AA2145" s="5"/>
      <c r="AB2145" s="5"/>
      <c r="AC2145" s="5"/>
      <c r="AD2145" s="5"/>
      <c r="AE2145" s="5"/>
      <c r="AF2145" s="5"/>
      <c r="AG2145" s="5"/>
      <c r="AH2145" s="6"/>
      <c r="AI2145" s="92"/>
      <c r="AJ2145" s="93"/>
      <c r="AK2145" s="94"/>
      <c r="AL2145" s="95"/>
      <c r="AM2145" s="56"/>
      <c r="AN2145" s="57">
        <f t="shared" si="345"/>
        <v>0</v>
      </c>
      <c r="AO2145" s="76">
        <f t="shared" si="347"/>
        <v>0</v>
      </c>
      <c r="AP2145" s="63" t="str">
        <f t="shared" si="348"/>
        <v/>
      </c>
      <c r="AQ2145" s="63" t="str">
        <f t="shared" si="349"/>
        <v/>
      </c>
      <c r="AR2145" s="63" t="str">
        <f t="shared" si="350"/>
        <v/>
      </c>
      <c r="AS2145" s="63" t="str">
        <f t="shared" si="351"/>
        <v/>
      </c>
      <c r="AT2145" s="78" t="str">
        <f t="shared" si="352"/>
        <v/>
      </c>
      <c r="AU2145" s="78" t="str">
        <f t="shared" si="353"/>
        <v/>
      </c>
      <c r="AV2145" s="64" t="str">
        <f ca="1">IFERROR(__xludf.DUMMYFUNCTION("IF(TRIM(AU2145)="""","""",AU2145/INDEX(FILTER(AT$3:AT2145,TRIM(AT$3:AT2145)&lt;&gt;""""),ROWS(FILTER(AT$3:AT2145,TRIM(AT$3:AT2145)&lt;&gt;"""")))-1)"),"")</f>
        <v/>
      </c>
      <c r="AW2145" s="65" t="e">
        <f t="shared" ca="1" si="346"/>
        <v>#VALUE!</v>
      </c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</row>
    <row r="2146" spans="1:68" ht="19" x14ac:dyDescent="0.25">
      <c r="A2146" s="5"/>
      <c r="B2146" s="5"/>
      <c r="C2146" s="5"/>
      <c r="D2146" s="5"/>
      <c r="E2146" s="5"/>
      <c r="F2146" s="5"/>
      <c r="G2146" s="5"/>
      <c r="H2146" s="6"/>
      <c r="I2146" s="5"/>
      <c r="J2146" s="88"/>
      <c r="K2146" s="88"/>
      <c r="L2146" s="88"/>
      <c r="M2146" s="88"/>
      <c r="N2146" s="88"/>
      <c r="O2146" s="88"/>
      <c r="P2146" s="88"/>
      <c r="Q2146" s="89"/>
      <c r="R2146" s="88"/>
      <c r="S2146" s="88"/>
      <c r="T2146" s="90"/>
      <c r="U2146" s="6"/>
      <c r="V2146" s="92"/>
      <c r="W2146" s="77"/>
      <c r="X2146" s="91"/>
      <c r="Y2146" s="77"/>
      <c r="Z2146" s="5"/>
      <c r="AA2146" s="5"/>
      <c r="AB2146" s="5"/>
      <c r="AC2146" s="5"/>
      <c r="AD2146" s="5"/>
      <c r="AE2146" s="5"/>
      <c r="AF2146" s="5"/>
      <c r="AG2146" s="5"/>
      <c r="AH2146" s="6"/>
      <c r="AI2146" s="92"/>
      <c r="AJ2146" s="93"/>
      <c r="AK2146" s="94"/>
      <c r="AL2146" s="95"/>
      <c r="AM2146" s="56"/>
      <c r="AN2146" s="57">
        <f t="shared" si="345"/>
        <v>0</v>
      </c>
      <c r="AO2146" s="76">
        <f t="shared" si="347"/>
        <v>0</v>
      </c>
      <c r="AP2146" s="63" t="str">
        <f t="shared" si="348"/>
        <v/>
      </c>
      <c r="AQ2146" s="63" t="str">
        <f t="shared" si="349"/>
        <v/>
      </c>
      <c r="AR2146" s="63" t="str">
        <f t="shared" si="350"/>
        <v/>
      </c>
      <c r="AS2146" s="63" t="str">
        <f t="shared" si="351"/>
        <v/>
      </c>
      <c r="AT2146" s="78" t="str">
        <f t="shared" si="352"/>
        <v/>
      </c>
      <c r="AU2146" s="78" t="str">
        <f t="shared" si="353"/>
        <v/>
      </c>
      <c r="AV2146" s="64" t="str">
        <f ca="1">IFERROR(__xludf.DUMMYFUNCTION("IF(TRIM(AU2146)="""","""",AU2146/INDEX(FILTER(AT$3:AT2146,TRIM(AT$3:AT2146)&lt;&gt;""""),ROWS(FILTER(AT$3:AT2146,TRIM(AT$3:AT2146)&lt;&gt;"""")))-1)"),"")</f>
        <v/>
      </c>
      <c r="AW2146" s="65" t="e">
        <f t="shared" ca="1" si="346"/>
        <v>#VALUE!</v>
      </c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</row>
    <row r="2147" spans="1:68" ht="19" x14ac:dyDescent="0.25">
      <c r="A2147" s="5"/>
      <c r="B2147" s="5"/>
      <c r="C2147" s="5"/>
      <c r="D2147" s="5"/>
      <c r="E2147" s="5"/>
      <c r="F2147" s="5"/>
      <c r="G2147" s="5"/>
      <c r="H2147" s="6"/>
      <c r="I2147" s="5"/>
      <c r="J2147" s="88"/>
      <c r="K2147" s="88"/>
      <c r="L2147" s="88"/>
      <c r="M2147" s="88"/>
      <c r="N2147" s="88"/>
      <c r="O2147" s="88"/>
      <c r="P2147" s="88"/>
      <c r="Q2147" s="89"/>
      <c r="R2147" s="88"/>
      <c r="S2147" s="88"/>
      <c r="T2147" s="90"/>
      <c r="U2147" s="6"/>
      <c r="V2147" s="92"/>
      <c r="W2147" s="77"/>
      <c r="X2147" s="91"/>
      <c r="Y2147" s="77"/>
      <c r="Z2147" s="5"/>
      <c r="AA2147" s="5"/>
      <c r="AB2147" s="5"/>
      <c r="AC2147" s="5"/>
      <c r="AD2147" s="5"/>
      <c r="AE2147" s="5"/>
      <c r="AF2147" s="5"/>
      <c r="AG2147" s="5"/>
      <c r="AH2147" s="6"/>
      <c r="AI2147" s="92"/>
      <c r="AJ2147" s="93"/>
      <c r="AK2147" s="94"/>
      <c r="AL2147" s="95"/>
      <c r="AM2147" s="56"/>
      <c r="AN2147" s="57">
        <f t="shared" si="345"/>
        <v>0</v>
      </c>
      <c r="AO2147" s="76">
        <f t="shared" si="347"/>
        <v>0</v>
      </c>
      <c r="AP2147" s="63" t="str">
        <f t="shared" si="348"/>
        <v/>
      </c>
      <c r="AQ2147" s="63" t="str">
        <f t="shared" si="349"/>
        <v/>
      </c>
      <c r="AR2147" s="63" t="str">
        <f t="shared" si="350"/>
        <v/>
      </c>
      <c r="AS2147" s="63" t="str">
        <f t="shared" si="351"/>
        <v/>
      </c>
      <c r="AT2147" s="78" t="str">
        <f t="shared" si="352"/>
        <v/>
      </c>
      <c r="AU2147" s="78" t="str">
        <f t="shared" si="353"/>
        <v/>
      </c>
      <c r="AV2147" s="64" t="str">
        <f ca="1">IFERROR(__xludf.DUMMYFUNCTION("IF(TRIM(AU2147)="""","""",AU2147/INDEX(FILTER(AT$3:AT2147,TRIM(AT$3:AT2147)&lt;&gt;""""),ROWS(FILTER(AT$3:AT2147,TRIM(AT$3:AT2147)&lt;&gt;"""")))-1)"),"")</f>
        <v/>
      </c>
      <c r="AW2147" s="65" t="e">
        <f t="shared" ca="1" si="346"/>
        <v>#VALUE!</v>
      </c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</row>
    <row r="2148" spans="1:68" ht="19" x14ac:dyDescent="0.25">
      <c r="A2148" s="5"/>
      <c r="B2148" s="5"/>
      <c r="C2148" s="5"/>
      <c r="D2148" s="5"/>
      <c r="E2148" s="5"/>
      <c r="F2148" s="5"/>
      <c r="G2148" s="5"/>
      <c r="H2148" s="6"/>
      <c r="I2148" s="5"/>
      <c r="J2148" s="88"/>
      <c r="K2148" s="88"/>
      <c r="L2148" s="88"/>
      <c r="M2148" s="88"/>
      <c r="N2148" s="88"/>
      <c r="O2148" s="88"/>
      <c r="P2148" s="88"/>
      <c r="Q2148" s="89"/>
      <c r="R2148" s="88"/>
      <c r="S2148" s="88"/>
      <c r="T2148" s="90"/>
      <c r="U2148" s="6"/>
      <c r="V2148" s="92"/>
      <c r="W2148" s="77"/>
      <c r="X2148" s="91"/>
      <c r="Y2148" s="77"/>
      <c r="Z2148" s="5"/>
      <c r="AA2148" s="5"/>
      <c r="AB2148" s="5"/>
      <c r="AC2148" s="5"/>
      <c r="AD2148" s="5"/>
      <c r="AE2148" s="5"/>
      <c r="AF2148" s="5"/>
      <c r="AG2148" s="5"/>
      <c r="AH2148" s="6"/>
      <c r="AI2148" s="92"/>
      <c r="AJ2148" s="93"/>
      <c r="AK2148" s="94"/>
      <c r="AL2148" s="95"/>
      <c r="AM2148" s="56"/>
      <c r="AN2148" s="57">
        <f t="shared" si="345"/>
        <v>0</v>
      </c>
      <c r="AO2148" s="76">
        <f t="shared" si="347"/>
        <v>0</v>
      </c>
      <c r="AP2148" s="63" t="str">
        <f t="shared" si="348"/>
        <v/>
      </c>
      <c r="AQ2148" s="63" t="str">
        <f t="shared" si="349"/>
        <v/>
      </c>
      <c r="AR2148" s="63" t="str">
        <f t="shared" si="350"/>
        <v/>
      </c>
      <c r="AS2148" s="63" t="str">
        <f t="shared" si="351"/>
        <v/>
      </c>
      <c r="AT2148" s="78" t="str">
        <f t="shared" si="352"/>
        <v/>
      </c>
      <c r="AU2148" s="78" t="str">
        <f t="shared" si="353"/>
        <v/>
      </c>
      <c r="AV2148" s="64" t="str">
        <f ca="1">IFERROR(__xludf.DUMMYFUNCTION("IF(TRIM(AU2148)="""","""",AU2148/INDEX(FILTER(AT$3:AT2148,TRIM(AT$3:AT2148)&lt;&gt;""""),ROWS(FILTER(AT$3:AT2148,TRIM(AT$3:AT2148)&lt;&gt;"""")))-1)"),"")</f>
        <v/>
      </c>
      <c r="AW2148" s="65" t="e">
        <f t="shared" ca="1" si="346"/>
        <v>#VALUE!</v>
      </c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</row>
    <row r="2149" spans="1:68" ht="19" x14ac:dyDescent="0.25">
      <c r="A2149" s="5"/>
      <c r="B2149" s="5"/>
      <c r="C2149" s="5"/>
      <c r="D2149" s="5"/>
      <c r="E2149" s="5"/>
      <c r="F2149" s="5"/>
      <c r="G2149" s="5"/>
      <c r="H2149" s="6"/>
      <c r="I2149" s="5"/>
      <c r="J2149" s="88"/>
      <c r="K2149" s="88"/>
      <c r="L2149" s="88"/>
      <c r="M2149" s="88"/>
      <c r="N2149" s="88"/>
      <c r="O2149" s="88"/>
      <c r="P2149" s="88"/>
      <c r="Q2149" s="89"/>
      <c r="R2149" s="88"/>
      <c r="S2149" s="88"/>
      <c r="T2149" s="90"/>
      <c r="U2149" s="6"/>
      <c r="V2149" s="92"/>
      <c r="W2149" s="77"/>
      <c r="X2149" s="91"/>
      <c r="Y2149" s="77"/>
      <c r="Z2149" s="5"/>
      <c r="AA2149" s="5"/>
      <c r="AB2149" s="5"/>
      <c r="AC2149" s="5"/>
      <c r="AD2149" s="5"/>
      <c r="AE2149" s="5"/>
      <c r="AF2149" s="5"/>
      <c r="AG2149" s="5"/>
      <c r="AH2149" s="6"/>
      <c r="AI2149" s="92"/>
      <c r="AJ2149" s="93"/>
      <c r="AK2149" s="94"/>
      <c r="AL2149" s="95"/>
      <c r="AM2149" s="56"/>
      <c r="AN2149" s="57">
        <f t="shared" si="345"/>
        <v>0</v>
      </c>
      <c r="AO2149" s="76">
        <f t="shared" si="347"/>
        <v>0</v>
      </c>
      <c r="AP2149" s="63" t="str">
        <f t="shared" si="348"/>
        <v/>
      </c>
      <c r="AQ2149" s="63" t="str">
        <f t="shared" si="349"/>
        <v/>
      </c>
      <c r="AR2149" s="63" t="str">
        <f t="shared" si="350"/>
        <v/>
      </c>
      <c r="AS2149" s="63" t="str">
        <f t="shared" si="351"/>
        <v/>
      </c>
      <c r="AT2149" s="78" t="str">
        <f t="shared" si="352"/>
        <v/>
      </c>
      <c r="AU2149" s="78" t="str">
        <f t="shared" si="353"/>
        <v/>
      </c>
      <c r="AV2149" s="64" t="str">
        <f ca="1">IFERROR(__xludf.DUMMYFUNCTION("IF(TRIM(AU2149)="""","""",AU2149/INDEX(FILTER(AT$3:AT2149,TRIM(AT$3:AT2149)&lt;&gt;""""),ROWS(FILTER(AT$3:AT2149,TRIM(AT$3:AT2149)&lt;&gt;"""")))-1)"),"")</f>
        <v/>
      </c>
      <c r="AW2149" s="65" t="e">
        <f t="shared" ca="1" si="346"/>
        <v>#VALUE!</v>
      </c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</row>
    <row r="2150" spans="1:68" ht="19" x14ac:dyDescent="0.25">
      <c r="A2150" s="5"/>
      <c r="B2150" s="5"/>
      <c r="C2150" s="5"/>
      <c r="D2150" s="5"/>
      <c r="E2150" s="5"/>
      <c r="F2150" s="5"/>
      <c r="G2150" s="5"/>
      <c r="H2150" s="6"/>
      <c r="I2150" s="5"/>
      <c r="J2150" s="88"/>
      <c r="K2150" s="88"/>
      <c r="L2150" s="88"/>
      <c r="M2150" s="88"/>
      <c r="N2150" s="88"/>
      <c r="O2150" s="88"/>
      <c r="P2150" s="88"/>
      <c r="Q2150" s="89"/>
      <c r="R2150" s="88"/>
      <c r="S2150" s="88"/>
      <c r="T2150" s="90"/>
      <c r="U2150" s="6"/>
      <c r="V2150" s="92"/>
      <c r="W2150" s="77"/>
      <c r="X2150" s="91"/>
      <c r="Y2150" s="77"/>
      <c r="Z2150" s="5"/>
      <c r="AA2150" s="5"/>
      <c r="AB2150" s="5"/>
      <c r="AC2150" s="5"/>
      <c r="AD2150" s="5"/>
      <c r="AE2150" s="5"/>
      <c r="AF2150" s="5"/>
      <c r="AG2150" s="5"/>
      <c r="AH2150" s="6"/>
      <c r="AI2150" s="92"/>
      <c r="AJ2150" s="93"/>
      <c r="AK2150" s="94"/>
      <c r="AL2150" s="95"/>
      <c r="AM2150" s="56"/>
      <c r="AN2150" s="57">
        <f t="shared" si="345"/>
        <v>0</v>
      </c>
      <c r="AO2150" s="76">
        <f t="shared" si="347"/>
        <v>0</v>
      </c>
      <c r="AP2150" s="63" t="str">
        <f t="shared" si="348"/>
        <v/>
      </c>
      <c r="AQ2150" s="63" t="str">
        <f t="shared" si="349"/>
        <v/>
      </c>
      <c r="AR2150" s="63" t="str">
        <f t="shared" si="350"/>
        <v/>
      </c>
      <c r="AS2150" s="63" t="str">
        <f t="shared" si="351"/>
        <v/>
      </c>
      <c r="AT2150" s="78" t="str">
        <f t="shared" si="352"/>
        <v/>
      </c>
      <c r="AU2150" s="78" t="str">
        <f t="shared" si="353"/>
        <v/>
      </c>
      <c r="AV2150" s="64" t="str">
        <f ca="1">IFERROR(__xludf.DUMMYFUNCTION("IF(TRIM(AU2150)="""","""",AU2150/INDEX(FILTER(AT$3:AT2150,TRIM(AT$3:AT2150)&lt;&gt;""""),ROWS(FILTER(AT$3:AT2150,TRIM(AT$3:AT2150)&lt;&gt;"""")))-1)"),"")</f>
        <v/>
      </c>
      <c r="AW2150" s="65" t="e">
        <f t="shared" ca="1" si="346"/>
        <v>#VALUE!</v>
      </c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</row>
    <row r="2151" spans="1:68" ht="19" x14ac:dyDescent="0.25">
      <c r="A2151" s="5"/>
      <c r="B2151" s="5"/>
      <c r="C2151" s="5"/>
      <c r="D2151" s="5"/>
      <c r="E2151" s="5"/>
      <c r="F2151" s="5"/>
      <c r="G2151" s="5"/>
      <c r="H2151" s="6"/>
      <c r="I2151" s="5"/>
      <c r="J2151" s="88"/>
      <c r="K2151" s="88"/>
      <c r="L2151" s="88"/>
      <c r="M2151" s="88"/>
      <c r="N2151" s="88"/>
      <c r="O2151" s="88"/>
      <c r="P2151" s="88"/>
      <c r="Q2151" s="89"/>
      <c r="R2151" s="88"/>
      <c r="S2151" s="88"/>
      <c r="T2151" s="90"/>
      <c r="U2151" s="6"/>
      <c r="V2151" s="92"/>
      <c r="W2151" s="77"/>
      <c r="X2151" s="91"/>
      <c r="Y2151" s="77"/>
      <c r="Z2151" s="5"/>
      <c r="AA2151" s="5"/>
      <c r="AB2151" s="5"/>
      <c r="AC2151" s="5"/>
      <c r="AD2151" s="5"/>
      <c r="AE2151" s="5"/>
      <c r="AF2151" s="5"/>
      <c r="AG2151" s="5"/>
      <c r="AH2151" s="6"/>
      <c r="AI2151" s="92"/>
      <c r="AJ2151" s="93"/>
      <c r="AK2151" s="94"/>
      <c r="AL2151" s="95"/>
      <c r="AM2151" s="56"/>
      <c r="AN2151" s="57">
        <f t="shared" si="345"/>
        <v>0</v>
      </c>
      <c r="AO2151" s="76">
        <f t="shared" si="347"/>
        <v>0</v>
      </c>
      <c r="AP2151" s="63" t="str">
        <f t="shared" si="348"/>
        <v/>
      </c>
      <c r="AQ2151" s="63" t="str">
        <f t="shared" si="349"/>
        <v/>
      </c>
      <c r="AR2151" s="63" t="str">
        <f t="shared" si="350"/>
        <v/>
      </c>
      <c r="AS2151" s="63" t="str">
        <f t="shared" si="351"/>
        <v/>
      </c>
      <c r="AT2151" s="78" t="str">
        <f t="shared" si="352"/>
        <v/>
      </c>
      <c r="AU2151" s="78" t="str">
        <f t="shared" si="353"/>
        <v/>
      </c>
      <c r="AV2151" s="64" t="str">
        <f ca="1">IFERROR(__xludf.DUMMYFUNCTION("IF(TRIM(AU2151)="""","""",AU2151/INDEX(FILTER(AT$3:AT2151,TRIM(AT$3:AT2151)&lt;&gt;""""),ROWS(FILTER(AT$3:AT2151,TRIM(AT$3:AT2151)&lt;&gt;"""")))-1)"),"")</f>
        <v/>
      </c>
      <c r="AW2151" s="65" t="e">
        <f t="shared" ca="1" si="346"/>
        <v>#VALUE!</v>
      </c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</row>
    <row r="2152" spans="1:68" ht="19" x14ac:dyDescent="0.25">
      <c r="A2152" s="5"/>
      <c r="B2152" s="5"/>
      <c r="C2152" s="5"/>
      <c r="D2152" s="5"/>
      <c r="E2152" s="5"/>
      <c r="F2152" s="5"/>
      <c r="G2152" s="5"/>
      <c r="H2152" s="6"/>
      <c r="I2152" s="5"/>
      <c r="J2152" s="88"/>
      <c r="K2152" s="88"/>
      <c r="L2152" s="88"/>
      <c r="M2152" s="88"/>
      <c r="N2152" s="88"/>
      <c r="O2152" s="88"/>
      <c r="P2152" s="88"/>
      <c r="Q2152" s="89"/>
      <c r="R2152" s="88"/>
      <c r="S2152" s="88"/>
      <c r="T2152" s="90"/>
      <c r="U2152" s="6"/>
      <c r="V2152" s="92"/>
      <c r="W2152" s="77"/>
      <c r="X2152" s="91"/>
      <c r="Y2152" s="77"/>
      <c r="Z2152" s="5"/>
      <c r="AA2152" s="5"/>
      <c r="AB2152" s="5"/>
      <c r="AC2152" s="5"/>
      <c r="AD2152" s="5"/>
      <c r="AE2152" s="5"/>
      <c r="AF2152" s="5"/>
      <c r="AG2152" s="5"/>
      <c r="AH2152" s="6"/>
      <c r="AI2152" s="92"/>
      <c r="AJ2152" s="93"/>
      <c r="AK2152" s="94"/>
      <c r="AL2152" s="95"/>
      <c r="AM2152" s="56"/>
      <c r="AN2152" s="57">
        <f t="shared" si="345"/>
        <v>0</v>
      </c>
      <c r="AO2152" s="76">
        <f t="shared" si="347"/>
        <v>0</v>
      </c>
      <c r="AP2152" s="63" t="str">
        <f t="shared" si="348"/>
        <v/>
      </c>
      <c r="AQ2152" s="63" t="str">
        <f t="shared" si="349"/>
        <v/>
      </c>
      <c r="AR2152" s="63" t="str">
        <f t="shared" si="350"/>
        <v/>
      </c>
      <c r="AS2152" s="63" t="str">
        <f t="shared" si="351"/>
        <v/>
      </c>
      <c r="AT2152" s="78" t="str">
        <f t="shared" si="352"/>
        <v/>
      </c>
      <c r="AU2152" s="78" t="str">
        <f t="shared" si="353"/>
        <v/>
      </c>
      <c r="AV2152" s="64" t="str">
        <f ca="1">IFERROR(__xludf.DUMMYFUNCTION("IF(TRIM(AU2152)="""","""",AU2152/INDEX(FILTER(AT$3:AT2152,TRIM(AT$3:AT2152)&lt;&gt;""""),ROWS(FILTER(AT$3:AT2152,TRIM(AT$3:AT2152)&lt;&gt;"""")))-1)"),"")</f>
        <v/>
      </c>
      <c r="AW2152" s="65" t="e">
        <f t="shared" ca="1" si="346"/>
        <v>#VALUE!</v>
      </c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</row>
    <row r="2153" spans="1:68" ht="19" x14ac:dyDescent="0.25">
      <c r="A2153" s="5"/>
      <c r="B2153" s="5"/>
      <c r="C2153" s="5"/>
      <c r="D2153" s="5"/>
      <c r="E2153" s="5"/>
      <c r="F2153" s="5"/>
      <c r="G2153" s="5"/>
      <c r="H2153" s="6"/>
      <c r="I2153" s="5"/>
      <c r="J2153" s="88"/>
      <c r="K2153" s="88"/>
      <c r="L2153" s="88"/>
      <c r="M2153" s="88"/>
      <c r="N2153" s="88"/>
      <c r="O2153" s="88"/>
      <c r="P2153" s="88"/>
      <c r="Q2153" s="89"/>
      <c r="R2153" s="88"/>
      <c r="S2153" s="88"/>
      <c r="T2153" s="90"/>
      <c r="U2153" s="6"/>
      <c r="V2153" s="92"/>
      <c r="W2153" s="77"/>
      <c r="X2153" s="91"/>
      <c r="Y2153" s="77"/>
      <c r="Z2153" s="5"/>
      <c r="AA2153" s="5"/>
      <c r="AB2153" s="5"/>
      <c r="AC2153" s="5"/>
      <c r="AD2153" s="5"/>
      <c r="AE2153" s="5"/>
      <c r="AF2153" s="5"/>
      <c r="AG2153" s="5"/>
      <c r="AH2153" s="6"/>
      <c r="AI2153" s="92"/>
      <c r="AJ2153" s="93"/>
      <c r="AK2153" s="94"/>
      <c r="AL2153" s="95"/>
      <c r="AM2153" s="56"/>
      <c r="AN2153" s="57">
        <f t="shared" si="345"/>
        <v>0</v>
      </c>
      <c r="AO2153" s="76">
        <f t="shared" si="347"/>
        <v>0</v>
      </c>
      <c r="AP2153" s="63" t="str">
        <f t="shared" si="348"/>
        <v/>
      </c>
      <c r="AQ2153" s="63" t="str">
        <f t="shared" si="349"/>
        <v/>
      </c>
      <c r="AR2153" s="63" t="str">
        <f t="shared" si="350"/>
        <v/>
      </c>
      <c r="AS2153" s="63" t="str">
        <f t="shared" si="351"/>
        <v/>
      </c>
      <c r="AT2153" s="78" t="str">
        <f t="shared" si="352"/>
        <v/>
      </c>
      <c r="AU2153" s="78" t="str">
        <f t="shared" si="353"/>
        <v/>
      </c>
      <c r="AV2153" s="64" t="str">
        <f ca="1">IFERROR(__xludf.DUMMYFUNCTION("IF(TRIM(AU2153)="""","""",AU2153/INDEX(FILTER(AT$3:AT2153,TRIM(AT$3:AT2153)&lt;&gt;""""),ROWS(FILTER(AT$3:AT2153,TRIM(AT$3:AT2153)&lt;&gt;"""")))-1)"),"")</f>
        <v/>
      </c>
      <c r="AW2153" s="65" t="e">
        <f t="shared" ca="1" si="346"/>
        <v>#VALUE!</v>
      </c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</row>
    <row r="2154" spans="1:68" ht="19" x14ac:dyDescent="0.25">
      <c r="A2154" s="5"/>
      <c r="B2154" s="5"/>
      <c r="C2154" s="5"/>
      <c r="D2154" s="5"/>
      <c r="E2154" s="5"/>
      <c r="F2154" s="5"/>
      <c r="G2154" s="5"/>
      <c r="H2154" s="6"/>
      <c r="I2154" s="5"/>
      <c r="J2154" s="88"/>
      <c r="K2154" s="88"/>
      <c r="L2154" s="88"/>
      <c r="M2154" s="88"/>
      <c r="N2154" s="88"/>
      <c r="O2154" s="88"/>
      <c r="P2154" s="88"/>
      <c r="Q2154" s="89"/>
      <c r="R2154" s="88"/>
      <c r="S2154" s="88"/>
      <c r="T2154" s="90"/>
      <c r="U2154" s="6"/>
      <c r="V2154" s="92"/>
      <c r="W2154" s="77"/>
      <c r="X2154" s="91"/>
      <c r="Y2154" s="77"/>
      <c r="Z2154" s="5"/>
      <c r="AA2154" s="5"/>
      <c r="AB2154" s="5"/>
      <c r="AC2154" s="5"/>
      <c r="AD2154" s="5"/>
      <c r="AE2154" s="5"/>
      <c r="AF2154" s="5"/>
      <c r="AG2154" s="5"/>
      <c r="AH2154" s="6"/>
      <c r="AI2154" s="92"/>
      <c r="AJ2154" s="93"/>
      <c r="AK2154" s="94"/>
      <c r="AL2154" s="95"/>
      <c r="AM2154" s="56"/>
      <c r="AN2154" s="57">
        <f t="shared" si="345"/>
        <v>0</v>
      </c>
      <c r="AO2154" s="76">
        <f t="shared" si="347"/>
        <v>0</v>
      </c>
      <c r="AP2154" s="63" t="str">
        <f t="shared" si="348"/>
        <v/>
      </c>
      <c r="AQ2154" s="63" t="str">
        <f t="shared" si="349"/>
        <v/>
      </c>
      <c r="AR2154" s="63" t="str">
        <f t="shared" si="350"/>
        <v/>
      </c>
      <c r="AS2154" s="63" t="str">
        <f t="shared" si="351"/>
        <v/>
      </c>
      <c r="AT2154" s="78" t="str">
        <f t="shared" si="352"/>
        <v/>
      </c>
      <c r="AU2154" s="78" t="str">
        <f t="shared" si="353"/>
        <v/>
      </c>
      <c r="AV2154" s="64" t="str">
        <f ca="1">IFERROR(__xludf.DUMMYFUNCTION("IF(TRIM(AU2154)="""","""",AU2154/INDEX(FILTER(AT$3:AT2154,TRIM(AT$3:AT2154)&lt;&gt;""""),ROWS(FILTER(AT$3:AT2154,TRIM(AT$3:AT2154)&lt;&gt;"""")))-1)"),"")</f>
        <v/>
      </c>
      <c r="AW2154" s="65" t="e">
        <f t="shared" ca="1" si="346"/>
        <v>#VALUE!</v>
      </c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</row>
    <row r="2155" spans="1:68" ht="19" x14ac:dyDescent="0.25">
      <c r="A2155" s="5"/>
      <c r="B2155" s="5"/>
      <c r="C2155" s="5"/>
      <c r="D2155" s="5"/>
      <c r="E2155" s="5"/>
      <c r="F2155" s="5"/>
      <c r="G2155" s="5"/>
      <c r="H2155" s="6"/>
      <c r="I2155" s="5"/>
      <c r="J2155" s="88"/>
      <c r="K2155" s="88"/>
      <c r="L2155" s="88"/>
      <c r="M2155" s="88"/>
      <c r="N2155" s="88"/>
      <c r="O2155" s="88"/>
      <c r="P2155" s="88"/>
      <c r="Q2155" s="89"/>
      <c r="R2155" s="88"/>
      <c r="S2155" s="88"/>
      <c r="T2155" s="90"/>
      <c r="U2155" s="6"/>
      <c r="V2155" s="92"/>
      <c r="W2155" s="77"/>
      <c r="X2155" s="91"/>
      <c r="Y2155" s="77"/>
      <c r="Z2155" s="5"/>
      <c r="AA2155" s="5"/>
      <c r="AB2155" s="5"/>
      <c r="AC2155" s="5"/>
      <c r="AD2155" s="5"/>
      <c r="AE2155" s="5"/>
      <c r="AF2155" s="5"/>
      <c r="AG2155" s="5"/>
      <c r="AH2155" s="6"/>
      <c r="AI2155" s="92"/>
      <c r="AJ2155" s="93"/>
      <c r="AK2155" s="94"/>
      <c r="AL2155" s="95"/>
      <c r="AM2155" s="56"/>
      <c r="AN2155" s="57">
        <f t="shared" si="345"/>
        <v>0</v>
      </c>
      <c r="AO2155" s="76">
        <f t="shared" si="347"/>
        <v>0</v>
      </c>
      <c r="AP2155" s="63" t="str">
        <f t="shared" si="348"/>
        <v/>
      </c>
      <c r="AQ2155" s="63" t="str">
        <f t="shared" si="349"/>
        <v/>
      </c>
      <c r="AR2155" s="63" t="str">
        <f t="shared" si="350"/>
        <v/>
      </c>
      <c r="AS2155" s="63" t="str">
        <f t="shared" si="351"/>
        <v/>
      </c>
      <c r="AT2155" s="78" t="str">
        <f t="shared" si="352"/>
        <v/>
      </c>
      <c r="AU2155" s="78" t="str">
        <f t="shared" si="353"/>
        <v/>
      </c>
      <c r="AV2155" s="64" t="str">
        <f ca="1">IFERROR(__xludf.DUMMYFUNCTION("IF(TRIM(AU2155)="""","""",AU2155/INDEX(FILTER(AT$3:AT2155,TRIM(AT$3:AT2155)&lt;&gt;""""),ROWS(FILTER(AT$3:AT2155,TRIM(AT$3:AT2155)&lt;&gt;"""")))-1)"),"")</f>
        <v/>
      </c>
      <c r="AW2155" s="65" t="e">
        <f t="shared" ca="1" si="346"/>
        <v>#VALUE!</v>
      </c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</row>
    <row r="2156" spans="1:68" ht="19" x14ac:dyDescent="0.25">
      <c r="A2156" s="5"/>
      <c r="B2156" s="5"/>
      <c r="C2156" s="5"/>
      <c r="D2156" s="5"/>
      <c r="E2156" s="5"/>
      <c r="F2156" s="5"/>
      <c r="G2156" s="5"/>
      <c r="H2156" s="6"/>
      <c r="I2156" s="5"/>
      <c r="J2156" s="88"/>
      <c r="K2156" s="88"/>
      <c r="L2156" s="88"/>
      <c r="M2156" s="88"/>
      <c r="N2156" s="88"/>
      <c r="O2156" s="88"/>
      <c r="P2156" s="88"/>
      <c r="Q2156" s="89"/>
      <c r="R2156" s="88"/>
      <c r="S2156" s="88"/>
      <c r="T2156" s="90"/>
      <c r="U2156" s="6"/>
      <c r="V2156" s="92"/>
      <c r="W2156" s="77"/>
      <c r="X2156" s="91"/>
      <c r="Y2156" s="77"/>
      <c r="Z2156" s="5"/>
      <c r="AA2156" s="5"/>
      <c r="AB2156" s="5"/>
      <c r="AC2156" s="5"/>
      <c r="AD2156" s="5"/>
      <c r="AE2156" s="5"/>
      <c r="AF2156" s="5"/>
      <c r="AG2156" s="5"/>
      <c r="AH2156" s="6"/>
      <c r="AI2156" s="92"/>
      <c r="AJ2156" s="93"/>
      <c r="AK2156" s="94"/>
      <c r="AL2156" s="95"/>
      <c r="AM2156" s="56"/>
      <c r="AN2156" s="57">
        <f t="shared" si="345"/>
        <v>0</v>
      </c>
      <c r="AO2156" s="76">
        <f t="shared" si="347"/>
        <v>0</v>
      </c>
      <c r="AP2156" s="63" t="str">
        <f t="shared" si="348"/>
        <v/>
      </c>
      <c r="AQ2156" s="63" t="str">
        <f t="shared" si="349"/>
        <v/>
      </c>
      <c r="AR2156" s="63" t="str">
        <f t="shared" si="350"/>
        <v/>
      </c>
      <c r="AS2156" s="63" t="str">
        <f t="shared" si="351"/>
        <v/>
      </c>
      <c r="AT2156" s="78" t="str">
        <f t="shared" si="352"/>
        <v/>
      </c>
      <c r="AU2156" s="78" t="str">
        <f t="shared" si="353"/>
        <v/>
      </c>
      <c r="AV2156" s="64" t="str">
        <f ca="1">IFERROR(__xludf.DUMMYFUNCTION("IF(TRIM(AU2156)="""","""",AU2156/INDEX(FILTER(AT$3:AT2156,TRIM(AT$3:AT2156)&lt;&gt;""""),ROWS(FILTER(AT$3:AT2156,TRIM(AT$3:AT2156)&lt;&gt;"""")))-1)"),"")</f>
        <v/>
      </c>
      <c r="AW2156" s="65" t="e">
        <f t="shared" ca="1" si="346"/>
        <v>#VALUE!</v>
      </c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</row>
    <row r="2157" spans="1:68" ht="19" x14ac:dyDescent="0.25">
      <c r="A2157" s="5"/>
      <c r="B2157" s="5"/>
      <c r="C2157" s="5"/>
      <c r="D2157" s="5"/>
      <c r="E2157" s="5"/>
      <c r="F2157" s="5"/>
      <c r="G2157" s="5"/>
      <c r="H2157" s="6"/>
      <c r="I2157" s="5"/>
      <c r="J2157" s="88"/>
      <c r="K2157" s="88"/>
      <c r="L2157" s="88"/>
      <c r="M2157" s="88"/>
      <c r="N2157" s="88"/>
      <c r="O2157" s="88"/>
      <c r="P2157" s="88"/>
      <c r="Q2157" s="89"/>
      <c r="R2157" s="88"/>
      <c r="S2157" s="88"/>
      <c r="T2157" s="90"/>
      <c r="U2157" s="6"/>
      <c r="V2157" s="92"/>
      <c r="W2157" s="77"/>
      <c r="X2157" s="91"/>
      <c r="Y2157" s="77"/>
      <c r="Z2157" s="5"/>
      <c r="AA2157" s="5"/>
      <c r="AB2157" s="5"/>
      <c r="AC2157" s="5"/>
      <c r="AD2157" s="5"/>
      <c r="AE2157" s="5"/>
      <c r="AF2157" s="5"/>
      <c r="AG2157" s="5"/>
      <c r="AH2157" s="6"/>
      <c r="AI2157" s="92"/>
      <c r="AJ2157" s="93"/>
      <c r="AK2157" s="94"/>
      <c r="AL2157" s="95"/>
      <c r="AM2157" s="56"/>
      <c r="AN2157" s="57">
        <f t="shared" si="345"/>
        <v>0</v>
      </c>
      <c r="AO2157" s="76">
        <f t="shared" si="347"/>
        <v>0</v>
      </c>
      <c r="AP2157" s="63" t="str">
        <f t="shared" si="348"/>
        <v/>
      </c>
      <c r="AQ2157" s="63" t="str">
        <f t="shared" si="349"/>
        <v/>
      </c>
      <c r="AR2157" s="63" t="str">
        <f t="shared" si="350"/>
        <v/>
      </c>
      <c r="AS2157" s="63" t="str">
        <f t="shared" si="351"/>
        <v/>
      </c>
      <c r="AT2157" s="78" t="str">
        <f t="shared" si="352"/>
        <v/>
      </c>
      <c r="AU2157" s="78" t="str">
        <f t="shared" si="353"/>
        <v/>
      </c>
      <c r="AV2157" s="64" t="str">
        <f ca="1">IFERROR(__xludf.DUMMYFUNCTION("IF(TRIM(AU2157)="""","""",AU2157/INDEX(FILTER(AT$3:AT2157,TRIM(AT$3:AT2157)&lt;&gt;""""),ROWS(FILTER(AT$3:AT2157,TRIM(AT$3:AT2157)&lt;&gt;"""")))-1)"),"")</f>
        <v/>
      </c>
      <c r="AW2157" s="65" t="e">
        <f t="shared" ca="1" si="346"/>
        <v>#VALUE!</v>
      </c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</row>
    <row r="2158" spans="1:68" ht="19" x14ac:dyDescent="0.25">
      <c r="A2158" s="5"/>
      <c r="B2158" s="5"/>
      <c r="C2158" s="5"/>
      <c r="D2158" s="5"/>
      <c r="E2158" s="5"/>
      <c r="F2158" s="5"/>
      <c r="G2158" s="5"/>
      <c r="H2158" s="6"/>
      <c r="I2158" s="5"/>
      <c r="J2158" s="88"/>
      <c r="K2158" s="88"/>
      <c r="L2158" s="88"/>
      <c r="M2158" s="88"/>
      <c r="N2158" s="88"/>
      <c r="O2158" s="88"/>
      <c r="P2158" s="88"/>
      <c r="Q2158" s="89"/>
      <c r="R2158" s="88"/>
      <c r="S2158" s="88"/>
      <c r="T2158" s="90"/>
      <c r="U2158" s="6"/>
      <c r="V2158" s="92"/>
      <c r="W2158" s="77"/>
      <c r="X2158" s="91"/>
      <c r="Y2158" s="77"/>
      <c r="Z2158" s="5"/>
      <c r="AA2158" s="5"/>
      <c r="AB2158" s="5"/>
      <c r="AC2158" s="5"/>
      <c r="AD2158" s="5"/>
      <c r="AE2158" s="5"/>
      <c r="AF2158" s="5"/>
      <c r="AG2158" s="5"/>
      <c r="AH2158" s="6"/>
      <c r="AI2158" s="92"/>
      <c r="AJ2158" s="93"/>
      <c r="AK2158" s="94"/>
      <c r="AL2158" s="95"/>
      <c r="AM2158" s="56"/>
      <c r="AN2158" s="57">
        <f t="shared" si="345"/>
        <v>0</v>
      </c>
      <c r="AO2158" s="76">
        <f t="shared" si="347"/>
        <v>0</v>
      </c>
      <c r="AP2158" s="63" t="str">
        <f t="shared" si="348"/>
        <v/>
      </c>
      <c r="AQ2158" s="63" t="str">
        <f t="shared" si="349"/>
        <v/>
      </c>
      <c r="AR2158" s="63" t="str">
        <f t="shared" si="350"/>
        <v/>
      </c>
      <c r="AS2158" s="63" t="str">
        <f t="shared" si="351"/>
        <v/>
      </c>
      <c r="AT2158" s="78" t="str">
        <f t="shared" si="352"/>
        <v/>
      </c>
      <c r="AU2158" s="78" t="str">
        <f t="shared" si="353"/>
        <v/>
      </c>
      <c r="AV2158" s="64" t="str">
        <f ca="1">IFERROR(__xludf.DUMMYFUNCTION("IF(TRIM(AU2158)="""","""",AU2158/INDEX(FILTER(AT$3:AT2158,TRIM(AT$3:AT2158)&lt;&gt;""""),ROWS(FILTER(AT$3:AT2158,TRIM(AT$3:AT2158)&lt;&gt;"""")))-1)"),"")</f>
        <v/>
      </c>
      <c r="AW2158" s="65" t="e">
        <f t="shared" ca="1" si="346"/>
        <v>#VALUE!</v>
      </c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</row>
    <row r="2159" spans="1:68" ht="19" x14ac:dyDescent="0.25">
      <c r="A2159" s="5"/>
      <c r="B2159" s="5"/>
      <c r="C2159" s="5"/>
      <c r="D2159" s="5"/>
      <c r="E2159" s="5"/>
      <c r="F2159" s="5"/>
      <c r="G2159" s="5"/>
      <c r="H2159" s="6"/>
      <c r="I2159" s="5"/>
      <c r="J2159" s="88"/>
      <c r="K2159" s="88"/>
      <c r="L2159" s="88"/>
      <c r="M2159" s="88"/>
      <c r="N2159" s="88"/>
      <c r="O2159" s="88"/>
      <c r="P2159" s="88"/>
      <c r="Q2159" s="89"/>
      <c r="R2159" s="88"/>
      <c r="S2159" s="88"/>
      <c r="T2159" s="90"/>
      <c r="U2159" s="6"/>
      <c r="V2159" s="92"/>
      <c r="W2159" s="77"/>
      <c r="X2159" s="91"/>
      <c r="Y2159" s="77"/>
      <c r="Z2159" s="5"/>
      <c r="AA2159" s="5"/>
      <c r="AB2159" s="5"/>
      <c r="AC2159" s="5"/>
      <c r="AD2159" s="5"/>
      <c r="AE2159" s="5"/>
      <c r="AF2159" s="5"/>
      <c r="AG2159" s="5"/>
      <c r="AH2159" s="6"/>
      <c r="AI2159" s="92"/>
      <c r="AJ2159" s="93"/>
      <c r="AK2159" s="94"/>
      <c r="AL2159" s="95"/>
      <c r="AM2159" s="56"/>
      <c r="AN2159" s="57">
        <f t="shared" si="345"/>
        <v>0</v>
      </c>
      <c r="AO2159" s="76">
        <f t="shared" si="347"/>
        <v>0</v>
      </c>
      <c r="AP2159" s="63" t="str">
        <f t="shared" si="348"/>
        <v/>
      </c>
      <c r="AQ2159" s="63" t="str">
        <f t="shared" si="349"/>
        <v/>
      </c>
      <c r="AR2159" s="63" t="str">
        <f t="shared" si="350"/>
        <v/>
      </c>
      <c r="AS2159" s="63" t="str">
        <f t="shared" si="351"/>
        <v/>
      </c>
      <c r="AT2159" s="78" t="str">
        <f t="shared" si="352"/>
        <v/>
      </c>
      <c r="AU2159" s="78" t="str">
        <f t="shared" si="353"/>
        <v/>
      </c>
      <c r="AV2159" s="64" t="str">
        <f ca="1">IFERROR(__xludf.DUMMYFUNCTION("IF(TRIM(AU2159)="""","""",AU2159/INDEX(FILTER(AT$3:AT2159,TRIM(AT$3:AT2159)&lt;&gt;""""),ROWS(FILTER(AT$3:AT2159,TRIM(AT$3:AT2159)&lt;&gt;"""")))-1)"),"")</f>
        <v/>
      </c>
      <c r="AW2159" s="65" t="e">
        <f t="shared" ca="1" si="346"/>
        <v>#VALUE!</v>
      </c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</row>
    <row r="2160" spans="1:68" ht="19" x14ac:dyDescent="0.25">
      <c r="A2160" s="5"/>
      <c r="B2160" s="5"/>
      <c r="C2160" s="5"/>
      <c r="D2160" s="5"/>
      <c r="E2160" s="5"/>
      <c r="F2160" s="5"/>
      <c r="G2160" s="5"/>
      <c r="H2160" s="6"/>
      <c r="I2160" s="5"/>
      <c r="J2160" s="88"/>
      <c r="K2160" s="88"/>
      <c r="L2160" s="88"/>
      <c r="M2160" s="88"/>
      <c r="N2160" s="88"/>
      <c r="O2160" s="88"/>
      <c r="P2160" s="88"/>
      <c r="Q2160" s="89"/>
      <c r="R2160" s="88"/>
      <c r="S2160" s="88"/>
      <c r="T2160" s="90"/>
      <c r="U2160" s="6"/>
      <c r="V2160" s="92"/>
      <c r="W2160" s="77"/>
      <c r="X2160" s="91"/>
      <c r="Y2160" s="77"/>
      <c r="Z2160" s="5"/>
      <c r="AA2160" s="5"/>
      <c r="AB2160" s="5"/>
      <c r="AC2160" s="5"/>
      <c r="AD2160" s="5"/>
      <c r="AE2160" s="5"/>
      <c r="AF2160" s="5"/>
      <c r="AG2160" s="5"/>
      <c r="AH2160" s="6"/>
      <c r="AI2160" s="92"/>
      <c r="AJ2160" s="93"/>
      <c r="AK2160" s="94"/>
      <c r="AL2160" s="95"/>
      <c r="AM2160" s="56"/>
      <c r="AN2160" s="57">
        <f t="shared" si="345"/>
        <v>0</v>
      </c>
      <c r="AO2160" s="76">
        <f t="shared" si="347"/>
        <v>0</v>
      </c>
      <c r="AP2160" s="63" t="str">
        <f t="shared" si="348"/>
        <v/>
      </c>
      <c r="AQ2160" s="63" t="str">
        <f t="shared" si="349"/>
        <v/>
      </c>
      <c r="AR2160" s="63" t="str">
        <f t="shared" si="350"/>
        <v/>
      </c>
      <c r="AS2160" s="63" t="str">
        <f t="shared" si="351"/>
        <v/>
      </c>
      <c r="AT2160" s="78" t="str">
        <f t="shared" si="352"/>
        <v/>
      </c>
      <c r="AU2160" s="78" t="str">
        <f t="shared" si="353"/>
        <v/>
      </c>
      <c r="AV2160" s="64" t="str">
        <f ca="1">IFERROR(__xludf.DUMMYFUNCTION("IF(TRIM(AU2160)="""","""",AU2160/INDEX(FILTER(AT$3:AT2160,TRIM(AT$3:AT2160)&lt;&gt;""""),ROWS(FILTER(AT$3:AT2160,TRIM(AT$3:AT2160)&lt;&gt;"""")))-1)"),"")</f>
        <v/>
      </c>
      <c r="AW2160" s="65" t="e">
        <f t="shared" ca="1" si="346"/>
        <v>#VALUE!</v>
      </c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</row>
    <row r="2161" spans="1:68" ht="19" x14ac:dyDescent="0.25">
      <c r="A2161" s="5"/>
      <c r="B2161" s="5"/>
      <c r="C2161" s="5"/>
      <c r="D2161" s="5"/>
      <c r="E2161" s="5"/>
      <c r="F2161" s="5"/>
      <c r="G2161" s="5"/>
      <c r="H2161" s="6"/>
      <c r="I2161" s="5"/>
      <c r="J2161" s="88"/>
      <c r="K2161" s="88"/>
      <c r="L2161" s="88"/>
      <c r="M2161" s="88"/>
      <c r="N2161" s="88"/>
      <c r="O2161" s="88"/>
      <c r="P2161" s="88"/>
      <c r="Q2161" s="89"/>
      <c r="R2161" s="88"/>
      <c r="S2161" s="88"/>
      <c r="T2161" s="90"/>
      <c r="U2161" s="6"/>
      <c r="V2161" s="92"/>
      <c r="W2161" s="77"/>
      <c r="X2161" s="91"/>
      <c r="Y2161" s="77"/>
      <c r="Z2161" s="5"/>
      <c r="AA2161" s="5"/>
      <c r="AB2161" s="5"/>
      <c r="AC2161" s="5"/>
      <c r="AD2161" s="5"/>
      <c r="AE2161" s="5"/>
      <c r="AF2161" s="5"/>
      <c r="AG2161" s="5"/>
      <c r="AH2161" s="6"/>
      <c r="AI2161" s="92"/>
      <c r="AJ2161" s="93"/>
      <c r="AK2161" s="94"/>
      <c r="AL2161" s="95"/>
      <c r="AM2161" s="56"/>
      <c r="AN2161" s="57">
        <f t="shared" si="345"/>
        <v>0</v>
      </c>
      <c r="AO2161" s="76">
        <f t="shared" si="347"/>
        <v>0</v>
      </c>
      <c r="AP2161" s="63" t="str">
        <f t="shared" si="348"/>
        <v/>
      </c>
      <c r="AQ2161" s="63" t="str">
        <f t="shared" si="349"/>
        <v/>
      </c>
      <c r="AR2161" s="63" t="str">
        <f t="shared" si="350"/>
        <v/>
      </c>
      <c r="AS2161" s="63" t="str">
        <f t="shared" si="351"/>
        <v/>
      </c>
      <c r="AT2161" s="78" t="str">
        <f t="shared" si="352"/>
        <v/>
      </c>
      <c r="AU2161" s="78" t="str">
        <f t="shared" si="353"/>
        <v/>
      </c>
      <c r="AV2161" s="64" t="str">
        <f ca="1">IFERROR(__xludf.DUMMYFUNCTION("IF(TRIM(AU2161)="""","""",AU2161/INDEX(FILTER(AT$3:AT2161,TRIM(AT$3:AT2161)&lt;&gt;""""),ROWS(FILTER(AT$3:AT2161,TRIM(AT$3:AT2161)&lt;&gt;"""")))-1)"),"")</f>
        <v/>
      </c>
      <c r="AW2161" s="65" t="e">
        <f t="shared" ca="1" si="346"/>
        <v>#VALUE!</v>
      </c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</row>
    <row r="2162" spans="1:68" ht="19" x14ac:dyDescent="0.25">
      <c r="A2162" s="5"/>
      <c r="B2162" s="5"/>
      <c r="C2162" s="5"/>
      <c r="D2162" s="5"/>
      <c r="E2162" s="5"/>
      <c r="F2162" s="5"/>
      <c r="G2162" s="5"/>
      <c r="H2162" s="6"/>
      <c r="I2162" s="5"/>
      <c r="J2162" s="88"/>
      <c r="K2162" s="88"/>
      <c r="L2162" s="88"/>
      <c r="M2162" s="88"/>
      <c r="N2162" s="88"/>
      <c r="O2162" s="88"/>
      <c r="P2162" s="88"/>
      <c r="Q2162" s="89"/>
      <c r="R2162" s="88"/>
      <c r="S2162" s="88"/>
      <c r="T2162" s="90"/>
      <c r="U2162" s="6"/>
      <c r="V2162" s="92"/>
      <c r="W2162" s="77"/>
      <c r="X2162" s="91"/>
      <c r="Y2162" s="77"/>
      <c r="Z2162" s="5"/>
      <c r="AA2162" s="5"/>
      <c r="AB2162" s="5"/>
      <c r="AC2162" s="5"/>
      <c r="AD2162" s="5"/>
      <c r="AE2162" s="5"/>
      <c r="AF2162" s="5"/>
      <c r="AG2162" s="5"/>
      <c r="AH2162" s="6"/>
      <c r="AI2162" s="92"/>
      <c r="AJ2162" s="93"/>
      <c r="AK2162" s="94"/>
      <c r="AL2162" s="95"/>
      <c r="AM2162" s="56"/>
      <c r="AN2162" s="57">
        <f t="shared" si="345"/>
        <v>0</v>
      </c>
      <c r="AO2162" s="76">
        <f t="shared" si="347"/>
        <v>0</v>
      </c>
      <c r="AP2162" s="63" t="str">
        <f t="shared" si="348"/>
        <v/>
      </c>
      <c r="AQ2162" s="63" t="str">
        <f t="shared" si="349"/>
        <v/>
      </c>
      <c r="AR2162" s="63" t="str">
        <f t="shared" si="350"/>
        <v/>
      </c>
      <c r="AS2162" s="63" t="str">
        <f t="shared" si="351"/>
        <v/>
      </c>
      <c r="AT2162" s="78" t="str">
        <f t="shared" si="352"/>
        <v/>
      </c>
      <c r="AU2162" s="78" t="str">
        <f t="shared" si="353"/>
        <v/>
      </c>
      <c r="AV2162" s="64" t="str">
        <f ca="1">IFERROR(__xludf.DUMMYFUNCTION("IF(TRIM(AU2162)="""","""",AU2162/INDEX(FILTER(AT$3:AT2162,TRIM(AT$3:AT2162)&lt;&gt;""""),ROWS(FILTER(AT$3:AT2162,TRIM(AT$3:AT2162)&lt;&gt;"""")))-1)"),"")</f>
        <v/>
      </c>
      <c r="AW2162" s="65" t="e">
        <f t="shared" ca="1" si="346"/>
        <v>#VALUE!</v>
      </c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</row>
    <row r="2163" spans="1:68" ht="19" x14ac:dyDescent="0.25">
      <c r="A2163" s="5"/>
      <c r="B2163" s="5"/>
      <c r="C2163" s="5"/>
      <c r="D2163" s="5"/>
      <c r="E2163" s="5"/>
      <c r="F2163" s="5"/>
      <c r="G2163" s="5"/>
      <c r="H2163" s="6"/>
      <c r="I2163" s="5"/>
      <c r="J2163" s="88"/>
      <c r="K2163" s="88"/>
      <c r="L2163" s="88"/>
      <c r="M2163" s="88"/>
      <c r="N2163" s="88"/>
      <c r="O2163" s="88"/>
      <c r="P2163" s="88"/>
      <c r="Q2163" s="89"/>
      <c r="R2163" s="88"/>
      <c r="S2163" s="88"/>
      <c r="T2163" s="90"/>
      <c r="U2163" s="6"/>
      <c r="V2163" s="92"/>
      <c r="W2163" s="77"/>
      <c r="X2163" s="91"/>
      <c r="Y2163" s="77"/>
      <c r="Z2163" s="5"/>
      <c r="AA2163" s="5"/>
      <c r="AB2163" s="5"/>
      <c r="AC2163" s="5"/>
      <c r="AD2163" s="5"/>
      <c r="AE2163" s="5"/>
      <c r="AF2163" s="5"/>
      <c r="AG2163" s="5"/>
      <c r="AH2163" s="6"/>
      <c r="AI2163" s="92"/>
      <c r="AJ2163" s="93"/>
      <c r="AK2163" s="94"/>
      <c r="AL2163" s="95"/>
      <c r="AM2163" s="56"/>
      <c r="AN2163" s="57">
        <f t="shared" si="345"/>
        <v>0</v>
      </c>
      <c r="AO2163" s="76">
        <f t="shared" si="347"/>
        <v>0</v>
      </c>
      <c r="AP2163" s="63" t="str">
        <f t="shared" si="348"/>
        <v/>
      </c>
      <c r="AQ2163" s="63" t="str">
        <f t="shared" si="349"/>
        <v/>
      </c>
      <c r="AR2163" s="63" t="str">
        <f t="shared" si="350"/>
        <v/>
      </c>
      <c r="AS2163" s="63" t="str">
        <f t="shared" si="351"/>
        <v/>
      </c>
      <c r="AT2163" s="78" t="str">
        <f t="shared" si="352"/>
        <v/>
      </c>
      <c r="AU2163" s="78" t="str">
        <f t="shared" si="353"/>
        <v/>
      </c>
      <c r="AV2163" s="64" t="str">
        <f ca="1">IFERROR(__xludf.DUMMYFUNCTION("IF(TRIM(AU2163)="""","""",AU2163/INDEX(FILTER(AT$3:AT2163,TRIM(AT$3:AT2163)&lt;&gt;""""),ROWS(FILTER(AT$3:AT2163,TRIM(AT$3:AT2163)&lt;&gt;"""")))-1)"),"")</f>
        <v/>
      </c>
      <c r="AW2163" s="65" t="e">
        <f t="shared" ca="1" si="346"/>
        <v>#VALUE!</v>
      </c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</row>
    <row r="2164" spans="1:68" ht="19" x14ac:dyDescent="0.25">
      <c r="A2164" s="5"/>
      <c r="B2164" s="5"/>
      <c r="C2164" s="5"/>
      <c r="D2164" s="5"/>
      <c r="E2164" s="5"/>
      <c r="F2164" s="5"/>
      <c r="G2164" s="5"/>
      <c r="H2164" s="6"/>
      <c r="I2164" s="5"/>
      <c r="J2164" s="88"/>
      <c r="K2164" s="88"/>
      <c r="L2164" s="88"/>
      <c r="M2164" s="88"/>
      <c r="N2164" s="88"/>
      <c r="O2164" s="88"/>
      <c r="P2164" s="88"/>
      <c r="Q2164" s="89"/>
      <c r="R2164" s="88"/>
      <c r="S2164" s="88"/>
      <c r="T2164" s="90"/>
      <c r="U2164" s="6"/>
      <c r="V2164" s="92"/>
      <c r="W2164" s="77"/>
      <c r="X2164" s="91"/>
      <c r="Y2164" s="77"/>
      <c r="Z2164" s="5"/>
      <c r="AA2164" s="5"/>
      <c r="AB2164" s="5"/>
      <c r="AC2164" s="5"/>
      <c r="AD2164" s="5"/>
      <c r="AE2164" s="5"/>
      <c r="AF2164" s="5"/>
      <c r="AG2164" s="5"/>
      <c r="AH2164" s="6"/>
      <c r="AI2164" s="92"/>
      <c r="AJ2164" s="93"/>
      <c r="AK2164" s="94"/>
      <c r="AL2164" s="95"/>
      <c r="AM2164" s="56"/>
      <c r="AN2164" s="57">
        <f t="shared" si="345"/>
        <v>0</v>
      </c>
      <c r="AO2164" s="76">
        <f t="shared" si="347"/>
        <v>0</v>
      </c>
      <c r="AP2164" s="63" t="str">
        <f t="shared" si="348"/>
        <v/>
      </c>
      <c r="AQ2164" s="63" t="str">
        <f t="shared" si="349"/>
        <v/>
      </c>
      <c r="AR2164" s="63" t="str">
        <f t="shared" si="350"/>
        <v/>
      </c>
      <c r="AS2164" s="63" t="str">
        <f t="shared" si="351"/>
        <v/>
      </c>
      <c r="AT2164" s="78" t="str">
        <f t="shared" si="352"/>
        <v/>
      </c>
      <c r="AU2164" s="78" t="str">
        <f t="shared" si="353"/>
        <v/>
      </c>
      <c r="AV2164" s="64" t="str">
        <f ca="1">IFERROR(__xludf.DUMMYFUNCTION("IF(TRIM(AU2164)="""","""",AU2164/INDEX(FILTER(AT$3:AT2164,TRIM(AT$3:AT2164)&lt;&gt;""""),ROWS(FILTER(AT$3:AT2164,TRIM(AT$3:AT2164)&lt;&gt;"""")))-1)"),"")</f>
        <v/>
      </c>
      <c r="AW2164" s="65" t="e">
        <f t="shared" ca="1" si="346"/>
        <v>#VALUE!</v>
      </c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</row>
    <row r="2165" spans="1:68" ht="19" x14ac:dyDescent="0.25">
      <c r="A2165" s="5"/>
      <c r="B2165" s="5"/>
      <c r="C2165" s="5"/>
      <c r="D2165" s="5"/>
      <c r="E2165" s="5"/>
      <c r="F2165" s="5"/>
      <c r="G2165" s="5"/>
      <c r="H2165" s="6"/>
      <c r="I2165" s="5"/>
      <c r="J2165" s="88"/>
      <c r="K2165" s="88"/>
      <c r="L2165" s="88"/>
      <c r="M2165" s="88"/>
      <c r="N2165" s="88"/>
      <c r="O2165" s="88"/>
      <c r="P2165" s="88"/>
      <c r="Q2165" s="89"/>
      <c r="R2165" s="88"/>
      <c r="S2165" s="88"/>
      <c r="T2165" s="90"/>
      <c r="U2165" s="6"/>
      <c r="V2165" s="92"/>
      <c r="W2165" s="77"/>
      <c r="X2165" s="91"/>
      <c r="Y2165" s="77"/>
      <c r="Z2165" s="5"/>
      <c r="AA2165" s="5"/>
      <c r="AB2165" s="5"/>
      <c r="AC2165" s="5"/>
      <c r="AD2165" s="5"/>
      <c r="AE2165" s="5"/>
      <c r="AF2165" s="5"/>
      <c r="AG2165" s="5"/>
      <c r="AH2165" s="6"/>
      <c r="AI2165" s="92"/>
      <c r="AJ2165" s="93"/>
      <c r="AK2165" s="94"/>
      <c r="AL2165" s="95"/>
      <c r="AM2165" s="56"/>
      <c r="AN2165" s="57">
        <f t="shared" si="345"/>
        <v>0</v>
      </c>
      <c r="AO2165" s="76">
        <f t="shared" si="347"/>
        <v>0</v>
      </c>
      <c r="AP2165" s="63" t="str">
        <f t="shared" si="348"/>
        <v/>
      </c>
      <c r="AQ2165" s="63" t="str">
        <f t="shared" si="349"/>
        <v/>
      </c>
      <c r="AR2165" s="63" t="str">
        <f t="shared" si="350"/>
        <v/>
      </c>
      <c r="AS2165" s="63" t="str">
        <f t="shared" si="351"/>
        <v/>
      </c>
      <c r="AT2165" s="78" t="str">
        <f t="shared" si="352"/>
        <v/>
      </c>
      <c r="AU2165" s="78" t="str">
        <f t="shared" si="353"/>
        <v/>
      </c>
      <c r="AV2165" s="64" t="str">
        <f ca="1">IFERROR(__xludf.DUMMYFUNCTION("IF(TRIM(AU2165)="""","""",AU2165/INDEX(FILTER(AT$3:AT2165,TRIM(AT$3:AT2165)&lt;&gt;""""),ROWS(FILTER(AT$3:AT2165,TRIM(AT$3:AT2165)&lt;&gt;"""")))-1)"),"")</f>
        <v/>
      </c>
      <c r="AW2165" s="65" t="e">
        <f t="shared" ca="1" si="346"/>
        <v>#VALUE!</v>
      </c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</row>
    <row r="2166" spans="1:68" ht="19" x14ac:dyDescent="0.25">
      <c r="A2166" s="5"/>
      <c r="B2166" s="5"/>
      <c r="C2166" s="5"/>
      <c r="D2166" s="5"/>
      <c r="E2166" s="5"/>
      <c r="F2166" s="5"/>
      <c r="G2166" s="5"/>
      <c r="H2166" s="6"/>
      <c r="I2166" s="5"/>
      <c r="J2166" s="88"/>
      <c r="K2166" s="88"/>
      <c r="L2166" s="88"/>
      <c r="M2166" s="88"/>
      <c r="N2166" s="88"/>
      <c r="O2166" s="88"/>
      <c r="P2166" s="88"/>
      <c r="Q2166" s="89"/>
      <c r="R2166" s="88"/>
      <c r="S2166" s="88"/>
      <c r="T2166" s="90"/>
      <c r="U2166" s="6"/>
      <c r="V2166" s="92"/>
      <c r="W2166" s="77"/>
      <c r="X2166" s="91"/>
      <c r="Y2166" s="77"/>
      <c r="Z2166" s="5"/>
      <c r="AA2166" s="5"/>
      <c r="AB2166" s="5"/>
      <c r="AC2166" s="5"/>
      <c r="AD2166" s="5"/>
      <c r="AE2166" s="5"/>
      <c r="AF2166" s="5"/>
      <c r="AG2166" s="5"/>
      <c r="AH2166" s="6"/>
      <c r="AI2166" s="92"/>
      <c r="AJ2166" s="93"/>
      <c r="AK2166" s="94"/>
      <c r="AL2166" s="95"/>
      <c r="AM2166" s="56"/>
      <c r="AN2166" s="57">
        <f t="shared" si="345"/>
        <v>0</v>
      </c>
      <c r="AO2166" s="76">
        <f t="shared" si="347"/>
        <v>0</v>
      </c>
      <c r="AP2166" s="63" t="str">
        <f t="shared" si="348"/>
        <v/>
      </c>
      <c r="AQ2166" s="63" t="str">
        <f t="shared" si="349"/>
        <v/>
      </c>
      <c r="AR2166" s="63" t="str">
        <f t="shared" si="350"/>
        <v/>
      </c>
      <c r="AS2166" s="63" t="str">
        <f t="shared" si="351"/>
        <v/>
      </c>
      <c r="AT2166" s="78" t="str">
        <f t="shared" si="352"/>
        <v/>
      </c>
      <c r="AU2166" s="78" t="str">
        <f t="shared" si="353"/>
        <v/>
      </c>
      <c r="AV2166" s="64" t="str">
        <f ca="1">IFERROR(__xludf.DUMMYFUNCTION("IF(TRIM(AU2166)="""","""",AU2166/INDEX(FILTER(AT$3:AT2166,TRIM(AT$3:AT2166)&lt;&gt;""""),ROWS(FILTER(AT$3:AT2166,TRIM(AT$3:AT2166)&lt;&gt;"""")))-1)"),"")</f>
        <v/>
      </c>
      <c r="AW2166" s="65" t="e">
        <f t="shared" ca="1" si="346"/>
        <v>#VALUE!</v>
      </c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</row>
    <row r="2167" spans="1:68" ht="19" x14ac:dyDescent="0.25">
      <c r="A2167" s="5"/>
      <c r="B2167" s="5"/>
      <c r="C2167" s="5"/>
      <c r="D2167" s="5"/>
      <c r="E2167" s="5"/>
      <c r="F2167" s="5"/>
      <c r="G2167" s="5"/>
      <c r="H2167" s="6"/>
      <c r="I2167" s="5"/>
      <c r="J2167" s="88"/>
      <c r="K2167" s="88"/>
      <c r="L2167" s="88"/>
      <c r="M2167" s="88"/>
      <c r="N2167" s="88"/>
      <c r="O2167" s="88"/>
      <c r="P2167" s="88"/>
      <c r="Q2167" s="89"/>
      <c r="R2167" s="88"/>
      <c r="S2167" s="88"/>
      <c r="T2167" s="90"/>
      <c r="U2167" s="6"/>
      <c r="V2167" s="92"/>
      <c r="W2167" s="77"/>
      <c r="X2167" s="91"/>
      <c r="Y2167" s="77"/>
      <c r="Z2167" s="5"/>
      <c r="AA2167" s="5"/>
      <c r="AB2167" s="5"/>
      <c r="AC2167" s="5"/>
      <c r="AD2167" s="5"/>
      <c r="AE2167" s="5"/>
      <c r="AF2167" s="5"/>
      <c r="AG2167" s="5"/>
      <c r="AH2167" s="6"/>
      <c r="AI2167" s="92"/>
      <c r="AJ2167" s="93"/>
      <c r="AK2167" s="94"/>
      <c r="AL2167" s="95"/>
      <c r="AM2167" s="56"/>
      <c r="AN2167" s="57">
        <f t="shared" si="345"/>
        <v>0</v>
      </c>
      <c r="AO2167" s="76">
        <f t="shared" si="347"/>
        <v>0</v>
      </c>
      <c r="AP2167" s="63" t="str">
        <f t="shared" si="348"/>
        <v/>
      </c>
      <c r="AQ2167" s="63" t="str">
        <f t="shared" si="349"/>
        <v/>
      </c>
      <c r="AR2167" s="63" t="str">
        <f t="shared" si="350"/>
        <v/>
      </c>
      <c r="AS2167" s="63" t="str">
        <f t="shared" si="351"/>
        <v/>
      </c>
      <c r="AT2167" s="78" t="str">
        <f t="shared" si="352"/>
        <v/>
      </c>
      <c r="AU2167" s="78" t="str">
        <f t="shared" si="353"/>
        <v/>
      </c>
      <c r="AV2167" s="64" t="str">
        <f ca="1">IFERROR(__xludf.DUMMYFUNCTION("IF(TRIM(AU2167)="""","""",AU2167/INDEX(FILTER(AT$3:AT2167,TRIM(AT$3:AT2167)&lt;&gt;""""),ROWS(FILTER(AT$3:AT2167,TRIM(AT$3:AT2167)&lt;&gt;"""")))-1)"),"")</f>
        <v/>
      </c>
      <c r="AW2167" s="65" t="e">
        <f t="shared" ca="1" si="346"/>
        <v>#VALUE!</v>
      </c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</row>
    <row r="2168" spans="1:68" ht="19" x14ac:dyDescent="0.25">
      <c r="A2168" s="5"/>
      <c r="B2168" s="5"/>
      <c r="C2168" s="5"/>
      <c r="D2168" s="5"/>
      <c r="E2168" s="5"/>
      <c r="F2168" s="5"/>
      <c r="G2168" s="5"/>
      <c r="H2168" s="6"/>
      <c r="I2168" s="5"/>
      <c r="J2168" s="88"/>
      <c r="K2168" s="88"/>
      <c r="L2168" s="88"/>
      <c r="M2168" s="88"/>
      <c r="N2168" s="88"/>
      <c r="O2168" s="88"/>
      <c r="P2168" s="88"/>
      <c r="Q2168" s="89"/>
      <c r="R2168" s="88"/>
      <c r="S2168" s="88"/>
      <c r="T2168" s="90"/>
      <c r="U2168" s="6"/>
      <c r="V2168" s="92"/>
      <c r="W2168" s="77"/>
      <c r="X2168" s="91"/>
      <c r="Y2168" s="77"/>
      <c r="Z2168" s="5"/>
      <c r="AA2168" s="5"/>
      <c r="AB2168" s="5"/>
      <c r="AC2168" s="5"/>
      <c r="AD2168" s="5"/>
      <c r="AE2168" s="5"/>
      <c r="AF2168" s="5"/>
      <c r="AG2168" s="5"/>
      <c r="AH2168" s="6"/>
      <c r="AI2168" s="92"/>
      <c r="AJ2168" s="93"/>
      <c r="AK2168" s="94"/>
      <c r="AL2168" s="95"/>
      <c r="AM2168" s="56"/>
      <c r="AN2168" s="57">
        <f t="shared" si="345"/>
        <v>0</v>
      </c>
      <c r="AO2168" s="76">
        <f t="shared" si="347"/>
        <v>0</v>
      </c>
      <c r="AP2168" s="63" t="str">
        <f t="shared" si="348"/>
        <v/>
      </c>
      <c r="AQ2168" s="63" t="str">
        <f t="shared" si="349"/>
        <v/>
      </c>
      <c r="AR2168" s="63" t="str">
        <f t="shared" si="350"/>
        <v/>
      </c>
      <c r="AS2168" s="63" t="str">
        <f t="shared" si="351"/>
        <v/>
      </c>
      <c r="AT2168" s="78" t="str">
        <f t="shared" si="352"/>
        <v/>
      </c>
      <c r="AU2168" s="78" t="str">
        <f t="shared" si="353"/>
        <v/>
      </c>
      <c r="AV2168" s="64" t="str">
        <f ca="1">IFERROR(__xludf.DUMMYFUNCTION("IF(TRIM(AU2168)="""","""",AU2168/INDEX(FILTER(AT$3:AT2168,TRIM(AT$3:AT2168)&lt;&gt;""""),ROWS(FILTER(AT$3:AT2168,TRIM(AT$3:AT2168)&lt;&gt;"""")))-1)"),"")</f>
        <v/>
      </c>
      <c r="AW2168" s="65" t="e">
        <f t="shared" ca="1" si="346"/>
        <v>#VALUE!</v>
      </c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</row>
    <row r="2169" spans="1:68" ht="19" x14ac:dyDescent="0.25">
      <c r="A2169" s="5"/>
      <c r="B2169" s="5"/>
      <c r="C2169" s="5"/>
      <c r="D2169" s="5"/>
      <c r="E2169" s="5"/>
      <c r="F2169" s="5"/>
      <c r="G2169" s="5"/>
      <c r="H2169" s="6"/>
      <c r="I2169" s="5"/>
      <c r="J2169" s="88"/>
      <c r="K2169" s="88"/>
      <c r="L2169" s="88"/>
      <c r="M2169" s="88"/>
      <c r="N2169" s="88"/>
      <c r="O2169" s="88"/>
      <c r="P2169" s="88"/>
      <c r="Q2169" s="89"/>
      <c r="R2169" s="88"/>
      <c r="S2169" s="88"/>
      <c r="T2169" s="90"/>
      <c r="U2169" s="6"/>
      <c r="V2169" s="92"/>
      <c r="W2169" s="77"/>
      <c r="X2169" s="91"/>
      <c r="Y2169" s="77"/>
      <c r="Z2169" s="5"/>
      <c r="AA2169" s="5"/>
      <c r="AB2169" s="5"/>
      <c r="AC2169" s="5"/>
      <c r="AD2169" s="5"/>
      <c r="AE2169" s="5"/>
      <c r="AF2169" s="5"/>
      <c r="AG2169" s="5"/>
      <c r="AH2169" s="6"/>
      <c r="AI2169" s="92"/>
      <c r="AJ2169" s="93"/>
      <c r="AK2169" s="94"/>
      <c r="AL2169" s="95"/>
      <c r="AM2169" s="56"/>
      <c r="AN2169" s="57">
        <f t="shared" si="345"/>
        <v>0</v>
      </c>
      <c r="AO2169" s="76">
        <f t="shared" si="347"/>
        <v>0</v>
      </c>
      <c r="AP2169" s="63" t="str">
        <f t="shared" si="348"/>
        <v/>
      </c>
      <c r="AQ2169" s="63" t="str">
        <f t="shared" si="349"/>
        <v/>
      </c>
      <c r="AR2169" s="63" t="str">
        <f t="shared" si="350"/>
        <v/>
      </c>
      <c r="AS2169" s="63" t="str">
        <f t="shared" si="351"/>
        <v/>
      </c>
      <c r="AT2169" s="78" t="str">
        <f t="shared" si="352"/>
        <v/>
      </c>
      <c r="AU2169" s="78" t="str">
        <f t="shared" si="353"/>
        <v/>
      </c>
      <c r="AV2169" s="64" t="str">
        <f ca="1">IFERROR(__xludf.DUMMYFUNCTION("IF(TRIM(AU2169)="""","""",AU2169/INDEX(FILTER(AT$3:AT2169,TRIM(AT$3:AT2169)&lt;&gt;""""),ROWS(FILTER(AT$3:AT2169,TRIM(AT$3:AT2169)&lt;&gt;"""")))-1)"),"")</f>
        <v/>
      </c>
      <c r="AW2169" s="65" t="e">
        <f t="shared" ca="1" si="346"/>
        <v>#VALUE!</v>
      </c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</row>
    <row r="2170" spans="1:68" ht="19" x14ac:dyDescent="0.25">
      <c r="A2170" s="5"/>
      <c r="B2170" s="5"/>
      <c r="C2170" s="5"/>
      <c r="D2170" s="5"/>
      <c r="E2170" s="5"/>
      <c r="F2170" s="5"/>
      <c r="G2170" s="5"/>
      <c r="H2170" s="6"/>
      <c r="I2170" s="5"/>
      <c r="J2170" s="88"/>
      <c r="K2170" s="88"/>
      <c r="L2170" s="88"/>
      <c r="M2170" s="88"/>
      <c r="N2170" s="88"/>
      <c r="O2170" s="88"/>
      <c r="P2170" s="88"/>
      <c r="Q2170" s="89"/>
      <c r="R2170" s="88"/>
      <c r="S2170" s="88"/>
      <c r="T2170" s="90"/>
      <c r="U2170" s="6"/>
      <c r="V2170" s="92"/>
      <c r="W2170" s="77"/>
      <c r="X2170" s="91"/>
      <c r="Y2170" s="77"/>
      <c r="Z2170" s="5"/>
      <c r="AA2170" s="5"/>
      <c r="AB2170" s="5"/>
      <c r="AC2170" s="5"/>
      <c r="AD2170" s="5"/>
      <c r="AE2170" s="5"/>
      <c r="AF2170" s="5"/>
      <c r="AG2170" s="5"/>
      <c r="AH2170" s="6"/>
      <c r="AI2170" s="92"/>
      <c r="AJ2170" s="93"/>
      <c r="AK2170" s="94"/>
      <c r="AL2170" s="95"/>
      <c r="AM2170" s="56"/>
      <c r="AN2170" s="57">
        <f t="shared" si="345"/>
        <v>0</v>
      </c>
      <c r="AO2170" s="76">
        <f t="shared" si="347"/>
        <v>0</v>
      </c>
      <c r="AP2170" s="63" t="str">
        <f t="shared" si="348"/>
        <v/>
      </c>
      <c r="AQ2170" s="63" t="str">
        <f t="shared" si="349"/>
        <v/>
      </c>
      <c r="AR2170" s="63" t="str">
        <f t="shared" si="350"/>
        <v/>
      </c>
      <c r="AS2170" s="63" t="str">
        <f t="shared" si="351"/>
        <v/>
      </c>
      <c r="AT2170" s="78" t="str">
        <f t="shared" si="352"/>
        <v/>
      </c>
      <c r="AU2170" s="78" t="str">
        <f t="shared" si="353"/>
        <v/>
      </c>
      <c r="AV2170" s="64" t="str">
        <f ca="1">IFERROR(__xludf.DUMMYFUNCTION("IF(TRIM(AU2170)="""","""",AU2170/INDEX(FILTER(AT$3:AT2170,TRIM(AT$3:AT2170)&lt;&gt;""""),ROWS(FILTER(AT$3:AT2170,TRIM(AT$3:AT2170)&lt;&gt;"""")))-1)"),"")</f>
        <v/>
      </c>
      <c r="AW2170" s="65" t="e">
        <f t="shared" ca="1" si="346"/>
        <v>#VALUE!</v>
      </c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</row>
    <row r="2171" spans="1:68" ht="19" x14ac:dyDescent="0.25">
      <c r="A2171" s="5"/>
      <c r="B2171" s="5"/>
      <c r="C2171" s="5"/>
      <c r="D2171" s="5"/>
      <c r="E2171" s="5"/>
      <c r="F2171" s="5"/>
      <c r="G2171" s="5"/>
      <c r="H2171" s="6"/>
      <c r="I2171" s="5"/>
      <c r="J2171" s="88"/>
      <c r="K2171" s="88"/>
      <c r="L2171" s="88"/>
      <c r="M2171" s="88"/>
      <c r="N2171" s="88"/>
      <c r="O2171" s="88"/>
      <c r="P2171" s="88"/>
      <c r="Q2171" s="89"/>
      <c r="R2171" s="88"/>
      <c r="S2171" s="88"/>
      <c r="T2171" s="90"/>
      <c r="U2171" s="6"/>
      <c r="V2171" s="92"/>
      <c r="W2171" s="77"/>
      <c r="X2171" s="91"/>
      <c r="Y2171" s="77"/>
      <c r="Z2171" s="5"/>
      <c r="AA2171" s="5"/>
      <c r="AB2171" s="5"/>
      <c r="AC2171" s="5"/>
      <c r="AD2171" s="5"/>
      <c r="AE2171" s="5"/>
      <c r="AF2171" s="5"/>
      <c r="AG2171" s="5"/>
      <c r="AH2171" s="6"/>
      <c r="AI2171" s="92"/>
      <c r="AJ2171" s="93"/>
      <c r="AK2171" s="94"/>
      <c r="AL2171" s="95"/>
      <c r="AM2171" s="56"/>
      <c r="AN2171" s="57">
        <f t="shared" si="345"/>
        <v>0</v>
      </c>
      <c r="AO2171" s="76">
        <f t="shared" si="347"/>
        <v>0</v>
      </c>
      <c r="AP2171" s="63" t="str">
        <f t="shared" si="348"/>
        <v/>
      </c>
      <c r="AQ2171" s="63" t="str">
        <f t="shared" si="349"/>
        <v/>
      </c>
      <c r="AR2171" s="63" t="str">
        <f t="shared" si="350"/>
        <v/>
      </c>
      <c r="AS2171" s="63" t="str">
        <f t="shared" si="351"/>
        <v/>
      </c>
      <c r="AT2171" s="78" t="str">
        <f t="shared" si="352"/>
        <v/>
      </c>
      <c r="AU2171" s="78" t="str">
        <f t="shared" si="353"/>
        <v/>
      </c>
      <c r="AV2171" s="64" t="str">
        <f ca="1">IFERROR(__xludf.DUMMYFUNCTION("IF(TRIM(AU2171)="""","""",AU2171/INDEX(FILTER(AT$3:AT2171,TRIM(AT$3:AT2171)&lt;&gt;""""),ROWS(FILTER(AT$3:AT2171,TRIM(AT$3:AT2171)&lt;&gt;"""")))-1)"),"")</f>
        <v/>
      </c>
      <c r="AW2171" s="65" t="e">
        <f t="shared" ca="1" si="346"/>
        <v>#VALUE!</v>
      </c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</row>
    <row r="2172" spans="1:68" ht="19" x14ac:dyDescent="0.25">
      <c r="A2172" s="5"/>
      <c r="B2172" s="5"/>
      <c r="C2172" s="5"/>
      <c r="D2172" s="5"/>
      <c r="E2172" s="5"/>
      <c r="F2172" s="5"/>
      <c r="G2172" s="5"/>
      <c r="H2172" s="6"/>
      <c r="I2172" s="5"/>
      <c r="J2172" s="88"/>
      <c r="K2172" s="88"/>
      <c r="L2172" s="88"/>
      <c r="M2172" s="88"/>
      <c r="N2172" s="88"/>
      <c r="O2172" s="88"/>
      <c r="P2172" s="88"/>
      <c r="Q2172" s="89"/>
      <c r="R2172" s="88"/>
      <c r="S2172" s="88"/>
      <c r="T2172" s="90"/>
      <c r="U2172" s="6"/>
      <c r="V2172" s="92"/>
      <c r="W2172" s="77"/>
      <c r="X2172" s="91"/>
      <c r="Y2172" s="77"/>
      <c r="Z2172" s="5"/>
      <c r="AA2172" s="5"/>
      <c r="AB2172" s="5"/>
      <c r="AC2172" s="5"/>
      <c r="AD2172" s="5"/>
      <c r="AE2172" s="5"/>
      <c r="AF2172" s="5"/>
      <c r="AG2172" s="5"/>
      <c r="AH2172" s="6"/>
      <c r="AI2172" s="92"/>
      <c r="AJ2172" s="93"/>
      <c r="AK2172" s="94"/>
      <c r="AL2172" s="95"/>
      <c r="AM2172" s="56"/>
      <c r="AN2172" s="57">
        <f t="shared" si="345"/>
        <v>0</v>
      </c>
      <c r="AO2172" s="76">
        <f t="shared" si="347"/>
        <v>0</v>
      </c>
      <c r="AP2172" s="63" t="str">
        <f t="shared" si="348"/>
        <v/>
      </c>
      <c r="AQ2172" s="63" t="str">
        <f t="shared" si="349"/>
        <v/>
      </c>
      <c r="AR2172" s="63" t="str">
        <f t="shared" si="350"/>
        <v/>
      </c>
      <c r="AS2172" s="63" t="str">
        <f t="shared" si="351"/>
        <v/>
      </c>
      <c r="AT2172" s="78" t="str">
        <f t="shared" si="352"/>
        <v/>
      </c>
      <c r="AU2172" s="78" t="str">
        <f t="shared" si="353"/>
        <v/>
      </c>
      <c r="AV2172" s="64" t="str">
        <f ca="1">IFERROR(__xludf.DUMMYFUNCTION("IF(TRIM(AU2172)="""","""",AU2172/INDEX(FILTER(AT$3:AT2172,TRIM(AT$3:AT2172)&lt;&gt;""""),ROWS(FILTER(AT$3:AT2172,TRIM(AT$3:AT2172)&lt;&gt;"""")))-1)"),"")</f>
        <v/>
      </c>
      <c r="AW2172" s="65" t="e">
        <f t="shared" ca="1" si="346"/>
        <v>#VALUE!</v>
      </c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</row>
    <row r="2173" spans="1:68" ht="19" x14ac:dyDescent="0.25">
      <c r="A2173" s="5"/>
      <c r="B2173" s="5"/>
      <c r="C2173" s="5"/>
      <c r="D2173" s="5"/>
      <c r="E2173" s="5"/>
      <c r="F2173" s="5"/>
      <c r="G2173" s="5"/>
      <c r="H2173" s="6"/>
      <c r="I2173" s="5"/>
      <c r="J2173" s="88"/>
      <c r="K2173" s="88"/>
      <c r="L2173" s="88"/>
      <c r="M2173" s="88"/>
      <c r="N2173" s="88"/>
      <c r="O2173" s="88"/>
      <c r="P2173" s="88"/>
      <c r="Q2173" s="89"/>
      <c r="R2173" s="88"/>
      <c r="S2173" s="88"/>
      <c r="T2173" s="90"/>
      <c r="U2173" s="6"/>
      <c r="V2173" s="92"/>
      <c r="W2173" s="77"/>
      <c r="X2173" s="91"/>
      <c r="Y2173" s="77"/>
      <c r="Z2173" s="5"/>
      <c r="AA2173" s="5"/>
      <c r="AB2173" s="5"/>
      <c r="AC2173" s="5"/>
      <c r="AD2173" s="5"/>
      <c r="AE2173" s="5"/>
      <c r="AF2173" s="5"/>
      <c r="AG2173" s="5"/>
      <c r="AH2173" s="6"/>
      <c r="AI2173" s="92"/>
      <c r="AJ2173" s="93"/>
      <c r="AK2173" s="94"/>
      <c r="AL2173" s="95"/>
      <c r="AM2173" s="56"/>
      <c r="AN2173" s="57">
        <f t="shared" si="345"/>
        <v>0</v>
      </c>
      <c r="AO2173" s="76">
        <f t="shared" si="347"/>
        <v>0</v>
      </c>
      <c r="AP2173" s="63" t="str">
        <f t="shared" si="348"/>
        <v/>
      </c>
      <c r="AQ2173" s="63" t="str">
        <f t="shared" si="349"/>
        <v/>
      </c>
      <c r="AR2173" s="63" t="str">
        <f t="shared" si="350"/>
        <v/>
      </c>
      <c r="AS2173" s="63" t="str">
        <f t="shared" si="351"/>
        <v/>
      </c>
      <c r="AT2173" s="78" t="str">
        <f t="shared" si="352"/>
        <v/>
      </c>
      <c r="AU2173" s="78" t="str">
        <f t="shared" si="353"/>
        <v/>
      </c>
      <c r="AV2173" s="64" t="str">
        <f ca="1">IFERROR(__xludf.DUMMYFUNCTION("IF(TRIM(AU2173)="""","""",AU2173/INDEX(FILTER(AT$3:AT2173,TRIM(AT$3:AT2173)&lt;&gt;""""),ROWS(FILTER(AT$3:AT2173,TRIM(AT$3:AT2173)&lt;&gt;"""")))-1)"),"")</f>
        <v/>
      </c>
      <c r="AW2173" s="65" t="e">
        <f t="shared" ca="1" si="346"/>
        <v>#VALUE!</v>
      </c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</row>
    <row r="2174" spans="1:68" ht="19" x14ac:dyDescent="0.25">
      <c r="A2174" s="5"/>
      <c r="B2174" s="5"/>
      <c r="C2174" s="5"/>
      <c r="D2174" s="5"/>
      <c r="E2174" s="5"/>
      <c r="F2174" s="5"/>
      <c r="G2174" s="5"/>
      <c r="H2174" s="6"/>
      <c r="I2174" s="5"/>
      <c r="J2174" s="88"/>
      <c r="K2174" s="88"/>
      <c r="L2174" s="88"/>
      <c r="M2174" s="88"/>
      <c r="N2174" s="88"/>
      <c r="O2174" s="88"/>
      <c r="P2174" s="88"/>
      <c r="Q2174" s="89"/>
      <c r="R2174" s="88"/>
      <c r="S2174" s="88"/>
      <c r="T2174" s="90"/>
      <c r="U2174" s="6"/>
      <c r="V2174" s="92"/>
      <c r="W2174" s="77"/>
      <c r="X2174" s="91"/>
      <c r="Y2174" s="77"/>
      <c r="Z2174" s="5"/>
      <c r="AA2174" s="5"/>
      <c r="AB2174" s="5"/>
      <c r="AC2174" s="5"/>
      <c r="AD2174" s="5"/>
      <c r="AE2174" s="5"/>
      <c r="AF2174" s="5"/>
      <c r="AG2174" s="5"/>
      <c r="AH2174" s="6"/>
      <c r="AI2174" s="92"/>
      <c r="AJ2174" s="93"/>
      <c r="AK2174" s="94"/>
      <c r="AL2174" s="95"/>
      <c r="AM2174" s="56"/>
      <c r="AN2174" s="57">
        <f t="shared" si="345"/>
        <v>0</v>
      </c>
      <c r="AO2174" s="76">
        <f t="shared" si="347"/>
        <v>0</v>
      </c>
      <c r="AP2174" s="63" t="str">
        <f t="shared" si="348"/>
        <v/>
      </c>
      <c r="AQ2174" s="63" t="str">
        <f t="shared" si="349"/>
        <v/>
      </c>
      <c r="AR2174" s="63" t="str">
        <f t="shared" si="350"/>
        <v/>
      </c>
      <c r="AS2174" s="63" t="str">
        <f t="shared" si="351"/>
        <v/>
      </c>
      <c r="AT2174" s="78" t="str">
        <f t="shared" si="352"/>
        <v/>
      </c>
      <c r="AU2174" s="78" t="str">
        <f t="shared" si="353"/>
        <v/>
      </c>
      <c r="AV2174" s="64" t="str">
        <f ca="1">IFERROR(__xludf.DUMMYFUNCTION("IF(TRIM(AU2174)="""","""",AU2174/INDEX(FILTER(AT$3:AT2174,TRIM(AT$3:AT2174)&lt;&gt;""""),ROWS(FILTER(AT$3:AT2174,TRIM(AT$3:AT2174)&lt;&gt;"""")))-1)"),"")</f>
        <v/>
      </c>
      <c r="AW2174" s="65" t="e">
        <f t="shared" ca="1" si="346"/>
        <v>#VALUE!</v>
      </c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</row>
    <row r="2175" spans="1:68" ht="19" x14ac:dyDescent="0.25">
      <c r="A2175" s="5"/>
      <c r="B2175" s="5"/>
      <c r="C2175" s="5"/>
      <c r="D2175" s="5"/>
      <c r="E2175" s="5"/>
      <c r="F2175" s="5"/>
      <c r="G2175" s="5"/>
      <c r="H2175" s="6"/>
      <c r="I2175" s="5"/>
      <c r="J2175" s="88"/>
      <c r="K2175" s="88"/>
      <c r="L2175" s="88"/>
      <c r="M2175" s="88"/>
      <c r="N2175" s="88"/>
      <c r="O2175" s="88"/>
      <c r="P2175" s="88"/>
      <c r="Q2175" s="89"/>
      <c r="R2175" s="88"/>
      <c r="S2175" s="88"/>
      <c r="T2175" s="90"/>
      <c r="U2175" s="6"/>
      <c r="V2175" s="92"/>
      <c r="W2175" s="77"/>
      <c r="X2175" s="91"/>
      <c r="Y2175" s="77"/>
      <c r="Z2175" s="5"/>
      <c r="AA2175" s="5"/>
      <c r="AB2175" s="5"/>
      <c r="AC2175" s="5"/>
      <c r="AD2175" s="5"/>
      <c r="AE2175" s="5"/>
      <c r="AF2175" s="5"/>
      <c r="AG2175" s="5"/>
      <c r="AH2175" s="6"/>
      <c r="AI2175" s="92"/>
      <c r="AJ2175" s="93"/>
      <c r="AK2175" s="94"/>
      <c r="AL2175" s="95"/>
      <c r="AM2175" s="56"/>
      <c r="AN2175" s="57">
        <f t="shared" si="345"/>
        <v>0</v>
      </c>
      <c r="AO2175" s="76">
        <f t="shared" si="347"/>
        <v>0</v>
      </c>
      <c r="AP2175" s="63" t="str">
        <f t="shared" si="348"/>
        <v/>
      </c>
      <c r="AQ2175" s="63" t="str">
        <f t="shared" si="349"/>
        <v/>
      </c>
      <c r="AR2175" s="63" t="str">
        <f t="shared" si="350"/>
        <v/>
      </c>
      <c r="AS2175" s="63" t="str">
        <f t="shared" si="351"/>
        <v/>
      </c>
      <c r="AT2175" s="78" t="str">
        <f t="shared" si="352"/>
        <v/>
      </c>
      <c r="AU2175" s="78" t="str">
        <f t="shared" si="353"/>
        <v/>
      </c>
      <c r="AV2175" s="64" t="str">
        <f ca="1">IFERROR(__xludf.DUMMYFUNCTION("IF(TRIM(AU2175)="""","""",AU2175/INDEX(FILTER(AT$3:AT2175,TRIM(AT$3:AT2175)&lt;&gt;""""),ROWS(FILTER(AT$3:AT2175,TRIM(AT$3:AT2175)&lt;&gt;"""")))-1)"),"")</f>
        <v/>
      </c>
      <c r="AW2175" s="65" t="e">
        <f t="shared" ca="1" si="346"/>
        <v>#VALUE!</v>
      </c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</row>
    <row r="2176" spans="1:68" ht="19" x14ac:dyDescent="0.25">
      <c r="A2176" s="5"/>
      <c r="B2176" s="5"/>
      <c r="C2176" s="5"/>
      <c r="D2176" s="5"/>
      <c r="E2176" s="5"/>
      <c r="F2176" s="5"/>
      <c r="G2176" s="5"/>
      <c r="H2176" s="6"/>
      <c r="I2176" s="5"/>
      <c r="J2176" s="88"/>
      <c r="K2176" s="88"/>
      <c r="L2176" s="88"/>
      <c r="M2176" s="88"/>
      <c r="N2176" s="88"/>
      <c r="O2176" s="88"/>
      <c r="P2176" s="88"/>
      <c r="Q2176" s="89"/>
      <c r="R2176" s="88"/>
      <c r="S2176" s="88"/>
      <c r="T2176" s="90"/>
      <c r="U2176" s="6"/>
      <c r="V2176" s="92"/>
      <c r="W2176" s="77"/>
      <c r="X2176" s="91"/>
      <c r="Y2176" s="77"/>
      <c r="Z2176" s="5"/>
      <c r="AA2176" s="5"/>
      <c r="AB2176" s="5"/>
      <c r="AC2176" s="5"/>
      <c r="AD2176" s="5"/>
      <c r="AE2176" s="5"/>
      <c r="AF2176" s="5"/>
      <c r="AG2176" s="5"/>
      <c r="AH2176" s="6"/>
      <c r="AI2176" s="92"/>
      <c r="AJ2176" s="93"/>
      <c r="AK2176" s="94"/>
      <c r="AL2176" s="95"/>
      <c r="AM2176" s="56"/>
      <c r="AN2176" s="57">
        <f t="shared" si="345"/>
        <v>0</v>
      </c>
      <c r="AO2176" s="76">
        <f t="shared" si="347"/>
        <v>0</v>
      </c>
      <c r="AP2176" s="63" t="str">
        <f t="shared" si="348"/>
        <v/>
      </c>
      <c r="AQ2176" s="63" t="str">
        <f t="shared" si="349"/>
        <v/>
      </c>
      <c r="AR2176" s="63" t="str">
        <f t="shared" si="350"/>
        <v/>
      </c>
      <c r="AS2176" s="63" t="str">
        <f t="shared" si="351"/>
        <v/>
      </c>
      <c r="AT2176" s="78" t="str">
        <f t="shared" si="352"/>
        <v/>
      </c>
      <c r="AU2176" s="78" t="str">
        <f t="shared" si="353"/>
        <v/>
      </c>
      <c r="AV2176" s="64" t="str">
        <f ca="1">IFERROR(__xludf.DUMMYFUNCTION("IF(TRIM(AU2176)="""","""",AU2176/INDEX(FILTER(AT$3:AT2176,TRIM(AT$3:AT2176)&lt;&gt;""""),ROWS(FILTER(AT$3:AT2176,TRIM(AT$3:AT2176)&lt;&gt;"""")))-1)"),"")</f>
        <v/>
      </c>
      <c r="AW2176" s="65" t="e">
        <f t="shared" ca="1" si="346"/>
        <v>#VALUE!</v>
      </c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</row>
    <row r="2177" spans="1:68" ht="19" x14ac:dyDescent="0.25">
      <c r="A2177" s="5"/>
      <c r="B2177" s="5"/>
      <c r="C2177" s="5"/>
      <c r="D2177" s="5"/>
      <c r="E2177" s="5"/>
      <c r="F2177" s="5"/>
      <c r="G2177" s="5"/>
      <c r="H2177" s="6"/>
      <c r="I2177" s="5"/>
      <c r="J2177" s="88"/>
      <c r="K2177" s="88"/>
      <c r="L2177" s="88"/>
      <c r="M2177" s="88"/>
      <c r="N2177" s="88"/>
      <c r="O2177" s="88"/>
      <c r="P2177" s="88"/>
      <c r="Q2177" s="89"/>
      <c r="R2177" s="88"/>
      <c r="S2177" s="88"/>
      <c r="T2177" s="90"/>
      <c r="U2177" s="6"/>
      <c r="V2177" s="92"/>
      <c r="W2177" s="77"/>
      <c r="X2177" s="91"/>
      <c r="Y2177" s="77"/>
      <c r="Z2177" s="5"/>
      <c r="AA2177" s="5"/>
      <c r="AB2177" s="5"/>
      <c r="AC2177" s="5"/>
      <c r="AD2177" s="5"/>
      <c r="AE2177" s="5"/>
      <c r="AF2177" s="5"/>
      <c r="AG2177" s="5"/>
      <c r="AH2177" s="6"/>
      <c r="AI2177" s="92"/>
      <c r="AJ2177" s="93"/>
      <c r="AK2177" s="94"/>
      <c r="AL2177" s="95"/>
      <c r="AM2177" s="56"/>
      <c r="AN2177" s="57">
        <f t="shared" si="345"/>
        <v>0</v>
      </c>
      <c r="AO2177" s="76">
        <f t="shared" si="347"/>
        <v>0</v>
      </c>
      <c r="AP2177" s="63" t="str">
        <f t="shared" si="348"/>
        <v/>
      </c>
      <c r="AQ2177" s="63" t="str">
        <f t="shared" si="349"/>
        <v/>
      </c>
      <c r="AR2177" s="63" t="str">
        <f t="shared" si="350"/>
        <v/>
      </c>
      <c r="AS2177" s="63" t="str">
        <f t="shared" si="351"/>
        <v/>
      </c>
      <c r="AT2177" s="78" t="str">
        <f t="shared" si="352"/>
        <v/>
      </c>
      <c r="AU2177" s="78" t="str">
        <f t="shared" si="353"/>
        <v/>
      </c>
      <c r="AV2177" s="64" t="str">
        <f ca="1">IFERROR(__xludf.DUMMYFUNCTION("IF(TRIM(AU2177)="""","""",AU2177/INDEX(FILTER(AT$3:AT2177,TRIM(AT$3:AT2177)&lt;&gt;""""),ROWS(FILTER(AT$3:AT2177,TRIM(AT$3:AT2177)&lt;&gt;"""")))-1)"),"")</f>
        <v/>
      </c>
      <c r="AW2177" s="65" t="e">
        <f t="shared" ca="1" si="346"/>
        <v>#VALUE!</v>
      </c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</row>
    <row r="2178" spans="1:68" ht="19" x14ac:dyDescent="0.25">
      <c r="A2178" s="5"/>
      <c r="B2178" s="5"/>
      <c r="C2178" s="5"/>
      <c r="D2178" s="5"/>
      <c r="E2178" s="5"/>
      <c r="F2178" s="5"/>
      <c r="G2178" s="5"/>
      <c r="H2178" s="6"/>
      <c r="I2178" s="5"/>
      <c r="J2178" s="88"/>
      <c r="K2178" s="88"/>
      <c r="L2178" s="88"/>
      <c r="M2178" s="88"/>
      <c r="N2178" s="88"/>
      <c r="O2178" s="88"/>
      <c r="P2178" s="88"/>
      <c r="Q2178" s="89"/>
      <c r="R2178" s="88"/>
      <c r="S2178" s="88"/>
      <c r="T2178" s="90"/>
      <c r="U2178" s="6"/>
      <c r="V2178" s="92"/>
      <c r="W2178" s="77"/>
      <c r="X2178" s="91"/>
      <c r="Y2178" s="77"/>
      <c r="Z2178" s="5"/>
      <c r="AA2178" s="5"/>
      <c r="AB2178" s="5"/>
      <c r="AC2178" s="5"/>
      <c r="AD2178" s="5"/>
      <c r="AE2178" s="5"/>
      <c r="AF2178" s="5"/>
      <c r="AG2178" s="5"/>
      <c r="AH2178" s="6"/>
      <c r="AI2178" s="92"/>
      <c r="AJ2178" s="93"/>
      <c r="AK2178" s="94"/>
      <c r="AL2178" s="95"/>
      <c r="AM2178" s="56"/>
      <c r="AN2178" s="57">
        <f t="shared" si="345"/>
        <v>0</v>
      </c>
      <c r="AO2178" s="76">
        <f t="shared" si="347"/>
        <v>0</v>
      </c>
      <c r="AP2178" s="63" t="str">
        <f t="shared" si="348"/>
        <v/>
      </c>
      <c r="AQ2178" s="63" t="str">
        <f t="shared" si="349"/>
        <v/>
      </c>
      <c r="AR2178" s="63" t="str">
        <f t="shared" si="350"/>
        <v/>
      </c>
      <c r="AS2178" s="63" t="str">
        <f t="shared" si="351"/>
        <v/>
      </c>
      <c r="AT2178" s="78" t="str">
        <f t="shared" si="352"/>
        <v/>
      </c>
      <c r="AU2178" s="78" t="str">
        <f t="shared" si="353"/>
        <v/>
      </c>
      <c r="AV2178" s="64" t="str">
        <f ca="1">IFERROR(__xludf.DUMMYFUNCTION("IF(TRIM(AU2178)="""","""",AU2178/INDEX(FILTER(AT$3:AT2178,TRIM(AT$3:AT2178)&lt;&gt;""""),ROWS(FILTER(AT$3:AT2178,TRIM(AT$3:AT2178)&lt;&gt;"""")))-1)"),"")</f>
        <v/>
      </c>
      <c r="AW2178" s="65" t="e">
        <f t="shared" ca="1" si="346"/>
        <v>#VALUE!</v>
      </c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</row>
    <row r="2179" spans="1:68" ht="19" x14ac:dyDescent="0.25">
      <c r="A2179" s="5"/>
      <c r="B2179" s="5"/>
      <c r="C2179" s="5"/>
      <c r="D2179" s="5"/>
      <c r="E2179" s="5"/>
      <c r="F2179" s="5"/>
      <c r="G2179" s="5"/>
      <c r="H2179" s="6"/>
      <c r="I2179" s="5"/>
      <c r="J2179" s="88"/>
      <c r="K2179" s="88"/>
      <c r="L2179" s="88"/>
      <c r="M2179" s="88"/>
      <c r="N2179" s="88"/>
      <c r="O2179" s="88"/>
      <c r="P2179" s="88"/>
      <c r="Q2179" s="89"/>
      <c r="R2179" s="88"/>
      <c r="S2179" s="88"/>
      <c r="T2179" s="90"/>
      <c r="U2179" s="6"/>
      <c r="V2179" s="92"/>
      <c r="W2179" s="77"/>
      <c r="X2179" s="91"/>
      <c r="Y2179" s="77"/>
      <c r="Z2179" s="5"/>
      <c r="AA2179" s="5"/>
      <c r="AB2179" s="5"/>
      <c r="AC2179" s="5"/>
      <c r="AD2179" s="5"/>
      <c r="AE2179" s="5"/>
      <c r="AF2179" s="5"/>
      <c r="AG2179" s="5"/>
      <c r="AH2179" s="6"/>
      <c r="AI2179" s="92"/>
      <c r="AJ2179" s="93"/>
      <c r="AK2179" s="94"/>
      <c r="AL2179" s="95"/>
      <c r="AM2179" s="56"/>
      <c r="AN2179" s="57">
        <f t="shared" ref="AN2179:AN2242" si="354">AM2179-AL2179</f>
        <v>0</v>
      </c>
      <c r="AO2179" s="76">
        <f t="shared" si="347"/>
        <v>0</v>
      </c>
      <c r="AP2179" s="63" t="str">
        <f t="shared" si="348"/>
        <v/>
      </c>
      <c r="AQ2179" s="63" t="str">
        <f t="shared" si="349"/>
        <v/>
      </c>
      <c r="AR2179" s="63" t="str">
        <f t="shared" si="350"/>
        <v/>
      </c>
      <c r="AS2179" s="63" t="str">
        <f t="shared" si="351"/>
        <v/>
      </c>
      <c r="AT2179" s="78" t="str">
        <f t="shared" si="352"/>
        <v/>
      </c>
      <c r="AU2179" s="78" t="str">
        <f t="shared" si="353"/>
        <v/>
      </c>
      <c r="AV2179" s="64" t="str">
        <f ca="1">IFERROR(__xludf.DUMMYFUNCTION("IF(TRIM(AU2179)="""","""",AU2179/INDEX(FILTER(AT$3:AT2179,TRIM(AT$3:AT2179)&lt;&gt;""""),ROWS(FILTER(AT$3:AT2179,TRIM(AT$3:AT2179)&lt;&gt;"""")))-1)"),"")</f>
        <v/>
      </c>
      <c r="AW2179" s="65" t="e">
        <f t="shared" ref="AW2179:AW2242" ca="1" si="355">AW2178*(1+AV2179)</f>
        <v>#VALUE!</v>
      </c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</row>
    <row r="2180" spans="1:68" ht="19" x14ac:dyDescent="0.25">
      <c r="A2180" s="5"/>
      <c r="B2180" s="5"/>
      <c r="C2180" s="5"/>
      <c r="D2180" s="5"/>
      <c r="E2180" s="5"/>
      <c r="F2180" s="5"/>
      <c r="G2180" s="5"/>
      <c r="H2180" s="6"/>
      <c r="I2180" s="5"/>
      <c r="J2180" s="88"/>
      <c r="K2180" s="88"/>
      <c r="L2180" s="88"/>
      <c r="M2180" s="88"/>
      <c r="N2180" s="88"/>
      <c r="O2180" s="88"/>
      <c r="P2180" s="88"/>
      <c r="Q2180" s="89"/>
      <c r="R2180" s="88"/>
      <c r="S2180" s="88"/>
      <c r="T2180" s="90"/>
      <c r="U2180" s="6"/>
      <c r="V2180" s="92"/>
      <c r="W2180" s="77"/>
      <c r="X2180" s="91"/>
      <c r="Y2180" s="77"/>
      <c r="Z2180" s="5"/>
      <c r="AA2180" s="5"/>
      <c r="AB2180" s="5"/>
      <c r="AC2180" s="5"/>
      <c r="AD2180" s="5"/>
      <c r="AE2180" s="5"/>
      <c r="AF2180" s="5"/>
      <c r="AG2180" s="5"/>
      <c r="AH2180" s="6"/>
      <c r="AI2180" s="92"/>
      <c r="AJ2180" s="93"/>
      <c r="AK2180" s="94"/>
      <c r="AL2180" s="95"/>
      <c r="AM2180" s="56"/>
      <c r="AN2180" s="57">
        <f t="shared" si="354"/>
        <v>0</v>
      </c>
      <c r="AO2180" s="76">
        <f t="shared" si="347"/>
        <v>0</v>
      </c>
      <c r="AP2180" s="63" t="str">
        <f t="shared" si="348"/>
        <v/>
      </c>
      <c r="AQ2180" s="63" t="str">
        <f t="shared" si="349"/>
        <v/>
      </c>
      <c r="AR2180" s="63" t="str">
        <f t="shared" si="350"/>
        <v/>
      </c>
      <c r="AS2180" s="63" t="str">
        <f t="shared" si="351"/>
        <v/>
      </c>
      <c r="AT2180" s="78" t="str">
        <f t="shared" si="352"/>
        <v/>
      </c>
      <c r="AU2180" s="78" t="str">
        <f t="shared" si="353"/>
        <v/>
      </c>
      <c r="AV2180" s="64" t="str">
        <f ca="1">IFERROR(__xludf.DUMMYFUNCTION("IF(TRIM(AU2180)="""","""",AU2180/INDEX(FILTER(AT$3:AT2180,TRIM(AT$3:AT2180)&lt;&gt;""""),ROWS(FILTER(AT$3:AT2180,TRIM(AT$3:AT2180)&lt;&gt;"""")))-1)"),"")</f>
        <v/>
      </c>
      <c r="AW2180" s="65" t="e">
        <f t="shared" ca="1" si="355"/>
        <v>#VALUE!</v>
      </c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</row>
    <row r="2181" spans="1:68" ht="19" x14ac:dyDescent="0.25">
      <c r="A2181" s="5"/>
      <c r="B2181" s="5"/>
      <c r="C2181" s="5"/>
      <c r="D2181" s="5"/>
      <c r="E2181" s="5"/>
      <c r="F2181" s="5"/>
      <c r="G2181" s="5"/>
      <c r="H2181" s="6"/>
      <c r="I2181" s="5"/>
      <c r="J2181" s="88"/>
      <c r="K2181" s="88"/>
      <c r="L2181" s="88"/>
      <c r="M2181" s="88"/>
      <c r="N2181" s="88"/>
      <c r="O2181" s="88"/>
      <c r="P2181" s="88"/>
      <c r="Q2181" s="89"/>
      <c r="R2181" s="88"/>
      <c r="S2181" s="88"/>
      <c r="T2181" s="90"/>
      <c r="U2181" s="6"/>
      <c r="V2181" s="92"/>
      <c r="W2181" s="77"/>
      <c r="X2181" s="91"/>
      <c r="Y2181" s="77"/>
      <c r="Z2181" s="5"/>
      <c r="AA2181" s="5"/>
      <c r="AB2181" s="5"/>
      <c r="AC2181" s="5"/>
      <c r="AD2181" s="5"/>
      <c r="AE2181" s="5"/>
      <c r="AF2181" s="5"/>
      <c r="AG2181" s="5"/>
      <c r="AH2181" s="6"/>
      <c r="AI2181" s="92"/>
      <c r="AJ2181" s="93"/>
      <c r="AK2181" s="94"/>
      <c r="AL2181" s="95"/>
      <c r="AM2181" s="56"/>
      <c r="AN2181" s="57">
        <f t="shared" si="354"/>
        <v>0</v>
      </c>
      <c r="AO2181" s="76">
        <f t="shared" si="347"/>
        <v>0</v>
      </c>
      <c r="AP2181" s="63" t="str">
        <f t="shared" si="348"/>
        <v/>
      </c>
      <c r="AQ2181" s="63" t="str">
        <f t="shared" si="349"/>
        <v/>
      </c>
      <c r="AR2181" s="63" t="str">
        <f t="shared" si="350"/>
        <v/>
      </c>
      <c r="AS2181" s="63" t="str">
        <f t="shared" si="351"/>
        <v/>
      </c>
      <c r="AT2181" s="78" t="str">
        <f t="shared" si="352"/>
        <v/>
      </c>
      <c r="AU2181" s="78" t="str">
        <f t="shared" si="353"/>
        <v/>
      </c>
      <c r="AV2181" s="64" t="str">
        <f ca="1">IFERROR(__xludf.DUMMYFUNCTION("IF(TRIM(AU2181)="""","""",AU2181/INDEX(FILTER(AT$3:AT2181,TRIM(AT$3:AT2181)&lt;&gt;""""),ROWS(FILTER(AT$3:AT2181,TRIM(AT$3:AT2181)&lt;&gt;"""")))-1)"),"")</f>
        <v/>
      </c>
      <c r="AW2181" s="65" t="e">
        <f t="shared" ca="1" si="355"/>
        <v>#VALUE!</v>
      </c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</row>
    <row r="2182" spans="1:68" ht="19" x14ac:dyDescent="0.25">
      <c r="A2182" s="5"/>
      <c r="B2182" s="5"/>
      <c r="C2182" s="5"/>
      <c r="D2182" s="5"/>
      <c r="E2182" s="5"/>
      <c r="F2182" s="5"/>
      <c r="G2182" s="5"/>
      <c r="H2182" s="6"/>
      <c r="I2182" s="5"/>
      <c r="J2182" s="88"/>
      <c r="K2182" s="88"/>
      <c r="L2182" s="88"/>
      <c r="M2182" s="88"/>
      <c r="N2182" s="88"/>
      <c r="O2182" s="88"/>
      <c r="P2182" s="88"/>
      <c r="Q2182" s="89"/>
      <c r="R2182" s="88"/>
      <c r="S2182" s="88"/>
      <c r="T2182" s="90"/>
      <c r="U2182" s="6"/>
      <c r="V2182" s="92"/>
      <c r="W2182" s="77"/>
      <c r="X2182" s="91"/>
      <c r="Y2182" s="77"/>
      <c r="Z2182" s="5"/>
      <c r="AA2182" s="5"/>
      <c r="AB2182" s="5"/>
      <c r="AC2182" s="5"/>
      <c r="AD2182" s="5"/>
      <c r="AE2182" s="5"/>
      <c r="AF2182" s="5"/>
      <c r="AG2182" s="5"/>
      <c r="AH2182" s="6"/>
      <c r="AI2182" s="92"/>
      <c r="AJ2182" s="93"/>
      <c r="AK2182" s="94"/>
      <c r="AL2182" s="95"/>
      <c r="AM2182" s="56"/>
      <c r="AN2182" s="57">
        <f t="shared" si="354"/>
        <v>0</v>
      </c>
      <c r="AO2182" s="76">
        <f t="shared" si="347"/>
        <v>0</v>
      </c>
      <c r="AP2182" s="63" t="str">
        <f t="shared" si="348"/>
        <v/>
      </c>
      <c r="AQ2182" s="63" t="str">
        <f t="shared" si="349"/>
        <v/>
      </c>
      <c r="AR2182" s="63" t="str">
        <f t="shared" si="350"/>
        <v/>
      </c>
      <c r="AS2182" s="63" t="str">
        <f t="shared" si="351"/>
        <v/>
      </c>
      <c r="AT2182" s="78" t="str">
        <f t="shared" si="352"/>
        <v/>
      </c>
      <c r="AU2182" s="78" t="str">
        <f t="shared" si="353"/>
        <v/>
      </c>
      <c r="AV2182" s="64" t="str">
        <f ca="1">IFERROR(__xludf.DUMMYFUNCTION("IF(TRIM(AU2182)="""","""",AU2182/INDEX(FILTER(AT$3:AT2182,TRIM(AT$3:AT2182)&lt;&gt;""""),ROWS(FILTER(AT$3:AT2182,TRIM(AT$3:AT2182)&lt;&gt;"""")))-1)"),"")</f>
        <v/>
      </c>
      <c r="AW2182" s="65" t="e">
        <f t="shared" ca="1" si="355"/>
        <v>#VALUE!</v>
      </c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</row>
    <row r="2183" spans="1:68" ht="19" x14ac:dyDescent="0.25">
      <c r="A2183" s="5"/>
      <c r="B2183" s="5"/>
      <c r="C2183" s="5"/>
      <c r="D2183" s="5"/>
      <c r="E2183" s="5"/>
      <c r="F2183" s="5"/>
      <c r="G2183" s="5"/>
      <c r="H2183" s="6"/>
      <c r="I2183" s="5"/>
      <c r="J2183" s="88"/>
      <c r="K2183" s="88"/>
      <c r="L2183" s="88"/>
      <c r="M2183" s="88"/>
      <c r="N2183" s="88"/>
      <c r="O2183" s="88"/>
      <c r="P2183" s="88"/>
      <c r="Q2183" s="89"/>
      <c r="R2183" s="88"/>
      <c r="S2183" s="88"/>
      <c r="T2183" s="90"/>
      <c r="U2183" s="6"/>
      <c r="V2183" s="92"/>
      <c r="W2183" s="77"/>
      <c r="X2183" s="91"/>
      <c r="Y2183" s="77"/>
      <c r="Z2183" s="5"/>
      <c r="AA2183" s="5"/>
      <c r="AB2183" s="5"/>
      <c r="AC2183" s="5"/>
      <c r="AD2183" s="5"/>
      <c r="AE2183" s="5"/>
      <c r="AF2183" s="5"/>
      <c r="AG2183" s="5"/>
      <c r="AH2183" s="6"/>
      <c r="AI2183" s="92"/>
      <c r="AJ2183" s="93"/>
      <c r="AK2183" s="94"/>
      <c r="AL2183" s="95"/>
      <c r="AM2183" s="56"/>
      <c r="AN2183" s="57">
        <f t="shared" si="354"/>
        <v>0</v>
      </c>
      <c r="AO2183" s="76">
        <f t="shared" ref="AO2183:AO2246" si="356">AVERAGE(AN2179:AN2183)</f>
        <v>0</v>
      </c>
      <c r="AP2183" s="63" t="str">
        <f t="shared" ref="AP2183:AP2246" si="357">IF(AO2183&gt;0,"Buy Stocks","")</f>
        <v/>
      </c>
      <c r="AQ2183" s="63" t="str">
        <f t="shared" ref="AQ2183:AQ2246" si="358">IF(AO2183&lt;0,"Sell Stocks","")</f>
        <v/>
      </c>
      <c r="AR2183" s="63" t="str">
        <f t="shared" ref="AR2183:AR2246" si="359">IF(AND(AP2183="Buy Stocks",AP2182=""),"Buy Stocks","")</f>
        <v/>
      </c>
      <c r="AS2183" s="63" t="str">
        <f t="shared" ref="AS2183:AS2246" si="360">IF(AND(AQ2183="Sell Stocks",AQ2182=""),"Sell Stocks","")</f>
        <v/>
      </c>
      <c r="AT2183" s="78" t="str">
        <f t="shared" ref="AT2183:AT2246" si="361">IF(AR2183="Buy Stocks",AJ2183,"")</f>
        <v/>
      </c>
      <c r="AU2183" s="78" t="str">
        <f t="shared" ref="AU2183:AU2246" si="362">IF(AS2183="Sell Stocks",AJ2183,"")</f>
        <v/>
      </c>
      <c r="AV2183" s="64" t="str">
        <f ca="1">IFERROR(__xludf.DUMMYFUNCTION("IF(TRIM(AU2183)="""","""",AU2183/INDEX(FILTER(AT$3:AT2183,TRIM(AT$3:AT2183)&lt;&gt;""""),ROWS(FILTER(AT$3:AT2183,TRIM(AT$3:AT2183)&lt;&gt;"""")))-1)"),"")</f>
        <v/>
      </c>
      <c r="AW2183" s="65" t="e">
        <f t="shared" ca="1" si="355"/>
        <v>#VALUE!</v>
      </c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</row>
    <row r="2184" spans="1:68" ht="19" x14ac:dyDescent="0.25">
      <c r="A2184" s="5"/>
      <c r="B2184" s="5"/>
      <c r="C2184" s="5"/>
      <c r="D2184" s="5"/>
      <c r="E2184" s="5"/>
      <c r="F2184" s="5"/>
      <c r="G2184" s="5"/>
      <c r="H2184" s="6"/>
      <c r="I2184" s="5"/>
      <c r="J2184" s="88"/>
      <c r="K2184" s="88"/>
      <c r="L2184" s="88"/>
      <c r="M2184" s="88"/>
      <c r="N2184" s="88"/>
      <c r="O2184" s="88"/>
      <c r="P2184" s="88"/>
      <c r="Q2184" s="89"/>
      <c r="R2184" s="88"/>
      <c r="S2184" s="88"/>
      <c r="T2184" s="90"/>
      <c r="U2184" s="6"/>
      <c r="V2184" s="92"/>
      <c r="W2184" s="77"/>
      <c r="X2184" s="91"/>
      <c r="Y2184" s="77"/>
      <c r="Z2184" s="5"/>
      <c r="AA2184" s="5"/>
      <c r="AB2184" s="5"/>
      <c r="AC2184" s="5"/>
      <c r="AD2184" s="5"/>
      <c r="AE2184" s="5"/>
      <c r="AF2184" s="5"/>
      <c r="AG2184" s="5"/>
      <c r="AH2184" s="6"/>
      <c r="AI2184" s="92"/>
      <c r="AJ2184" s="93"/>
      <c r="AK2184" s="94"/>
      <c r="AL2184" s="95"/>
      <c r="AM2184" s="56"/>
      <c r="AN2184" s="57">
        <f t="shared" si="354"/>
        <v>0</v>
      </c>
      <c r="AO2184" s="76">
        <f t="shared" si="356"/>
        <v>0</v>
      </c>
      <c r="AP2184" s="63" t="str">
        <f t="shared" si="357"/>
        <v/>
      </c>
      <c r="AQ2184" s="63" t="str">
        <f t="shared" si="358"/>
        <v/>
      </c>
      <c r="AR2184" s="63" t="str">
        <f t="shared" si="359"/>
        <v/>
      </c>
      <c r="AS2184" s="63" t="str">
        <f t="shared" si="360"/>
        <v/>
      </c>
      <c r="AT2184" s="78" t="str">
        <f t="shared" si="361"/>
        <v/>
      </c>
      <c r="AU2184" s="78" t="str">
        <f t="shared" si="362"/>
        <v/>
      </c>
      <c r="AV2184" s="64" t="str">
        <f ca="1">IFERROR(__xludf.DUMMYFUNCTION("IF(TRIM(AU2184)="""","""",AU2184/INDEX(FILTER(AT$3:AT2184,TRIM(AT$3:AT2184)&lt;&gt;""""),ROWS(FILTER(AT$3:AT2184,TRIM(AT$3:AT2184)&lt;&gt;"""")))-1)"),"")</f>
        <v/>
      </c>
      <c r="AW2184" s="65" t="e">
        <f t="shared" ca="1" si="355"/>
        <v>#VALUE!</v>
      </c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</row>
    <row r="2185" spans="1:68" ht="19" x14ac:dyDescent="0.25">
      <c r="A2185" s="5"/>
      <c r="B2185" s="5"/>
      <c r="C2185" s="5"/>
      <c r="D2185" s="5"/>
      <c r="E2185" s="5"/>
      <c r="F2185" s="5"/>
      <c r="G2185" s="5"/>
      <c r="H2185" s="6"/>
      <c r="I2185" s="5"/>
      <c r="J2185" s="88"/>
      <c r="K2185" s="88"/>
      <c r="L2185" s="88"/>
      <c r="M2185" s="88"/>
      <c r="N2185" s="88"/>
      <c r="O2185" s="88"/>
      <c r="P2185" s="88"/>
      <c r="Q2185" s="89"/>
      <c r="R2185" s="88"/>
      <c r="S2185" s="88"/>
      <c r="T2185" s="90"/>
      <c r="U2185" s="6"/>
      <c r="V2185" s="92"/>
      <c r="W2185" s="77"/>
      <c r="X2185" s="91"/>
      <c r="Y2185" s="77"/>
      <c r="Z2185" s="5"/>
      <c r="AA2185" s="5"/>
      <c r="AB2185" s="5"/>
      <c r="AC2185" s="5"/>
      <c r="AD2185" s="5"/>
      <c r="AE2185" s="5"/>
      <c r="AF2185" s="5"/>
      <c r="AG2185" s="5"/>
      <c r="AH2185" s="6"/>
      <c r="AI2185" s="92"/>
      <c r="AJ2185" s="93"/>
      <c r="AK2185" s="94"/>
      <c r="AL2185" s="95"/>
      <c r="AM2185" s="56"/>
      <c r="AN2185" s="57">
        <f t="shared" si="354"/>
        <v>0</v>
      </c>
      <c r="AO2185" s="76">
        <f t="shared" si="356"/>
        <v>0</v>
      </c>
      <c r="AP2185" s="63" t="str">
        <f t="shared" si="357"/>
        <v/>
      </c>
      <c r="AQ2185" s="63" t="str">
        <f t="shared" si="358"/>
        <v/>
      </c>
      <c r="AR2185" s="63" t="str">
        <f t="shared" si="359"/>
        <v/>
      </c>
      <c r="AS2185" s="63" t="str">
        <f t="shared" si="360"/>
        <v/>
      </c>
      <c r="AT2185" s="78" t="str">
        <f t="shared" si="361"/>
        <v/>
      </c>
      <c r="AU2185" s="78" t="str">
        <f t="shared" si="362"/>
        <v/>
      </c>
      <c r="AV2185" s="64" t="str">
        <f ca="1">IFERROR(__xludf.DUMMYFUNCTION("IF(TRIM(AU2185)="""","""",AU2185/INDEX(FILTER(AT$3:AT2185,TRIM(AT$3:AT2185)&lt;&gt;""""),ROWS(FILTER(AT$3:AT2185,TRIM(AT$3:AT2185)&lt;&gt;"""")))-1)"),"")</f>
        <v/>
      </c>
      <c r="AW2185" s="65" t="e">
        <f t="shared" ca="1" si="355"/>
        <v>#VALUE!</v>
      </c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</row>
    <row r="2186" spans="1:68" ht="19" x14ac:dyDescent="0.25">
      <c r="A2186" s="5"/>
      <c r="B2186" s="5"/>
      <c r="C2186" s="5"/>
      <c r="D2186" s="5"/>
      <c r="E2186" s="5"/>
      <c r="F2186" s="5"/>
      <c r="G2186" s="5"/>
      <c r="H2186" s="6"/>
      <c r="I2186" s="5"/>
      <c r="J2186" s="88"/>
      <c r="K2186" s="88"/>
      <c r="L2186" s="88"/>
      <c r="M2186" s="88"/>
      <c r="N2186" s="88"/>
      <c r="O2186" s="88"/>
      <c r="P2186" s="88"/>
      <c r="Q2186" s="89"/>
      <c r="R2186" s="88"/>
      <c r="S2186" s="88"/>
      <c r="T2186" s="90"/>
      <c r="U2186" s="6"/>
      <c r="V2186" s="92"/>
      <c r="W2186" s="77"/>
      <c r="X2186" s="91"/>
      <c r="Y2186" s="77"/>
      <c r="Z2186" s="5"/>
      <c r="AA2186" s="5"/>
      <c r="AB2186" s="5"/>
      <c r="AC2186" s="5"/>
      <c r="AD2186" s="5"/>
      <c r="AE2186" s="5"/>
      <c r="AF2186" s="5"/>
      <c r="AG2186" s="5"/>
      <c r="AH2186" s="6"/>
      <c r="AI2186" s="92"/>
      <c r="AJ2186" s="93"/>
      <c r="AK2186" s="94"/>
      <c r="AL2186" s="95"/>
      <c r="AM2186" s="56"/>
      <c r="AN2186" s="57">
        <f t="shared" si="354"/>
        <v>0</v>
      </c>
      <c r="AO2186" s="76">
        <f t="shared" si="356"/>
        <v>0</v>
      </c>
      <c r="AP2186" s="63" t="str">
        <f t="shared" si="357"/>
        <v/>
      </c>
      <c r="AQ2186" s="63" t="str">
        <f t="shared" si="358"/>
        <v/>
      </c>
      <c r="AR2186" s="63" t="str">
        <f t="shared" si="359"/>
        <v/>
      </c>
      <c r="AS2186" s="63" t="str">
        <f t="shared" si="360"/>
        <v/>
      </c>
      <c r="AT2186" s="78" t="str">
        <f t="shared" si="361"/>
        <v/>
      </c>
      <c r="AU2186" s="78" t="str">
        <f t="shared" si="362"/>
        <v/>
      </c>
      <c r="AV2186" s="64" t="str">
        <f ca="1">IFERROR(__xludf.DUMMYFUNCTION("IF(TRIM(AU2186)="""","""",AU2186/INDEX(FILTER(AT$3:AT2186,TRIM(AT$3:AT2186)&lt;&gt;""""),ROWS(FILTER(AT$3:AT2186,TRIM(AT$3:AT2186)&lt;&gt;"""")))-1)"),"")</f>
        <v/>
      </c>
      <c r="AW2186" s="65" t="e">
        <f t="shared" ca="1" si="355"/>
        <v>#VALUE!</v>
      </c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</row>
    <row r="2187" spans="1:68" ht="19" x14ac:dyDescent="0.25">
      <c r="A2187" s="5"/>
      <c r="B2187" s="5"/>
      <c r="C2187" s="5"/>
      <c r="D2187" s="5"/>
      <c r="E2187" s="5"/>
      <c r="F2187" s="5"/>
      <c r="G2187" s="5"/>
      <c r="H2187" s="6"/>
      <c r="I2187" s="5"/>
      <c r="J2187" s="88"/>
      <c r="K2187" s="88"/>
      <c r="L2187" s="88"/>
      <c r="M2187" s="88"/>
      <c r="N2187" s="88"/>
      <c r="O2187" s="88"/>
      <c r="P2187" s="88"/>
      <c r="Q2187" s="89"/>
      <c r="R2187" s="88"/>
      <c r="S2187" s="88"/>
      <c r="T2187" s="90"/>
      <c r="U2187" s="6"/>
      <c r="V2187" s="92"/>
      <c r="W2187" s="77"/>
      <c r="X2187" s="91"/>
      <c r="Y2187" s="77"/>
      <c r="Z2187" s="5"/>
      <c r="AA2187" s="5"/>
      <c r="AB2187" s="5"/>
      <c r="AC2187" s="5"/>
      <c r="AD2187" s="5"/>
      <c r="AE2187" s="5"/>
      <c r="AF2187" s="5"/>
      <c r="AG2187" s="5"/>
      <c r="AH2187" s="6"/>
      <c r="AI2187" s="92"/>
      <c r="AJ2187" s="93"/>
      <c r="AK2187" s="94"/>
      <c r="AL2187" s="95"/>
      <c r="AM2187" s="56"/>
      <c r="AN2187" s="57">
        <f t="shared" si="354"/>
        <v>0</v>
      </c>
      <c r="AO2187" s="76">
        <f t="shared" si="356"/>
        <v>0</v>
      </c>
      <c r="AP2187" s="63" t="str">
        <f t="shared" si="357"/>
        <v/>
      </c>
      <c r="AQ2187" s="63" t="str">
        <f t="shared" si="358"/>
        <v/>
      </c>
      <c r="AR2187" s="63" t="str">
        <f t="shared" si="359"/>
        <v/>
      </c>
      <c r="AS2187" s="63" t="str">
        <f t="shared" si="360"/>
        <v/>
      </c>
      <c r="AT2187" s="78" t="str">
        <f t="shared" si="361"/>
        <v/>
      </c>
      <c r="AU2187" s="78" t="str">
        <f t="shared" si="362"/>
        <v/>
      </c>
      <c r="AV2187" s="64" t="str">
        <f ca="1">IFERROR(__xludf.DUMMYFUNCTION("IF(TRIM(AU2187)="""","""",AU2187/INDEX(FILTER(AT$3:AT2187,TRIM(AT$3:AT2187)&lt;&gt;""""),ROWS(FILTER(AT$3:AT2187,TRIM(AT$3:AT2187)&lt;&gt;"""")))-1)"),"")</f>
        <v/>
      </c>
      <c r="AW2187" s="65" t="e">
        <f t="shared" ca="1" si="355"/>
        <v>#VALUE!</v>
      </c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</row>
    <row r="2188" spans="1:68" ht="19" x14ac:dyDescent="0.25">
      <c r="A2188" s="5"/>
      <c r="B2188" s="5"/>
      <c r="C2188" s="5"/>
      <c r="D2188" s="5"/>
      <c r="E2188" s="5"/>
      <c r="F2188" s="5"/>
      <c r="G2188" s="5"/>
      <c r="H2188" s="6"/>
      <c r="I2188" s="5"/>
      <c r="J2188" s="88"/>
      <c r="K2188" s="88"/>
      <c r="L2188" s="88"/>
      <c r="M2188" s="88"/>
      <c r="N2188" s="88"/>
      <c r="O2188" s="88"/>
      <c r="P2188" s="88"/>
      <c r="Q2188" s="89"/>
      <c r="R2188" s="88"/>
      <c r="S2188" s="88"/>
      <c r="T2188" s="90"/>
      <c r="U2188" s="6"/>
      <c r="V2188" s="92"/>
      <c r="W2188" s="77"/>
      <c r="X2188" s="91"/>
      <c r="Y2188" s="77"/>
      <c r="Z2188" s="5"/>
      <c r="AA2188" s="5"/>
      <c r="AB2188" s="5"/>
      <c r="AC2188" s="5"/>
      <c r="AD2188" s="5"/>
      <c r="AE2188" s="5"/>
      <c r="AF2188" s="5"/>
      <c r="AG2188" s="5"/>
      <c r="AH2188" s="6"/>
      <c r="AI2188" s="92"/>
      <c r="AJ2188" s="93"/>
      <c r="AK2188" s="94"/>
      <c r="AL2188" s="95"/>
      <c r="AM2188" s="56"/>
      <c r="AN2188" s="57">
        <f t="shared" si="354"/>
        <v>0</v>
      </c>
      <c r="AO2188" s="76">
        <f t="shared" si="356"/>
        <v>0</v>
      </c>
      <c r="AP2188" s="63" t="str">
        <f t="shared" si="357"/>
        <v/>
      </c>
      <c r="AQ2188" s="63" t="str">
        <f t="shared" si="358"/>
        <v/>
      </c>
      <c r="AR2188" s="63" t="str">
        <f t="shared" si="359"/>
        <v/>
      </c>
      <c r="AS2188" s="63" t="str">
        <f t="shared" si="360"/>
        <v/>
      </c>
      <c r="AT2188" s="78" t="str">
        <f t="shared" si="361"/>
        <v/>
      </c>
      <c r="AU2188" s="78" t="str">
        <f t="shared" si="362"/>
        <v/>
      </c>
      <c r="AV2188" s="64" t="str">
        <f ca="1">IFERROR(__xludf.DUMMYFUNCTION("IF(TRIM(AU2188)="""","""",AU2188/INDEX(FILTER(AT$3:AT2188,TRIM(AT$3:AT2188)&lt;&gt;""""),ROWS(FILTER(AT$3:AT2188,TRIM(AT$3:AT2188)&lt;&gt;"""")))-1)"),"")</f>
        <v/>
      </c>
      <c r="AW2188" s="65" t="e">
        <f t="shared" ca="1" si="355"/>
        <v>#VALUE!</v>
      </c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</row>
    <row r="2189" spans="1:68" ht="19" x14ac:dyDescent="0.25">
      <c r="A2189" s="5"/>
      <c r="B2189" s="5"/>
      <c r="C2189" s="5"/>
      <c r="D2189" s="5"/>
      <c r="E2189" s="5"/>
      <c r="F2189" s="5"/>
      <c r="G2189" s="5"/>
      <c r="H2189" s="6"/>
      <c r="I2189" s="5"/>
      <c r="J2189" s="88"/>
      <c r="K2189" s="88"/>
      <c r="L2189" s="88"/>
      <c r="M2189" s="88"/>
      <c r="N2189" s="88"/>
      <c r="O2189" s="88"/>
      <c r="P2189" s="88"/>
      <c r="Q2189" s="89"/>
      <c r="R2189" s="88"/>
      <c r="S2189" s="88"/>
      <c r="T2189" s="90"/>
      <c r="U2189" s="6"/>
      <c r="V2189" s="92"/>
      <c r="W2189" s="77"/>
      <c r="X2189" s="91"/>
      <c r="Y2189" s="77"/>
      <c r="Z2189" s="5"/>
      <c r="AA2189" s="5"/>
      <c r="AB2189" s="5"/>
      <c r="AC2189" s="5"/>
      <c r="AD2189" s="5"/>
      <c r="AE2189" s="5"/>
      <c r="AF2189" s="5"/>
      <c r="AG2189" s="5"/>
      <c r="AH2189" s="6"/>
      <c r="AI2189" s="92"/>
      <c r="AJ2189" s="93"/>
      <c r="AK2189" s="94"/>
      <c r="AL2189" s="95"/>
      <c r="AM2189" s="56"/>
      <c r="AN2189" s="57">
        <f t="shared" si="354"/>
        <v>0</v>
      </c>
      <c r="AO2189" s="76">
        <f t="shared" si="356"/>
        <v>0</v>
      </c>
      <c r="AP2189" s="63" t="str">
        <f t="shared" si="357"/>
        <v/>
      </c>
      <c r="AQ2189" s="63" t="str">
        <f t="shared" si="358"/>
        <v/>
      </c>
      <c r="AR2189" s="63" t="str">
        <f t="shared" si="359"/>
        <v/>
      </c>
      <c r="AS2189" s="63" t="str">
        <f t="shared" si="360"/>
        <v/>
      </c>
      <c r="AT2189" s="78" t="str">
        <f t="shared" si="361"/>
        <v/>
      </c>
      <c r="AU2189" s="78" t="str">
        <f t="shared" si="362"/>
        <v/>
      </c>
      <c r="AV2189" s="64" t="str">
        <f ca="1">IFERROR(__xludf.DUMMYFUNCTION("IF(TRIM(AU2189)="""","""",AU2189/INDEX(FILTER(AT$3:AT2189,TRIM(AT$3:AT2189)&lt;&gt;""""),ROWS(FILTER(AT$3:AT2189,TRIM(AT$3:AT2189)&lt;&gt;"""")))-1)"),"")</f>
        <v/>
      </c>
      <c r="AW2189" s="65" t="e">
        <f t="shared" ca="1" si="355"/>
        <v>#VALUE!</v>
      </c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</row>
    <row r="2190" spans="1:68" ht="19" x14ac:dyDescent="0.25">
      <c r="A2190" s="5"/>
      <c r="B2190" s="5"/>
      <c r="C2190" s="5"/>
      <c r="D2190" s="5"/>
      <c r="E2190" s="5"/>
      <c r="F2190" s="5"/>
      <c r="G2190" s="5"/>
      <c r="H2190" s="6"/>
      <c r="I2190" s="5"/>
      <c r="J2190" s="88"/>
      <c r="K2190" s="88"/>
      <c r="L2190" s="88"/>
      <c r="M2190" s="88"/>
      <c r="N2190" s="88"/>
      <c r="O2190" s="88"/>
      <c r="P2190" s="88"/>
      <c r="Q2190" s="89"/>
      <c r="R2190" s="88"/>
      <c r="S2190" s="88"/>
      <c r="T2190" s="90"/>
      <c r="U2190" s="6"/>
      <c r="V2190" s="92"/>
      <c r="W2190" s="77"/>
      <c r="X2190" s="91"/>
      <c r="Y2190" s="77"/>
      <c r="Z2190" s="5"/>
      <c r="AA2190" s="5"/>
      <c r="AB2190" s="5"/>
      <c r="AC2190" s="5"/>
      <c r="AD2190" s="5"/>
      <c r="AE2190" s="5"/>
      <c r="AF2190" s="5"/>
      <c r="AG2190" s="5"/>
      <c r="AH2190" s="6"/>
      <c r="AI2190" s="92"/>
      <c r="AJ2190" s="93"/>
      <c r="AK2190" s="94"/>
      <c r="AL2190" s="95"/>
      <c r="AM2190" s="56"/>
      <c r="AN2190" s="57">
        <f t="shared" si="354"/>
        <v>0</v>
      </c>
      <c r="AO2190" s="76">
        <f t="shared" si="356"/>
        <v>0</v>
      </c>
      <c r="AP2190" s="63" t="str">
        <f t="shared" si="357"/>
        <v/>
      </c>
      <c r="AQ2190" s="63" t="str">
        <f t="shared" si="358"/>
        <v/>
      </c>
      <c r="AR2190" s="63" t="str">
        <f t="shared" si="359"/>
        <v/>
      </c>
      <c r="AS2190" s="63" t="str">
        <f t="shared" si="360"/>
        <v/>
      </c>
      <c r="AT2190" s="78" t="str">
        <f t="shared" si="361"/>
        <v/>
      </c>
      <c r="AU2190" s="78" t="str">
        <f t="shared" si="362"/>
        <v/>
      </c>
      <c r="AV2190" s="64" t="str">
        <f ca="1">IFERROR(__xludf.DUMMYFUNCTION("IF(TRIM(AU2190)="""","""",AU2190/INDEX(FILTER(AT$3:AT2190,TRIM(AT$3:AT2190)&lt;&gt;""""),ROWS(FILTER(AT$3:AT2190,TRIM(AT$3:AT2190)&lt;&gt;"""")))-1)"),"")</f>
        <v/>
      </c>
      <c r="AW2190" s="65" t="e">
        <f t="shared" ca="1" si="355"/>
        <v>#VALUE!</v>
      </c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</row>
    <row r="2191" spans="1:68" ht="19" x14ac:dyDescent="0.25">
      <c r="A2191" s="5"/>
      <c r="B2191" s="5"/>
      <c r="C2191" s="5"/>
      <c r="D2191" s="5"/>
      <c r="E2191" s="5"/>
      <c r="F2191" s="5"/>
      <c r="G2191" s="5"/>
      <c r="H2191" s="6"/>
      <c r="I2191" s="5"/>
      <c r="J2191" s="88"/>
      <c r="K2191" s="88"/>
      <c r="L2191" s="88"/>
      <c r="M2191" s="88"/>
      <c r="N2191" s="88"/>
      <c r="O2191" s="88"/>
      <c r="P2191" s="88"/>
      <c r="Q2191" s="89"/>
      <c r="R2191" s="88"/>
      <c r="S2191" s="88"/>
      <c r="T2191" s="90"/>
      <c r="U2191" s="6"/>
      <c r="V2191" s="92"/>
      <c r="W2191" s="77"/>
      <c r="X2191" s="91"/>
      <c r="Y2191" s="77"/>
      <c r="Z2191" s="5"/>
      <c r="AA2191" s="5"/>
      <c r="AB2191" s="5"/>
      <c r="AC2191" s="5"/>
      <c r="AD2191" s="5"/>
      <c r="AE2191" s="5"/>
      <c r="AF2191" s="5"/>
      <c r="AG2191" s="5"/>
      <c r="AH2191" s="6"/>
      <c r="AI2191" s="92"/>
      <c r="AJ2191" s="93"/>
      <c r="AK2191" s="94"/>
      <c r="AL2191" s="95"/>
      <c r="AM2191" s="56"/>
      <c r="AN2191" s="57">
        <f t="shared" si="354"/>
        <v>0</v>
      </c>
      <c r="AO2191" s="76">
        <f t="shared" si="356"/>
        <v>0</v>
      </c>
      <c r="AP2191" s="63" t="str">
        <f t="shared" si="357"/>
        <v/>
      </c>
      <c r="AQ2191" s="63" t="str">
        <f t="shared" si="358"/>
        <v/>
      </c>
      <c r="AR2191" s="63" t="str">
        <f t="shared" si="359"/>
        <v/>
      </c>
      <c r="AS2191" s="63" t="str">
        <f t="shared" si="360"/>
        <v/>
      </c>
      <c r="AT2191" s="78" t="str">
        <f t="shared" si="361"/>
        <v/>
      </c>
      <c r="AU2191" s="78" t="str">
        <f t="shared" si="362"/>
        <v/>
      </c>
      <c r="AV2191" s="64" t="str">
        <f ca="1">IFERROR(__xludf.DUMMYFUNCTION("IF(TRIM(AU2191)="""","""",AU2191/INDEX(FILTER(AT$3:AT2191,TRIM(AT$3:AT2191)&lt;&gt;""""),ROWS(FILTER(AT$3:AT2191,TRIM(AT$3:AT2191)&lt;&gt;"""")))-1)"),"")</f>
        <v/>
      </c>
      <c r="AW2191" s="65" t="e">
        <f t="shared" ca="1" si="355"/>
        <v>#VALUE!</v>
      </c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</row>
    <row r="2192" spans="1:68" ht="19" x14ac:dyDescent="0.25">
      <c r="A2192" s="5"/>
      <c r="B2192" s="5"/>
      <c r="C2192" s="5"/>
      <c r="D2192" s="5"/>
      <c r="E2192" s="5"/>
      <c r="F2192" s="5"/>
      <c r="G2192" s="5"/>
      <c r="H2192" s="6"/>
      <c r="I2192" s="5"/>
      <c r="J2192" s="88"/>
      <c r="K2192" s="88"/>
      <c r="L2192" s="88"/>
      <c r="M2192" s="88"/>
      <c r="N2192" s="88"/>
      <c r="O2192" s="88"/>
      <c r="P2192" s="88"/>
      <c r="Q2192" s="89"/>
      <c r="R2192" s="88"/>
      <c r="S2192" s="88"/>
      <c r="T2192" s="90"/>
      <c r="U2192" s="6"/>
      <c r="V2192" s="92"/>
      <c r="W2192" s="77"/>
      <c r="X2192" s="91"/>
      <c r="Y2192" s="77"/>
      <c r="Z2192" s="5"/>
      <c r="AA2192" s="5"/>
      <c r="AB2192" s="5"/>
      <c r="AC2192" s="5"/>
      <c r="AD2192" s="5"/>
      <c r="AE2192" s="5"/>
      <c r="AF2192" s="5"/>
      <c r="AG2192" s="5"/>
      <c r="AH2192" s="6"/>
      <c r="AI2192" s="92"/>
      <c r="AJ2192" s="93"/>
      <c r="AK2192" s="94"/>
      <c r="AL2192" s="95"/>
      <c r="AM2192" s="56"/>
      <c r="AN2192" s="57">
        <f t="shared" si="354"/>
        <v>0</v>
      </c>
      <c r="AO2192" s="76">
        <f t="shared" si="356"/>
        <v>0</v>
      </c>
      <c r="AP2192" s="63" t="str">
        <f t="shared" si="357"/>
        <v/>
      </c>
      <c r="AQ2192" s="63" t="str">
        <f t="shared" si="358"/>
        <v/>
      </c>
      <c r="AR2192" s="63" t="str">
        <f t="shared" si="359"/>
        <v/>
      </c>
      <c r="AS2192" s="63" t="str">
        <f t="shared" si="360"/>
        <v/>
      </c>
      <c r="AT2192" s="78" t="str">
        <f t="shared" si="361"/>
        <v/>
      </c>
      <c r="AU2192" s="78" t="str">
        <f t="shared" si="362"/>
        <v/>
      </c>
      <c r="AV2192" s="64" t="str">
        <f ca="1">IFERROR(__xludf.DUMMYFUNCTION("IF(TRIM(AU2192)="""","""",AU2192/INDEX(FILTER(AT$3:AT2192,TRIM(AT$3:AT2192)&lt;&gt;""""),ROWS(FILTER(AT$3:AT2192,TRIM(AT$3:AT2192)&lt;&gt;"""")))-1)"),"")</f>
        <v/>
      </c>
      <c r="AW2192" s="65" t="e">
        <f t="shared" ca="1" si="355"/>
        <v>#VALUE!</v>
      </c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</row>
    <row r="2193" spans="1:68" ht="19" x14ac:dyDescent="0.25">
      <c r="A2193" s="5"/>
      <c r="B2193" s="5"/>
      <c r="C2193" s="5"/>
      <c r="D2193" s="5"/>
      <c r="E2193" s="5"/>
      <c r="F2193" s="5"/>
      <c r="G2193" s="5"/>
      <c r="H2193" s="6"/>
      <c r="I2193" s="5"/>
      <c r="J2193" s="88"/>
      <c r="K2193" s="88"/>
      <c r="L2193" s="88"/>
      <c r="M2193" s="88"/>
      <c r="N2193" s="88"/>
      <c r="O2193" s="88"/>
      <c r="P2193" s="88"/>
      <c r="Q2193" s="89"/>
      <c r="R2193" s="88"/>
      <c r="S2193" s="88"/>
      <c r="T2193" s="90"/>
      <c r="U2193" s="6"/>
      <c r="V2193" s="92"/>
      <c r="W2193" s="77"/>
      <c r="X2193" s="91"/>
      <c r="Y2193" s="77"/>
      <c r="Z2193" s="5"/>
      <c r="AA2193" s="5"/>
      <c r="AB2193" s="5"/>
      <c r="AC2193" s="5"/>
      <c r="AD2193" s="5"/>
      <c r="AE2193" s="5"/>
      <c r="AF2193" s="5"/>
      <c r="AG2193" s="5"/>
      <c r="AH2193" s="6"/>
      <c r="AI2193" s="92"/>
      <c r="AJ2193" s="93"/>
      <c r="AK2193" s="94"/>
      <c r="AL2193" s="95"/>
      <c r="AM2193" s="56"/>
      <c r="AN2193" s="57">
        <f t="shared" si="354"/>
        <v>0</v>
      </c>
      <c r="AO2193" s="76">
        <f t="shared" si="356"/>
        <v>0</v>
      </c>
      <c r="AP2193" s="63" t="str">
        <f t="shared" si="357"/>
        <v/>
      </c>
      <c r="AQ2193" s="63" t="str">
        <f t="shared" si="358"/>
        <v/>
      </c>
      <c r="AR2193" s="63" t="str">
        <f t="shared" si="359"/>
        <v/>
      </c>
      <c r="AS2193" s="63" t="str">
        <f t="shared" si="360"/>
        <v/>
      </c>
      <c r="AT2193" s="78" t="str">
        <f t="shared" si="361"/>
        <v/>
      </c>
      <c r="AU2193" s="78" t="str">
        <f t="shared" si="362"/>
        <v/>
      </c>
      <c r="AV2193" s="64" t="str">
        <f ca="1">IFERROR(__xludf.DUMMYFUNCTION("IF(TRIM(AU2193)="""","""",AU2193/INDEX(FILTER(AT$3:AT2193,TRIM(AT$3:AT2193)&lt;&gt;""""),ROWS(FILTER(AT$3:AT2193,TRIM(AT$3:AT2193)&lt;&gt;"""")))-1)"),"")</f>
        <v/>
      </c>
      <c r="AW2193" s="65" t="e">
        <f t="shared" ca="1" si="355"/>
        <v>#VALUE!</v>
      </c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</row>
    <row r="2194" spans="1:68" ht="19" x14ac:dyDescent="0.25">
      <c r="A2194" s="5"/>
      <c r="B2194" s="5"/>
      <c r="C2194" s="5"/>
      <c r="D2194" s="5"/>
      <c r="E2194" s="5"/>
      <c r="F2194" s="5"/>
      <c r="G2194" s="5"/>
      <c r="H2194" s="6"/>
      <c r="I2194" s="5"/>
      <c r="J2194" s="88"/>
      <c r="K2194" s="88"/>
      <c r="L2194" s="88"/>
      <c r="M2194" s="88"/>
      <c r="N2194" s="88"/>
      <c r="O2194" s="88"/>
      <c r="P2194" s="88"/>
      <c r="Q2194" s="89"/>
      <c r="R2194" s="88"/>
      <c r="S2194" s="88"/>
      <c r="T2194" s="90"/>
      <c r="U2194" s="6"/>
      <c r="V2194" s="92"/>
      <c r="W2194" s="77"/>
      <c r="X2194" s="91"/>
      <c r="Y2194" s="77"/>
      <c r="Z2194" s="5"/>
      <c r="AA2194" s="5"/>
      <c r="AB2194" s="5"/>
      <c r="AC2194" s="5"/>
      <c r="AD2194" s="5"/>
      <c r="AE2194" s="5"/>
      <c r="AF2194" s="5"/>
      <c r="AG2194" s="5"/>
      <c r="AH2194" s="6"/>
      <c r="AI2194" s="92"/>
      <c r="AJ2194" s="93"/>
      <c r="AK2194" s="94"/>
      <c r="AL2194" s="95"/>
      <c r="AM2194" s="56"/>
      <c r="AN2194" s="57">
        <f t="shared" si="354"/>
        <v>0</v>
      </c>
      <c r="AO2194" s="76">
        <f t="shared" si="356"/>
        <v>0</v>
      </c>
      <c r="AP2194" s="63" t="str">
        <f t="shared" si="357"/>
        <v/>
      </c>
      <c r="AQ2194" s="63" t="str">
        <f t="shared" si="358"/>
        <v/>
      </c>
      <c r="AR2194" s="63" t="str">
        <f t="shared" si="359"/>
        <v/>
      </c>
      <c r="AS2194" s="63" t="str">
        <f t="shared" si="360"/>
        <v/>
      </c>
      <c r="AT2194" s="78" t="str">
        <f t="shared" si="361"/>
        <v/>
      </c>
      <c r="AU2194" s="78" t="str">
        <f t="shared" si="362"/>
        <v/>
      </c>
      <c r="AV2194" s="64" t="str">
        <f ca="1">IFERROR(__xludf.DUMMYFUNCTION("IF(TRIM(AU2194)="""","""",AU2194/INDEX(FILTER(AT$3:AT2194,TRIM(AT$3:AT2194)&lt;&gt;""""),ROWS(FILTER(AT$3:AT2194,TRIM(AT$3:AT2194)&lt;&gt;"""")))-1)"),"")</f>
        <v/>
      </c>
      <c r="AW2194" s="65" t="e">
        <f t="shared" ca="1" si="355"/>
        <v>#VALUE!</v>
      </c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</row>
    <row r="2195" spans="1:68" ht="19" x14ac:dyDescent="0.25">
      <c r="A2195" s="5"/>
      <c r="B2195" s="5"/>
      <c r="C2195" s="5"/>
      <c r="D2195" s="5"/>
      <c r="E2195" s="5"/>
      <c r="F2195" s="5"/>
      <c r="G2195" s="5"/>
      <c r="H2195" s="6"/>
      <c r="I2195" s="5"/>
      <c r="J2195" s="88"/>
      <c r="K2195" s="88"/>
      <c r="L2195" s="88"/>
      <c r="M2195" s="88"/>
      <c r="N2195" s="88"/>
      <c r="O2195" s="88"/>
      <c r="P2195" s="88"/>
      <c r="Q2195" s="89"/>
      <c r="R2195" s="88"/>
      <c r="S2195" s="88"/>
      <c r="T2195" s="90"/>
      <c r="U2195" s="6"/>
      <c r="V2195" s="92"/>
      <c r="W2195" s="77"/>
      <c r="X2195" s="91"/>
      <c r="Y2195" s="77"/>
      <c r="Z2195" s="5"/>
      <c r="AA2195" s="5"/>
      <c r="AB2195" s="5"/>
      <c r="AC2195" s="5"/>
      <c r="AD2195" s="5"/>
      <c r="AE2195" s="5"/>
      <c r="AF2195" s="5"/>
      <c r="AG2195" s="5"/>
      <c r="AH2195" s="6"/>
      <c r="AI2195" s="92"/>
      <c r="AJ2195" s="93"/>
      <c r="AK2195" s="94"/>
      <c r="AL2195" s="95"/>
      <c r="AM2195" s="56"/>
      <c r="AN2195" s="57">
        <f t="shared" si="354"/>
        <v>0</v>
      </c>
      <c r="AO2195" s="76">
        <f t="shared" si="356"/>
        <v>0</v>
      </c>
      <c r="AP2195" s="63" t="str">
        <f t="shared" si="357"/>
        <v/>
      </c>
      <c r="AQ2195" s="63" t="str">
        <f t="shared" si="358"/>
        <v/>
      </c>
      <c r="AR2195" s="63" t="str">
        <f t="shared" si="359"/>
        <v/>
      </c>
      <c r="AS2195" s="63" t="str">
        <f t="shared" si="360"/>
        <v/>
      </c>
      <c r="AT2195" s="78" t="str">
        <f t="shared" si="361"/>
        <v/>
      </c>
      <c r="AU2195" s="78" t="str">
        <f t="shared" si="362"/>
        <v/>
      </c>
      <c r="AV2195" s="64" t="str">
        <f ca="1">IFERROR(__xludf.DUMMYFUNCTION("IF(TRIM(AU2195)="""","""",AU2195/INDEX(FILTER(AT$3:AT2195,TRIM(AT$3:AT2195)&lt;&gt;""""),ROWS(FILTER(AT$3:AT2195,TRIM(AT$3:AT2195)&lt;&gt;"""")))-1)"),"")</f>
        <v/>
      </c>
      <c r="AW2195" s="65" t="e">
        <f t="shared" ca="1" si="355"/>
        <v>#VALUE!</v>
      </c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</row>
    <row r="2196" spans="1:68" ht="19" x14ac:dyDescent="0.25">
      <c r="A2196" s="5"/>
      <c r="B2196" s="5"/>
      <c r="C2196" s="5"/>
      <c r="D2196" s="5"/>
      <c r="E2196" s="5"/>
      <c r="F2196" s="5"/>
      <c r="G2196" s="5"/>
      <c r="H2196" s="6"/>
      <c r="I2196" s="5"/>
      <c r="J2196" s="88"/>
      <c r="K2196" s="88"/>
      <c r="L2196" s="88"/>
      <c r="M2196" s="88"/>
      <c r="N2196" s="88"/>
      <c r="O2196" s="88"/>
      <c r="P2196" s="88"/>
      <c r="Q2196" s="89"/>
      <c r="R2196" s="88"/>
      <c r="S2196" s="88"/>
      <c r="T2196" s="90"/>
      <c r="U2196" s="6"/>
      <c r="V2196" s="92"/>
      <c r="W2196" s="77"/>
      <c r="X2196" s="91"/>
      <c r="Y2196" s="77"/>
      <c r="Z2196" s="5"/>
      <c r="AA2196" s="5"/>
      <c r="AB2196" s="5"/>
      <c r="AC2196" s="5"/>
      <c r="AD2196" s="5"/>
      <c r="AE2196" s="5"/>
      <c r="AF2196" s="5"/>
      <c r="AG2196" s="5"/>
      <c r="AH2196" s="6"/>
      <c r="AI2196" s="92"/>
      <c r="AJ2196" s="93"/>
      <c r="AK2196" s="94"/>
      <c r="AL2196" s="95"/>
      <c r="AM2196" s="56"/>
      <c r="AN2196" s="57">
        <f t="shared" si="354"/>
        <v>0</v>
      </c>
      <c r="AO2196" s="76">
        <f t="shared" si="356"/>
        <v>0</v>
      </c>
      <c r="AP2196" s="63" t="str">
        <f t="shared" si="357"/>
        <v/>
      </c>
      <c r="AQ2196" s="63" t="str">
        <f t="shared" si="358"/>
        <v/>
      </c>
      <c r="AR2196" s="63" t="str">
        <f t="shared" si="359"/>
        <v/>
      </c>
      <c r="AS2196" s="63" t="str">
        <f t="shared" si="360"/>
        <v/>
      </c>
      <c r="AT2196" s="78" t="str">
        <f t="shared" si="361"/>
        <v/>
      </c>
      <c r="AU2196" s="78" t="str">
        <f t="shared" si="362"/>
        <v/>
      </c>
      <c r="AV2196" s="64" t="str">
        <f ca="1">IFERROR(__xludf.DUMMYFUNCTION("IF(TRIM(AU2196)="""","""",AU2196/INDEX(FILTER(AT$3:AT2196,TRIM(AT$3:AT2196)&lt;&gt;""""),ROWS(FILTER(AT$3:AT2196,TRIM(AT$3:AT2196)&lt;&gt;"""")))-1)"),"")</f>
        <v/>
      </c>
      <c r="AW2196" s="65" t="e">
        <f t="shared" ca="1" si="355"/>
        <v>#VALUE!</v>
      </c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</row>
    <row r="2197" spans="1:68" ht="19" x14ac:dyDescent="0.25">
      <c r="A2197" s="5"/>
      <c r="B2197" s="5"/>
      <c r="C2197" s="5"/>
      <c r="D2197" s="5"/>
      <c r="E2197" s="5"/>
      <c r="F2197" s="5"/>
      <c r="G2197" s="5"/>
      <c r="H2197" s="6"/>
      <c r="I2197" s="5"/>
      <c r="J2197" s="88"/>
      <c r="K2197" s="88"/>
      <c r="L2197" s="88"/>
      <c r="M2197" s="88"/>
      <c r="N2197" s="88"/>
      <c r="O2197" s="88"/>
      <c r="P2197" s="88"/>
      <c r="Q2197" s="89"/>
      <c r="R2197" s="88"/>
      <c r="S2197" s="88"/>
      <c r="T2197" s="90"/>
      <c r="U2197" s="6"/>
      <c r="V2197" s="92"/>
      <c r="W2197" s="77"/>
      <c r="X2197" s="91"/>
      <c r="Y2197" s="77"/>
      <c r="Z2197" s="5"/>
      <c r="AA2197" s="5"/>
      <c r="AB2197" s="5"/>
      <c r="AC2197" s="5"/>
      <c r="AD2197" s="5"/>
      <c r="AE2197" s="5"/>
      <c r="AF2197" s="5"/>
      <c r="AG2197" s="5"/>
      <c r="AH2197" s="6"/>
      <c r="AI2197" s="92"/>
      <c r="AJ2197" s="93"/>
      <c r="AK2197" s="94"/>
      <c r="AL2197" s="95"/>
      <c r="AM2197" s="56"/>
      <c r="AN2197" s="57">
        <f t="shared" si="354"/>
        <v>0</v>
      </c>
      <c r="AO2197" s="76">
        <f t="shared" si="356"/>
        <v>0</v>
      </c>
      <c r="AP2197" s="63" t="str">
        <f t="shared" si="357"/>
        <v/>
      </c>
      <c r="AQ2197" s="63" t="str">
        <f t="shared" si="358"/>
        <v/>
      </c>
      <c r="AR2197" s="63" t="str">
        <f t="shared" si="359"/>
        <v/>
      </c>
      <c r="AS2197" s="63" t="str">
        <f t="shared" si="360"/>
        <v/>
      </c>
      <c r="AT2197" s="78" t="str">
        <f t="shared" si="361"/>
        <v/>
      </c>
      <c r="AU2197" s="78" t="str">
        <f t="shared" si="362"/>
        <v/>
      </c>
      <c r="AV2197" s="64" t="str">
        <f ca="1">IFERROR(__xludf.DUMMYFUNCTION("IF(TRIM(AU2197)="""","""",AU2197/INDEX(FILTER(AT$3:AT2197,TRIM(AT$3:AT2197)&lt;&gt;""""),ROWS(FILTER(AT$3:AT2197,TRIM(AT$3:AT2197)&lt;&gt;"""")))-1)"),"")</f>
        <v/>
      </c>
      <c r="AW2197" s="65" t="e">
        <f t="shared" ca="1" si="355"/>
        <v>#VALUE!</v>
      </c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</row>
    <row r="2198" spans="1:68" ht="19" x14ac:dyDescent="0.25">
      <c r="A2198" s="5"/>
      <c r="B2198" s="5"/>
      <c r="C2198" s="5"/>
      <c r="D2198" s="5"/>
      <c r="E2198" s="5"/>
      <c r="F2198" s="5"/>
      <c r="G2198" s="5"/>
      <c r="H2198" s="6"/>
      <c r="I2198" s="5"/>
      <c r="J2198" s="88"/>
      <c r="K2198" s="88"/>
      <c r="L2198" s="88"/>
      <c r="M2198" s="88"/>
      <c r="N2198" s="88"/>
      <c r="O2198" s="88"/>
      <c r="P2198" s="88"/>
      <c r="Q2198" s="89"/>
      <c r="R2198" s="88"/>
      <c r="S2198" s="88"/>
      <c r="T2198" s="90"/>
      <c r="U2198" s="6"/>
      <c r="V2198" s="92"/>
      <c r="W2198" s="77"/>
      <c r="X2198" s="91"/>
      <c r="Y2198" s="77"/>
      <c r="Z2198" s="5"/>
      <c r="AA2198" s="5"/>
      <c r="AB2198" s="5"/>
      <c r="AC2198" s="5"/>
      <c r="AD2198" s="5"/>
      <c r="AE2198" s="5"/>
      <c r="AF2198" s="5"/>
      <c r="AG2198" s="5"/>
      <c r="AH2198" s="6"/>
      <c r="AI2198" s="92"/>
      <c r="AJ2198" s="93"/>
      <c r="AK2198" s="94"/>
      <c r="AL2198" s="95"/>
      <c r="AM2198" s="56"/>
      <c r="AN2198" s="57">
        <f t="shared" si="354"/>
        <v>0</v>
      </c>
      <c r="AO2198" s="76">
        <f t="shared" si="356"/>
        <v>0</v>
      </c>
      <c r="AP2198" s="63" t="str">
        <f t="shared" si="357"/>
        <v/>
      </c>
      <c r="AQ2198" s="63" t="str">
        <f t="shared" si="358"/>
        <v/>
      </c>
      <c r="AR2198" s="63" t="str">
        <f t="shared" si="359"/>
        <v/>
      </c>
      <c r="AS2198" s="63" t="str">
        <f t="shared" si="360"/>
        <v/>
      </c>
      <c r="AT2198" s="78" t="str">
        <f t="shared" si="361"/>
        <v/>
      </c>
      <c r="AU2198" s="78" t="str">
        <f t="shared" si="362"/>
        <v/>
      </c>
      <c r="AV2198" s="64" t="str">
        <f ca="1">IFERROR(__xludf.DUMMYFUNCTION("IF(TRIM(AU2198)="""","""",AU2198/INDEX(FILTER(AT$3:AT2198,TRIM(AT$3:AT2198)&lt;&gt;""""),ROWS(FILTER(AT$3:AT2198,TRIM(AT$3:AT2198)&lt;&gt;"""")))-1)"),"")</f>
        <v/>
      </c>
      <c r="AW2198" s="65" t="e">
        <f t="shared" ca="1" si="355"/>
        <v>#VALUE!</v>
      </c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</row>
    <row r="2199" spans="1:68" ht="19" x14ac:dyDescent="0.25">
      <c r="A2199" s="5"/>
      <c r="B2199" s="5"/>
      <c r="C2199" s="5"/>
      <c r="D2199" s="5"/>
      <c r="E2199" s="5"/>
      <c r="F2199" s="5"/>
      <c r="G2199" s="5"/>
      <c r="H2199" s="6"/>
      <c r="I2199" s="5"/>
      <c r="J2199" s="88"/>
      <c r="K2199" s="88"/>
      <c r="L2199" s="88"/>
      <c r="M2199" s="88"/>
      <c r="N2199" s="88"/>
      <c r="O2199" s="88"/>
      <c r="P2199" s="88"/>
      <c r="Q2199" s="89"/>
      <c r="R2199" s="88"/>
      <c r="S2199" s="88"/>
      <c r="T2199" s="90"/>
      <c r="U2199" s="6"/>
      <c r="V2199" s="92"/>
      <c r="W2199" s="77"/>
      <c r="X2199" s="91"/>
      <c r="Y2199" s="77"/>
      <c r="Z2199" s="5"/>
      <c r="AA2199" s="5"/>
      <c r="AB2199" s="5"/>
      <c r="AC2199" s="5"/>
      <c r="AD2199" s="5"/>
      <c r="AE2199" s="5"/>
      <c r="AF2199" s="5"/>
      <c r="AG2199" s="5"/>
      <c r="AH2199" s="6"/>
      <c r="AI2199" s="92"/>
      <c r="AJ2199" s="93"/>
      <c r="AK2199" s="94"/>
      <c r="AL2199" s="95"/>
      <c r="AM2199" s="56"/>
      <c r="AN2199" s="57">
        <f t="shared" si="354"/>
        <v>0</v>
      </c>
      <c r="AO2199" s="76">
        <f t="shared" si="356"/>
        <v>0</v>
      </c>
      <c r="AP2199" s="63" t="str">
        <f t="shared" si="357"/>
        <v/>
      </c>
      <c r="AQ2199" s="63" t="str">
        <f t="shared" si="358"/>
        <v/>
      </c>
      <c r="AR2199" s="63" t="str">
        <f t="shared" si="359"/>
        <v/>
      </c>
      <c r="AS2199" s="63" t="str">
        <f t="shared" si="360"/>
        <v/>
      </c>
      <c r="AT2199" s="78" t="str">
        <f t="shared" si="361"/>
        <v/>
      </c>
      <c r="AU2199" s="78" t="str">
        <f t="shared" si="362"/>
        <v/>
      </c>
      <c r="AV2199" s="64" t="str">
        <f ca="1">IFERROR(__xludf.DUMMYFUNCTION("IF(TRIM(AU2199)="""","""",AU2199/INDEX(FILTER(AT$3:AT2199,TRIM(AT$3:AT2199)&lt;&gt;""""),ROWS(FILTER(AT$3:AT2199,TRIM(AT$3:AT2199)&lt;&gt;"""")))-1)"),"")</f>
        <v/>
      </c>
      <c r="AW2199" s="65" t="e">
        <f t="shared" ca="1" si="355"/>
        <v>#VALUE!</v>
      </c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</row>
    <row r="2200" spans="1:68" ht="19" x14ac:dyDescent="0.25">
      <c r="A2200" s="5"/>
      <c r="B2200" s="5"/>
      <c r="C2200" s="5"/>
      <c r="D2200" s="5"/>
      <c r="E2200" s="5"/>
      <c r="F2200" s="5"/>
      <c r="G2200" s="5"/>
      <c r="H2200" s="6"/>
      <c r="I2200" s="5"/>
      <c r="J2200" s="88"/>
      <c r="K2200" s="88"/>
      <c r="L2200" s="88"/>
      <c r="M2200" s="88"/>
      <c r="N2200" s="88"/>
      <c r="O2200" s="88"/>
      <c r="P2200" s="88"/>
      <c r="Q2200" s="89"/>
      <c r="R2200" s="88"/>
      <c r="S2200" s="88"/>
      <c r="T2200" s="90"/>
      <c r="U2200" s="6"/>
      <c r="V2200" s="92"/>
      <c r="W2200" s="77"/>
      <c r="X2200" s="91"/>
      <c r="Y2200" s="77"/>
      <c r="Z2200" s="5"/>
      <c r="AA2200" s="5"/>
      <c r="AB2200" s="5"/>
      <c r="AC2200" s="5"/>
      <c r="AD2200" s="5"/>
      <c r="AE2200" s="5"/>
      <c r="AF2200" s="5"/>
      <c r="AG2200" s="5"/>
      <c r="AH2200" s="6"/>
      <c r="AI2200" s="92"/>
      <c r="AJ2200" s="93"/>
      <c r="AK2200" s="94"/>
      <c r="AL2200" s="95"/>
      <c r="AM2200" s="56"/>
      <c r="AN2200" s="57">
        <f t="shared" si="354"/>
        <v>0</v>
      </c>
      <c r="AO2200" s="76">
        <f t="shared" si="356"/>
        <v>0</v>
      </c>
      <c r="AP2200" s="63" t="str">
        <f t="shared" si="357"/>
        <v/>
      </c>
      <c r="AQ2200" s="63" t="str">
        <f t="shared" si="358"/>
        <v/>
      </c>
      <c r="AR2200" s="63" t="str">
        <f t="shared" si="359"/>
        <v/>
      </c>
      <c r="AS2200" s="63" t="str">
        <f t="shared" si="360"/>
        <v/>
      </c>
      <c r="AT2200" s="78" t="str">
        <f t="shared" si="361"/>
        <v/>
      </c>
      <c r="AU2200" s="78" t="str">
        <f t="shared" si="362"/>
        <v/>
      </c>
      <c r="AV2200" s="64" t="str">
        <f ca="1">IFERROR(__xludf.DUMMYFUNCTION("IF(TRIM(AU2200)="""","""",AU2200/INDEX(FILTER(AT$3:AT2200,TRIM(AT$3:AT2200)&lt;&gt;""""),ROWS(FILTER(AT$3:AT2200,TRIM(AT$3:AT2200)&lt;&gt;"""")))-1)"),"")</f>
        <v/>
      </c>
      <c r="AW2200" s="65" t="e">
        <f t="shared" ca="1" si="355"/>
        <v>#VALUE!</v>
      </c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</row>
    <row r="2201" spans="1:68" ht="19" x14ac:dyDescent="0.25">
      <c r="A2201" s="5"/>
      <c r="B2201" s="5"/>
      <c r="C2201" s="5"/>
      <c r="D2201" s="5"/>
      <c r="E2201" s="5"/>
      <c r="F2201" s="5"/>
      <c r="G2201" s="5"/>
      <c r="H2201" s="6"/>
      <c r="I2201" s="5"/>
      <c r="J2201" s="88"/>
      <c r="K2201" s="88"/>
      <c r="L2201" s="88"/>
      <c r="M2201" s="88"/>
      <c r="N2201" s="88"/>
      <c r="O2201" s="88"/>
      <c r="P2201" s="88"/>
      <c r="Q2201" s="89"/>
      <c r="R2201" s="88"/>
      <c r="S2201" s="88"/>
      <c r="T2201" s="90"/>
      <c r="U2201" s="6"/>
      <c r="V2201" s="92"/>
      <c r="W2201" s="77"/>
      <c r="X2201" s="91"/>
      <c r="Y2201" s="77"/>
      <c r="Z2201" s="5"/>
      <c r="AA2201" s="5"/>
      <c r="AB2201" s="5"/>
      <c r="AC2201" s="5"/>
      <c r="AD2201" s="5"/>
      <c r="AE2201" s="5"/>
      <c r="AF2201" s="5"/>
      <c r="AG2201" s="5"/>
      <c r="AH2201" s="6"/>
      <c r="AI2201" s="92"/>
      <c r="AJ2201" s="93"/>
      <c r="AK2201" s="94"/>
      <c r="AL2201" s="95"/>
      <c r="AM2201" s="56"/>
      <c r="AN2201" s="57">
        <f t="shared" si="354"/>
        <v>0</v>
      </c>
      <c r="AO2201" s="76">
        <f t="shared" si="356"/>
        <v>0</v>
      </c>
      <c r="AP2201" s="63" t="str">
        <f t="shared" si="357"/>
        <v/>
      </c>
      <c r="AQ2201" s="63" t="str">
        <f t="shared" si="358"/>
        <v/>
      </c>
      <c r="AR2201" s="63" t="str">
        <f t="shared" si="359"/>
        <v/>
      </c>
      <c r="AS2201" s="63" t="str">
        <f t="shared" si="360"/>
        <v/>
      </c>
      <c r="AT2201" s="78" t="str">
        <f t="shared" si="361"/>
        <v/>
      </c>
      <c r="AU2201" s="78" t="str">
        <f t="shared" si="362"/>
        <v/>
      </c>
      <c r="AV2201" s="64" t="str">
        <f ca="1">IFERROR(__xludf.DUMMYFUNCTION("IF(TRIM(AU2201)="""","""",AU2201/INDEX(FILTER(AT$3:AT2201,TRIM(AT$3:AT2201)&lt;&gt;""""),ROWS(FILTER(AT$3:AT2201,TRIM(AT$3:AT2201)&lt;&gt;"""")))-1)"),"")</f>
        <v/>
      </c>
      <c r="AW2201" s="65" t="e">
        <f t="shared" ca="1" si="355"/>
        <v>#VALUE!</v>
      </c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</row>
    <row r="2202" spans="1:68" ht="19" x14ac:dyDescent="0.25">
      <c r="A2202" s="5"/>
      <c r="B2202" s="5"/>
      <c r="C2202" s="5"/>
      <c r="D2202" s="5"/>
      <c r="E2202" s="5"/>
      <c r="F2202" s="5"/>
      <c r="G2202" s="5"/>
      <c r="H2202" s="6"/>
      <c r="I2202" s="5"/>
      <c r="J2202" s="88"/>
      <c r="K2202" s="88"/>
      <c r="L2202" s="88"/>
      <c r="M2202" s="88"/>
      <c r="N2202" s="88"/>
      <c r="O2202" s="88"/>
      <c r="P2202" s="88"/>
      <c r="Q2202" s="89"/>
      <c r="R2202" s="88"/>
      <c r="S2202" s="88"/>
      <c r="T2202" s="90"/>
      <c r="U2202" s="6"/>
      <c r="V2202" s="92"/>
      <c r="W2202" s="77"/>
      <c r="X2202" s="91"/>
      <c r="Y2202" s="77"/>
      <c r="Z2202" s="5"/>
      <c r="AA2202" s="5"/>
      <c r="AB2202" s="5"/>
      <c r="AC2202" s="5"/>
      <c r="AD2202" s="5"/>
      <c r="AE2202" s="5"/>
      <c r="AF2202" s="5"/>
      <c r="AG2202" s="5"/>
      <c r="AH2202" s="6"/>
      <c r="AI2202" s="92"/>
      <c r="AJ2202" s="93"/>
      <c r="AK2202" s="94"/>
      <c r="AL2202" s="95"/>
      <c r="AM2202" s="56"/>
      <c r="AN2202" s="57">
        <f t="shared" si="354"/>
        <v>0</v>
      </c>
      <c r="AO2202" s="76">
        <f t="shared" si="356"/>
        <v>0</v>
      </c>
      <c r="AP2202" s="63" t="str">
        <f t="shared" si="357"/>
        <v/>
      </c>
      <c r="AQ2202" s="63" t="str">
        <f t="shared" si="358"/>
        <v/>
      </c>
      <c r="AR2202" s="63" t="str">
        <f t="shared" si="359"/>
        <v/>
      </c>
      <c r="AS2202" s="63" t="str">
        <f t="shared" si="360"/>
        <v/>
      </c>
      <c r="AT2202" s="78" t="str">
        <f t="shared" si="361"/>
        <v/>
      </c>
      <c r="AU2202" s="78" t="str">
        <f t="shared" si="362"/>
        <v/>
      </c>
      <c r="AV2202" s="64" t="str">
        <f ca="1">IFERROR(__xludf.DUMMYFUNCTION("IF(TRIM(AU2202)="""","""",AU2202/INDEX(FILTER(AT$3:AT2202,TRIM(AT$3:AT2202)&lt;&gt;""""),ROWS(FILTER(AT$3:AT2202,TRIM(AT$3:AT2202)&lt;&gt;"""")))-1)"),"")</f>
        <v/>
      </c>
      <c r="AW2202" s="65" t="e">
        <f t="shared" ca="1" si="355"/>
        <v>#VALUE!</v>
      </c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</row>
    <row r="2203" spans="1:68" ht="19" x14ac:dyDescent="0.25">
      <c r="A2203" s="5"/>
      <c r="B2203" s="5"/>
      <c r="C2203" s="5"/>
      <c r="D2203" s="5"/>
      <c r="E2203" s="5"/>
      <c r="F2203" s="5"/>
      <c r="G2203" s="5"/>
      <c r="H2203" s="6"/>
      <c r="I2203" s="5"/>
      <c r="J2203" s="88"/>
      <c r="K2203" s="88"/>
      <c r="L2203" s="88"/>
      <c r="M2203" s="88"/>
      <c r="N2203" s="88"/>
      <c r="O2203" s="88"/>
      <c r="P2203" s="88"/>
      <c r="Q2203" s="89"/>
      <c r="R2203" s="88"/>
      <c r="S2203" s="88"/>
      <c r="T2203" s="90"/>
      <c r="U2203" s="6"/>
      <c r="V2203" s="92"/>
      <c r="W2203" s="77"/>
      <c r="X2203" s="91"/>
      <c r="Y2203" s="77"/>
      <c r="Z2203" s="5"/>
      <c r="AA2203" s="5"/>
      <c r="AB2203" s="5"/>
      <c r="AC2203" s="5"/>
      <c r="AD2203" s="5"/>
      <c r="AE2203" s="5"/>
      <c r="AF2203" s="5"/>
      <c r="AG2203" s="5"/>
      <c r="AH2203" s="6"/>
      <c r="AI2203" s="92"/>
      <c r="AJ2203" s="93"/>
      <c r="AK2203" s="94"/>
      <c r="AL2203" s="95"/>
      <c r="AM2203" s="56"/>
      <c r="AN2203" s="57">
        <f t="shared" si="354"/>
        <v>0</v>
      </c>
      <c r="AO2203" s="76">
        <f t="shared" si="356"/>
        <v>0</v>
      </c>
      <c r="AP2203" s="63" t="str">
        <f t="shared" si="357"/>
        <v/>
      </c>
      <c r="AQ2203" s="63" t="str">
        <f t="shared" si="358"/>
        <v/>
      </c>
      <c r="AR2203" s="63" t="str">
        <f t="shared" si="359"/>
        <v/>
      </c>
      <c r="AS2203" s="63" t="str">
        <f t="shared" si="360"/>
        <v/>
      </c>
      <c r="AT2203" s="78" t="str">
        <f t="shared" si="361"/>
        <v/>
      </c>
      <c r="AU2203" s="78" t="str">
        <f t="shared" si="362"/>
        <v/>
      </c>
      <c r="AV2203" s="64" t="str">
        <f ca="1">IFERROR(__xludf.DUMMYFUNCTION("IF(TRIM(AU2203)="""","""",AU2203/INDEX(FILTER(AT$3:AT2203,TRIM(AT$3:AT2203)&lt;&gt;""""),ROWS(FILTER(AT$3:AT2203,TRIM(AT$3:AT2203)&lt;&gt;"""")))-1)"),"")</f>
        <v/>
      </c>
      <c r="AW2203" s="65" t="e">
        <f t="shared" ca="1" si="355"/>
        <v>#VALUE!</v>
      </c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</row>
    <row r="2204" spans="1:68" ht="19" x14ac:dyDescent="0.25">
      <c r="A2204" s="5"/>
      <c r="B2204" s="5"/>
      <c r="C2204" s="5"/>
      <c r="D2204" s="5"/>
      <c r="E2204" s="5"/>
      <c r="F2204" s="5"/>
      <c r="G2204" s="5"/>
      <c r="H2204" s="6"/>
      <c r="I2204" s="5"/>
      <c r="J2204" s="88"/>
      <c r="K2204" s="88"/>
      <c r="L2204" s="88"/>
      <c r="M2204" s="88"/>
      <c r="N2204" s="88"/>
      <c r="O2204" s="88"/>
      <c r="P2204" s="88"/>
      <c r="Q2204" s="89"/>
      <c r="R2204" s="88"/>
      <c r="S2204" s="88"/>
      <c r="T2204" s="90"/>
      <c r="U2204" s="6"/>
      <c r="V2204" s="92"/>
      <c r="W2204" s="77"/>
      <c r="X2204" s="91"/>
      <c r="Y2204" s="77"/>
      <c r="Z2204" s="5"/>
      <c r="AA2204" s="5"/>
      <c r="AB2204" s="5"/>
      <c r="AC2204" s="5"/>
      <c r="AD2204" s="5"/>
      <c r="AE2204" s="5"/>
      <c r="AF2204" s="5"/>
      <c r="AG2204" s="5"/>
      <c r="AH2204" s="6"/>
      <c r="AI2204" s="92"/>
      <c r="AJ2204" s="93"/>
      <c r="AK2204" s="94"/>
      <c r="AL2204" s="95"/>
      <c r="AM2204" s="56"/>
      <c r="AN2204" s="57">
        <f t="shared" si="354"/>
        <v>0</v>
      </c>
      <c r="AO2204" s="76">
        <f t="shared" si="356"/>
        <v>0</v>
      </c>
      <c r="AP2204" s="63" t="str">
        <f t="shared" si="357"/>
        <v/>
      </c>
      <c r="AQ2204" s="63" t="str">
        <f t="shared" si="358"/>
        <v/>
      </c>
      <c r="AR2204" s="63" t="str">
        <f t="shared" si="359"/>
        <v/>
      </c>
      <c r="AS2204" s="63" t="str">
        <f t="shared" si="360"/>
        <v/>
      </c>
      <c r="AT2204" s="78" t="str">
        <f t="shared" si="361"/>
        <v/>
      </c>
      <c r="AU2204" s="78" t="str">
        <f t="shared" si="362"/>
        <v/>
      </c>
      <c r="AV2204" s="64" t="str">
        <f ca="1">IFERROR(__xludf.DUMMYFUNCTION("IF(TRIM(AU2204)="""","""",AU2204/INDEX(FILTER(AT$3:AT2204,TRIM(AT$3:AT2204)&lt;&gt;""""),ROWS(FILTER(AT$3:AT2204,TRIM(AT$3:AT2204)&lt;&gt;"""")))-1)"),"")</f>
        <v/>
      </c>
      <c r="AW2204" s="65" t="e">
        <f t="shared" ca="1" si="355"/>
        <v>#VALUE!</v>
      </c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</row>
    <row r="2205" spans="1:68" ht="19" x14ac:dyDescent="0.25">
      <c r="A2205" s="5"/>
      <c r="B2205" s="5"/>
      <c r="C2205" s="5"/>
      <c r="D2205" s="5"/>
      <c r="E2205" s="5"/>
      <c r="F2205" s="5"/>
      <c r="G2205" s="5"/>
      <c r="H2205" s="6"/>
      <c r="I2205" s="5"/>
      <c r="J2205" s="88"/>
      <c r="K2205" s="88"/>
      <c r="L2205" s="88"/>
      <c r="M2205" s="88"/>
      <c r="N2205" s="88"/>
      <c r="O2205" s="88"/>
      <c r="P2205" s="88"/>
      <c r="Q2205" s="89"/>
      <c r="R2205" s="88"/>
      <c r="S2205" s="88"/>
      <c r="T2205" s="90"/>
      <c r="U2205" s="6"/>
      <c r="V2205" s="92"/>
      <c r="W2205" s="77"/>
      <c r="X2205" s="91"/>
      <c r="Y2205" s="77"/>
      <c r="Z2205" s="5"/>
      <c r="AA2205" s="5"/>
      <c r="AB2205" s="5"/>
      <c r="AC2205" s="5"/>
      <c r="AD2205" s="5"/>
      <c r="AE2205" s="5"/>
      <c r="AF2205" s="5"/>
      <c r="AG2205" s="5"/>
      <c r="AH2205" s="6"/>
      <c r="AI2205" s="92"/>
      <c r="AJ2205" s="93"/>
      <c r="AK2205" s="94"/>
      <c r="AL2205" s="95"/>
      <c r="AM2205" s="56"/>
      <c r="AN2205" s="57">
        <f t="shared" si="354"/>
        <v>0</v>
      </c>
      <c r="AO2205" s="76">
        <f t="shared" si="356"/>
        <v>0</v>
      </c>
      <c r="AP2205" s="63" t="str">
        <f t="shared" si="357"/>
        <v/>
      </c>
      <c r="AQ2205" s="63" t="str">
        <f t="shared" si="358"/>
        <v/>
      </c>
      <c r="AR2205" s="63" t="str">
        <f t="shared" si="359"/>
        <v/>
      </c>
      <c r="AS2205" s="63" t="str">
        <f t="shared" si="360"/>
        <v/>
      </c>
      <c r="AT2205" s="78" t="str">
        <f t="shared" si="361"/>
        <v/>
      </c>
      <c r="AU2205" s="78" t="str">
        <f t="shared" si="362"/>
        <v/>
      </c>
      <c r="AV2205" s="64" t="str">
        <f ca="1">IFERROR(__xludf.DUMMYFUNCTION("IF(TRIM(AU2205)="""","""",AU2205/INDEX(FILTER(AT$3:AT2205,TRIM(AT$3:AT2205)&lt;&gt;""""),ROWS(FILTER(AT$3:AT2205,TRIM(AT$3:AT2205)&lt;&gt;"""")))-1)"),"")</f>
        <v/>
      </c>
      <c r="AW2205" s="65" t="e">
        <f t="shared" ca="1" si="355"/>
        <v>#VALUE!</v>
      </c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</row>
    <row r="2206" spans="1:68" ht="19" x14ac:dyDescent="0.25">
      <c r="A2206" s="5"/>
      <c r="B2206" s="5"/>
      <c r="C2206" s="5"/>
      <c r="D2206" s="5"/>
      <c r="E2206" s="5"/>
      <c r="F2206" s="5"/>
      <c r="G2206" s="5"/>
      <c r="H2206" s="6"/>
      <c r="I2206" s="5"/>
      <c r="J2206" s="88"/>
      <c r="K2206" s="88"/>
      <c r="L2206" s="88"/>
      <c r="M2206" s="88"/>
      <c r="N2206" s="88"/>
      <c r="O2206" s="88"/>
      <c r="P2206" s="88"/>
      <c r="Q2206" s="89"/>
      <c r="R2206" s="88"/>
      <c r="S2206" s="88"/>
      <c r="T2206" s="90"/>
      <c r="U2206" s="6"/>
      <c r="V2206" s="92"/>
      <c r="W2206" s="77"/>
      <c r="X2206" s="91"/>
      <c r="Y2206" s="77"/>
      <c r="Z2206" s="5"/>
      <c r="AA2206" s="5"/>
      <c r="AB2206" s="5"/>
      <c r="AC2206" s="5"/>
      <c r="AD2206" s="5"/>
      <c r="AE2206" s="5"/>
      <c r="AF2206" s="5"/>
      <c r="AG2206" s="5"/>
      <c r="AH2206" s="6"/>
      <c r="AI2206" s="92"/>
      <c r="AJ2206" s="93"/>
      <c r="AK2206" s="94"/>
      <c r="AL2206" s="95"/>
      <c r="AM2206" s="56"/>
      <c r="AN2206" s="57">
        <f t="shared" si="354"/>
        <v>0</v>
      </c>
      <c r="AO2206" s="76">
        <f t="shared" si="356"/>
        <v>0</v>
      </c>
      <c r="AP2206" s="63" t="str">
        <f t="shared" si="357"/>
        <v/>
      </c>
      <c r="AQ2206" s="63" t="str">
        <f t="shared" si="358"/>
        <v/>
      </c>
      <c r="AR2206" s="63" t="str">
        <f t="shared" si="359"/>
        <v/>
      </c>
      <c r="AS2206" s="63" t="str">
        <f t="shared" si="360"/>
        <v/>
      </c>
      <c r="AT2206" s="78" t="str">
        <f t="shared" si="361"/>
        <v/>
      </c>
      <c r="AU2206" s="78" t="str">
        <f t="shared" si="362"/>
        <v/>
      </c>
      <c r="AV2206" s="64" t="str">
        <f ca="1">IFERROR(__xludf.DUMMYFUNCTION("IF(TRIM(AU2206)="""","""",AU2206/INDEX(FILTER(AT$3:AT2206,TRIM(AT$3:AT2206)&lt;&gt;""""),ROWS(FILTER(AT$3:AT2206,TRIM(AT$3:AT2206)&lt;&gt;"""")))-1)"),"")</f>
        <v/>
      </c>
      <c r="AW2206" s="65" t="e">
        <f t="shared" ca="1" si="355"/>
        <v>#VALUE!</v>
      </c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</row>
    <row r="2207" spans="1:68" ht="19" x14ac:dyDescent="0.25">
      <c r="A2207" s="5"/>
      <c r="B2207" s="5"/>
      <c r="C2207" s="5"/>
      <c r="D2207" s="5"/>
      <c r="E2207" s="5"/>
      <c r="F2207" s="5"/>
      <c r="G2207" s="5"/>
      <c r="H2207" s="6"/>
      <c r="I2207" s="5"/>
      <c r="J2207" s="88"/>
      <c r="K2207" s="88"/>
      <c r="L2207" s="88"/>
      <c r="M2207" s="88"/>
      <c r="N2207" s="88"/>
      <c r="O2207" s="88"/>
      <c r="P2207" s="88"/>
      <c r="Q2207" s="89"/>
      <c r="R2207" s="88"/>
      <c r="S2207" s="88"/>
      <c r="T2207" s="90"/>
      <c r="U2207" s="6"/>
      <c r="V2207" s="92"/>
      <c r="W2207" s="77"/>
      <c r="X2207" s="91"/>
      <c r="Y2207" s="77"/>
      <c r="Z2207" s="5"/>
      <c r="AA2207" s="5"/>
      <c r="AB2207" s="5"/>
      <c r="AC2207" s="5"/>
      <c r="AD2207" s="5"/>
      <c r="AE2207" s="5"/>
      <c r="AF2207" s="5"/>
      <c r="AG2207" s="5"/>
      <c r="AH2207" s="6"/>
      <c r="AI2207" s="92"/>
      <c r="AJ2207" s="93"/>
      <c r="AK2207" s="94"/>
      <c r="AL2207" s="95"/>
      <c r="AM2207" s="56"/>
      <c r="AN2207" s="57">
        <f t="shared" si="354"/>
        <v>0</v>
      </c>
      <c r="AO2207" s="76">
        <f t="shared" si="356"/>
        <v>0</v>
      </c>
      <c r="AP2207" s="63" t="str">
        <f t="shared" si="357"/>
        <v/>
      </c>
      <c r="AQ2207" s="63" t="str">
        <f t="shared" si="358"/>
        <v/>
      </c>
      <c r="AR2207" s="63" t="str">
        <f t="shared" si="359"/>
        <v/>
      </c>
      <c r="AS2207" s="63" t="str">
        <f t="shared" si="360"/>
        <v/>
      </c>
      <c r="AT2207" s="78" t="str">
        <f t="shared" si="361"/>
        <v/>
      </c>
      <c r="AU2207" s="78" t="str">
        <f t="shared" si="362"/>
        <v/>
      </c>
      <c r="AV2207" s="64" t="str">
        <f ca="1">IFERROR(__xludf.DUMMYFUNCTION("IF(TRIM(AU2207)="""","""",AU2207/INDEX(FILTER(AT$3:AT2207,TRIM(AT$3:AT2207)&lt;&gt;""""),ROWS(FILTER(AT$3:AT2207,TRIM(AT$3:AT2207)&lt;&gt;"""")))-1)"),"")</f>
        <v/>
      </c>
      <c r="AW2207" s="65" t="e">
        <f t="shared" ca="1" si="355"/>
        <v>#VALUE!</v>
      </c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</row>
    <row r="2208" spans="1:68" ht="19" x14ac:dyDescent="0.25">
      <c r="A2208" s="5"/>
      <c r="B2208" s="5"/>
      <c r="C2208" s="5"/>
      <c r="D2208" s="5"/>
      <c r="E2208" s="5"/>
      <c r="F2208" s="5"/>
      <c r="G2208" s="5"/>
      <c r="H2208" s="6"/>
      <c r="I2208" s="5"/>
      <c r="J2208" s="88"/>
      <c r="K2208" s="88"/>
      <c r="L2208" s="88"/>
      <c r="M2208" s="88"/>
      <c r="N2208" s="88"/>
      <c r="O2208" s="88"/>
      <c r="P2208" s="88"/>
      <c r="Q2208" s="89"/>
      <c r="R2208" s="88"/>
      <c r="S2208" s="88"/>
      <c r="T2208" s="90"/>
      <c r="U2208" s="6"/>
      <c r="V2208" s="92"/>
      <c r="W2208" s="77"/>
      <c r="X2208" s="91"/>
      <c r="Y2208" s="77"/>
      <c r="Z2208" s="5"/>
      <c r="AA2208" s="5"/>
      <c r="AB2208" s="5"/>
      <c r="AC2208" s="5"/>
      <c r="AD2208" s="5"/>
      <c r="AE2208" s="5"/>
      <c r="AF2208" s="5"/>
      <c r="AG2208" s="5"/>
      <c r="AH2208" s="6"/>
      <c r="AI2208" s="92"/>
      <c r="AJ2208" s="93"/>
      <c r="AK2208" s="94"/>
      <c r="AL2208" s="95"/>
      <c r="AM2208" s="56"/>
      <c r="AN2208" s="57">
        <f t="shared" si="354"/>
        <v>0</v>
      </c>
      <c r="AO2208" s="76">
        <f t="shared" si="356"/>
        <v>0</v>
      </c>
      <c r="AP2208" s="63" t="str">
        <f t="shared" si="357"/>
        <v/>
      </c>
      <c r="AQ2208" s="63" t="str">
        <f t="shared" si="358"/>
        <v/>
      </c>
      <c r="AR2208" s="63" t="str">
        <f t="shared" si="359"/>
        <v/>
      </c>
      <c r="AS2208" s="63" t="str">
        <f t="shared" si="360"/>
        <v/>
      </c>
      <c r="AT2208" s="78" t="str">
        <f t="shared" si="361"/>
        <v/>
      </c>
      <c r="AU2208" s="78" t="str">
        <f t="shared" si="362"/>
        <v/>
      </c>
      <c r="AV2208" s="64" t="str">
        <f ca="1">IFERROR(__xludf.DUMMYFUNCTION("IF(TRIM(AU2208)="""","""",AU2208/INDEX(FILTER(AT$3:AT2208,TRIM(AT$3:AT2208)&lt;&gt;""""),ROWS(FILTER(AT$3:AT2208,TRIM(AT$3:AT2208)&lt;&gt;"""")))-1)"),"")</f>
        <v/>
      </c>
      <c r="AW2208" s="65" t="e">
        <f t="shared" ca="1" si="355"/>
        <v>#VALUE!</v>
      </c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</row>
    <row r="2209" spans="1:68" ht="19" x14ac:dyDescent="0.25">
      <c r="A2209" s="5"/>
      <c r="B2209" s="5"/>
      <c r="C2209" s="5"/>
      <c r="D2209" s="5"/>
      <c r="E2209" s="5"/>
      <c r="F2209" s="5"/>
      <c r="G2209" s="5"/>
      <c r="H2209" s="6"/>
      <c r="I2209" s="5"/>
      <c r="J2209" s="88"/>
      <c r="K2209" s="88"/>
      <c r="L2209" s="88"/>
      <c r="M2209" s="88"/>
      <c r="N2209" s="88"/>
      <c r="O2209" s="88"/>
      <c r="P2209" s="88"/>
      <c r="Q2209" s="89"/>
      <c r="R2209" s="88"/>
      <c r="S2209" s="88"/>
      <c r="T2209" s="90"/>
      <c r="U2209" s="6"/>
      <c r="V2209" s="92"/>
      <c r="W2209" s="77"/>
      <c r="X2209" s="91"/>
      <c r="Y2209" s="77"/>
      <c r="Z2209" s="5"/>
      <c r="AA2209" s="5"/>
      <c r="AB2209" s="5"/>
      <c r="AC2209" s="5"/>
      <c r="AD2209" s="5"/>
      <c r="AE2209" s="5"/>
      <c r="AF2209" s="5"/>
      <c r="AG2209" s="5"/>
      <c r="AH2209" s="6"/>
      <c r="AI2209" s="92"/>
      <c r="AJ2209" s="93"/>
      <c r="AK2209" s="94"/>
      <c r="AL2209" s="95"/>
      <c r="AM2209" s="56"/>
      <c r="AN2209" s="57">
        <f t="shared" si="354"/>
        <v>0</v>
      </c>
      <c r="AO2209" s="76">
        <f t="shared" si="356"/>
        <v>0</v>
      </c>
      <c r="AP2209" s="63" t="str">
        <f t="shared" si="357"/>
        <v/>
      </c>
      <c r="AQ2209" s="63" t="str">
        <f t="shared" si="358"/>
        <v/>
      </c>
      <c r="AR2209" s="63" t="str">
        <f t="shared" si="359"/>
        <v/>
      </c>
      <c r="AS2209" s="63" t="str">
        <f t="shared" si="360"/>
        <v/>
      </c>
      <c r="AT2209" s="78" t="str">
        <f t="shared" si="361"/>
        <v/>
      </c>
      <c r="AU2209" s="78" t="str">
        <f t="shared" si="362"/>
        <v/>
      </c>
      <c r="AV2209" s="64" t="str">
        <f ca="1">IFERROR(__xludf.DUMMYFUNCTION("IF(TRIM(AU2209)="""","""",AU2209/INDEX(FILTER(AT$3:AT2209,TRIM(AT$3:AT2209)&lt;&gt;""""),ROWS(FILTER(AT$3:AT2209,TRIM(AT$3:AT2209)&lt;&gt;"""")))-1)"),"")</f>
        <v/>
      </c>
      <c r="AW2209" s="65" t="e">
        <f t="shared" ca="1" si="355"/>
        <v>#VALUE!</v>
      </c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</row>
    <row r="2210" spans="1:68" ht="19" x14ac:dyDescent="0.25">
      <c r="A2210" s="5"/>
      <c r="B2210" s="5"/>
      <c r="C2210" s="5"/>
      <c r="D2210" s="5"/>
      <c r="E2210" s="5"/>
      <c r="F2210" s="5"/>
      <c r="G2210" s="5"/>
      <c r="H2210" s="6"/>
      <c r="I2210" s="5"/>
      <c r="J2210" s="88"/>
      <c r="K2210" s="88"/>
      <c r="L2210" s="88"/>
      <c r="M2210" s="88"/>
      <c r="N2210" s="88"/>
      <c r="O2210" s="88"/>
      <c r="P2210" s="88"/>
      <c r="Q2210" s="89"/>
      <c r="R2210" s="88"/>
      <c r="S2210" s="88"/>
      <c r="T2210" s="90"/>
      <c r="U2210" s="6"/>
      <c r="V2210" s="92"/>
      <c r="W2210" s="77"/>
      <c r="X2210" s="91"/>
      <c r="Y2210" s="77"/>
      <c r="Z2210" s="5"/>
      <c r="AA2210" s="5"/>
      <c r="AB2210" s="5"/>
      <c r="AC2210" s="5"/>
      <c r="AD2210" s="5"/>
      <c r="AE2210" s="5"/>
      <c r="AF2210" s="5"/>
      <c r="AG2210" s="5"/>
      <c r="AH2210" s="6"/>
      <c r="AI2210" s="92"/>
      <c r="AJ2210" s="93"/>
      <c r="AK2210" s="94"/>
      <c r="AL2210" s="95"/>
      <c r="AM2210" s="56"/>
      <c r="AN2210" s="57">
        <f t="shared" si="354"/>
        <v>0</v>
      </c>
      <c r="AO2210" s="76">
        <f t="shared" si="356"/>
        <v>0</v>
      </c>
      <c r="AP2210" s="63" t="str">
        <f t="shared" si="357"/>
        <v/>
      </c>
      <c r="AQ2210" s="63" t="str">
        <f t="shared" si="358"/>
        <v/>
      </c>
      <c r="AR2210" s="63" t="str">
        <f t="shared" si="359"/>
        <v/>
      </c>
      <c r="AS2210" s="63" t="str">
        <f t="shared" si="360"/>
        <v/>
      </c>
      <c r="AT2210" s="78" t="str">
        <f t="shared" si="361"/>
        <v/>
      </c>
      <c r="AU2210" s="78" t="str">
        <f t="shared" si="362"/>
        <v/>
      </c>
      <c r="AV2210" s="64" t="str">
        <f ca="1">IFERROR(__xludf.DUMMYFUNCTION("IF(TRIM(AU2210)="""","""",AU2210/INDEX(FILTER(AT$3:AT2210,TRIM(AT$3:AT2210)&lt;&gt;""""),ROWS(FILTER(AT$3:AT2210,TRIM(AT$3:AT2210)&lt;&gt;"""")))-1)"),"")</f>
        <v/>
      </c>
      <c r="AW2210" s="65" t="e">
        <f t="shared" ca="1" si="355"/>
        <v>#VALUE!</v>
      </c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</row>
    <row r="2211" spans="1:68" ht="19" x14ac:dyDescent="0.25">
      <c r="A2211" s="5"/>
      <c r="B2211" s="5"/>
      <c r="C2211" s="5"/>
      <c r="D2211" s="5"/>
      <c r="E2211" s="5"/>
      <c r="F2211" s="5"/>
      <c r="G2211" s="5"/>
      <c r="H2211" s="6"/>
      <c r="I2211" s="5"/>
      <c r="J2211" s="88"/>
      <c r="K2211" s="88"/>
      <c r="L2211" s="88"/>
      <c r="M2211" s="88"/>
      <c r="N2211" s="88"/>
      <c r="O2211" s="88"/>
      <c r="P2211" s="88"/>
      <c r="Q2211" s="89"/>
      <c r="R2211" s="88"/>
      <c r="S2211" s="88"/>
      <c r="T2211" s="90"/>
      <c r="U2211" s="6"/>
      <c r="V2211" s="92"/>
      <c r="W2211" s="77"/>
      <c r="X2211" s="91"/>
      <c r="Y2211" s="77"/>
      <c r="Z2211" s="5"/>
      <c r="AA2211" s="5"/>
      <c r="AB2211" s="5"/>
      <c r="AC2211" s="5"/>
      <c r="AD2211" s="5"/>
      <c r="AE2211" s="5"/>
      <c r="AF2211" s="5"/>
      <c r="AG2211" s="5"/>
      <c r="AH2211" s="6"/>
      <c r="AI2211" s="92"/>
      <c r="AJ2211" s="93"/>
      <c r="AK2211" s="94"/>
      <c r="AL2211" s="95"/>
      <c r="AM2211" s="56"/>
      <c r="AN2211" s="57">
        <f t="shared" si="354"/>
        <v>0</v>
      </c>
      <c r="AO2211" s="76">
        <f t="shared" si="356"/>
        <v>0</v>
      </c>
      <c r="AP2211" s="63" t="str">
        <f t="shared" si="357"/>
        <v/>
      </c>
      <c r="AQ2211" s="63" t="str">
        <f t="shared" si="358"/>
        <v/>
      </c>
      <c r="AR2211" s="63" t="str">
        <f t="shared" si="359"/>
        <v/>
      </c>
      <c r="AS2211" s="63" t="str">
        <f t="shared" si="360"/>
        <v/>
      </c>
      <c r="AT2211" s="78" t="str">
        <f t="shared" si="361"/>
        <v/>
      </c>
      <c r="AU2211" s="78" t="str">
        <f t="shared" si="362"/>
        <v/>
      </c>
      <c r="AV2211" s="64" t="str">
        <f ca="1">IFERROR(__xludf.DUMMYFUNCTION("IF(TRIM(AU2211)="""","""",AU2211/INDEX(FILTER(AT$3:AT2211,TRIM(AT$3:AT2211)&lt;&gt;""""),ROWS(FILTER(AT$3:AT2211,TRIM(AT$3:AT2211)&lt;&gt;"""")))-1)"),"")</f>
        <v/>
      </c>
      <c r="AW2211" s="65" t="e">
        <f t="shared" ca="1" si="355"/>
        <v>#VALUE!</v>
      </c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</row>
    <row r="2212" spans="1:68" ht="19" x14ac:dyDescent="0.25">
      <c r="A2212" s="5"/>
      <c r="B2212" s="5"/>
      <c r="C2212" s="5"/>
      <c r="D2212" s="5"/>
      <c r="E2212" s="5"/>
      <c r="F2212" s="5"/>
      <c r="G2212" s="5"/>
      <c r="H2212" s="6"/>
      <c r="I2212" s="5"/>
      <c r="J2212" s="88"/>
      <c r="K2212" s="88"/>
      <c r="L2212" s="88"/>
      <c r="M2212" s="88"/>
      <c r="N2212" s="88"/>
      <c r="O2212" s="88"/>
      <c r="P2212" s="88"/>
      <c r="Q2212" s="89"/>
      <c r="R2212" s="88"/>
      <c r="S2212" s="88"/>
      <c r="T2212" s="90"/>
      <c r="U2212" s="6"/>
      <c r="V2212" s="92"/>
      <c r="W2212" s="77"/>
      <c r="X2212" s="91"/>
      <c r="Y2212" s="77"/>
      <c r="Z2212" s="5"/>
      <c r="AA2212" s="5"/>
      <c r="AB2212" s="5"/>
      <c r="AC2212" s="5"/>
      <c r="AD2212" s="5"/>
      <c r="AE2212" s="5"/>
      <c r="AF2212" s="5"/>
      <c r="AG2212" s="5"/>
      <c r="AH2212" s="6"/>
      <c r="AI2212" s="92"/>
      <c r="AJ2212" s="93"/>
      <c r="AK2212" s="94"/>
      <c r="AL2212" s="95"/>
      <c r="AM2212" s="56"/>
      <c r="AN2212" s="57">
        <f t="shared" si="354"/>
        <v>0</v>
      </c>
      <c r="AO2212" s="76">
        <f t="shared" si="356"/>
        <v>0</v>
      </c>
      <c r="AP2212" s="63" t="str">
        <f t="shared" si="357"/>
        <v/>
      </c>
      <c r="AQ2212" s="63" t="str">
        <f t="shared" si="358"/>
        <v/>
      </c>
      <c r="AR2212" s="63" t="str">
        <f t="shared" si="359"/>
        <v/>
      </c>
      <c r="AS2212" s="63" t="str">
        <f t="shared" si="360"/>
        <v/>
      </c>
      <c r="AT2212" s="78" t="str">
        <f t="shared" si="361"/>
        <v/>
      </c>
      <c r="AU2212" s="78" t="str">
        <f t="shared" si="362"/>
        <v/>
      </c>
      <c r="AV2212" s="64" t="str">
        <f ca="1">IFERROR(__xludf.DUMMYFUNCTION("IF(TRIM(AU2212)="""","""",AU2212/INDEX(FILTER(AT$3:AT2212,TRIM(AT$3:AT2212)&lt;&gt;""""),ROWS(FILTER(AT$3:AT2212,TRIM(AT$3:AT2212)&lt;&gt;"""")))-1)"),"")</f>
        <v/>
      </c>
      <c r="AW2212" s="65" t="e">
        <f t="shared" ca="1" si="355"/>
        <v>#VALUE!</v>
      </c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</row>
    <row r="2213" spans="1:68" ht="19" x14ac:dyDescent="0.25">
      <c r="A2213" s="5"/>
      <c r="B2213" s="5"/>
      <c r="C2213" s="5"/>
      <c r="D2213" s="5"/>
      <c r="E2213" s="5"/>
      <c r="F2213" s="5"/>
      <c r="G2213" s="5"/>
      <c r="H2213" s="6"/>
      <c r="I2213" s="5"/>
      <c r="J2213" s="88"/>
      <c r="K2213" s="88"/>
      <c r="L2213" s="88"/>
      <c r="M2213" s="88"/>
      <c r="N2213" s="88"/>
      <c r="O2213" s="88"/>
      <c r="P2213" s="88"/>
      <c r="Q2213" s="89"/>
      <c r="R2213" s="88"/>
      <c r="S2213" s="88"/>
      <c r="T2213" s="90"/>
      <c r="U2213" s="6"/>
      <c r="V2213" s="92"/>
      <c r="W2213" s="77"/>
      <c r="X2213" s="91"/>
      <c r="Y2213" s="77"/>
      <c r="Z2213" s="5"/>
      <c r="AA2213" s="5"/>
      <c r="AB2213" s="5"/>
      <c r="AC2213" s="5"/>
      <c r="AD2213" s="5"/>
      <c r="AE2213" s="5"/>
      <c r="AF2213" s="5"/>
      <c r="AG2213" s="5"/>
      <c r="AH2213" s="6"/>
      <c r="AI2213" s="92"/>
      <c r="AJ2213" s="93"/>
      <c r="AK2213" s="94"/>
      <c r="AL2213" s="95"/>
      <c r="AM2213" s="56"/>
      <c r="AN2213" s="57">
        <f t="shared" si="354"/>
        <v>0</v>
      </c>
      <c r="AO2213" s="76">
        <f t="shared" si="356"/>
        <v>0</v>
      </c>
      <c r="AP2213" s="63" t="str">
        <f t="shared" si="357"/>
        <v/>
      </c>
      <c r="AQ2213" s="63" t="str">
        <f t="shared" si="358"/>
        <v/>
      </c>
      <c r="AR2213" s="63" t="str">
        <f t="shared" si="359"/>
        <v/>
      </c>
      <c r="AS2213" s="63" t="str">
        <f t="shared" si="360"/>
        <v/>
      </c>
      <c r="AT2213" s="78" t="str">
        <f t="shared" si="361"/>
        <v/>
      </c>
      <c r="AU2213" s="78" t="str">
        <f t="shared" si="362"/>
        <v/>
      </c>
      <c r="AV2213" s="64" t="str">
        <f ca="1">IFERROR(__xludf.DUMMYFUNCTION("IF(TRIM(AU2213)="""","""",AU2213/INDEX(FILTER(AT$3:AT2213,TRIM(AT$3:AT2213)&lt;&gt;""""),ROWS(FILTER(AT$3:AT2213,TRIM(AT$3:AT2213)&lt;&gt;"""")))-1)"),"")</f>
        <v/>
      </c>
      <c r="AW2213" s="65" t="e">
        <f t="shared" ca="1" si="355"/>
        <v>#VALUE!</v>
      </c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</row>
    <row r="2214" spans="1:68" ht="19" x14ac:dyDescent="0.25">
      <c r="A2214" s="5"/>
      <c r="B2214" s="5"/>
      <c r="C2214" s="5"/>
      <c r="D2214" s="5"/>
      <c r="E2214" s="5"/>
      <c r="F2214" s="5"/>
      <c r="G2214" s="5"/>
      <c r="H2214" s="6"/>
      <c r="I2214" s="5"/>
      <c r="J2214" s="88"/>
      <c r="K2214" s="88"/>
      <c r="L2214" s="88"/>
      <c r="M2214" s="88"/>
      <c r="N2214" s="88"/>
      <c r="O2214" s="88"/>
      <c r="P2214" s="88"/>
      <c r="Q2214" s="89"/>
      <c r="R2214" s="88"/>
      <c r="S2214" s="88"/>
      <c r="T2214" s="90"/>
      <c r="U2214" s="6"/>
      <c r="V2214" s="92"/>
      <c r="W2214" s="77"/>
      <c r="X2214" s="91"/>
      <c r="Y2214" s="77"/>
      <c r="Z2214" s="5"/>
      <c r="AA2214" s="5"/>
      <c r="AB2214" s="5"/>
      <c r="AC2214" s="5"/>
      <c r="AD2214" s="5"/>
      <c r="AE2214" s="5"/>
      <c r="AF2214" s="5"/>
      <c r="AG2214" s="5"/>
      <c r="AH2214" s="6"/>
      <c r="AI2214" s="92"/>
      <c r="AJ2214" s="93"/>
      <c r="AK2214" s="94"/>
      <c r="AL2214" s="95"/>
      <c r="AM2214" s="56"/>
      <c r="AN2214" s="57">
        <f t="shared" si="354"/>
        <v>0</v>
      </c>
      <c r="AO2214" s="76">
        <f t="shared" si="356"/>
        <v>0</v>
      </c>
      <c r="AP2214" s="63" t="str">
        <f t="shared" si="357"/>
        <v/>
      </c>
      <c r="AQ2214" s="63" t="str">
        <f t="shared" si="358"/>
        <v/>
      </c>
      <c r="AR2214" s="63" t="str">
        <f t="shared" si="359"/>
        <v/>
      </c>
      <c r="AS2214" s="63" t="str">
        <f t="shared" si="360"/>
        <v/>
      </c>
      <c r="AT2214" s="78" t="str">
        <f t="shared" si="361"/>
        <v/>
      </c>
      <c r="AU2214" s="78" t="str">
        <f t="shared" si="362"/>
        <v/>
      </c>
      <c r="AV2214" s="64" t="str">
        <f ca="1">IFERROR(__xludf.DUMMYFUNCTION("IF(TRIM(AU2214)="""","""",AU2214/INDEX(FILTER(AT$3:AT2214,TRIM(AT$3:AT2214)&lt;&gt;""""),ROWS(FILTER(AT$3:AT2214,TRIM(AT$3:AT2214)&lt;&gt;"""")))-1)"),"")</f>
        <v/>
      </c>
      <c r="AW2214" s="65" t="e">
        <f t="shared" ca="1" si="355"/>
        <v>#VALUE!</v>
      </c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</row>
    <row r="2215" spans="1:68" ht="19" x14ac:dyDescent="0.25">
      <c r="A2215" s="5"/>
      <c r="B2215" s="5"/>
      <c r="C2215" s="5"/>
      <c r="D2215" s="5"/>
      <c r="E2215" s="5"/>
      <c r="F2215" s="5"/>
      <c r="G2215" s="5"/>
      <c r="H2215" s="6"/>
      <c r="I2215" s="5"/>
      <c r="J2215" s="88"/>
      <c r="K2215" s="88"/>
      <c r="L2215" s="88"/>
      <c r="M2215" s="88"/>
      <c r="N2215" s="88"/>
      <c r="O2215" s="88"/>
      <c r="P2215" s="88"/>
      <c r="Q2215" s="89"/>
      <c r="R2215" s="88"/>
      <c r="S2215" s="88"/>
      <c r="T2215" s="90"/>
      <c r="U2215" s="6"/>
      <c r="V2215" s="92"/>
      <c r="W2215" s="77"/>
      <c r="X2215" s="91"/>
      <c r="Y2215" s="77"/>
      <c r="Z2215" s="5"/>
      <c r="AA2215" s="5"/>
      <c r="AB2215" s="5"/>
      <c r="AC2215" s="5"/>
      <c r="AD2215" s="5"/>
      <c r="AE2215" s="5"/>
      <c r="AF2215" s="5"/>
      <c r="AG2215" s="5"/>
      <c r="AH2215" s="6"/>
      <c r="AI2215" s="92"/>
      <c r="AJ2215" s="93"/>
      <c r="AK2215" s="94"/>
      <c r="AL2215" s="95"/>
      <c r="AM2215" s="56"/>
      <c r="AN2215" s="57">
        <f t="shared" si="354"/>
        <v>0</v>
      </c>
      <c r="AO2215" s="76">
        <f t="shared" si="356"/>
        <v>0</v>
      </c>
      <c r="AP2215" s="63" t="str">
        <f t="shared" si="357"/>
        <v/>
      </c>
      <c r="AQ2215" s="63" t="str">
        <f t="shared" si="358"/>
        <v/>
      </c>
      <c r="AR2215" s="63" t="str">
        <f t="shared" si="359"/>
        <v/>
      </c>
      <c r="AS2215" s="63" t="str">
        <f t="shared" si="360"/>
        <v/>
      </c>
      <c r="AT2215" s="78" t="str">
        <f t="shared" si="361"/>
        <v/>
      </c>
      <c r="AU2215" s="78" t="str">
        <f t="shared" si="362"/>
        <v/>
      </c>
      <c r="AV2215" s="64" t="str">
        <f ca="1">IFERROR(__xludf.DUMMYFUNCTION("IF(TRIM(AU2215)="""","""",AU2215/INDEX(FILTER(AT$3:AT2215,TRIM(AT$3:AT2215)&lt;&gt;""""),ROWS(FILTER(AT$3:AT2215,TRIM(AT$3:AT2215)&lt;&gt;"""")))-1)"),"")</f>
        <v/>
      </c>
      <c r="AW2215" s="65" t="e">
        <f t="shared" ca="1" si="355"/>
        <v>#VALUE!</v>
      </c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</row>
    <row r="2216" spans="1:68" ht="19" x14ac:dyDescent="0.25">
      <c r="A2216" s="5"/>
      <c r="B2216" s="5"/>
      <c r="C2216" s="5"/>
      <c r="D2216" s="5"/>
      <c r="E2216" s="5"/>
      <c r="F2216" s="5"/>
      <c r="G2216" s="5"/>
      <c r="H2216" s="6"/>
      <c r="I2216" s="5"/>
      <c r="J2216" s="88"/>
      <c r="K2216" s="88"/>
      <c r="L2216" s="88"/>
      <c r="M2216" s="88"/>
      <c r="N2216" s="88"/>
      <c r="O2216" s="88"/>
      <c r="P2216" s="88"/>
      <c r="Q2216" s="89"/>
      <c r="R2216" s="88"/>
      <c r="S2216" s="88"/>
      <c r="T2216" s="90"/>
      <c r="U2216" s="6"/>
      <c r="V2216" s="92"/>
      <c r="W2216" s="77"/>
      <c r="X2216" s="91"/>
      <c r="Y2216" s="77"/>
      <c r="Z2216" s="5"/>
      <c r="AA2216" s="5"/>
      <c r="AB2216" s="5"/>
      <c r="AC2216" s="5"/>
      <c r="AD2216" s="5"/>
      <c r="AE2216" s="5"/>
      <c r="AF2216" s="5"/>
      <c r="AG2216" s="5"/>
      <c r="AH2216" s="6"/>
      <c r="AI2216" s="92"/>
      <c r="AJ2216" s="93"/>
      <c r="AK2216" s="94"/>
      <c r="AL2216" s="95"/>
      <c r="AM2216" s="56"/>
      <c r="AN2216" s="57">
        <f t="shared" si="354"/>
        <v>0</v>
      </c>
      <c r="AO2216" s="76">
        <f t="shared" si="356"/>
        <v>0</v>
      </c>
      <c r="AP2216" s="63" t="str">
        <f t="shared" si="357"/>
        <v/>
      </c>
      <c r="AQ2216" s="63" t="str">
        <f t="shared" si="358"/>
        <v/>
      </c>
      <c r="AR2216" s="63" t="str">
        <f t="shared" si="359"/>
        <v/>
      </c>
      <c r="AS2216" s="63" t="str">
        <f t="shared" si="360"/>
        <v/>
      </c>
      <c r="AT2216" s="78" t="str">
        <f t="shared" si="361"/>
        <v/>
      </c>
      <c r="AU2216" s="78" t="str">
        <f t="shared" si="362"/>
        <v/>
      </c>
      <c r="AV2216" s="64" t="str">
        <f ca="1">IFERROR(__xludf.DUMMYFUNCTION("IF(TRIM(AU2216)="""","""",AU2216/INDEX(FILTER(AT$3:AT2216,TRIM(AT$3:AT2216)&lt;&gt;""""),ROWS(FILTER(AT$3:AT2216,TRIM(AT$3:AT2216)&lt;&gt;"""")))-1)"),"")</f>
        <v/>
      </c>
      <c r="AW2216" s="65" t="e">
        <f t="shared" ca="1" si="355"/>
        <v>#VALUE!</v>
      </c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</row>
    <row r="2217" spans="1:68" ht="19" x14ac:dyDescent="0.25">
      <c r="A2217" s="5"/>
      <c r="B2217" s="5"/>
      <c r="C2217" s="5"/>
      <c r="D2217" s="5"/>
      <c r="E2217" s="5"/>
      <c r="F2217" s="5"/>
      <c r="G2217" s="5"/>
      <c r="H2217" s="6"/>
      <c r="I2217" s="5"/>
      <c r="J2217" s="88"/>
      <c r="K2217" s="88"/>
      <c r="L2217" s="88"/>
      <c r="M2217" s="88"/>
      <c r="N2217" s="88"/>
      <c r="O2217" s="88"/>
      <c r="P2217" s="88"/>
      <c r="Q2217" s="89"/>
      <c r="R2217" s="88"/>
      <c r="S2217" s="88"/>
      <c r="T2217" s="90"/>
      <c r="U2217" s="6"/>
      <c r="V2217" s="92"/>
      <c r="W2217" s="77"/>
      <c r="X2217" s="91"/>
      <c r="Y2217" s="77"/>
      <c r="Z2217" s="5"/>
      <c r="AA2217" s="5"/>
      <c r="AB2217" s="5"/>
      <c r="AC2217" s="5"/>
      <c r="AD2217" s="5"/>
      <c r="AE2217" s="5"/>
      <c r="AF2217" s="5"/>
      <c r="AG2217" s="5"/>
      <c r="AH2217" s="6"/>
      <c r="AI2217" s="92"/>
      <c r="AJ2217" s="93"/>
      <c r="AK2217" s="94"/>
      <c r="AL2217" s="95"/>
      <c r="AM2217" s="56"/>
      <c r="AN2217" s="57">
        <f t="shared" si="354"/>
        <v>0</v>
      </c>
      <c r="AO2217" s="76">
        <f t="shared" si="356"/>
        <v>0</v>
      </c>
      <c r="AP2217" s="63" t="str">
        <f t="shared" si="357"/>
        <v/>
      </c>
      <c r="AQ2217" s="63" t="str">
        <f t="shared" si="358"/>
        <v/>
      </c>
      <c r="AR2217" s="63" t="str">
        <f t="shared" si="359"/>
        <v/>
      </c>
      <c r="AS2217" s="63" t="str">
        <f t="shared" si="360"/>
        <v/>
      </c>
      <c r="AT2217" s="78" t="str">
        <f t="shared" si="361"/>
        <v/>
      </c>
      <c r="AU2217" s="78" t="str">
        <f t="shared" si="362"/>
        <v/>
      </c>
      <c r="AV2217" s="64" t="str">
        <f ca="1">IFERROR(__xludf.DUMMYFUNCTION("IF(TRIM(AU2217)="""","""",AU2217/INDEX(FILTER(AT$3:AT2217,TRIM(AT$3:AT2217)&lt;&gt;""""),ROWS(FILTER(AT$3:AT2217,TRIM(AT$3:AT2217)&lt;&gt;"""")))-1)"),"")</f>
        <v/>
      </c>
      <c r="AW2217" s="65" t="e">
        <f t="shared" ca="1" si="355"/>
        <v>#VALUE!</v>
      </c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</row>
    <row r="2218" spans="1:68" ht="19" x14ac:dyDescent="0.25">
      <c r="A2218" s="5"/>
      <c r="B2218" s="5"/>
      <c r="C2218" s="5"/>
      <c r="D2218" s="5"/>
      <c r="E2218" s="5"/>
      <c r="F2218" s="5"/>
      <c r="G2218" s="5"/>
      <c r="H2218" s="6"/>
      <c r="I2218" s="5"/>
      <c r="J2218" s="88"/>
      <c r="K2218" s="88"/>
      <c r="L2218" s="88"/>
      <c r="M2218" s="88"/>
      <c r="N2218" s="88"/>
      <c r="O2218" s="88"/>
      <c r="P2218" s="88"/>
      <c r="Q2218" s="89"/>
      <c r="R2218" s="88"/>
      <c r="S2218" s="88"/>
      <c r="T2218" s="90"/>
      <c r="U2218" s="6"/>
      <c r="V2218" s="92"/>
      <c r="W2218" s="77"/>
      <c r="X2218" s="91"/>
      <c r="Y2218" s="77"/>
      <c r="Z2218" s="5"/>
      <c r="AA2218" s="5"/>
      <c r="AB2218" s="5"/>
      <c r="AC2218" s="5"/>
      <c r="AD2218" s="5"/>
      <c r="AE2218" s="5"/>
      <c r="AF2218" s="5"/>
      <c r="AG2218" s="5"/>
      <c r="AH2218" s="6"/>
      <c r="AI2218" s="92"/>
      <c r="AJ2218" s="93"/>
      <c r="AK2218" s="94"/>
      <c r="AL2218" s="95"/>
      <c r="AM2218" s="56"/>
      <c r="AN2218" s="57">
        <f t="shared" si="354"/>
        <v>0</v>
      </c>
      <c r="AO2218" s="76">
        <f t="shared" si="356"/>
        <v>0</v>
      </c>
      <c r="AP2218" s="63" t="str">
        <f t="shared" si="357"/>
        <v/>
      </c>
      <c r="AQ2218" s="63" t="str">
        <f t="shared" si="358"/>
        <v/>
      </c>
      <c r="AR2218" s="63" t="str">
        <f t="shared" si="359"/>
        <v/>
      </c>
      <c r="AS2218" s="63" t="str">
        <f t="shared" si="360"/>
        <v/>
      </c>
      <c r="AT2218" s="78" t="str">
        <f t="shared" si="361"/>
        <v/>
      </c>
      <c r="AU2218" s="78" t="str">
        <f t="shared" si="362"/>
        <v/>
      </c>
      <c r="AV2218" s="64" t="str">
        <f ca="1">IFERROR(__xludf.DUMMYFUNCTION("IF(TRIM(AU2218)="""","""",AU2218/INDEX(FILTER(AT$3:AT2218,TRIM(AT$3:AT2218)&lt;&gt;""""),ROWS(FILTER(AT$3:AT2218,TRIM(AT$3:AT2218)&lt;&gt;"""")))-1)"),"")</f>
        <v/>
      </c>
      <c r="AW2218" s="65" t="e">
        <f t="shared" ca="1" si="355"/>
        <v>#VALUE!</v>
      </c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</row>
    <row r="2219" spans="1:68" ht="19" x14ac:dyDescent="0.25">
      <c r="A2219" s="5"/>
      <c r="B2219" s="5"/>
      <c r="C2219" s="5"/>
      <c r="D2219" s="5"/>
      <c r="E2219" s="5"/>
      <c r="F2219" s="5"/>
      <c r="G2219" s="5"/>
      <c r="H2219" s="6"/>
      <c r="I2219" s="5"/>
      <c r="J2219" s="88"/>
      <c r="K2219" s="88"/>
      <c r="L2219" s="88"/>
      <c r="M2219" s="88"/>
      <c r="N2219" s="88"/>
      <c r="O2219" s="88"/>
      <c r="P2219" s="88"/>
      <c r="Q2219" s="89"/>
      <c r="R2219" s="88"/>
      <c r="S2219" s="88"/>
      <c r="T2219" s="90"/>
      <c r="U2219" s="6"/>
      <c r="V2219" s="92"/>
      <c r="W2219" s="77"/>
      <c r="X2219" s="91"/>
      <c r="Y2219" s="77"/>
      <c r="Z2219" s="5"/>
      <c r="AA2219" s="5"/>
      <c r="AB2219" s="5"/>
      <c r="AC2219" s="5"/>
      <c r="AD2219" s="5"/>
      <c r="AE2219" s="5"/>
      <c r="AF2219" s="5"/>
      <c r="AG2219" s="5"/>
      <c r="AH2219" s="6"/>
      <c r="AI2219" s="92"/>
      <c r="AJ2219" s="93"/>
      <c r="AK2219" s="94"/>
      <c r="AL2219" s="95"/>
      <c r="AM2219" s="56"/>
      <c r="AN2219" s="57">
        <f t="shared" si="354"/>
        <v>0</v>
      </c>
      <c r="AO2219" s="76">
        <f t="shared" si="356"/>
        <v>0</v>
      </c>
      <c r="AP2219" s="63" t="str">
        <f t="shared" si="357"/>
        <v/>
      </c>
      <c r="AQ2219" s="63" t="str">
        <f t="shared" si="358"/>
        <v/>
      </c>
      <c r="AR2219" s="63" t="str">
        <f t="shared" si="359"/>
        <v/>
      </c>
      <c r="AS2219" s="63" t="str">
        <f t="shared" si="360"/>
        <v/>
      </c>
      <c r="AT2219" s="78" t="str">
        <f t="shared" si="361"/>
        <v/>
      </c>
      <c r="AU2219" s="78" t="str">
        <f t="shared" si="362"/>
        <v/>
      </c>
      <c r="AV2219" s="64" t="str">
        <f ca="1">IFERROR(__xludf.DUMMYFUNCTION("IF(TRIM(AU2219)="""","""",AU2219/INDEX(FILTER(AT$3:AT2219,TRIM(AT$3:AT2219)&lt;&gt;""""),ROWS(FILTER(AT$3:AT2219,TRIM(AT$3:AT2219)&lt;&gt;"""")))-1)"),"")</f>
        <v/>
      </c>
      <c r="AW2219" s="65" t="e">
        <f t="shared" ca="1" si="355"/>
        <v>#VALUE!</v>
      </c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</row>
    <row r="2220" spans="1:68" ht="19" x14ac:dyDescent="0.25">
      <c r="A2220" s="5"/>
      <c r="B2220" s="5"/>
      <c r="C2220" s="5"/>
      <c r="D2220" s="5"/>
      <c r="E2220" s="5"/>
      <c r="F2220" s="5"/>
      <c r="G2220" s="5"/>
      <c r="H2220" s="6"/>
      <c r="I2220" s="5"/>
      <c r="J2220" s="88"/>
      <c r="K2220" s="88"/>
      <c r="L2220" s="88"/>
      <c r="M2220" s="88"/>
      <c r="N2220" s="88"/>
      <c r="O2220" s="88"/>
      <c r="P2220" s="88"/>
      <c r="Q2220" s="89"/>
      <c r="R2220" s="88"/>
      <c r="S2220" s="88"/>
      <c r="T2220" s="90"/>
      <c r="U2220" s="6"/>
      <c r="V2220" s="92"/>
      <c r="W2220" s="77"/>
      <c r="X2220" s="91"/>
      <c r="Y2220" s="77"/>
      <c r="Z2220" s="5"/>
      <c r="AA2220" s="5"/>
      <c r="AB2220" s="5"/>
      <c r="AC2220" s="5"/>
      <c r="AD2220" s="5"/>
      <c r="AE2220" s="5"/>
      <c r="AF2220" s="5"/>
      <c r="AG2220" s="5"/>
      <c r="AH2220" s="6"/>
      <c r="AI2220" s="92"/>
      <c r="AJ2220" s="93"/>
      <c r="AK2220" s="94"/>
      <c r="AL2220" s="95"/>
      <c r="AM2220" s="56"/>
      <c r="AN2220" s="57">
        <f t="shared" si="354"/>
        <v>0</v>
      </c>
      <c r="AO2220" s="76">
        <f t="shared" si="356"/>
        <v>0</v>
      </c>
      <c r="AP2220" s="63" t="str">
        <f t="shared" si="357"/>
        <v/>
      </c>
      <c r="AQ2220" s="63" t="str">
        <f t="shared" si="358"/>
        <v/>
      </c>
      <c r="AR2220" s="63" t="str">
        <f t="shared" si="359"/>
        <v/>
      </c>
      <c r="AS2220" s="63" t="str">
        <f t="shared" si="360"/>
        <v/>
      </c>
      <c r="AT2220" s="78" t="str">
        <f t="shared" si="361"/>
        <v/>
      </c>
      <c r="AU2220" s="78" t="str">
        <f t="shared" si="362"/>
        <v/>
      </c>
      <c r="AV2220" s="64" t="str">
        <f ca="1">IFERROR(__xludf.DUMMYFUNCTION("IF(TRIM(AU2220)="""","""",AU2220/INDEX(FILTER(AT$3:AT2220,TRIM(AT$3:AT2220)&lt;&gt;""""),ROWS(FILTER(AT$3:AT2220,TRIM(AT$3:AT2220)&lt;&gt;"""")))-1)"),"")</f>
        <v/>
      </c>
      <c r="AW2220" s="65" t="e">
        <f t="shared" ca="1" si="355"/>
        <v>#VALUE!</v>
      </c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</row>
    <row r="2221" spans="1:68" ht="19" x14ac:dyDescent="0.25">
      <c r="A2221" s="5"/>
      <c r="B2221" s="5"/>
      <c r="C2221" s="5"/>
      <c r="D2221" s="5"/>
      <c r="E2221" s="5"/>
      <c r="F2221" s="5"/>
      <c r="G2221" s="5"/>
      <c r="H2221" s="6"/>
      <c r="I2221" s="5"/>
      <c r="J2221" s="88"/>
      <c r="K2221" s="88"/>
      <c r="L2221" s="88"/>
      <c r="M2221" s="88"/>
      <c r="N2221" s="88"/>
      <c r="O2221" s="88"/>
      <c r="P2221" s="88"/>
      <c r="Q2221" s="89"/>
      <c r="R2221" s="88"/>
      <c r="S2221" s="88"/>
      <c r="T2221" s="90"/>
      <c r="U2221" s="6"/>
      <c r="V2221" s="92"/>
      <c r="W2221" s="77"/>
      <c r="X2221" s="91"/>
      <c r="Y2221" s="77"/>
      <c r="Z2221" s="5"/>
      <c r="AA2221" s="5"/>
      <c r="AB2221" s="5"/>
      <c r="AC2221" s="5"/>
      <c r="AD2221" s="5"/>
      <c r="AE2221" s="5"/>
      <c r="AF2221" s="5"/>
      <c r="AG2221" s="5"/>
      <c r="AH2221" s="6"/>
      <c r="AI2221" s="92"/>
      <c r="AJ2221" s="93"/>
      <c r="AK2221" s="94"/>
      <c r="AL2221" s="95"/>
      <c r="AM2221" s="56"/>
      <c r="AN2221" s="57">
        <f t="shared" si="354"/>
        <v>0</v>
      </c>
      <c r="AO2221" s="76">
        <f t="shared" si="356"/>
        <v>0</v>
      </c>
      <c r="AP2221" s="63" t="str">
        <f t="shared" si="357"/>
        <v/>
      </c>
      <c r="AQ2221" s="63" t="str">
        <f t="shared" si="358"/>
        <v/>
      </c>
      <c r="AR2221" s="63" t="str">
        <f t="shared" si="359"/>
        <v/>
      </c>
      <c r="AS2221" s="63" t="str">
        <f t="shared" si="360"/>
        <v/>
      </c>
      <c r="AT2221" s="78" t="str">
        <f t="shared" si="361"/>
        <v/>
      </c>
      <c r="AU2221" s="78" t="str">
        <f t="shared" si="362"/>
        <v/>
      </c>
      <c r="AV2221" s="64" t="str">
        <f ca="1">IFERROR(__xludf.DUMMYFUNCTION("IF(TRIM(AU2221)="""","""",AU2221/INDEX(FILTER(AT$3:AT2221,TRIM(AT$3:AT2221)&lt;&gt;""""),ROWS(FILTER(AT$3:AT2221,TRIM(AT$3:AT2221)&lt;&gt;"""")))-1)"),"")</f>
        <v/>
      </c>
      <c r="AW2221" s="65" t="e">
        <f t="shared" ca="1" si="355"/>
        <v>#VALUE!</v>
      </c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</row>
    <row r="2222" spans="1:68" ht="19" x14ac:dyDescent="0.25">
      <c r="A2222" s="5"/>
      <c r="B2222" s="5"/>
      <c r="C2222" s="5"/>
      <c r="D2222" s="5"/>
      <c r="E2222" s="5"/>
      <c r="F2222" s="5"/>
      <c r="G2222" s="5"/>
      <c r="H2222" s="6"/>
      <c r="I2222" s="5"/>
      <c r="J2222" s="88"/>
      <c r="K2222" s="88"/>
      <c r="L2222" s="88"/>
      <c r="M2222" s="88"/>
      <c r="N2222" s="88"/>
      <c r="O2222" s="88"/>
      <c r="P2222" s="88"/>
      <c r="Q2222" s="89"/>
      <c r="R2222" s="88"/>
      <c r="S2222" s="88"/>
      <c r="T2222" s="90"/>
      <c r="U2222" s="6"/>
      <c r="V2222" s="92"/>
      <c r="W2222" s="77"/>
      <c r="X2222" s="91"/>
      <c r="Y2222" s="77"/>
      <c r="Z2222" s="5"/>
      <c r="AA2222" s="5"/>
      <c r="AB2222" s="5"/>
      <c r="AC2222" s="5"/>
      <c r="AD2222" s="5"/>
      <c r="AE2222" s="5"/>
      <c r="AF2222" s="5"/>
      <c r="AG2222" s="5"/>
      <c r="AH2222" s="6"/>
      <c r="AI2222" s="92"/>
      <c r="AJ2222" s="93"/>
      <c r="AK2222" s="94"/>
      <c r="AL2222" s="95"/>
      <c r="AM2222" s="56"/>
      <c r="AN2222" s="57">
        <f t="shared" si="354"/>
        <v>0</v>
      </c>
      <c r="AO2222" s="76">
        <f t="shared" si="356"/>
        <v>0</v>
      </c>
      <c r="AP2222" s="63" t="str">
        <f t="shared" si="357"/>
        <v/>
      </c>
      <c r="AQ2222" s="63" t="str">
        <f t="shared" si="358"/>
        <v/>
      </c>
      <c r="AR2222" s="63" t="str">
        <f t="shared" si="359"/>
        <v/>
      </c>
      <c r="AS2222" s="63" t="str">
        <f t="shared" si="360"/>
        <v/>
      </c>
      <c r="AT2222" s="78" t="str">
        <f t="shared" si="361"/>
        <v/>
      </c>
      <c r="AU2222" s="78" t="str">
        <f t="shared" si="362"/>
        <v/>
      </c>
      <c r="AV2222" s="64" t="str">
        <f ca="1">IFERROR(__xludf.DUMMYFUNCTION("IF(TRIM(AU2222)="""","""",AU2222/INDEX(FILTER(AT$3:AT2222,TRIM(AT$3:AT2222)&lt;&gt;""""),ROWS(FILTER(AT$3:AT2222,TRIM(AT$3:AT2222)&lt;&gt;"""")))-1)"),"")</f>
        <v/>
      </c>
      <c r="AW2222" s="65" t="e">
        <f t="shared" ca="1" si="355"/>
        <v>#VALUE!</v>
      </c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</row>
    <row r="2223" spans="1:68" ht="19" x14ac:dyDescent="0.25">
      <c r="A2223" s="5"/>
      <c r="B2223" s="5"/>
      <c r="C2223" s="5"/>
      <c r="D2223" s="5"/>
      <c r="E2223" s="5"/>
      <c r="F2223" s="5"/>
      <c r="G2223" s="5"/>
      <c r="H2223" s="6"/>
      <c r="I2223" s="5"/>
      <c r="J2223" s="88"/>
      <c r="K2223" s="88"/>
      <c r="L2223" s="88"/>
      <c r="M2223" s="88"/>
      <c r="N2223" s="88"/>
      <c r="O2223" s="88"/>
      <c r="P2223" s="88"/>
      <c r="Q2223" s="89"/>
      <c r="R2223" s="88"/>
      <c r="S2223" s="88"/>
      <c r="T2223" s="90"/>
      <c r="U2223" s="6"/>
      <c r="V2223" s="92"/>
      <c r="W2223" s="77"/>
      <c r="X2223" s="91"/>
      <c r="Y2223" s="77"/>
      <c r="Z2223" s="5"/>
      <c r="AA2223" s="5"/>
      <c r="AB2223" s="5"/>
      <c r="AC2223" s="5"/>
      <c r="AD2223" s="5"/>
      <c r="AE2223" s="5"/>
      <c r="AF2223" s="5"/>
      <c r="AG2223" s="5"/>
      <c r="AH2223" s="6"/>
      <c r="AI2223" s="92"/>
      <c r="AJ2223" s="93"/>
      <c r="AK2223" s="94"/>
      <c r="AL2223" s="95"/>
      <c r="AM2223" s="56"/>
      <c r="AN2223" s="57">
        <f t="shared" si="354"/>
        <v>0</v>
      </c>
      <c r="AO2223" s="76">
        <f t="shared" si="356"/>
        <v>0</v>
      </c>
      <c r="AP2223" s="63" t="str">
        <f t="shared" si="357"/>
        <v/>
      </c>
      <c r="AQ2223" s="63" t="str">
        <f t="shared" si="358"/>
        <v/>
      </c>
      <c r="AR2223" s="63" t="str">
        <f t="shared" si="359"/>
        <v/>
      </c>
      <c r="AS2223" s="63" t="str">
        <f t="shared" si="360"/>
        <v/>
      </c>
      <c r="AT2223" s="78" t="str">
        <f t="shared" si="361"/>
        <v/>
      </c>
      <c r="AU2223" s="78" t="str">
        <f t="shared" si="362"/>
        <v/>
      </c>
      <c r="AV2223" s="64" t="str">
        <f ca="1">IFERROR(__xludf.DUMMYFUNCTION("IF(TRIM(AU2223)="""","""",AU2223/INDEX(FILTER(AT$3:AT2223,TRIM(AT$3:AT2223)&lt;&gt;""""),ROWS(FILTER(AT$3:AT2223,TRIM(AT$3:AT2223)&lt;&gt;"""")))-1)"),"")</f>
        <v/>
      </c>
      <c r="AW2223" s="65" t="e">
        <f t="shared" ca="1" si="355"/>
        <v>#VALUE!</v>
      </c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</row>
    <row r="2224" spans="1:68" ht="19" x14ac:dyDescent="0.25">
      <c r="A2224" s="5"/>
      <c r="B2224" s="5"/>
      <c r="C2224" s="5"/>
      <c r="D2224" s="5"/>
      <c r="E2224" s="5"/>
      <c r="F2224" s="5"/>
      <c r="G2224" s="5"/>
      <c r="H2224" s="6"/>
      <c r="I2224" s="5"/>
      <c r="J2224" s="88"/>
      <c r="K2224" s="88"/>
      <c r="L2224" s="88"/>
      <c r="M2224" s="88"/>
      <c r="N2224" s="88"/>
      <c r="O2224" s="88"/>
      <c r="P2224" s="88"/>
      <c r="Q2224" s="89"/>
      <c r="R2224" s="88"/>
      <c r="S2224" s="88"/>
      <c r="T2224" s="90"/>
      <c r="U2224" s="6"/>
      <c r="V2224" s="92"/>
      <c r="W2224" s="77"/>
      <c r="X2224" s="91"/>
      <c r="Y2224" s="77"/>
      <c r="Z2224" s="5"/>
      <c r="AA2224" s="5"/>
      <c r="AB2224" s="5"/>
      <c r="AC2224" s="5"/>
      <c r="AD2224" s="5"/>
      <c r="AE2224" s="5"/>
      <c r="AF2224" s="5"/>
      <c r="AG2224" s="5"/>
      <c r="AH2224" s="6"/>
      <c r="AI2224" s="92"/>
      <c r="AJ2224" s="93"/>
      <c r="AK2224" s="94"/>
      <c r="AL2224" s="95"/>
      <c r="AM2224" s="56"/>
      <c r="AN2224" s="57">
        <f t="shared" si="354"/>
        <v>0</v>
      </c>
      <c r="AO2224" s="76">
        <f t="shared" si="356"/>
        <v>0</v>
      </c>
      <c r="AP2224" s="63" t="str">
        <f t="shared" si="357"/>
        <v/>
      </c>
      <c r="AQ2224" s="63" t="str">
        <f t="shared" si="358"/>
        <v/>
      </c>
      <c r="AR2224" s="63" t="str">
        <f t="shared" si="359"/>
        <v/>
      </c>
      <c r="AS2224" s="63" t="str">
        <f t="shared" si="360"/>
        <v/>
      </c>
      <c r="AT2224" s="78" t="str">
        <f t="shared" si="361"/>
        <v/>
      </c>
      <c r="AU2224" s="78" t="str">
        <f t="shared" si="362"/>
        <v/>
      </c>
      <c r="AV2224" s="64" t="str">
        <f ca="1">IFERROR(__xludf.DUMMYFUNCTION("IF(TRIM(AU2224)="""","""",AU2224/INDEX(FILTER(AT$3:AT2224,TRIM(AT$3:AT2224)&lt;&gt;""""),ROWS(FILTER(AT$3:AT2224,TRIM(AT$3:AT2224)&lt;&gt;"""")))-1)"),"")</f>
        <v/>
      </c>
      <c r="AW2224" s="65" t="e">
        <f t="shared" ca="1" si="355"/>
        <v>#VALUE!</v>
      </c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</row>
    <row r="2225" spans="1:68" ht="19" x14ac:dyDescent="0.25">
      <c r="A2225" s="5"/>
      <c r="B2225" s="5"/>
      <c r="C2225" s="5"/>
      <c r="D2225" s="5"/>
      <c r="E2225" s="5"/>
      <c r="F2225" s="5"/>
      <c r="G2225" s="5"/>
      <c r="H2225" s="6"/>
      <c r="I2225" s="5"/>
      <c r="J2225" s="88"/>
      <c r="K2225" s="88"/>
      <c r="L2225" s="88"/>
      <c r="M2225" s="88"/>
      <c r="N2225" s="88"/>
      <c r="O2225" s="88"/>
      <c r="P2225" s="88"/>
      <c r="Q2225" s="89"/>
      <c r="R2225" s="88"/>
      <c r="S2225" s="88"/>
      <c r="T2225" s="90"/>
      <c r="U2225" s="6"/>
      <c r="V2225" s="92"/>
      <c r="W2225" s="77"/>
      <c r="X2225" s="91"/>
      <c r="Y2225" s="77"/>
      <c r="Z2225" s="5"/>
      <c r="AA2225" s="5"/>
      <c r="AB2225" s="5"/>
      <c r="AC2225" s="5"/>
      <c r="AD2225" s="5"/>
      <c r="AE2225" s="5"/>
      <c r="AF2225" s="5"/>
      <c r="AG2225" s="5"/>
      <c r="AH2225" s="6"/>
      <c r="AI2225" s="92"/>
      <c r="AJ2225" s="93"/>
      <c r="AK2225" s="94"/>
      <c r="AL2225" s="95"/>
      <c r="AM2225" s="56"/>
      <c r="AN2225" s="57">
        <f t="shared" si="354"/>
        <v>0</v>
      </c>
      <c r="AO2225" s="76">
        <f t="shared" si="356"/>
        <v>0</v>
      </c>
      <c r="AP2225" s="63" t="str">
        <f t="shared" si="357"/>
        <v/>
      </c>
      <c r="AQ2225" s="63" t="str">
        <f t="shared" si="358"/>
        <v/>
      </c>
      <c r="AR2225" s="63" t="str">
        <f t="shared" si="359"/>
        <v/>
      </c>
      <c r="AS2225" s="63" t="str">
        <f t="shared" si="360"/>
        <v/>
      </c>
      <c r="AT2225" s="78" t="str">
        <f t="shared" si="361"/>
        <v/>
      </c>
      <c r="AU2225" s="78" t="str">
        <f t="shared" si="362"/>
        <v/>
      </c>
      <c r="AV2225" s="64" t="str">
        <f ca="1">IFERROR(__xludf.DUMMYFUNCTION("IF(TRIM(AU2225)="""","""",AU2225/INDEX(FILTER(AT$3:AT2225,TRIM(AT$3:AT2225)&lt;&gt;""""),ROWS(FILTER(AT$3:AT2225,TRIM(AT$3:AT2225)&lt;&gt;"""")))-1)"),"")</f>
        <v/>
      </c>
      <c r="AW2225" s="65" t="e">
        <f t="shared" ca="1" si="355"/>
        <v>#VALUE!</v>
      </c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</row>
    <row r="2226" spans="1:68" ht="19" x14ac:dyDescent="0.25">
      <c r="A2226" s="5"/>
      <c r="B2226" s="5"/>
      <c r="C2226" s="5"/>
      <c r="D2226" s="5"/>
      <c r="E2226" s="5"/>
      <c r="F2226" s="5"/>
      <c r="G2226" s="5"/>
      <c r="H2226" s="6"/>
      <c r="I2226" s="5"/>
      <c r="J2226" s="88"/>
      <c r="K2226" s="88"/>
      <c r="L2226" s="88"/>
      <c r="M2226" s="88"/>
      <c r="N2226" s="88"/>
      <c r="O2226" s="88"/>
      <c r="P2226" s="88"/>
      <c r="Q2226" s="89"/>
      <c r="R2226" s="88"/>
      <c r="S2226" s="88"/>
      <c r="T2226" s="90"/>
      <c r="U2226" s="6"/>
      <c r="V2226" s="92"/>
      <c r="W2226" s="77"/>
      <c r="X2226" s="91"/>
      <c r="Y2226" s="77"/>
      <c r="Z2226" s="5"/>
      <c r="AA2226" s="5"/>
      <c r="AB2226" s="5"/>
      <c r="AC2226" s="5"/>
      <c r="AD2226" s="5"/>
      <c r="AE2226" s="5"/>
      <c r="AF2226" s="5"/>
      <c r="AG2226" s="5"/>
      <c r="AH2226" s="6"/>
      <c r="AI2226" s="92"/>
      <c r="AJ2226" s="93"/>
      <c r="AK2226" s="94"/>
      <c r="AL2226" s="95"/>
      <c r="AM2226" s="56"/>
      <c r="AN2226" s="57">
        <f t="shared" si="354"/>
        <v>0</v>
      </c>
      <c r="AO2226" s="76">
        <f t="shared" si="356"/>
        <v>0</v>
      </c>
      <c r="AP2226" s="63" t="str">
        <f t="shared" si="357"/>
        <v/>
      </c>
      <c r="AQ2226" s="63" t="str">
        <f t="shared" si="358"/>
        <v/>
      </c>
      <c r="AR2226" s="63" t="str">
        <f t="shared" si="359"/>
        <v/>
      </c>
      <c r="AS2226" s="63" t="str">
        <f t="shared" si="360"/>
        <v/>
      </c>
      <c r="AT2226" s="78" t="str">
        <f t="shared" si="361"/>
        <v/>
      </c>
      <c r="AU2226" s="78" t="str">
        <f t="shared" si="362"/>
        <v/>
      </c>
      <c r="AV2226" s="64" t="str">
        <f ca="1">IFERROR(__xludf.DUMMYFUNCTION("IF(TRIM(AU2226)="""","""",AU2226/INDEX(FILTER(AT$3:AT2226,TRIM(AT$3:AT2226)&lt;&gt;""""),ROWS(FILTER(AT$3:AT2226,TRIM(AT$3:AT2226)&lt;&gt;"""")))-1)"),"")</f>
        <v/>
      </c>
      <c r="AW2226" s="65" t="e">
        <f t="shared" ca="1" si="355"/>
        <v>#VALUE!</v>
      </c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</row>
    <row r="2227" spans="1:68" ht="19" x14ac:dyDescent="0.25">
      <c r="A2227" s="5"/>
      <c r="B2227" s="5"/>
      <c r="C2227" s="5"/>
      <c r="D2227" s="5"/>
      <c r="E2227" s="5"/>
      <c r="F2227" s="5"/>
      <c r="G2227" s="5"/>
      <c r="H2227" s="6"/>
      <c r="I2227" s="5"/>
      <c r="J2227" s="88"/>
      <c r="K2227" s="88"/>
      <c r="L2227" s="88"/>
      <c r="M2227" s="88"/>
      <c r="N2227" s="88"/>
      <c r="O2227" s="88"/>
      <c r="P2227" s="88"/>
      <c r="Q2227" s="89"/>
      <c r="R2227" s="88"/>
      <c r="S2227" s="88"/>
      <c r="T2227" s="90"/>
      <c r="U2227" s="6"/>
      <c r="V2227" s="92"/>
      <c r="W2227" s="77"/>
      <c r="X2227" s="91"/>
      <c r="Y2227" s="77"/>
      <c r="Z2227" s="5"/>
      <c r="AA2227" s="5"/>
      <c r="AB2227" s="5"/>
      <c r="AC2227" s="5"/>
      <c r="AD2227" s="5"/>
      <c r="AE2227" s="5"/>
      <c r="AF2227" s="5"/>
      <c r="AG2227" s="5"/>
      <c r="AH2227" s="6"/>
      <c r="AI2227" s="92"/>
      <c r="AJ2227" s="93"/>
      <c r="AK2227" s="94"/>
      <c r="AL2227" s="95"/>
      <c r="AM2227" s="56"/>
      <c r="AN2227" s="57">
        <f t="shared" si="354"/>
        <v>0</v>
      </c>
      <c r="AO2227" s="76">
        <f t="shared" si="356"/>
        <v>0</v>
      </c>
      <c r="AP2227" s="63" t="str">
        <f t="shared" si="357"/>
        <v/>
      </c>
      <c r="AQ2227" s="63" t="str">
        <f t="shared" si="358"/>
        <v/>
      </c>
      <c r="AR2227" s="63" t="str">
        <f t="shared" si="359"/>
        <v/>
      </c>
      <c r="AS2227" s="63" t="str">
        <f t="shared" si="360"/>
        <v/>
      </c>
      <c r="AT2227" s="78" t="str">
        <f t="shared" si="361"/>
        <v/>
      </c>
      <c r="AU2227" s="78" t="str">
        <f t="shared" si="362"/>
        <v/>
      </c>
      <c r="AV2227" s="64" t="str">
        <f ca="1">IFERROR(__xludf.DUMMYFUNCTION("IF(TRIM(AU2227)="""","""",AU2227/INDEX(FILTER(AT$3:AT2227,TRIM(AT$3:AT2227)&lt;&gt;""""),ROWS(FILTER(AT$3:AT2227,TRIM(AT$3:AT2227)&lt;&gt;"""")))-1)"),"")</f>
        <v/>
      </c>
      <c r="AW2227" s="65" t="e">
        <f t="shared" ca="1" si="355"/>
        <v>#VALUE!</v>
      </c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</row>
    <row r="2228" spans="1:68" ht="19" x14ac:dyDescent="0.25">
      <c r="A2228" s="5"/>
      <c r="B2228" s="5"/>
      <c r="C2228" s="5"/>
      <c r="D2228" s="5"/>
      <c r="E2228" s="5"/>
      <c r="F2228" s="5"/>
      <c r="G2228" s="5"/>
      <c r="H2228" s="6"/>
      <c r="I2228" s="5"/>
      <c r="J2228" s="88"/>
      <c r="K2228" s="88"/>
      <c r="L2228" s="88"/>
      <c r="M2228" s="88"/>
      <c r="N2228" s="88"/>
      <c r="O2228" s="88"/>
      <c r="P2228" s="88"/>
      <c r="Q2228" s="89"/>
      <c r="R2228" s="88"/>
      <c r="S2228" s="88"/>
      <c r="T2228" s="90"/>
      <c r="U2228" s="6"/>
      <c r="V2228" s="92"/>
      <c r="W2228" s="77"/>
      <c r="X2228" s="91"/>
      <c r="Y2228" s="77"/>
      <c r="Z2228" s="5"/>
      <c r="AA2228" s="5"/>
      <c r="AB2228" s="5"/>
      <c r="AC2228" s="5"/>
      <c r="AD2228" s="5"/>
      <c r="AE2228" s="5"/>
      <c r="AF2228" s="5"/>
      <c r="AG2228" s="5"/>
      <c r="AH2228" s="6"/>
      <c r="AI2228" s="92"/>
      <c r="AJ2228" s="93"/>
      <c r="AK2228" s="94"/>
      <c r="AL2228" s="95"/>
      <c r="AM2228" s="56"/>
      <c r="AN2228" s="57">
        <f t="shared" si="354"/>
        <v>0</v>
      </c>
      <c r="AO2228" s="76">
        <f t="shared" si="356"/>
        <v>0</v>
      </c>
      <c r="AP2228" s="63" t="str">
        <f t="shared" si="357"/>
        <v/>
      </c>
      <c r="AQ2228" s="63" t="str">
        <f t="shared" si="358"/>
        <v/>
      </c>
      <c r="AR2228" s="63" t="str">
        <f t="shared" si="359"/>
        <v/>
      </c>
      <c r="AS2228" s="63" t="str">
        <f t="shared" si="360"/>
        <v/>
      </c>
      <c r="AT2228" s="78" t="str">
        <f t="shared" si="361"/>
        <v/>
      </c>
      <c r="AU2228" s="78" t="str">
        <f t="shared" si="362"/>
        <v/>
      </c>
      <c r="AV2228" s="64" t="str">
        <f ca="1">IFERROR(__xludf.DUMMYFUNCTION("IF(TRIM(AU2228)="""","""",AU2228/INDEX(FILTER(AT$3:AT2228,TRIM(AT$3:AT2228)&lt;&gt;""""),ROWS(FILTER(AT$3:AT2228,TRIM(AT$3:AT2228)&lt;&gt;"""")))-1)"),"")</f>
        <v/>
      </c>
      <c r="AW2228" s="65" t="e">
        <f t="shared" ca="1" si="355"/>
        <v>#VALUE!</v>
      </c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</row>
    <row r="2229" spans="1:68" ht="19" x14ac:dyDescent="0.25">
      <c r="A2229" s="5"/>
      <c r="B2229" s="5"/>
      <c r="C2229" s="5"/>
      <c r="D2229" s="5"/>
      <c r="E2229" s="5"/>
      <c r="F2229" s="5"/>
      <c r="G2229" s="5"/>
      <c r="H2229" s="6"/>
      <c r="I2229" s="5"/>
      <c r="J2229" s="88"/>
      <c r="K2229" s="88"/>
      <c r="L2229" s="88"/>
      <c r="M2229" s="88"/>
      <c r="N2229" s="88"/>
      <c r="O2229" s="88"/>
      <c r="P2229" s="88"/>
      <c r="Q2229" s="89"/>
      <c r="R2229" s="88"/>
      <c r="S2229" s="88"/>
      <c r="T2229" s="90"/>
      <c r="U2229" s="6"/>
      <c r="V2229" s="92"/>
      <c r="W2229" s="77"/>
      <c r="X2229" s="91"/>
      <c r="Y2229" s="77"/>
      <c r="Z2229" s="5"/>
      <c r="AA2229" s="5"/>
      <c r="AB2229" s="5"/>
      <c r="AC2229" s="5"/>
      <c r="AD2229" s="5"/>
      <c r="AE2229" s="5"/>
      <c r="AF2229" s="5"/>
      <c r="AG2229" s="5"/>
      <c r="AH2229" s="6"/>
      <c r="AI2229" s="92"/>
      <c r="AJ2229" s="93"/>
      <c r="AK2229" s="94"/>
      <c r="AL2229" s="95"/>
      <c r="AM2229" s="56"/>
      <c r="AN2229" s="57">
        <f t="shared" si="354"/>
        <v>0</v>
      </c>
      <c r="AO2229" s="76">
        <f t="shared" si="356"/>
        <v>0</v>
      </c>
      <c r="AP2229" s="63" t="str">
        <f t="shared" si="357"/>
        <v/>
      </c>
      <c r="AQ2229" s="63" t="str">
        <f t="shared" si="358"/>
        <v/>
      </c>
      <c r="AR2229" s="63" t="str">
        <f t="shared" si="359"/>
        <v/>
      </c>
      <c r="AS2229" s="63" t="str">
        <f t="shared" si="360"/>
        <v/>
      </c>
      <c r="AT2229" s="78" t="str">
        <f t="shared" si="361"/>
        <v/>
      </c>
      <c r="AU2229" s="78" t="str">
        <f t="shared" si="362"/>
        <v/>
      </c>
      <c r="AV2229" s="64" t="str">
        <f ca="1">IFERROR(__xludf.DUMMYFUNCTION("IF(TRIM(AU2229)="""","""",AU2229/INDEX(FILTER(AT$3:AT2229,TRIM(AT$3:AT2229)&lt;&gt;""""),ROWS(FILTER(AT$3:AT2229,TRIM(AT$3:AT2229)&lt;&gt;"""")))-1)"),"")</f>
        <v/>
      </c>
      <c r="AW2229" s="65" t="e">
        <f t="shared" ca="1" si="355"/>
        <v>#VALUE!</v>
      </c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</row>
    <row r="2230" spans="1:68" ht="19" x14ac:dyDescent="0.25">
      <c r="A2230" s="5"/>
      <c r="B2230" s="5"/>
      <c r="C2230" s="5"/>
      <c r="D2230" s="5"/>
      <c r="E2230" s="5"/>
      <c r="F2230" s="5"/>
      <c r="G2230" s="5"/>
      <c r="H2230" s="6"/>
      <c r="I2230" s="5"/>
      <c r="J2230" s="88"/>
      <c r="K2230" s="88"/>
      <c r="L2230" s="88"/>
      <c r="M2230" s="88"/>
      <c r="N2230" s="88"/>
      <c r="O2230" s="88"/>
      <c r="P2230" s="88"/>
      <c r="Q2230" s="89"/>
      <c r="R2230" s="88"/>
      <c r="S2230" s="88"/>
      <c r="T2230" s="90"/>
      <c r="U2230" s="6"/>
      <c r="V2230" s="92"/>
      <c r="W2230" s="77"/>
      <c r="X2230" s="91"/>
      <c r="Y2230" s="77"/>
      <c r="Z2230" s="5"/>
      <c r="AA2230" s="5"/>
      <c r="AB2230" s="5"/>
      <c r="AC2230" s="5"/>
      <c r="AD2230" s="5"/>
      <c r="AE2230" s="5"/>
      <c r="AF2230" s="5"/>
      <c r="AG2230" s="5"/>
      <c r="AH2230" s="6"/>
      <c r="AI2230" s="92"/>
      <c r="AJ2230" s="93"/>
      <c r="AK2230" s="94"/>
      <c r="AL2230" s="95"/>
      <c r="AM2230" s="56"/>
      <c r="AN2230" s="57">
        <f t="shared" si="354"/>
        <v>0</v>
      </c>
      <c r="AO2230" s="76">
        <f t="shared" si="356"/>
        <v>0</v>
      </c>
      <c r="AP2230" s="63" t="str">
        <f t="shared" si="357"/>
        <v/>
      </c>
      <c r="AQ2230" s="63" t="str">
        <f t="shared" si="358"/>
        <v/>
      </c>
      <c r="AR2230" s="63" t="str">
        <f t="shared" si="359"/>
        <v/>
      </c>
      <c r="AS2230" s="63" t="str">
        <f t="shared" si="360"/>
        <v/>
      </c>
      <c r="AT2230" s="78" t="str">
        <f t="shared" si="361"/>
        <v/>
      </c>
      <c r="AU2230" s="78" t="str">
        <f t="shared" si="362"/>
        <v/>
      </c>
      <c r="AV2230" s="64" t="str">
        <f ca="1">IFERROR(__xludf.DUMMYFUNCTION("IF(TRIM(AU2230)="""","""",AU2230/INDEX(FILTER(AT$3:AT2230,TRIM(AT$3:AT2230)&lt;&gt;""""),ROWS(FILTER(AT$3:AT2230,TRIM(AT$3:AT2230)&lt;&gt;"""")))-1)"),"")</f>
        <v/>
      </c>
      <c r="AW2230" s="65" t="e">
        <f t="shared" ca="1" si="355"/>
        <v>#VALUE!</v>
      </c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</row>
    <row r="2231" spans="1:68" ht="19" x14ac:dyDescent="0.25">
      <c r="A2231" s="5"/>
      <c r="B2231" s="5"/>
      <c r="C2231" s="5"/>
      <c r="D2231" s="5"/>
      <c r="E2231" s="5"/>
      <c r="F2231" s="5"/>
      <c r="G2231" s="5"/>
      <c r="H2231" s="6"/>
      <c r="I2231" s="5"/>
      <c r="J2231" s="88"/>
      <c r="K2231" s="88"/>
      <c r="L2231" s="88"/>
      <c r="M2231" s="88"/>
      <c r="N2231" s="88"/>
      <c r="O2231" s="88"/>
      <c r="P2231" s="88"/>
      <c r="Q2231" s="89"/>
      <c r="R2231" s="88"/>
      <c r="S2231" s="88"/>
      <c r="T2231" s="90"/>
      <c r="U2231" s="6"/>
      <c r="V2231" s="92"/>
      <c r="W2231" s="77"/>
      <c r="X2231" s="91"/>
      <c r="Y2231" s="77"/>
      <c r="Z2231" s="5"/>
      <c r="AA2231" s="5"/>
      <c r="AB2231" s="5"/>
      <c r="AC2231" s="5"/>
      <c r="AD2231" s="5"/>
      <c r="AE2231" s="5"/>
      <c r="AF2231" s="5"/>
      <c r="AG2231" s="5"/>
      <c r="AH2231" s="6"/>
      <c r="AI2231" s="92"/>
      <c r="AJ2231" s="93"/>
      <c r="AK2231" s="94"/>
      <c r="AL2231" s="95"/>
      <c r="AM2231" s="56"/>
      <c r="AN2231" s="57">
        <f t="shared" si="354"/>
        <v>0</v>
      </c>
      <c r="AO2231" s="76">
        <f t="shared" si="356"/>
        <v>0</v>
      </c>
      <c r="AP2231" s="63" t="str">
        <f t="shared" si="357"/>
        <v/>
      </c>
      <c r="AQ2231" s="63" t="str">
        <f t="shared" si="358"/>
        <v/>
      </c>
      <c r="AR2231" s="63" t="str">
        <f t="shared" si="359"/>
        <v/>
      </c>
      <c r="AS2231" s="63" t="str">
        <f t="shared" si="360"/>
        <v/>
      </c>
      <c r="AT2231" s="78" t="str">
        <f t="shared" si="361"/>
        <v/>
      </c>
      <c r="AU2231" s="78" t="str">
        <f t="shared" si="362"/>
        <v/>
      </c>
      <c r="AV2231" s="64" t="str">
        <f ca="1">IFERROR(__xludf.DUMMYFUNCTION("IF(TRIM(AU2231)="""","""",AU2231/INDEX(FILTER(AT$3:AT2231,TRIM(AT$3:AT2231)&lt;&gt;""""),ROWS(FILTER(AT$3:AT2231,TRIM(AT$3:AT2231)&lt;&gt;"""")))-1)"),"")</f>
        <v/>
      </c>
      <c r="AW2231" s="65" t="e">
        <f t="shared" ca="1" si="355"/>
        <v>#VALUE!</v>
      </c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</row>
    <row r="2232" spans="1:68" ht="19" x14ac:dyDescent="0.25">
      <c r="A2232" s="5"/>
      <c r="B2232" s="5"/>
      <c r="C2232" s="5"/>
      <c r="D2232" s="5"/>
      <c r="E2232" s="5"/>
      <c r="F2232" s="5"/>
      <c r="G2232" s="5"/>
      <c r="H2232" s="6"/>
      <c r="I2232" s="5"/>
      <c r="J2232" s="88"/>
      <c r="K2232" s="88"/>
      <c r="L2232" s="88"/>
      <c r="M2232" s="88"/>
      <c r="N2232" s="88"/>
      <c r="O2232" s="88"/>
      <c r="P2232" s="88"/>
      <c r="Q2232" s="89"/>
      <c r="R2232" s="88"/>
      <c r="S2232" s="88"/>
      <c r="T2232" s="90"/>
      <c r="U2232" s="6"/>
      <c r="V2232" s="92"/>
      <c r="W2232" s="77"/>
      <c r="X2232" s="91"/>
      <c r="Y2232" s="77"/>
      <c r="Z2232" s="5"/>
      <c r="AA2232" s="5"/>
      <c r="AB2232" s="5"/>
      <c r="AC2232" s="5"/>
      <c r="AD2232" s="5"/>
      <c r="AE2232" s="5"/>
      <c r="AF2232" s="5"/>
      <c r="AG2232" s="5"/>
      <c r="AH2232" s="6"/>
      <c r="AI2232" s="92"/>
      <c r="AJ2232" s="93"/>
      <c r="AK2232" s="94"/>
      <c r="AL2232" s="95"/>
      <c r="AM2232" s="56"/>
      <c r="AN2232" s="57">
        <f t="shared" si="354"/>
        <v>0</v>
      </c>
      <c r="AO2232" s="76">
        <f t="shared" si="356"/>
        <v>0</v>
      </c>
      <c r="AP2232" s="63" t="str">
        <f t="shared" si="357"/>
        <v/>
      </c>
      <c r="AQ2232" s="63" t="str">
        <f t="shared" si="358"/>
        <v/>
      </c>
      <c r="AR2232" s="63" t="str">
        <f t="shared" si="359"/>
        <v/>
      </c>
      <c r="AS2232" s="63" t="str">
        <f t="shared" si="360"/>
        <v/>
      </c>
      <c r="AT2232" s="78" t="str">
        <f t="shared" si="361"/>
        <v/>
      </c>
      <c r="AU2232" s="78" t="str">
        <f t="shared" si="362"/>
        <v/>
      </c>
      <c r="AV2232" s="64" t="str">
        <f ca="1">IFERROR(__xludf.DUMMYFUNCTION("IF(TRIM(AU2232)="""","""",AU2232/INDEX(FILTER(AT$3:AT2232,TRIM(AT$3:AT2232)&lt;&gt;""""),ROWS(FILTER(AT$3:AT2232,TRIM(AT$3:AT2232)&lt;&gt;"""")))-1)"),"")</f>
        <v/>
      </c>
      <c r="AW2232" s="65" t="e">
        <f t="shared" ca="1" si="355"/>
        <v>#VALUE!</v>
      </c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</row>
    <row r="2233" spans="1:68" ht="19" x14ac:dyDescent="0.25">
      <c r="A2233" s="5"/>
      <c r="B2233" s="5"/>
      <c r="C2233" s="5"/>
      <c r="D2233" s="5"/>
      <c r="E2233" s="5"/>
      <c r="F2233" s="5"/>
      <c r="G2233" s="5"/>
      <c r="H2233" s="6"/>
      <c r="I2233" s="5"/>
      <c r="J2233" s="88"/>
      <c r="K2233" s="88"/>
      <c r="L2233" s="88"/>
      <c r="M2233" s="88"/>
      <c r="N2233" s="88"/>
      <c r="O2233" s="88"/>
      <c r="P2233" s="88"/>
      <c r="Q2233" s="89"/>
      <c r="R2233" s="88"/>
      <c r="S2233" s="88"/>
      <c r="T2233" s="90"/>
      <c r="U2233" s="6"/>
      <c r="V2233" s="92"/>
      <c r="W2233" s="77"/>
      <c r="X2233" s="91"/>
      <c r="Y2233" s="77"/>
      <c r="Z2233" s="5"/>
      <c r="AA2233" s="5"/>
      <c r="AB2233" s="5"/>
      <c r="AC2233" s="5"/>
      <c r="AD2233" s="5"/>
      <c r="AE2233" s="5"/>
      <c r="AF2233" s="5"/>
      <c r="AG2233" s="5"/>
      <c r="AH2233" s="6"/>
      <c r="AI2233" s="92"/>
      <c r="AJ2233" s="93"/>
      <c r="AK2233" s="94"/>
      <c r="AL2233" s="95"/>
      <c r="AM2233" s="56"/>
      <c r="AN2233" s="57">
        <f t="shared" si="354"/>
        <v>0</v>
      </c>
      <c r="AO2233" s="76">
        <f t="shared" si="356"/>
        <v>0</v>
      </c>
      <c r="AP2233" s="63" t="str">
        <f t="shared" si="357"/>
        <v/>
      </c>
      <c r="AQ2233" s="63" t="str">
        <f t="shared" si="358"/>
        <v/>
      </c>
      <c r="AR2233" s="63" t="str">
        <f t="shared" si="359"/>
        <v/>
      </c>
      <c r="AS2233" s="63" t="str">
        <f t="shared" si="360"/>
        <v/>
      </c>
      <c r="AT2233" s="78" t="str">
        <f t="shared" si="361"/>
        <v/>
      </c>
      <c r="AU2233" s="78" t="str">
        <f t="shared" si="362"/>
        <v/>
      </c>
      <c r="AV2233" s="64" t="str">
        <f ca="1">IFERROR(__xludf.DUMMYFUNCTION("IF(TRIM(AU2233)="""","""",AU2233/INDEX(FILTER(AT$3:AT2233,TRIM(AT$3:AT2233)&lt;&gt;""""),ROWS(FILTER(AT$3:AT2233,TRIM(AT$3:AT2233)&lt;&gt;"""")))-1)"),"")</f>
        <v/>
      </c>
      <c r="AW2233" s="65" t="e">
        <f t="shared" ca="1" si="355"/>
        <v>#VALUE!</v>
      </c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</row>
    <row r="2234" spans="1:68" ht="19" x14ac:dyDescent="0.25">
      <c r="A2234" s="5"/>
      <c r="B2234" s="5"/>
      <c r="C2234" s="5"/>
      <c r="D2234" s="5"/>
      <c r="E2234" s="5"/>
      <c r="F2234" s="5"/>
      <c r="G2234" s="5"/>
      <c r="H2234" s="6"/>
      <c r="I2234" s="5"/>
      <c r="J2234" s="88"/>
      <c r="K2234" s="88"/>
      <c r="L2234" s="88"/>
      <c r="M2234" s="88"/>
      <c r="N2234" s="88"/>
      <c r="O2234" s="88"/>
      <c r="P2234" s="88"/>
      <c r="Q2234" s="89"/>
      <c r="R2234" s="88"/>
      <c r="S2234" s="88"/>
      <c r="T2234" s="90"/>
      <c r="U2234" s="6"/>
      <c r="V2234" s="92"/>
      <c r="W2234" s="77"/>
      <c r="X2234" s="91"/>
      <c r="Y2234" s="77"/>
      <c r="Z2234" s="5"/>
      <c r="AA2234" s="5"/>
      <c r="AB2234" s="5"/>
      <c r="AC2234" s="5"/>
      <c r="AD2234" s="5"/>
      <c r="AE2234" s="5"/>
      <c r="AF2234" s="5"/>
      <c r="AG2234" s="5"/>
      <c r="AH2234" s="6"/>
      <c r="AI2234" s="92"/>
      <c r="AJ2234" s="93"/>
      <c r="AK2234" s="94"/>
      <c r="AL2234" s="95"/>
      <c r="AM2234" s="56"/>
      <c r="AN2234" s="57">
        <f t="shared" si="354"/>
        <v>0</v>
      </c>
      <c r="AO2234" s="76">
        <f t="shared" si="356"/>
        <v>0</v>
      </c>
      <c r="AP2234" s="63" t="str">
        <f t="shared" si="357"/>
        <v/>
      </c>
      <c r="AQ2234" s="63" t="str">
        <f t="shared" si="358"/>
        <v/>
      </c>
      <c r="AR2234" s="63" t="str">
        <f t="shared" si="359"/>
        <v/>
      </c>
      <c r="AS2234" s="63" t="str">
        <f t="shared" si="360"/>
        <v/>
      </c>
      <c r="AT2234" s="78" t="str">
        <f t="shared" si="361"/>
        <v/>
      </c>
      <c r="AU2234" s="78" t="str">
        <f t="shared" si="362"/>
        <v/>
      </c>
      <c r="AV2234" s="64" t="str">
        <f ca="1">IFERROR(__xludf.DUMMYFUNCTION("IF(TRIM(AU2234)="""","""",AU2234/INDEX(FILTER(AT$3:AT2234,TRIM(AT$3:AT2234)&lt;&gt;""""),ROWS(FILTER(AT$3:AT2234,TRIM(AT$3:AT2234)&lt;&gt;"""")))-1)"),"")</f>
        <v/>
      </c>
      <c r="AW2234" s="65" t="e">
        <f t="shared" ca="1" si="355"/>
        <v>#VALUE!</v>
      </c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</row>
    <row r="2235" spans="1:68" ht="19" x14ac:dyDescent="0.25">
      <c r="A2235" s="5"/>
      <c r="B2235" s="5"/>
      <c r="C2235" s="5"/>
      <c r="D2235" s="5"/>
      <c r="E2235" s="5"/>
      <c r="F2235" s="5"/>
      <c r="G2235" s="5"/>
      <c r="H2235" s="6"/>
      <c r="I2235" s="5"/>
      <c r="J2235" s="88"/>
      <c r="K2235" s="88"/>
      <c r="L2235" s="88"/>
      <c r="M2235" s="88"/>
      <c r="N2235" s="88"/>
      <c r="O2235" s="88"/>
      <c r="P2235" s="88"/>
      <c r="Q2235" s="89"/>
      <c r="R2235" s="88"/>
      <c r="S2235" s="88"/>
      <c r="T2235" s="90"/>
      <c r="U2235" s="6"/>
      <c r="V2235" s="92"/>
      <c r="W2235" s="77"/>
      <c r="X2235" s="91"/>
      <c r="Y2235" s="77"/>
      <c r="Z2235" s="5"/>
      <c r="AA2235" s="5"/>
      <c r="AB2235" s="5"/>
      <c r="AC2235" s="5"/>
      <c r="AD2235" s="5"/>
      <c r="AE2235" s="5"/>
      <c r="AF2235" s="5"/>
      <c r="AG2235" s="5"/>
      <c r="AH2235" s="6"/>
      <c r="AI2235" s="92"/>
      <c r="AJ2235" s="93"/>
      <c r="AK2235" s="94"/>
      <c r="AL2235" s="95"/>
      <c r="AM2235" s="56"/>
      <c r="AN2235" s="57">
        <f t="shared" si="354"/>
        <v>0</v>
      </c>
      <c r="AO2235" s="76">
        <f t="shared" si="356"/>
        <v>0</v>
      </c>
      <c r="AP2235" s="63" t="str">
        <f t="shared" si="357"/>
        <v/>
      </c>
      <c r="AQ2235" s="63" t="str">
        <f t="shared" si="358"/>
        <v/>
      </c>
      <c r="AR2235" s="63" t="str">
        <f t="shared" si="359"/>
        <v/>
      </c>
      <c r="AS2235" s="63" t="str">
        <f t="shared" si="360"/>
        <v/>
      </c>
      <c r="AT2235" s="78" t="str">
        <f t="shared" si="361"/>
        <v/>
      </c>
      <c r="AU2235" s="78" t="str">
        <f t="shared" si="362"/>
        <v/>
      </c>
      <c r="AV2235" s="64" t="str">
        <f ca="1">IFERROR(__xludf.DUMMYFUNCTION("IF(TRIM(AU2235)="""","""",AU2235/INDEX(FILTER(AT$3:AT2235,TRIM(AT$3:AT2235)&lt;&gt;""""),ROWS(FILTER(AT$3:AT2235,TRIM(AT$3:AT2235)&lt;&gt;"""")))-1)"),"")</f>
        <v/>
      </c>
      <c r="AW2235" s="65" t="e">
        <f t="shared" ca="1" si="355"/>
        <v>#VALUE!</v>
      </c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</row>
    <row r="2236" spans="1:68" ht="19" x14ac:dyDescent="0.25">
      <c r="A2236" s="5"/>
      <c r="B2236" s="5"/>
      <c r="C2236" s="5"/>
      <c r="D2236" s="5"/>
      <c r="E2236" s="5"/>
      <c r="F2236" s="5"/>
      <c r="G2236" s="5"/>
      <c r="H2236" s="6"/>
      <c r="I2236" s="5"/>
      <c r="J2236" s="88"/>
      <c r="K2236" s="88"/>
      <c r="L2236" s="88"/>
      <c r="M2236" s="88"/>
      <c r="N2236" s="88"/>
      <c r="O2236" s="88"/>
      <c r="P2236" s="88"/>
      <c r="Q2236" s="89"/>
      <c r="R2236" s="88"/>
      <c r="S2236" s="88"/>
      <c r="T2236" s="90"/>
      <c r="U2236" s="6"/>
      <c r="V2236" s="92"/>
      <c r="W2236" s="77"/>
      <c r="X2236" s="91"/>
      <c r="Y2236" s="77"/>
      <c r="Z2236" s="5"/>
      <c r="AA2236" s="5"/>
      <c r="AB2236" s="5"/>
      <c r="AC2236" s="5"/>
      <c r="AD2236" s="5"/>
      <c r="AE2236" s="5"/>
      <c r="AF2236" s="5"/>
      <c r="AG2236" s="5"/>
      <c r="AH2236" s="6"/>
      <c r="AI2236" s="92"/>
      <c r="AJ2236" s="93"/>
      <c r="AK2236" s="94"/>
      <c r="AL2236" s="95"/>
      <c r="AM2236" s="56"/>
      <c r="AN2236" s="57">
        <f t="shared" si="354"/>
        <v>0</v>
      </c>
      <c r="AO2236" s="76">
        <f t="shared" si="356"/>
        <v>0</v>
      </c>
      <c r="AP2236" s="63" t="str">
        <f t="shared" si="357"/>
        <v/>
      </c>
      <c r="AQ2236" s="63" t="str">
        <f t="shared" si="358"/>
        <v/>
      </c>
      <c r="AR2236" s="63" t="str">
        <f t="shared" si="359"/>
        <v/>
      </c>
      <c r="AS2236" s="63" t="str">
        <f t="shared" si="360"/>
        <v/>
      </c>
      <c r="AT2236" s="78" t="str">
        <f t="shared" si="361"/>
        <v/>
      </c>
      <c r="AU2236" s="78" t="str">
        <f t="shared" si="362"/>
        <v/>
      </c>
      <c r="AV2236" s="64" t="str">
        <f ca="1">IFERROR(__xludf.DUMMYFUNCTION("IF(TRIM(AU2236)="""","""",AU2236/INDEX(FILTER(AT$3:AT2236,TRIM(AT$3:AT2236)&lt;&gt;""""),ROWS(FILTER(AT$3:AT2236,TRIM(AT$3:AT2236)&lt;&gt;"""")))-1)"),"")</f>
        <v/>
      </c>
      <c r="AW2236" s="65" t="e">
        <f t="shared" ca="1" si="355"/>
        <v>#VALUE!</v>
      </c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</row>
    <row r="2237" spans="1:68" ht="19" x14ac:dyDescent="0.25">
      <c r="A2237" s="5"/>
      <c r="B2237" s="5"/>
      <c r="C2237" s="5"/>
      <c r="D2237" s="5"/>
      <c r="E2237" s="5"/>
      <c r="F2237" s="5"/>
      <c r="G2237" s="5"/>
      <c r="H2237" s="6"/>
      <c r="I2237" s="5"/>
      <c r="J2237" s="88"/>
      <c r="K2237" s="88"/>
      <c r="L2237" s="88"/>
      <c r="M2237" s="88"/>
      <c r="N2237" s="88"/>
      <c r="O2237" s="88"/>
      <c r="P2237" s="88"/>
      <c r="Q2237" s="89"/>
      <c r="R2237" s="88"/>
      <c r="S2237" s="88"/>
      <c r="T2237" s="90"/>
      <c r="U2237" s="6"/>
      <c r="V2237" s="92"/>
      <c r="W2237" s="77"/>
      <c r="X2237" s="91"/>
      <c r="Y2237" s="77"/>
      <c r="Z2237" s="5"/>
      <c r="AA2237" s="5"/>
      <c r="AB2237" s="5"/>
      <c r="AC2237" s="5"/>
      <c r="AD2237" s="5"/>
      <c r="AE2237" s="5"/>
      <c r="AF2237" s="5"/>
      <c r="AG2237" s="5"/>
      <c r="AH2237" s="6"/>
      <c r="AI2237" s="92"/>
      <c r="AJ2237" s="93"/>
      <c r="AK2237" s="94"/>
      <c r="AL2237" s="95"/>
      <c r="AM2237" s="56"/>
      <c r="AN2237" s="57">
        <f t="shared" si="354"/>
        <v>0</v>
      </c>
      <c r="AO2237" s="76">
        <f t="shared" si="356"/>
        <v>0</v>
      </c>
      <c r="AP2237" s="63" t="str">
        <f t="shared" si="357"/>
        <v/>
      </c>
      <c r="AQ2237" s="63" t="str">
        <f t="shared" si="358"/>
        <v/>
      </c>
      <c r="AR2237" s="63" t="str">
        <f t="shared" si="359"/>
        <v/>
      </c>
      <c r="AS2237" s="63" t="str">
        <f t="shared" si="360"/>
        <v/>
      </c>
      <c r="AT2237" s="78" t="str">
        <f t="shared" si="361"/>
        <v/>
      </c>
      <c r="AU2237" s="78" t="str">
        <f t="shared" si="362"/>
        <v/>
      </c>
      <c r="AV2237" s="64" t="str">
        <f ca="1">IFERROR(__xludf.DUMMYFUNCTION("IF(TRIM(AU2237)="""","""",AU2237/INDEX(FILTER(AT$3:AT2237,TRIM(AT$3:AT2237)&lt;&gt;""""),ROWS(FILTER(AT$3:AT2237,TRIM(AT$3:AT2237)&lt;&gt;"""")))-1)"),"")</f>
        <v/>
      </c>
      <c r="AW2237" s="65" t="e">
        <f t="shared" ca="1" si="355"/>
        <v>#VALUE!</v>
      </c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</row>
    <row r="2238" spans="1:68" ht="19" x14ac:dyDescent="0.25">
      <c r="A2238" s="5"/>
      <c r="B2238" s="5"/>
      <c r="C2238" s="5"/>
      <c r="D2238" s="5"/>
      <c r="E2238" s="5"/>
      <c r="F2238" s="5"/>
      <c r="G2238" s="5"/>
      <c r="H2238" s="6"/>
      <c r="I2238" s="5"/>
      <c r="J2238" s="88"/>
      <c r="K2238" s="88"/>
      <c r="L2238" s="88"/>
      <c r="M2238" s="88"/>
      <c r="N2238" s="88"/>
      <c r="O2238" s="88"/>
      <c r="P2238" s="88"/>
      <c r="Q2238" s="89"/>
      <c r="R2238" s="88"/>
      <c r="S2238" s="88"/>
      <c r="T2238" s="90"/>
      <c r="U2238" s="6"/>
      <c r="V2238" s="92"/>
      <c r="W2238" s="77"/>
      <c r="X2238" s="91"/>
      <c r="Y2238" s="77"/>
      <c r="Z2238" s="5"/>
      <c r="AA2238" s="5"/>
      <c r="AB2238" s="5"/>
      <c r="AC2238" s="5"/>
      <c r="AD2238" s="5"/>
      <c r="AE2238" s="5"/>
      <c r="AF2238" s="5"/>
      <c r="AG2238" s="5"/>
      <c r="AH2238" s="6"/>
      <c r="AI2238" s="92"/>
      <c r="AJ2238" s="93"/>
      <c r="AK2238" s="94"/>
      <c r="AL2238" s="95"/>
      <c r="AM2238" s="56"/>
      <c r="AN2238" s="57">
        <f t="shared" si="354"/>
        <v>0</v>
      </c>
      <c r="AO2238" s="76">
        <f t="shared" si="356"/>
        <v>0</v>
      </c>
      <c r="AP2238" s="63" t="str">
        <f t="shared" si="357"/>
        <v/>
      </c>
      <c r="AQ2238" s="63" t="str">
        <f t="shared" si="358"/>
        <v/>
      </c>
      <c r="AR2238" s="63" t="str">
        <f t="shared" si="359"/>
        <v/>
      </c>
      <c r="AS2238" s="63" t="str">
        <f t="shared" si="360"/>
        <v/>
      </c>
      <c r="AT2238" s="78" t="str">
        <f t="shared" si="361"/>
        <v/>
      </c>
      <c r="AU2238" s="78" t="str">
        <f t="shared" si="362"/>
        <v/>
      </c>
      <c r="AV2238" s="64" t="str">
        <f ca="1">IFERROR(__xludf.DUMMYFUNCTION("IF(TRIM(AU2238)="""","""",AU2238/INDEX(FILTER(AT$3:AT2238,TRIM(AT$3:AT2238)&lt;&gt;""""),ROWS(FILTER(AT$3:AT2238,TRIM(AT$3:AT2238)&lt;&gt;"""")))-1)"),"")</f>
        <v/>
      </c>
      <c r="AW2238" s="65" t="e">
        <f t="shared" ca="1" si="355"/>
        <v>#VALUE!</v>
      </c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</row>
    <row r="2239" spans="1:68" ht="19" x14ac:dyDescent="0.25">
      <c r="A2239" s="5"/>
      <c r="B2239" s="5"/>
      <c r="C2239" s="5"/>
      <c r="D2239" s="5"/>
      <c r="E2239" s="5"/>
      <c r="F2239" s="5"/>
      <c r="G2239" s="5"/>
      <c r="H2239" s="6"/>
      <c r="I2239" s="5"/>
      <c r="J2239" s="88"/>
      <c r="K2239" s="88"/>
      <c r="L2239" s="88"/>
      <c r="M2239" s="88"/>
      <c r="N2239" s="88"/>
      <c r="O2239" s="88"/>
      <c r="P2239" s="88"/>
      <c r="Q2239" s="89"/>
      <c r="R2239" s="88"/>
      <c r="S2239" s="88"/>
      <c r="T2239" s="90"/>
      <c r="U2239" s="6"/>
      <c r="V2239" s="92"/>
      <c r="W2239" s="77"/>
      <c r="X2239" s="91"/>
      <c r="Y2239" s="77"/>
      <c r="Z2239" s="5"/>
      <c r="AA2239" s="5"/>
      <c r="AB2239" s="5"/>
      <c r="AC2239" s="5"/>
      <c r="AD2239" s="5"/>
      <c r="AE2239" s="5"/>
      <c r="AF2239" s="5"/>
      <c r="AG2239" s="5"/>
      <c r="AH2239" s="6"/>
      <c r="AI2239" s="92"/>
      <c r="AJ2239" s="93"/>
      <c r="AK2239" s="94"/>
      <c r="AL2239" s="95"/>
      <c r="AM2239" s="56"/>
      <c r="AN2239" s="57">
        <f t="shared" si="354"/>
        <v>0</v>
      </c>
      <c r="AO2239" s="76">
        <f t="shared" si="356"/>
        <v>0</v>
      </c>
      <c r="AP2239" s="63" t="str">
        <f t="shared" si="357"/>
        <v/>
      </c>
      <c r="AQ2239" s="63" t="str">
        <f t="shared" si="358"/>
        <v/>
      </c>
      <c r="AR2239" s="63" t="str">
        <f t="shared" si="359"/>
        <v/>
      </c>
      <c r="AS2239" s="63" t="str">
        <f t="shared" si="360"/>
        <v/>
      </c>
      <c r="AT2239" s="78" t="str">
        <f t="shared" si="361"/>
        <v/>
      </c>
      <c r="AU2239" s="78" t="str">
        <f t="shared" si="362"/>
        <v/>
      </c>
      <c r="AV2239" s="64" t="str">
        <f ca="1">IFERROR(__xludf.DUMMYFUNCTION("IF(TRIM(AU2239)="""","""",AU2239/INDEX(FILTER(AT$3:AT2239,TRIM(AT$3:AT2239)&lt;&gt;""""),ROWS(FILTER(AT$3:AT2239,TRIM(AT$3:AT2239)&lt;&gt;"""")))-1)"),"")</f>
        <v/>
      </c>
      <c r="AW2239" s="65" t="e">
        <f t="shared" ca="1" si="355"/>
        <v>#VALUE!</v>
      </c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</row>
    <row r="2240" spans="1:68" ht="19" x14ac:dyDescent="0.25">
      <c r="A2240" s="5"/>
      <c r="B2240" s="5"/>
      <c r="C2240" s="5"/>
      <c r="D2240" s="5"/>
      <c r="E2240" s="5"/>
      <c r="F2240" s="5"/>
      <c r="G2240" s="5"/>
      <c r="H2240" s="6"/>
      <c r="I2240" s="5"/>
      <c r="J2240" s="88"/>
      <c r="K2240" s="88"/>
      <c r="L2240" s="88"/>
      <c r="M2240" s="88"/>
      <c r="N2240" s="88"/>
      <c r="O2240" s="88"/>
      <c r="P2240" s="88"/>
      <c r="Q2240" s="89"/>
      <c r="R2240" s="88"/>
      <c r="S2240" s="88"/>
      <c r="T2240" s="90"/>
      <c r="U2240" s="6"/>
      <c r="V2240" s="92"/>
      <c r="W2240" s="77"/>
      <c r="X2240" s="91"/>
      <c r="Y2240" s="77"/>
      <c r="Z2240" s="5"/>
      <c r="AA2240" s="5"/>
      <c r="AB2240" s="5"/>
      <c r="AC2240" s="5"/>
      <c r="AD2240" s="5"/>
      <c r="AE2240" s="5"/>
      <c r="AF2240" s="5"/>
      <c r="AG2240" s="5"/>
      <c r="AH2240" s="6"/>
      <c r="AI2240" s="92"/>
      <c r="AJ2240" s="93"/>
      <c r="AK2240" s="94"/>
      <c r="AL2240" s="95"/>
      <c r="AM2240" s="56"/>
      <c r="AN2240" s="57">
        <f t="shared" si="354"/>
        <v>0</v>
      </c>
      <c r="AO2240" s="76">
        <f t="shared" si="356"/>
        <v>0</v>
      </c>
      <c r="AP2240" s="63" t="str">
        <f t="shared" si="357"/>
        <v/>
      </c>
      <c r="AQ2240" s="63" t="str">
        <f t="shared" si="358"/>
        <v/>
      </c>
      <c r="AR2240" s="63" t="str">
        <f t="shared" si="359"/>
        <v/>
      </c>
      <c r="AS2240" s="63" t="str">
        <f t="shared" si="360"/>
        <v/>
      </c>
      <c r="AT2240" s="78" t="str">
        <f t="shared" si="361"/>
        <v/>
      </c>
      <c r="AU2240" s="78" t="str">
        <f t="shared" si="362"/>
        <v/>
      </c>
      <c r="AV2240" s="64" t="str">
        <f ca="1">IFERROR(__xludf.DUMMYFUNCTION("IF(TRIM(AU2240)="""","""",AU2240/INDEX(FILTER(AT$3:AT2240,TRIM(AT$3:AT2240)&lt;&gt;""""),ROWS(FILTER(AT$3:AT2240,TRIM(AT$3:AT2240)&lt;&gt;"""")))-1)"),"")</f>
        <v/>
      </c>
      <c r="AW2240" s="65" t="e">
        <f t="shared" ca="1" si="355"/>
        <v>#VALUE!</v>
      </c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</row>
    <row r="2241" spans="1:68" ht="19" x14ac:dyDescent="0.25">
      <c r="A2241" s="5"/>
      <c r="B2241" s="5"/>
      <c r="C2241" s="5"/>
      <c r="D2241" s="5"/>
      <c r="E2241" s="5"/>
      <c r="F2241" s="5"/>
      <c r="G2241" s="5"/>
      <c r="H2241" s="6"/>
      <c r="I2241" s="5"/>
      <c r="J2241" s="88"/>
      <c r="K2241" s="88"/>
      <c r="L2241" s="88"/>
      <c r="M2241" s="88"/>
      <c r="N2241" s="88"/>
      <c r="O2241" s="88"/>
      <c r="P2241" s="88"/>
      <c r="Q2241" s="89"/>
      <c r="R2241" s="88"/>
      <c r="S2241" s="88"/>
      <c r="T2241" s="90"/>
      <c r="U2241" s="6"/>
      <c r="V2241" s="92"/>
      <c r="W2241" s="77"/>
      <c r="X2241" s="91"/>
      <c r="Y2241" s="77"/>
      <c r="Z2241" s="5"/>
      <c r="AA2241" s="5"/>
      <c r="AB2241" s="5"/>
      <c r="AC2241" s="5"/>
      <c r="AD2241" s="5"/>
      <c r="AE2241" s="5"/>
      <c r="AF2241" s="5"/>
      <c r="AG2241" s="5"/>
      <c r="AH2241" s="6"/>
      <c r="AI2241" s="92"/>
      <c r="AJ2241" s="93"/>
      <c r="AK2241" s="94"/>
      <c r="AL2241" s="95"/>
      <c r="AM2241" s="56"/>
      <c r="AN2241" s="57">
        <f t="shared" si="354"/>
        <v>0</v>
      </c>
      <c r="AO2241" s="76">
        <f t="shared" si="356"/>
        <v>0</v>
      </c>
      <c r="AP2241" s="63" t="str">
        <f t="shared" si="357"/>
        <v/>
      </c>
      <c r="AQ2241" s="63" t="str">
        <f t="shared" si="358"/>
        <v/>
      </c>
      <c r="AR2241" s="63" t="str">
        <f t="shared" si="359"/>
        <v/>
      </c>
      <c r="AS2241" s="63" t="str">
        <f t="shared" si="360"/>
        <v/>
      </c>
      <c r="AT2241" s="78" t="str">
        <f t="shared" si="361"/>
        <v/>
      </c>
      <c r="AU2241" s="78" t="str">
        <f t="shared" si="362"/>
        <v/>
      </c>
      <c r="AV2241" s="64" t="str">
        <f ca="1">IFERROR(__xludf.DUMMYFUNCTION("IF(TRIM(AU2241)="""","""",AU2241/INDEX(FILTER(AT$3:AT2241,TRIM(AT$3:AT2241)&lt;&gt;""""),ROWS(FILTER(AT$3:AT2241,TRIM(AT$3:AT2241)&lt;&gt;"""")))-1)"),"")</f>
        <v/>
      </c>
      <c r="AW2241" s="65" t="e">
        <f t="shared" ca="1" si="355"/>
        <v>#VALUE!</v>
      </c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</row>
    <row r="2242" spans="1:68" ht="19" x14ac:dyDescent="0.25">
      <c r="A2242" s="5"/>
      <c r="B2242" s="5"/>
      <c r="C2242" s="5"/>
      <c r="D2242" s="5"/>
      <c r="E2242" s="5"/>
      <c r="F2242" s="5"/>
      <c r="G2242" s="5"/>
      <c r="H2242" s="6"/>
      <c r="I2242" s="5"/>
      <c r="J2242" s="88"/>
      <c r="K2242" s="88"/>
      <c r="L2242" s="88"/>
      <c r="M2242" s="88"/>
      <c r="N2242" s="88"/>
      <c r="O2242" s="88"/>
      <c r="P2242" s="88"/>
      <c r="Q2242" s="89"/>
      <c r="R2242" s="88"/>
      <c r="S2242" s="88"/>
      <c r="T2242" s="90"/>
      <c r="U2242" s="6"/>
      <c r="V2242" s="92"/>
      <c r="W2242" s="77"/>
      <c r="X2242" s="91"/>
      <c r="Y2242" s="77"/>
      <c r="Z2242" s="5"/>
      <c r="AA2242" s="5"/>
      <c r="AB2242" s="5"/>
      <c r="AC2242" s="5"/>
      <c r="AD2242" s="5"/>
      <c r="AE2242" s="5"/>
      <c r="AF2242" s="5"/>
      <c r="AG2242" s="5"/>
      <c r="AH2242" s="6"/>
      <c r="AI2242" s="92"/>
      <c r="AJ2242" s="93"/>
      <c r="AK2242" s="94"/>
      <c r="AL2242" s="95"/>
      <c r="AM2242" s="56"/>
      <c r="AN2242" s="57">
        <f t="shared" si="354"/>
        <v>0</v>
      </c>
      <c r="AO2242" s="76">
        <f t="shared" si="356"/>
        <v>0</v>
      </c>
      <c r="AP2242" s="63" t="str">
        <f t="shared" si="357"/>
        <v/>
      </c>
      <c r="AQ2242" s="63" t="str">
        <f t="shared" si="358"/>
        <v/>
      </c>
      <c r="AR2242" s="63" t="str">
        <f t="shared" si="359"/>
        <v/>
      </c>
      <c r="AS2242" s="63" t="str">
        <f t="shared" si="360"/>
        <v/>
      </c>
      <c r="AT2242" s="78" t="str">
        <f t="shared" si="361"/>
        <v/>
      </c>
      <c r="AU2242" s="78" t="str">
        <f t="shared" si="362"/>
        <v/>
      </c>
      <c r="AV2242" s="64" t="str">
        <f ca="1">IFERROR(__xludf.DUMMYFUNCTION("IF(TRIM(AU2242)="""","""",AU2242/INDEX(FILTER(AT$3:AT2242,TRIM(AT$3:AT2242)&lt;&gt;""""),ROWS(FILTER(AT$3:AT2242,TRIM(AT$3:AT2242)&lt;&gt;"""")))-1)"),"")</f>
        <v/>
      </c>
      <c r="AW2242" s="65" t="e">
        <f t="shared" ca="1" si="355"/>
        <v>#VALUE!</v>
      </c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</row>
    <row r="2243" spans="1:68" ht="19" x14ac:dyDescent="0.25">
      <c r="A2243" s="5"/>
      <c r="B2243" s="5"/>
      <c r="C2243" s="5"/>
      <c r="D2243" s="5"/>
      <c r="E2243" s="5"/>
      <c r="F2243" s="5"/>
      <c r="G2243" s="5"/>
      <c r="H2243" s="6"/>
      <c r="I2243" s="5"/>
      <c r="J2243" s="88"/>
      <c r="K2243" s="88"/>
      <c r="L2243" s="88"/>
      <c r="M2243" s="88"/>
      <c r="N2243" s="88"/>
      <c r="O2243" s="88"/>
      <c r="P2243" s="88"/>
      <c r="Q2243" s="89"/>
      <c r="R2243" s="88"/>
      <c r="S2243" s="88"/>
      <c r="T2243" s="90"/>
      <c r="U2243" s="6"/>
      <c r="V2243" s="92"/>
      <c r="W2243" s="77"/>
      <c r="X2243" s="91"/>
      <c r="Y2243" s="77"/>
      <c r="Z2243" s="5"/>
      <c r="AA2243" s="5"/>
      <c r="AB2243" s="5"/>
      <c r="AC2243" s="5"/>
      <c r="AD2243" s="5"/>
      <c r="AE2243" s="5"/>
      <c r="AF2243" s="5"/>
      <c r="AG2243" s="5"/>
      <c r="AH2243" s="6"/>
      <c r="AI2243" s="92"/>
      <c r="AJ2243" s="93"/>
      <c r="AK2243" s="94"/>
      <c r="AL2243" s="95"/>
      <c r="AM2243" s="56"/>
      <c r="AN2243" s="57">
        <f t="shared" ref="AN2243:AN2306" si="363">AM2243-AL2243</f>
        <v>0</v>
      </c>
      <c r="AO2243" s="76">
        <f t="shared" si="356"/>
        <v>0</v>
      </c>
      <c r="AP2243" s="63" t="str">
        <f t="shared" si="357"/>
        <v/>
      </c>
      <c r="AQ2243" s="63" t="str">
        <f t="shared" si="358"/>
        <v/>
      </c>
      <c r="AR2243" s="63" t="str">
        <f t="shared" si="359"/>
        <v/>
      </c>
      <c r="AS2243" s="63" t="str">
        <f t="shared" si="360"/>
        <v/>
      </c>
      <c r="AT2243" s="78" t="str">
        <f t="shared" si="361"/>
        <v/>
      </c>
      <c r="AU2243" s="78" t="str">
        <f t="shared" si="362"/>
        <v/>
      </c>
      <c r="AV2243" s="64" t="str">
        <f ca="1">IFERROR(__xludf.DUMMYFUNCTION("IF(TRIM(AU2243)="""","""",AU2243/INDEX(FILTER(AT$3:AT2243,TRIM(AT$3:AT2243)&lt;&gt;""""),ROWS(FILTER(AT$3:AT2243,TRIM(AT$3:AT2243)&lt;&gt;"""")))-1)"),"")</f>
        <v/>
      </c>
      <c r="AW2243" s="65" t="e">
        <f t="shared" ref="AW2243:AW2306" ca="1" si="364">AW2242*(1+AV2243)</f>
        <v>#VALUE!</v>
      </c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</row>
    <row r="2244" spans="1:68" ht="19" x14ac:dyDescent="0.25">
      <c r="A2244" s="5"/>
      <c r="B2244" s="5"/>
      <c r="C2244" s="5"/>
      <c r="D2244" s="5"/>
      <c r="E2244" s="5"/>
      <c r="F2244" s="5"/>
      <c r="G2244" s="5"/>
      <c r="H2244" s="6"/>
      <c r="I2244" s="5"/>
      <c r="J2244" s="88"/>
      <c r="K2244" s="88"/>
      <c r="L2244" s="88"/>
      <c r="M2244" s="88"/>
      <c r="N2244" s="88"/>
      <c r="O2244" s="88"/>
      <c r="P2244" s="88"/>
      <c r="Q2244" s="89"/>
      <c r="R2244" s="88"/>
      <c r="S2244" s="88"/>
      <c r="T2244" s="90"/>
      <c r="U2244" s="6"/>
      <c r="V2244" s="92"/>
      <c r="W2244" s="77"/>
      <c r="X2244" s="91"/>
      <c r="Y2244" s="77"/>
      <c r="Z2244" s="5"/>
      <c r="AA2244" s="5"/>
      <c r="AB2244" s="5"/>
      <c r="AC2244" s="5"/>
      <c r="AD2244" s="5"/>
      <c r="AE2244" s="5"/>
      <c r="AF2244" s="5"/>
      <c r="AG2244" s="5"/>
      <c r="AH2244" s="6"/>
      <c r="AI2244" s="92"/>
      <c r="AJ2244" s="93"/>
      <c r="AK2244" s="94"/>
      <c r="AL2244" s="95"/>
      <c r="AM2244" s="56"/>
      <c r="AN2244" s="57">
        <f t="shared" si="363"/>
        <v>0</v>
      </c>
      <c r="AO2244" s="76">
        <f t="shared" si="356"/>
        <v>0</v>
      </c>
      <c r="AP2244" s="63" t="str">
        <f t="shared" si="357"/>
        <v/>
      </c>
      <c r="AQ2244" s="63" t="str">
        <f t="shared" si="358"/>
        <v/>
      </c>
      <c r="AR2244" s="63" t="str">
        <f t="shared" si="359"/>
        <v/>
      </c>
      <c r="AS2244" s="63" t="str">
        <f t="shared" si="360"/>
        <v/>
      </c>
      <c r="AT2244" s="78" t="str">
        <f t="shared" si="361"/>
        <v/>
      </c>
      <c r="AU2244" s="78" t="str">
        <f t="shared" si="362"/>
        <v/>
      </c>
      <c r="AV2244" s="64" t="str">
        <f ca="1">IFERROR(__xludf.DUMMYFUNCTION("IF(TRIM(AU2244)="""","""",AU2244/INDEX(FILTER(AT$3:AT2244,TRIM(AT$3:AT2244)&lt;&gt;""""),ROWS(FILTER(AT$3:AT2244,TRIM(AT$3:AT2244)&lt;&gt;"""")))-1)"),"")</f>
        <v/>
      </c>
      <c r="AW2244" s="65" t="e">
        <f t="shared" ca="1" si="364"/>
        <v>#VALUE!</v>
      </c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</row>
    <row r="2245" spans="1:68" ht="19" x14ac:dyDescent="0.25">
      <c r="A2245" s="5"/>
      <c r="B2245" s="5"/>
      <c r="C2245" s="5"/>
      <c r="D2245" s="5"/>
      <c r="E2245" s="5"/>
      <c r="F2245" s="5"/>
      <c r="G2245" s="5"/>
      <c r="H2245" s="6"/>
      <c r="I2245" s="5"/>
      <c r="J2245" s="88"/>
      <c r="K2245" s="88"/>
      <c r="L2245" s="88"/>
      <c r="M2245" s="88"/>
      <c r="N2245" s="88"/>
      <c r="O2245" s="88"/>
      <c r="P2245" s="88"/>
      <c r="Q2245" s="89"/>
      <c r="R2245" s="88"/>
      <c r="S2245" s="88"/>
      <c r="T2245" s="90"/>
      <c r="U2245" s="6"/>
      <c r="V2245" s="92"/>
      <c r="W2245" s="77"/>
      <c r="X2245" s="91"/>
      <c r="Y2245" s="77"/>
      <c r="Z2245" s="5"/>
      <c r="AA2245" s="5"/>
      <c r="AB2245" s="5"/>
      <c r="AC2245" s="5"/>
      <c r="AD2245" s="5"/>
      <c r="AE2245" s="5"/>
      <c r="AF2245" s="5"/>
      <c r="AG2245" s="5"/>
      <c r="AH2245" s="6"/>
      <c r="AI2245" s="92"/>
      <c r="AJ2245" s="93"/>
      <c r="AK2245" s="94"/>
      <c r="AL2245" s="95"/>
      <c r="AM2245" s="56"/>
      <c r="AN2245" s="57">
        <f t="shared" si="363"/>
        <v>0</v>
      </c>
      <c r="AO2245" s="76">
        <f t="shared" si="356"/>
        <v>0</v>
      </c>
      <c r="AP2245" s="63" t="str">
        <f t="shared" si="357"/>
        <v/>
      </c>
      <c r="AQ2245" s="63" t="str">
        <f t="shared" si="358"/>
        <v/>
      </c>
      <c r="AR2245" s="63" t="str">
        <f t="shared" si="359"/>
        <v/>
      </c>
      <c r="AS2245" s="63" t="str">
        <f t="shared" si="360"/>
        <v/>
      </c>
      <c r="AT2245" s="78" t="str">
        <f t="shared" si="361"/>
        <v/>
      </c>
      <c r="AU2245" s="78" t="str">
        <f t="shared" si="362"/>
        <v/>
      </c>
      <c r="AV2245" s="64" t="str">
        <f ca="1">IFERROR(__xludf.DUMMYFUNCTION("IF(TRIM(AU2245)="""","""",AU2245/INDEX(FILTER(AT$3:AT2245,TRIM(AT$3:AT2245)&lt;&gt;""""),ROWS(FILTER(AT$3:AT2245,TRIM(AT$3:AT2245)&lt;&gt;"""")))-1)"),"")</f>
        <v/>
      </c>
      <c r="AW2245" s="65" t="e">
        <f t="shared" ca="1" si="364"/>
        <v>#VALUE!</v>
      </c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</row>
    <row r="2246" spans="1:68" ht="19" x14ac:dyDescent="0.25">
      <c r="A2246" s="5"/>
      <c r="B2246" s="5"/>
      <c r="C2246" s="5"/>
      <c r="D2246" s="5"/>
      <c r="E2246" s="5"/>
      <c r="F2246" s="5"/>
      <c r="G2246" s="5"/>
      <c r="H2246" s="6"/>
      <c r="I2246" s="5"/>
      <c r="J2246" s="88"/>
      <c r="K2246" s="88"/>
      <c r="L2246" s="88"/>
      <c r="M2246" s="88"/>
      <c r="N2246" s="88"/>
      <c r="O2246" s="88"/>
      <c r="P2246" s="88"/>
      <c r="Q2246" s="89"/>
      <c r="R2246" s="88"/>
      <c r="S2246" s="88"/>
      <c r="T2246" s="90"/>
      <c r="U2246" s="6"/>
      <c r="V2246" s="92"/>
      <c r="W2246" s="77"/>
      <c r="X2246" s="91"/>
      <c r="Y2246" s="77"/>
      <c r="Z2246" s="5"/>
      <c r="AA2246" s="5"/>
      <c r="AB2246" s="5"/>
      <c r="AC2246" s="5"/>
      <c r="AD2246" s="5"/>
      <c r="AE2246" s="5"/>
      <c r="AF2246" s="5"/>
      <c r="AG2246" s="5"/>
      <c r="AH2246" s="6"/>
      <c r="AI2246" s="92"/>
      <c r="AJ2246" s="93"/>
      <c r="AK2246" s="94"/>
      <c r="AL2246" s="95"/>
      <c r="AM2246" s="56"/>
      <c r="AN2246" s="57">
        <f t="shared" si="363"/>
        <v>0</v>
      </c>
      <c r="AO2246" s="76">
        <f t="shared" si="356"/>
        <v>0</v>
      </c>
      <c r="AP2246" s="63" t="str">
        <f t="shared" si="357"/>
        <v/>
      </c>
      <c r="AQ2246" s="63" t="str">
        <f t="shared" si="358"/>
        <v/>
      </c>
      <c r="AR2246" s="63" t="str">
        <f t="shared" si="359"/>
        <v/>
      </c>
      <c r="AS2246" s="63" t="str">
        <f t="shared" si="360"/>
        <v/>
      </c>
      <c r="AT2246" s="78" t="str">
        <f t="shared" si="361"/>
        <v/>
      </c>
      <c r="AU2246" s="78" t="str">
        <f t="shared" si="362"/>
        <v/>
      </c>
      <c r="AV2246" s="64" t="str">
        <f ca="1">IFERROR(__xludf.DUMMYFUNCTION("IF(TRIM(AU2246)="""","""",AU2246/INDEX(FILTER(AT$3:AT2246,TRIM(AT$3:AT2246)&lt;&gt;""""),ROWS(FILTER(AT$3:AT2246,TRIM(AT$3:AT2246)&lt;&gt;"""")))-1)"),"")</f>
        <v/>
      </c>
      <c r="AW2246" s="65" t="e">
        <f t="shared" ca="1" si="364"/>
        <v>#VALUE!</v>
      </c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</row>
    <row r="2247" spans="1:68" ht="19" x14ac:dyDescent="0.25">
      <c r="A2247" s="5"/>
      <c r="B2247" s="5"/>
      <c r="C2247" s="5"/>
      <c r="D2247" s="5"/>
      <c r="E2247" s="5"/>
      <c r="F2247" s="5"/>
      <c r="G2247" s="5"/>
      <c r="H2247" s="6"/>
      <c r="I2247" s="5"/>
      <c r="J2247" s="88"/>
      <c r="K2247" s="88"/>
      <c r="L2247" s="88"/>
      <c r="M2247" s="88"/>
      <c r="N2247" s="88"/>
      <c r="O2247" s="88"/>
      <c r="P2247" s="88"/>
      <c r="Q2247" s="89"/>
      <c r="R2247" s="88"/>
      <c r="S2247" s="88"/>
      <c r="T2247" s="90"/>
      <c r="U2247" s="6"/>
      <c r="V2247" s="92"/>
      <c r="W2247" s="77"/>
      <c r="X2247" s="91"/>
      <c r="Y2247" s="77"/>
      <c r="Z2247" s="5"/>
      <c r="AA2247" s="5"/>
      <c r="AB2247" s="5"/>
      <c r="AC2247" s="5"/>
      <c r="AD2247" s="5"/>
      <c r="AE2247" s="5"/>
      <c r="AF2247" s="5"/>
      <c r="AG2247" s="5"/>
      <c r="AH2247" s="6"/>
      <c r="AI2247" s="92"/>
      <c r="AJ2247" s="93"/>
      <c r="AK2247" s="94"/>
      <c r="AL2247" s="95"/>
      <c r="AM2247" s="56"/>
      <c r="AN2247" s="57">
        <f t="shared" si="363"/>
        <v>0</v>
      </c>
      <c r="AO2247" s="76">
        <f t="shared" ref="AO2247:AO2310" si="365">AVERAGE(AN2243:AN2247)</f>
        <v>0</v>
      </c>
      <c r="AP2247" s="63" t="str">
        <f t="shared" ref="AP2247:AP2310" si="366">IF(AO2247&gt;0,"Buy Stocks","")</f>
        <v/>
      </c>
      <c r="AQ2247" s="63" t="str">
        <f t="shared" ref="AQ2247:AQ2310" si="367">IF(AO2247&lt;0,"Sell Stocks","")</f>
        <v/>
      </c>
      <c r="AR2247" s="63" t="str">
        <f t="shared" ref="AR2247:AR2310" si="368">IF(AND(AP2247="Buy Stocks",AP2246=""),"Buy Stocks","")</f>
        <v/>
      </c>
      <c r="AS2247" s="63" t="str">
        <f t="shared" ref="AS2247:AS2310" si="369">IF(AND(AQ2247="Sell Stocks",AQ2246=""),"Sell Stocks","")</f>
        <v/>
      </c>
      <c r="AT2247" s="78" t="str">
        <f t="shared" ref="AT2247:AT2310" si="370">IF(AR2247="Buy Stocks",AJ2247,"")</f>
        <v/>
      </c>
      <c r="AU2247" s="78" t="str">
        <f t="shared" ref="AU2247:AU2310" si="371">IF(AS2247="Sell Stocks",AJ2247,"")</f>
        <v/>
      </c>
      <c r="AV2247" s="64" t="str">
        <f ca="1">IFERROR(__xludf.DUMMYFUNCTION("IF(TRIM(AU2247)="""","""",AU2247/INDEX(FILTER(AT$3:AT2247,TRIM(AT$3:AT2247)&lt;&gt;""""),ROWS(FILTER(AT$3:AT2247,TRIM(AT$3:AT2247)&lt;&gt;"""")))-1)"),"")</f>
        <v/>
      </c>
      <c r="AW2247" s="65" t="e">
        <f t="shared" ca="1" si="364"/>
        <v>#VALUE!</v>
      </c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</row>
    <row r="2248" spans="1:68" ht="19" x14ac:dyDescent="0.25">
      <c r="A2248" s="5"/>
      <c r="B2248" s="5"/>
      <c r="C2248" s="5"/>
      <c r="D2248" s="5"/>
      <c r="E2248" s="5"/>
      <c r="F2248" s="5"/>
      <c r="G2248" s="5"/>
      <c r="H2248" s="6"/>
      <c r="I2248" s="5"/>
      <c r="J2248" s="88"/>
      <c r="K2248" s="88"/>
      <c r="L2248" s="88"/>
      <c r="M2248" s="88"/>
      <c r="N2248" s="88"/>
      <c r="O2248" s="88"/>
      <c r="P2248" s="88"/>
      <c r="Q2248" s="89"/>
      <c r="R2248" s="88"/>
      <c r="S2248" s="88"/>
      <c r="T2248" s="90"/>
      <c r="U2248" s="6"/>
      <c r="V2248" s="92"/>
      <c r="W2248" s="77"/>
      <c r="X2248" s="91"/>
      <c r="Y2248" s="77"/>
      <c r="Z2248" s="5"/>
      <c r="AA2248" s="5"/>
      <c r="AB2248" s="5"/>
      <c r="AC2248" s="5"/>
      <c r="AD2248" s="5"/>
      <c r="AE2248" s="5"/>
      <c r="AF2248" s="5"/>
      <c r="AG2248" s="5"/>
      <c r="AH2248" s="6"/>
      <c r="AI2248" s="92"/>
      <c r="AJ2248" s="93"/>
      <c r="AK2248" s="94"/>
      <c r="AL2248" s="95"/>
      <c r="AM2248" s="56"/>
      <c r="AN2248" s="57">
        <f t="shared" si="363"/>
        <v>0</v>
      </c>
      <c r="AO2248" s="76">
        <f t="shared" si="365"/>
        <v>0</v>
      </c>
      <c r="AP2248" s="63" t="str">
        <f t="shared" si="366"/>
        <v/>
      </c>
      <c r="AQ2248" s="63" t="str">
        <f t="shared" si="367"/>
        <v/>
      </c>
      <c r="AR2248" s="63" t="str">
        <f t="shared" si="368"/>
        <v/>
      </c>
      <c r="AS2248" s="63" t="str">
        <f t="shared" si="369"/>
        <v/>
      </c>
      <c r="AT2248" s="78" t="str">
        <f t="shared" si="370"/>
        <v/>
      </c>
      <c r="AU2248" s="78" t="str">
        <f t="shared" si="371"/>
        <v/>
      </c>
      <c r="AV2248" s="64" t="str">
        <f ca="1">IFERROR(__xludf.DUMMYFUNCTION("IF(TRIM(AU2248)="""","""",AU2248/INDEX(FILTER(AT$3:AT2248,TRIM(AT$3:AT2248)&lt;&gt;""""),ROWS(FILTER(AT$3:AT2248,TRIM(AT$3:AT2248)&lt;&gt;"""")))-1)"),"")</f>
        <v/>
      </c>
      <c r="AW2248" s="65" t="e">
        <f t="shared" ca="1" si="364"/>
        <v>#VALUE!</v>
      </c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</row>
    <row r="2249" spans="1:68" ht="19" x14ac:dyDescent="0.25">
      <c r="A2249" s="5"/>
      <c r="B2249" s="5"/>
      <c r="C2249" s="5"/>
      <c r="D2249" s="5"/>
      <c r="E2249" s="5"/>
      <c r="F2249" s="5"/>
      <c r="G2249" s="5"/>
      <c r="H2249" s="6"/>
      <c r="I2249" s="5"/>
      <c r="J2249" s="88"/>
      <c r="K2249" s="88"/>
      <c r="L2249" s="88"/>
      <c r="M2249" s="88"/>
      <c r="N2249" s="88"/>
      <c r="O2249" s="88"/>
      <c r="P2249" s="88"/>
      <c r="Q2249" s="89"/>
      <c r="R2249" s="88"/>
      <c r="S2249" s="88"/>
      <c r="T2249" s="90"/>
      <c r="U2249" s="6"/>
      <c r="V2249" s="92"/>
      <c r="W2249" s="77"/>
      <c r="X2249" s="91"/>
      <c r="Y2249" s="77"/>
      <c r="Z2249" s="5"/>
      <c r="AA2249" s="5"/>
      <c r="AB2249" s="5"/>
      <c r="AC2249" s="5"/>
      <c r="AD2249" s="5"/>
      <c r="AE2249" s="5"/>
      <c r="AF2249" s="5"/>
      <c r="AG2249" s="5"/>
      <c r="AH2249" s="6"/>
      <c r="AI2249" s="92"/>
      <c r="AJ2249" s="93"/>
      <c r="AK2249" s="94"/>
      <c r="AL2249" s="95"/>
      <c r="AM2249" s="56"/>
      <c r="AN2249" s="57">
        <f t="shared" si="363"/>
        <v>0</v>
      </c>
      <c r="AO2249" s="76">
        <f t="shared" si="365"/>
        <v>0</v>
      </c>
      <c r="AP2249" s="63" t="str">
        <f t="shared" si="366"/>
        <v/>
      </c>
      <c r="AQ2249" s="63" t="str">
        <f t="shared" si="367"/>
        <v/>
      </c>
      <c r="AR2249" s="63" t="str">
        <f t="shared" si="368"/>
        <v/>
      </c>
      <c r="AS2249" s="63" t="str">
        <f t="shared" si="369"/>
        <v/>
      </c>
      <c r="AT2249" s="78" t="str">
        <f t="shared" si="370"/>
        <v/>
      </c>
      <c r="AU2249" s="78" t="str">
        <f t="shared" si="371"/>
        <v/>
      </c>
      <c r="AV2249" s="64" t="str">
        <f ca="1">IFERROR(__xludf.DUMMYFUNCTION("IF(TRIM(AU2249)="""","""",AU2249/INDEX(FILTER(AT$3:AT2249,TRIM(AT$3:AT2249)&lt;&gt;""""),ROWS(FILTER(AT$3:AT2249,TRIM(AT$3:AT2249)&lt;&gt;"""")))-1)"),"")</f>
        <v/>
      </c>
      <c r="AW2249" s="65" t="e">
        <f t="shared" ca="1" si="364"/>
        <v>#VALUE!</v>
      </c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</row>
    <row r="2250" spans="1:68" ht="19" x14ac:dyDescent="0.25">
      <c r="A2250" s="5"/>
      <c r="B2250" s="5"/>
      <c r="C2250" s="5"/>
      <c r="D2250" s="5"/>
      <c r="E2250" s="5"/>
      <c r="F2250" s="5"/>
      <c r="G2250" s="5"/>
      <c r="H2250" s="6"/>
      <c r="I2250" s="5"/>
      <c r="J2250" s="88"/>
      <c r="K2250" s="88"/>
      <c r="L2250" s="88"/>
      <c r="M2250" s="88"/>
      <c r="N2250" s="88"/>
      <c r="O2250" s="88"/>
      <c r="P2250" s="88"/>
      <c r="Q2250" s="89"/>
      <c r="R2250" s="88"/>
      <c r="S2250" s="88"/>
      <c r="T2250" s="90"/>
      <c r="U2250" s="6"/>
      <c r="V2250" s="92"/>
      <c r="W2250" s="77"/>
      <c r="X2250" s="91"/>
      <c r="Y2250" s="77"/>
      <c r="Z2250" s="5"/>
      <c r="AA2250" s="5"/>
      <c r="AB2250" s="5"/>
      <c r="AC2250" s="5"/>
      <c r="AD2250" s="5"/>
      <c r="AE2250" s="5"/>
      <c r="AF2250" s="5"/>
      <c r="AG2250" s="5"/>
      <c r="AH2250" s="6"/>
      <c r="AI2250" s="92"/>
      <c r="AJ2250" s="93"/>
      <c r="AK2250" s="94"/>
      <c r="AL2250" s="95"/>
      <c r="AM2250" s="56"/>
      <c r="AN2250" s="57">
        <f t="shared" si="363"/>
        <v>0</v>
      </c>
      <c r="AO2250" s="76">
        <f t="shared" si="365"/>
        <v>0</v>
      </c>
      <c r="AP2250" s="63" t="str">
        <f t="shared" si="366"/>
        <v/>
      </c>
      <c r="AQ2250" s="63" t="str">
        <f t="shared" si="367"/>
        <v/>
      </c>
      <c r="AR2250" s="63" t="str">
        <f t="shared" si="368"/>
        <v/>
      </c>
      <c r="AS2250" s="63" t="str">
        <f t="shared" si="369"/>
        <v/>
      </c>
      <c r="AT2250" s="78" t="str">
        <f t="shared" si="370"/>
        <v/>
      </c>
      <c r="AU2250" s="78" t="str">
        <f t="shared" si="371"/>
        <v/>
      </c>
      <c r="AV2250" s="64" t="str">
        <f ca="1">IFERROR(__xludf.DUMMYFUNCTION("IF(TRIM(AU2250)="""","""",AU2250/INDEX(FILTER(AT$3:AT2250,TRIM(AT$3:AT2250)&lt;&gt;""""),ROWS(FILTER(AT$3:AT2250,TRIM(AT$3:AT2250)&lt;&gt;"""")))-1)"),"")</f>
        <v/>
      </c>
      <c r="AW2250" s="65" t="e">
        <f t="shared" ca="1" si="364"/>
        <v>#VALUE!</v>
      </c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</row>
    <row r="2251" spans="1:68" ht="19" x14ac:dyDescent="0.25">
      <c r="A2251" s="5"/>
      <c r="B2251" s="5"/>
      <c r="C2251" s="5"/>
      <c r="D2251" s="5"/>
      <c r="E2251" s="5"/>
      <c r="F2251" s="5"/>
      <c r="G2251" s="5"/>
      <c r="H2251" s="6"/>
      <c r="I2251" s="5"/>
      <c r="J2251" s="88"/>
      <c r="K2251" s="88"/>
      <c r="L2251" s="88"/>
      <c r="M2251" s="88"/>
      <c r="N2251" s="88"/>
      <c r="O2251" s="88"/>
      <c r="P2251" s="88"/>
      <c r="Q2251" s="89"/>
      <c r="R2251" s="88"/>
      <c r="S2251" s="88"/>
      <c r="T2251" s="90"/>
      <c r="U2251" s="6"/>
      <c r="V2251" s="92"/>
      <c r="W2251" s="77"/>
      <c r="X2251" s="91"/>
      <c r="Y2251" s="77"/>
      <c r="Z2251" s="5"/>
      <c r="AA2251" s="5"/>
      <c r="AB2251" s="5"/>
      <c r="AC2251" s="5"/>
      <c r="AD2251" s="5"/>
      <c r="AE2251" s="5"/>
      <c r="AF2251" s="5"/>
      <c r="AG2251" s="5"/>
      <c r="AH2251" s="6"/>
      <c r="AI2251" s="92"/>
      <c r="AJ2251" s="93"/>
      <c r="AK2251" s="94"/>
      <c r="AL2251" s="95"/>
      <c r="AM2251" s="56"/>
      <c r="AN2251" s="57">
        <f t="shared" si="363"/>
        <v>0</v>
      </c>
      <c r="AO2251" s="76">
        <f t="shared" si="365"/>
        <v>0</v>
      </c>
      <c r="AP2251" s="63" t="str">
        <f t="shared" si="366"/>
        <v/>
      </c>
      <c r="AQ2251" s="63" t="str">
        <f t="shared" si="367"/>
        <v/>
      </c>
      <c r="AR2251" s="63" t="str">
        <f t="shared" si="368"/>
        <v/>
      </c>
      <c r="AS2251" s="63" t="str">
        <f t="shared" si="369"/>
        <v/>
      </c>
      <c r="AT2251" s="78" t="str">
        <f t="shared" si="370"/>
        <v/>
      </c>
      <c r="AU2251" s="78" t="str">
        <f t="shared" si="371"/>
        <v/>
      </c>
      <c r="AV2251" s="64" t="str">
        <f ca="1">IFERROR(__xludf.DUMMYFUNCTION("IF(TRIM(AU2251)="""","""",AU2251/INDEX(FILTER(AT$3:AT2251,TRIM(AT$3:AT2251)&lt;&gt;""""),ROWS(FILTER(AT$3:AT2251,TRIM(AT$3:AT2251)&lt;&gt;"""")))-1)"),"")</f>
        <v/>
      </c>
      <c r="AW2251" s="65" t="e">
        <f t="shared" ca="1" si="364"/>
        <v>#VALUE!</v>
      </c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</row>
    <row r="2252" spans="1:68" ht="19" x14ac:dyDescent="0.25">
      <c r="A2252" s="5"/>
      <c r="B2252" s="5"/>
      <c r="C2252" s="5"/>
      <c r="D2252" s="5"/>
      <c r="E2252" s="5"/>
      <c r="F2252" s="5"/>
      <c r="G2252" s="5"/>
      <c r="H2252" s="6"/>
      <c r="I2252" s="5"/>
      <c r="J2252" s="88"/>
      <c r="K2252" s="88"/>
      <c r="L2252" s="88"/>
      <c r="M2252" s="88"/>
      <c r="N2252" s="88"/>
      <c r="O2252" s="88"/>
      <c r="P2252" s="88"/>
      <c r="Q2252" s="89"/>
      <c r="R2252" s="88"/>
      <c r="S2252" s="88"/>
      <c r="T2252" s="90"/>
      <c r="U2252" s="6"/>
      <c r="V2252" s="92"/>
      <c r="W2252" s="77"/>
      <c r="X2252" s="91"/>
      <c r="Y2252" s="77"/>
      <c r="Z2252" s="5"/>
      <c r="AA2252" s="5"/>
      <c r="AB2252" s="5"/>
      <c r="AC2252" s="5"/>
      <c r="AD2252" s="5"/>
      <c r="AE2252" s="5"/>
      <c r="AF2252" s="5"/>
      <c r="AG2252" s="5"/>
      <c r="AH2252" s="6"/>
      <c r="AI2252" s="92"/>
      <c r="AJ2252" s="93"/>
      <c r="AK2252" s="94"/>
      <c r="AL2252" s="95"/>
      <c r="AM2252" s="56"/>
      <c r="AN2252" s="57">
        <f t="shared" si="363"/>
        <v>0</v>
      </c>
      <c r="AO2252" s="76">
        <f t="shared" si="365"/>
        <v>0</v>
      </c>
      <c r="AP2252" s="63" t="str">
        <f t="shared" si="366"/>
        <v/>
      </c>
      <c r="AQ2252" s="63" t="str">
        <f t="shared" si="367"/>
        <v/>
      </c>
      <c r="AR2252" s="63" t="str">
        <f t="shared" si="368"/>
        <v/>
      </c>
      <c r="AS2252" s="63" t="str">
        <f t="shared" si="369"/>
        <v/>
      </c>
      <c r="AT2252" s="78" t="str">
        <f t="shared" si="370"/>
        <v/>
      </c>
      <c r="AU2252" s="78" t="str">
        <f t="shared" si="371"/>
        <v/>
      </c>
      <c r="AV2252" s="64" t="str">
        <f ca="1">IFERROR(__xludf.DUMMYFUNCTION("IF(TRIM(AU2252)="""","""",AU2252/INDEX(FILTER(AT$3:AT2252,TRIM(AT$3:AT2252)&lt;&gt;""""),ROWS(FILTER(AT$3:AT2252,TRIM(AT$3:AT2252)&lt;&gt;"""")))-1)"),"")</f>
        <v/>
      </c>
      <c r="AW2252" s="65" t="e">
        <f t="shared" ca="1" si="364"/>
        <v>#VALUE!</v>
      </c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</row>
    <row r="2253" spans="1:68" ht="19" x14ac:dyDescent="0.25">
      <c r="A2253" s="5"/>
      <c r="B2253" s="5"/>
      <c r="C2253" s="5"/>
      <c r="D2253" s="5"/>
      <c r="E2253" s="5"/>
      <c r="F2253" s="5"/>
      <c r="G2253" s="5"/>
      <c r="H2253" s="6"/>
      <c r="I2253" s="5"/>
      <c r="J2253" s="88"/>
      <c r="K2253" s="88"/>
      <c r="L2253" s="88"/>
      <c r="M2253" s="88"/>
      <c r="N2253" s="88"/>
      <c r="O2253" s="88"/>
      <c r="P2253" s="88"/>
      <c r="Q2253" s="89"/>
      <c r="R2253" s="88"/>
      <c r="S2253" s="88"/>
      <c r="T2253" s="90"/>
      <c r="U2253" s="6"/>
      <c r="V2253" s="92"/>
      <c r="W2253" s="77"/>
      <c r="X2253" s="91"/>
      <c r="Y2253" s="77"/>
      <c r="Z2253" s="5"/>
      <c r="AA2253" s="5"/>
      <c r="AB2253" s="5"/>
      <c r="AC2253" s="5"/>
      <c r="AD2253" s="5"/>
      <c r="AE2253" s="5"/>
      <c r="AF2253" s="5"/>
      <c r="AG2253" s="5"/>
      <c r="AH2253" s="6"/>
      <c r="AI2253" s="92"/>
      <c r="AJ2253" s="93"/>
      <c r="AK2253" s="94"/>
      <c r="AL2253" s="95"/>
      <c r="AM2253" s="56"/>
      <c r="AN2253" s="57">
        <f t="shared" si="363"/>
        <v>0</v>
      </c>
      <c r="AO2253" s="76">
        <f t="shared" si="365"/>
        <v>0</v>
      </c>
      <c r="AP2253" s="63" t="str">
        <f t="shared" si="366"/>
        <v/>
      </c>
      <c r="AQ2253" s="63" t="str">
        <f t="shared" si="367"/>
        <v/>
      </c>
      <c r="AR2253" s="63" t="str">
        <f t="shared" si="368"/>
        <v/>
      </c>
      <c r="AS2253" s="63" t="str">
        <f t="shared" si="369"/>
        <v/>
      </c>
      <c r="AT2253" s="78" t="str">
        <f t="shared" si="370"/>
        <v/>
      </c>
      <c r="AU2253" s="78" t="str">
        <f t="shared" si="371"/>
        <v/>
      </c>
      <c r="AV2253" s="64" t="str">
        <f ca="1">IFERROR(__xludf.DUMMYFUNCTION("IF(TRIM(AU2253)="""","""",AU2253/INDEX(FILTER(AT$3:AT2253,TRIM(AT$3:AT2253)&lt;&gt;""""),ROWS(FILTER(AT$3:AT2253,TRIM(AT$3:AT2253)&lt;&gt;"""")))-1)"),"")</f>
        <v/>
      </c>
      <c r="AW2253" s="65" t="e">
        <f t="shared" ca="1" si="364"/>
        <v>#VALUE!</v>
      </c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</row>
    <row r="2254" spans="1:68" ht="19" x14ac:dyDescent="0.25">
      <c r="A2254" s="5"/>
      <c r="B2254" s="5"/>
      <c r="C2254" s="5"/>
      <c r="D2254" s="5"/>
      <c r="E2254" s="5"/>
      <c r="F2254" s="5"/>
      <c r="G2254" s="5"/>
      <c r="H2254" s="6"/>
      <c r="I2254" s="5"/>
      <c r="J2254" s="88"/>
      <c r="K2254" s="88"/>
      <c r="L2254" s="88"/>
      <c r="M2254" s="88"/>
      <c r="N2254" s="88"/>
      <c r="O2254" s="88"/>
      <c r="P2254" s="88"/>
      <c r="Q2254" s="89"/>
      <c r="R2254" s="88"/>
      <c r="S2254" s="88"/>
      <c r="T2254" s="90"/>
      <c r="U2254" s="6"/>
      <c r="V2254" s="92"/>
      <c r="W2254" s="77"/>
      <c r="X2254" s="91"/>
      <c r="Y2254" s="77"/>
      <c r="Z2254" s="5"/>
      <c r="AA2254" s="5"/>
      <c r="AB2254" s="5"/>
      <c r="AC2254" s="5"/>
      <c r="AD2254" s="5"/>
      <c r="AE2254" s="5"/>
      <c r="AF2254" s="5"/>
      <c r="AG2254" s="5"/>
      <c r="AH2254" s="6"/>
      <c r="AI2254" s="92"/>
      <c r="AJ2254" s="93"/>
      <c r="AK2254" s="94"/>
      <c r="AL2254" s="95"/>
      <c r="AM2254" s="56"/>
      <c r="AN2254" s="57">
        <f t="shared" si="363"/>
        <v>0</v>
      </c>
      <c r="AO2254" s="76">
        <f t="shared" si="365"/>
        <v>0</v>
      </c>
      <c r="AP2254" s="63" t="str">
        <f t="shared" si="366"/>
        <v/>
      </c>
      <c r="AQ2254" s="63" t="str">
        <f t="shared" si="367"/>
        <v/>
      </c>
      <c r="AR2254" s="63" t="str">
        <f t="shared" si="368"/>
        <v/>
      </c>
      <c r="AS2254" s="63" t="str">
        <f t="shared" si="369"/>
        <v/>
      </c>
      <c r="AT2254" s="78" t="str">
        <f t="shared" si="370"/>
        <v/>
      </c>
      <c r="AU2254" s="78" t="str">
        <f t="shared" si="371"/>
        <v/>
      </c>
      <c r="AV2254" s="64" t="str">
        <f ca="1">IFERROR(__xludf.DUMMYFUNCTION("IF(TRIM(AU2254)="""","""",AU2254/INDEX(FILTER(AT$3:AT2254,TRIM(AT$3:AT2254)&lt;&gt;""""),ROWS(FILTER(AT$3:AT2254,TRIM(AT$3:AT2254)&lt;&gt;"""")))-1)"),"")</f>
        <v/>
      </c>
      <c r="AW2254" s="65" t="e">
        <f t="shared" ca="1" si="364"/>
        <v>#VALUE!</v>
      </c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</row>
    <row r="2255" spans="1:68" ht="19" x14ac:dyDescent="0.25">
      <c r="A2255" s="5"/>
      <c r="B2255" s="5"/>
      <c r="C2255" s="5"/>
      <c r="D2255" s="5"/>
      <c r="E2255" s="5"/>
      <c r="F2255" s="5"/>
      <c r="G2255" s="5"/>
      <c r="H2255" s="6"/>
      <c r="I2255" s="5"/>
      <c r="J2255" s="88"/>
      <c r="K2255" s="88"/>
      <c r="L2255" s="88"/>
      <c r="M2255" s="88"/>
      <c r="N2255" s="88"/>
      <c r="O2255" s="88"/>
      <c r="P2255" s="88"/>
      <c r="Q2255" s="89"/>
      <c r="R2255" s="88"/>
      <c r="S2255" s="88"/>
      <c r="T2255" s="90"/>
      <c r="U2255" s="6"/>
      <c r="V2255" s="92"/>
      <c r="W2255" s="77"/>
      <c r="X2255" s="91"/>
      <c r="Y2255" s="77"/>
      <c r="Z2255" s="5"/>
      <c r="AA2255" s="5"/>
      <c r="AB2255" s="5"/>
      <c r="AC2255" s="5"/>
      <c r="AD2255" s="5"/>
      <c r="AE2255" s="5"/>
      <c r="AF2255" s="5"/>
      <c r="AG2255" s="5"/>
      <c r="AH2255" s="6"/>
      <c r="AI2255" s="92"/>
      <c r="AJ2255" s="93"/>
      <c r="AK2255" s="94"/>
      <c r="AL2255" s="95"/>
      <c r="AM2255" s="56"/>
      <c r="AN2255" s="57">
        <f t="shared" si="363"/>
        <v>0</v>
      </c>
      <c r="AO2255" s="76">
        <f t="shared" si="365"/>
        <v>0</v>
      </c>
      <c r="AP2255" s="63" t="str">
        <f t="shared" si="366"/>
        <v/>
      </c>
      <c r="AQ2255" s="63" t="str">
        <f t="shared" si="367"/>
        <v/>
      </c>
      <c r="AR2255" s="63" t="str">
        <f t="shared" si="368"/>
        <v/>
      </c>
      <c r="AS2255" s="63" t="str">
        <f t="shared" si="369"/>
        <v/>
      </c>
      <c r="AT2255" s="78" t="str">
        <f t="shared" si="370"/>
        <v/>
      </c>
      <c r="AU2255" s="78" t="str">
        <f t="shared" si="371"/>
        <v/>
      </c>
      <c r="AV2255" s="64" t="str">
        <f ca="1">IFERROR(__xludf.DUMMYFUNCTION("IF(TRIM(AU2255)="""","""",AU2255/INDEX(FILTER(AT$3:AT2255,TRIM(AT$3:AT2255)&lt;&gt;""""),ROWS(FILTER(AT$3:AT2255,TRIM(AT$3:AT2255)&lt;&gt;"""")))-1)"),"")</f>
        <v/>
      </c>
      <c r="AW2255" s="65" t="e">
        <f t="shared" ca="1" si="364"/>
        <v>#VALUE!</v>
      </c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</row>
    <row r="2256" spans="1:68" ht="19" x14ac:dyDescent="0.25">
      <c r="A2256" s="5"/>
      <c r="B2256" s="5"/>
      <c r="C2256" s="5"/>
      <c r="D2256" s="5"/>
      <c r="E2256" s="5"/>
      <c r="F2256" s="5"/>
      <c r="G2256" s="5"/>
      <c r="H2256" s="6"/>
      <c r="I2256" s="5"/>
      <c r="J2256" s="88"/>
      <c r="K2256" s="88"/>
      <c r="L2256" s="88"/>
      <c r="M2256" s="88"/>
      <c r="N2256" s="88"/>
      <c r="O2256" s="88"/>
      <c r="P2256" s="88"/>
      <c r="Q2256" s="89"/>
      <c r="R2256" s="88"/>
      <c r="S2256" s="88"/>
      <c r="T2256" s="90"/>
      <c r="U2256" s="6"/>
      <c r="V2256" s="92"/>
      <c r="W2256" s="77"/>
      <c r="X2256" s="91"/>
      <c r="Y2256" s="77"/>
      <c r="Z2256" s="5"/>
      <c r="AA2256" s="5"/>
      <c r="AB2256" s="5"/>
      <c r="AC2256" s="5"/>
      <c r="AD2256" s="5"/>
      <c r="AE2256" s="5"/>
      <c r="AF2256" s="5"/>
      <c r="AG2256" s="5"/>
      <c r="AH2256" s="6"/>
      <c r="AI2256" s="92"/>
      <c r="AJ2256" s="93"/>
      <c r="AK2256" s="94"/>
      <c r="AL2256" s="95"/>
      <c r="AM2256" s="56"/>
      <c r="AN2256" s="57">
        <f t="shared" si="363"/>
        <v>0</v>
      </c>
      <c r="AO2256" s="76">
        <f t="shared" si="365"/>
        <v>0</v>
      </c>
      <c r="AP2256" s="63" t="str">
        <f t="shared" si="366"/>
        <v/>
      </c>
      <c r="AQ2256" s="63" t="str">
        <f t="shared" si="367"/>
        <v/>
      </c>
      <c r="AR2256" s="63" t="str">
        <f t="shared" si="368"/>
        <v/>
      </c>
      <c r="AS2256" s="63" t="str">
        <f t="shared" si="369"/>
        <v/>
      </c>
      <c r="AT2256" s="78" t="str">
        <f t="shared" si="370"/>
        <v/>
      </c>
      <c r="AU2256" s="78" t="str">
        <f t="shared" si="371"/>
        <v/>
      </c>
      <c r="AV2256" s="64" t="str">
        <f ca="1">IFERROR(__xludf.DUMMYFUNCTION("IF(TRIM(AU2256)="""","""",AU2256/INDEX(FILTER(AT$3:AT2256,TRIM(AT$3:AT2256)&lt;&gt;""""),ROWS(FILTER(AT$3:AT2256,TRIM(AT$3:AT2256)&lt;&gt;"""")))-1)"),"")</f>
        <v/>
      </c>
      <c r="AW2256" s="65" t="e">
        <f t="shared" ca="1" si="364"/>
        <v>#VALUE!</v>
      </c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</row>
    <row r="2257" spans="1:68" ht="19" x14ac:dyDescent="0.25">
      <c r="A2257" s="5"/>
      <c r="B2257" s="5"/>
      <c r="C2257" s="5"/>
      <c r="D2257" s="5"/>
      <c r="E2257" s="5"/>
      <c r="F2257" s="5"/>
      <c r="G2257" s="5"/>
      <c r="H2257" s="6"/>
      <c r="I2257" s="5"/>
      <c r="J2257" s="88"/>
      <c r="K2257" s="88"/>
      <c r="L2257" s="88"/>
      <c r="M2257" s="88"/>
      <c r="N2257" s="88"/>
      <c r="O2257" s="88"/>
      <c r="P2257" s="88"/>
      <c r="Q2257" s="89"/>
      <c r="R2257" s="88"/>
      <c r="S2257" s="88"/>
      <c r="T2257" s="90"/>
      <c r="U2257" s="6"/>
      <c r="V2257" s="92"/>
      <c r="W2257" s="77"/>
      <c r="X2257" s="91"/>
      <c r="Y2257" s="77"/>
      <c r="Z2257" s="5"/>
      <c r="AA2257" s="5"/>
      <c r="AB2257" s="5"/>
      <c r="AC2257" s="5"/>
      <c r="AD2257" s="5"/>
      <c r="AE2257" s="5"/>
      <c r="AF2257" s="5"/>
      <c r="AG2257" s="5"/>
      <c r="AH2257" s="6"/>
      <c r="AI2257" s="92"/>
      <c r="AJ2257" s="93"/>
      <c r="AK2257" s="94"/>
      <c r="AL2257" s="95"/>
      <c r="AM2257" s="56"/>
      <c r="AN2257" s="57">
        <f t="shared" si="363"/>
        <v>0</v>
      </c>
      <c r="AO2257" s="76">
        <f t="shared" si="365"/>
        <v>0</v>
      </c>
      <c r="AP2257" s="63" t="str">
        <f t="shared" si="366"/>
        <v/>
      </c>
      <c r="AQ2257" s="63" t="str">
        <f t="shared" si="367"/>
        <v/>
      </c>
      <c r="AR2257" s="63" t="str">
        <f t="shared" si="368"/>
        <v/>
      </c>
      <c r="AS2257" s="63" t="str">
        <f t="shared" si="369"/>
        <v/>
      </c>
      <c r="AT2257" s="78" t="str">
        <f t="shared" si="370"/>
        <v/>
      </c>
      <c r="AU2257" s="78" t="str">
        <f t="shared" si="371"/>
        <v/>
      </c>
      <c r="AV2257" s="64" t="str">
        <f ca="1">IFERROR(__xludf.DUMMYFUNCTION("IF(TRIM(AU2257)="""","""",AU2257/INDEX(FILTER(AT$3:AT2257,TRIM(AT$3:AT2257)&lt;&gt;""""),ROWS(FILTER(AT$3:AT2257,TRIM(AT$3:AT2257)&lt;&gt;"""")))-1)"),"")</f>
        <v/>
      </c>
      <c r="AW2257" s="65" t="e">
        <f t="shared" ca="1" si="364"/>
        <v>#VALUE!</v>
      </c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</row>
    <row r="2258" spans="1:68" ht="19" x14ac:dyDescent="0.25">
      <c r="A2258" s="5"/>
      <c r="B2258" s="5"/>
      <c r="C2258" s="5"/>
      <c r="D2258" s="5"/>
      <c r="E2258" s="5"/>
      <c r="F2258" s="5"/>
      <c r="G2258" s="5"/>
      <c r="H2258" s="6"/>
      <c r="I2258" s="5"/>
      <c r="J2258" s="88"/>
      <c r="K2258" s="88"/>
      <c r="L2258" s="88"/>
      <c r="M2258" s="88"/>
      <c r="N2258" s="88"/>
      <c r="O2258" s="88"/>
      <c r="P2258" s="88"/>
      <c r="Q2258" s="89"/>
      <c r="R2258" s="88"/>
      <c r="S2258" s="88"/>
      <c r="T2258" s="90"/>
      <c r="U2258" s="6"/>
      <c r="V2258" s="92"/>
      <c r="W2258" s="77"/>
      <c r="X2258" s="91"/>
      <c r="Y2258" s="77"/>
      <c r="Z2258" s="5"/>
      <c r="AA2258" s="5"/>
      <c r="AB2258" s="5"/>
      <c r="AC2258" s="5"/>
      <c r="AD2258" s="5"/>
      <c r="AE2258" s="5"/>
      <c r="AF2258" s="5"/>
      <c r="AG2258" s="5"/>
      <c r="AH2258" s="6"/>
      <c r="AI2258" s="92"/>
      <c r="AJ2258" s="93"/>
      <c r="AK2258" s="94"/>
      <c r="AL2258" s="95"/>
      <c r="AM2258" s="56"/>
      <c r="AN2258" s="57">
        <f t="shared" si="363"/>
        <v>0</v>
      </c>
      <c r="AO2258" s="76">
        <f t="shared" si="365"/>
        <v>0</v>
      </c>
      <c r="AP2258" s="63" t="str">
        <f t="shared" si="366"/>
        <v/>
      </c>
      <c r="AQ2258" s="63" t="str">
        <f t="shared" si="367"/>
        <v/>
      </c>
      <c r="AR2258" s="63" t="str">
        <f t="shared" si="368"/>
        <v/>
      </c>
      <c r="AS2258" s="63" t="str">
        <f t="shared" si="369"/>
        <v/>
      </c>
      <c r="AT2258" s="78" t="str">
        <f t="shared" si="370"/>
        <v/>
      </c>
      <c r="AU2258" s="78" t="str">
        <f t="shared" si="371"/>
        <v/>
      </c>
      <c r="AV2258" s="64" t="str">
        <f ca="1">IFERROR(__xludf.DUMMYFUNCTION("IF(TRIM(AU2258)="""","""",AU2258/INDEX(FILTER(AT$3:AT2258,TRIM(AT$3:AT2258)&lt;&gt;""""),ROWS(FILTER(AT$3:AT2258,TRIM(AT$3:AT2258)&lt;&gt;"""")))-1)"),"")</f>
        <v/>
      </c>
      <c r="AW2258" s="65" t="e">
        <f t="shared" ca="1" si="364"/>
        <v>#VALUE!</v>
      </c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</row>
    <row r="2259" spans="1:68" ht="19" x14ac:dyDescent="0.25">
      <c r="A2259" s="5"/>
      <c r="B2259" s="5"/>
      <c r="C2259" s="5"/>
      <c r="D2259" s="5"/>
      <c r="E2259" s="5"/>
      <c r="F2259" s="5"/>
      <c r="G2259" s="5"/>
      <c r="H2259" s="6"/>
      <c r="I2259" s="5"/>
      <c r="J2259" s="88"/>
      <c r="K2259" s="88"/>
      <c r="L2259" s="88"/>
      <c r="M2259" s="88"/>
      <c r="N2259" s="88"/>
      <c r="O2259" s="88"/>
      <c r="P2259" s="88"/>
      <c r="Q2259" s="89"/>
      <c r="R2259" s="88"/>
      <c r="S2259" s="88"/>
      <c r="T2259" s="90"/>
      <c r="U2259" s="6"/>
      <c r="V2259" s="92"/>
      <c r="W2259" s="77"/>
      <c r="X2259" s="91"/>
      <c r="Y2259" s="77"/>
      <c r="Z2259" s="5"/>
      <c r="AA2259" s="5"/>
      <c r="AB2259" s="5"/>
      <c r="AC2259" s="5"/>
      <c r="AD2259" s="5"/>
      <c r="AE2259" s="5"/>
      <c r="AF2259" s="5"/>
      <c r="AG2259" s="5"/>
      <c r="AH2259" s="6"/>
      <c r="AI2259" s="92"/>
      <c r="AJ2259" s="93"/>
      <c r="AK2259" s="94"/>
      <c r="AL2259" s="95"/>
      <c r="AM2259" s="56"/>
      <c r="AN2259" s="57">
        <f t="shared" si="363"/>
        <v>0</v>
      </c>
      <c r="AO2259" s="76">
        <f t="shared" si="365"/>
        <v>0</v>
      </c>
      <c r="AP2259" s="63" t="str">
        <f t="shared" si="366"/>
        <v/>
      </c>
      <c r="AQ2259" s="63" t="str">
        <f t="shared" si="367"/>
        <v/>
      </c>
      <c r="AR2259" s="63" t="str">
        <f t="shared" si="368"/>
        <v/>
      </c>
      <c r="AS2259" s="63" t="str">
        <f t="shared" si="369"/>
        <v/>
      </c>
      <c r="AT2259" s="78" t="str">
        <f t="shared" si="370"/>
        <v/>
      </c>
      <c r="AU2259" s="78" t="str">
        <f t="shared" si="371"/>
        <v/>
      </c>
      <c r="AV2259" s="64" t="str">
        <f ca="1">IFERROR(__xludf.DUMMYFUNCTION("IF(TRIM(AU2259)="""","""",AU2259/INDEX(FILTER(AT$3:AT2259,TRIM(AT$3:AT2259)&lt;&gt;""""),ROWS(FILTER(AT$3:AT2259,TRIM(AT$3:AT2259)&lt;&gt;"""")))-1)"),"")</f>
        <v/>
      </c>
      <c r="AW2259" s="65" t="e">
        <f t="shared" ca="1" si="364"/>
        <v>#VALUE!</v>
      </c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</row>
    <row r="2260" spans="1:68" ht="19" x14ac:dyDescent="0.25">
      <c r="A2260" s="5"/>
      <c r="B2260" s="5"/>
      <c r="C2260" s="5"/>
      <c r="D2260" s="5"/>
      <c r="E2260" s="5"/>
      <c r="F2260" s="5"/>
      <c r="G2260" s="5"/>
      <c r="H2260" s="6"/>
      <c r="I2260" s="5"/>
      <c r="J2260" s="88"/>
      <c r="K2260" s="88"/>
      <c r="L2260" s="88"/>
      <c r="M2260" s="88"/>
      <c r="N2260" s="88"/>
      <c r="O2260" s="88"/>
      <c r="P2260" s="88"/>
      <c r="Q2260" s="89"/>
      <c r="R2260" s="88"/>
      <c r="S2260" s="88"/>
      <c r="T2260" s="90"/>
      <c r="U2260" s="6"/>
      <c r="V2260" s="92"/>
      <c r="W2260" s="77"/>
      <c r="X2260" s="91"/>
      <c r="Y2260" s="77"/>
      <c r="Z2260" s="5"/>
      <c r="AA2260" s="5"/>
      <c r="AB2260" s="5"/>
      <c r="AC2260" s="5"/>
      <c r="AD2260" s="5"/>
      <c r="AE2260" s="5"/>
      <c r="AF2260" s="5"/>
      <c r="AG2260" s="5"/>
      <c r="AH2260" s="6"/>
      <c r="AI2260" s="92"/>
      <c r="AJ2260" s="93"/>
      <c r="AK2260" s="94"/>
      <c r="AL2260" s="95"/>
      <c r="AM2260" s="56"/>
      <c r="AN2260" s="57">
        <f t="shared" si="363"/>
        <v>0</v>
      </c>
      <c r="AO2260" s="76">
        <f t="shared" si="365"/>
        <v>0</v>
      </c>
      <c r="AP2260" s="63" t="str">
        <f t="shared" si="366"/>
        <v/>
      </c>
      <c r="AQ2260" s="63" t="str">
        <f t="shared" si="367"/>
        <v/>
      </c>
      <c r="AR2260" s="63" t="str">
        <f t="shared" si="368"/>
        <v/>
      </c>
      <c r="AS2260" s="63" t="str">
        <f t="shared" si="369"/>
        <v/>
      </c>
      <c r="AT2260" s="78" t="str">
        <f t="shared" si="370"/>
        <v/>
      </c>
      <c r="AU2260" s="78" t="str">
        <f t="shared" si="371"/>
        <v/>
      </c>
      <c r="AV2260" s="64" t="str">
        <f ca="1">IFERROR(__xludf.DUMMYFUNCTION("IF(TRIM(AU2260)="""","""",AU2260/INDEX(FILTER(AT$3:AT2260,TRIM(AT$3:AT2260)&lt;&gt;""""),ROWS(FILTER(AT$3:AT2260,TRIM(AT$3:AT2260)&lt;&gt;"""")))-1)"),"")</f>
        <v/>
      </c>
      <c r="AW2260" s="65" t="e">
        <f t="shared" ca="1" si="364"/>
        <v>#VALUE!</v>
      </c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</row>
    <row r="2261" spans="1:68" ht="19" x14ac:dyDescent="0.25">
      <c r="A2261" s="5"/>
      <c r="B2261" s="5"/>
      <c r="C2261" s="5"/>
      <c r="D2261" s="5"/>
      <c r="E2261" s="5"/>
      <c r="F2261" s="5"/>
      <c r="G2261" s="5"/>
      <c r="H2261" s="6"/>
      <c r="I2261" s="5"/>
      <c r="J2261" s="88"/>
      <c r="K2261" s="88"/>
      <c r="L2261" s="88"/>
      <c r="M2261" s="88"/>
      <c r="N2261" s="88"/>
      <c r="O2261" s="88"/>
      <c r="P2261" s="88"/>
      <c r="Q2261" s="89"/>
      <c r="R2261" s="88"/>
      <c r="S2261" s="88"/>
      <c r="T2261" s="90"/>
      <c r="U2261" s="6"/>
      <c r="V2261" s="92"/>
      <c r="W2261" s="77"/>
      <c r="X2261" s="91"/>
      <c r="Y2261" s="77"/>
      <c r="Z2261" s="5"/>
      <c r="AA2261" s="5"/>
      <c r="AB2261" s="5"/>
      <c r="AC2261" s="5"/>
      <c r="AD2261" s="5"/>
      <c r="AE2261" s="5"/>
      <c r="AF2261" s="5"/>
      <c r="AG2261" s="5"/>
      <c r="AH2261" s="6"/>
      <c r="AI2261" s="92"/>
      <c r="AJ2261" s="93"/>
      <c r="AK2261" s="94"/>
      <c r="AL2261" s="95"/>
      <c r="AM2261" s="56"/>
      <c r="AN2261" s="57">
        <f t="shared" si="363"/>
        <v>0</v>
      </c>
      <c r="AO2261" s="76">
        <f t="shared" si="365"/>
        <v>0</v>
      </c>
      <c r="AP2261" s="63" t="str">
        <f t="shared" si="366"/>
        <v/>
      </c>
      <c r="AQ2261" s="63" t="str">
        <f t="shared" si="367"/>
        <v/>
      </c>
      <c r="AR2261" s="63" t="str">
        <f t="shared" si="368"/>
        <v/>
      </c>
      <c r="AS2261" s="63" t="str">
        <f t="shared" si="369"/>
        <v/>
      </c>
      <c r="AT2261" s="78" t="str">
        <f t="shared" si="370"/>
        <v/>
      </c>
      <c r="AU2261" s="78" t="str">
        <f t="shared" si="371"/>
        <v/>
      </c>
      <c r="AV2261" s="64" t="str">
        <f ca="1">IFERROR(__xludf.DUMMYFUNCTION("IF(TRIM(AU2261)="""","""",AU2261/INDEX(FILTER(AT$3:AT2261,TRIM(AT$3:AT2261)&lt;&gt;""""),ROWS(FILTER(AT$3:AT2261,TRIM(AT$3:AT2261)&lt;&gt;"""")))-1)"),"")</f>
        <v/>
      </c>
      <c r="AW2261" s="65" t="e">
        <f t="shared" ca="1" si="364"/>
        <v>#VALUE!</v>
      </c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</row>
    <row r="2262" spans="1:68" ht="19" x14ac:dyDescent="0.25">
      <c r="A2262" s="5"/>
      <c r="B2262" s="5"/>
      <c r="C2262" s="5"/>
      <c r="D2262" s="5"/>
      <c r="E2262" s="5"/>
      <c r="F2262" s="5"/>
      <c r="G2262" s="5"/>
      <c r="H2262" s="6"/>
      <c r="I2262" s="5"/>
      <c r="J2262" s="88"/>
      <c r="K2262" s="88"/>
      <c r="L2262" s="88"/>
      <c r="M2262" s="88"/>
      <c r="N2262" s="88"/>
      <c r="O2262" s="88"/>
      <c r="P2262" s="88"/>
      <c r="Q2262" s="89"/>
      <c r="R2262" s="88"/>
      <c r="S2262" s="88"/>
      <c r="T2262" s="90"/>
      <c r="U2262" s="6"/>
      <c r="V2262" s="92"/>
      <c r="W2262" s="77"/>
      <c r="X2262" s="91"/>
      <c r="Y2262" s="77"/>
      <c r="Z2262" s="5"/>
      <c r="AA2262" s="5"/>
      <c r="AB2262" s="5"/>
      <c r="AC2262" s="5"/>
      <c r="AD2262" s="5"/>
      <c r="AE2262" s="5"/>
      <c r="AF2262" s="5"/>
      <c r="AG2262" s="5"/>
      <c r="AH2262" s="6"/>
      <c r="AI2262" s="92"/>
      <c r="AJ2262" s="93"/>
      <c r="AK2262" s="94"/>
      <c r="AL2262" s="95"/>
      <c r="AM2262" s="56"/>
      <c r="AN2262" s="57">
        <f t="shared" si="363"/>
        <v>0</v>
      </c>
      <c r="AO2262" s="76">
        <f t="shared" si="365"/>
        <v>0</v>
      </c>
      <c r="AP2262" s="63" t="str">
        <f t="shared" si="366"/>
        <v/>
      </c>
      <c r="AQ2262" s="63" t="str">
        <f t="shared" si="367"/>
        <v/>
      </c>
      <c r="AR2262" s="63" t="str">
        <f t="shared" si="368"/>
        <v/>
      </c>
      <c r="AS2262" s="63" t="str">
        <f t="shared" si="369"/>
        <v/>
      </c>
      <c r="AT2262" s="78" t="str">
        <f t="shared" si="370"/>
        <v/>
      </c>
      <c r="AU2262" s="78" t="str">
        <f t="shared" si="371"/>
        <v/>
      </c>
      <c r="AV2262" s="64" t="str">
        <f ca="1">IFERROR(__xludf.DUMMYFUNCTION("IF(TRIM(AU2262)="""","""",AU2262/INDEX(FILTER(AT$3:AT2262,TRIM(AT$3:AT2262)&lt;&gt;""""),ROWS(FILTER(AT$3:AT2262,TRIM(AT$3:AT2262)&lt;&gt;"""")))-1)"),"")</f>
        <v/>
      </c>
      <c r="AW2262" s="65" t="e">
        <f t="shared" ca="1" si="364"/>
        <v>#VALUE!</v>
      </c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</row>
    <row r="2263" spans="1:68" ht="19" x14ac:dyDescent="0.25">
      <c r="A2263" s="5"/>
      <c r="B2263" s="5"/>
      <c r="C2263" s="5"/>
      <c r="D2263" s="5"/>
      <c r="E2263" s="5"/>
      <c r="F2263" s="5"/>
      <c r="G2263" s="5"/>
      <c r="H2263" s="6"/>
      <c r="I2263" s="5"/>
      <c r="J2263" s="88"/>
      <c r="K2263" s="88"/>
      <c r="L2263" s="88"/>
      <c r="M2263" s="88"/>
      <c r="N2263" s="88"/>
      <c r="O2263" s="88"/>
      <c r="P2263" s="88"/>
      <c r="Q2263" s="89"/>
      <c r="R2263" s="88"/>
      <c r="S2263" s="88"/>
      <c r="T2263" s="90"/>
      <c r="U2263" s="6"/>
      <c r="V2263" s="92"/>
      <c r="W2263" s="77"/>
      <c r="X2263" s="91"/>
      <c r="Y2263" s="77"/>
      <c r="Z2263" s="5"/>
      <c r="AA2263" s="5"/>
      <c r="AB2263" s="5"/>
      <c r="AC2263" s="5"/>
      <c r="AD2263" s="5"/>
      <c r="AE2263" s="5"/>
      <c r="AF2263" s="5"/>
      <c r="AG2263" s="5"/>
      <c r="AH2263" s="6"/>
      <c r="AI2263" s="92"/>
      <c r="AJ2263" s="93"/>
      <c r="AK2263" s="94"/>
      <c r="AL2263" s="95"/>
      <c r="AM2263" s="56"/>
      <c r="AN2263" s="57">
        <f t="shared" si="363"/>
        <v>0</v>
      </c>
      <c r="AO2263" s="76">
        <f t="shared" si="365"/>
        <v>0</v>
      </c>
      <c r="AP2263" s="63" t="str">
        <f t="shared" si="366"/>
        <v/>
      </c>
      <c r="AQ2263" s="63" t="str">
        <f t="shared" si="367"/>
        <v/>
      </c>
      <c r="AR2263" s="63" t="str">
        <f t="shared" si="368"/>
        <v/>
      </c>
      <c r="AS2263" s="63" t="str">
        <f t="shared" si="369"/>
        <v/>
      </c>
      <c r="AT2263" s="78" t="str">
        <f t="shared" si="370"/>
        <v/>
      </c>
      <c r="AU2263" s="78" t="str">
        <f t="shared" si="371"/>
        <v/>
      </c>
      <c r="AV2263" s="64" t="str">
        <f ca="1">IFERROR(__xludf.DUMMYFUNCTION("IF(TRIM(AU2263)="""","""",AU2263/INDEX(FILTER(AT$3:AT2263,TRIM(AT$3:AT2263)&lt;&gt;""""),ROWS(FILTER(AT$3:AT2263,TRIM(AT$3:AT2263)&lt;&gt;"""")))-1)"),"")</f>
        <v/>
      </c>
      <c r="AW2263" s="65" t="e">
        <f t="shared" ca="1" si="364"/>
        <v>#VALUE!</v>
      </c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</row>
    <row r="2264" spans="1:68" ht="19" x14ac:dyDescent="0.25">
      <c r="A2264" s="5"/>
      <c r="B2264" s="5"/>
      <c r="C2264" s="5"/>
      <c r="D2264" s="5"/>
      <c r="E2264" s="5"/>
      <c r="F2264" s="5"/>
      <c r="G2264" s="5"/>
      <c r="H2264" s="6"/>
      <c r="I2264" s="5"/>
      <c r="J2264" s="88"/>
      <c r="K2264" s="88"/>
      <c r="L2264" s="88"/>
      <c r="M2264" s="88"/>
      <c r="N2264" s="88"/>
      <c r="O2264" s="88"/>
      <c r="P2264" s="88"/>
      <c r="Q2264" s="89"/>
      <c r="R2264" s="88"/>
      <c r="S2264" s="88"/>
      <c r="T2264" s="90"/>
      <c r="U2264" s="6"/>
      <c r="V2264" s="92"/>
      <c r="W2264" s="77"/>
      <c r="X2264" s="91"/>
      <c r="Y2264" s="77"/>
      <c r="Z2264" s="5"/>
      <c r="AA2264" s="5"/>
      <c r="AB2264" s="5"/>
      <c r="AC2264" s="5"/>
      <c r="AD2264" s="5"/>
      <c r="AE2264" s="5"/>
      <c r="AF2264" s="5"/>
      <c r="AG2264" s="5"/>
      <c r="AH2264" s="6"/>
      <c r="AI2264" s="92"/>
      <c r="AJ2264" s="93"/>
      <c r="AK2264" s="94"/>
      <c r="AL2264" s="95"/>
      <c r="AM2264" s="56"/>
      <c r="AN2264" s="57">
        <f t="shared" si="363"/>
        <v>0</v>
      </c>
      <c r="AO2264" s="76">
        <f t="shared" si="365"/>
        <v>0</v>
      </c>
      <c r="AP2264" s="63" t="str">
        <f t="shared" si="366"/>
        <v/>
      </c>
      <c r="AQ2264" s="63" t="str">
        <f t="shared" si="367"/>
        <v/>
      </c>
      <c r="AR2264" s="63" t="str">
        <f t="shared" si="368"/>
        <v/>
      </c>
      <c r="AS2264" s="63" t="str">
        <f t="shared" si="369"/>
        <v/>
      </c>
      <c r="AT2264" s="78" t="str">
        <f t="shared" si="370"/>
        <v/>
      </c>
      <c r="AU2264" s="78" t="str">
        <f t="shared" si="371"/>
        <v/>
      </c>
      <c r="AV2264" s="64" t="str">
        <f ca="1">IFERROR(__xludf.DUMMYFUNCTION("IF(TRIM(AU2264)="""","""",AU2264/INDEX(FILTER(AT$3:AT2264,TRIM(AT$3:AT2264)&lt;&gt;""""),ROWS(FILTER(AT$3:AT2264,TRIM(AT$3:AT2264)&lt;&gt;"""")))-1)"),"")</f>
        <v/>
      </c>
      <c r="AW2264" s="65" t="e">
        <f t="shared" ca="1" si="364"/>
        <v>#VALUE!</v>
      </c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</row>
    <row r="2265" spans="1:68" ht="19" x14ac:dyDescent="0.25">
      <c r="A2265" s="5"/>
      <c r="B2265" s="5"/>
      <c r="C2265" s="5"/>
      <c r="D2265" s="5"/>
      <c r="E2265" s="5"/>
      <c r="F2265" s="5"/>
      <c r="G2265" s="5"/>
      <c r="H2265" s="6"/>
      <c r="I2265" s="5"/>
      <c r="J2265" s="88"/>
      <c r="K2265" s="88"/>
      <c r="L2265" s="88"/>
      <c r="M2265" s="88"/>
      <c r="N2265" s="88"/>
      <c r="O2265" s="88"/>
      <c r="P2265" s="88"/>
      <c r="Q2265" s="89"/>
      <c r="R2265" s="88"/>
      <c r="S2265" s="88"/>
      <c r="T2265" s="90"/>
      <c r="U2265" s="6"/>
      <c r="V2265" s="92"/>
      <c r="W2265" s="77"/>
      <c r="X2265" s="91"/>
      <c r="Y2265" s="77"/>
      <c r="Z2265" s="5"/>
      <c r="AA2265" s="5"/>
      <c r="AB2265" s="5"/>
      <c r="AC2265" s="5"/>
      <c r="AD2265" s="5"/>
      <c r="AE2265" s="5"/>
      <c r="AF2265" s="5"/>
      <c r="AG2265" s="5"/>
      <c r="AH2265" s="6"/>
      <c r="AI2265" s="92"/>
      <c r="AJ2265" s="93"/>
      <c r="AK2265" s="94"/>
      <c r="AL2265" s="95"/>
      <c r="AM2265" s="56"/>
      <c r="AN2265" s="57">
        <f t="shared" si="363"/>
        <v>0</v>
      </c>
      <c r="AO2265" s="76">
        <f t="shared" si="365"/>
        <v>0</v>
      </c>
      <c r="AP2265" s="63" t="str">
        <f t="shared" si="366"/>
        <v/>
      </c>
      <c r="AQ2265" s="63" t="str">
        <f t="shared" si="367"/>
        <v/>
      </c>
      <c r="AR2265" s="63" t="str">
        <f t="shared" si="368"/>
        <v/>
      </c>
      <c r="AS2265" s="63" t="str">
        <f t="shared" si="369"/>
        <v/>
      </c>
      <c r="AT2265" s="78" t="str">
        <f t="shared" si="370"/>
        <v/>
      </c>
      <c r="AU2265" s="78" t="str">
        <f t="shared" si="371"/>
        <v/>
      </c>
      <c r="AV2265" s="64" t="str">
        <f ca="1">IFERROR(__xludf.DUMMYFUNCTION("IF(TRIM(AU2265)="""","""",AU2265/INDEX(FILTER(AT$3:AT2265,TRIM(AT$3:AT2265)&lt;&gt;""""),ROWS(FILTER(AT$3:AT2265,TRIM(AT$3:AT2265)&lt;&gt;"""")))-1)"),"")</f>
        <v/>
      </c>
      <c r="AW2265" s="65" t="e">
        <f t="shared" ca="1" si="364"/>
        <v>#VALUE!</v>
      </c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</row>
    <row r="2266" spans="1:68" ht="19" x14ac:dyDescent="0.25">
      <c r="A2266" s="5"/>
      <c r="B2266" s="5"/>
      <c r="C2266" s="5"/>
      <c r="D2266" s="5"/>
      <c r="E2266" s="5"/>
      <c r="F2266" s="5"/>
      <c r="G2266" s="5"/>
      <c r="H2266" s="6"/>
      <c r="I2266" s="5"/>
      <c r="J2266" s="88"/>
      <c r="K2266" s="88"/>
      <c r="L2266" s="88"/>
      <c r="M2266" s="88"/>
      <c r="N2266" s="88"/>
      <c r="O2266" s="88"/>
      <c r="P2266" s="88"/>
      <c r="Q2266" s="89"/>
      <c r="R2266" s="88"/>
      <c r="S2266" s="88"/>
      <c r="T2266" s="90"/>
      <c r="U2266" s="6"/>
      <c r="V2266" s="92"/>
      <c r="W2266" s="77"/>
      <c r="X2266" s="91"/>
      <c r="Y2266" s="77"/>
      <c r="Z2266" s="5"/>
      <c r="AA2266" s="5"/>
      <c r="AB2266" s="5"/>
      <c r="AC2266" s="5"/>
      <c r="AD2266" s="5"/>
      <c r="AE2266" s="5"/>
      <c r="AF2266" s="5"/>
      <c r="AG2266" s="5"/>
      <c r="AH2266" s="6"/>
      <c r="AI2266" s="92"/>
      <c r="AJ2266" s="93"/>
      <c r="AK2266" s="94"/>
      <c r="AL2266" s="95"/>
      <c r="AM2266" s="56"/>
      <c r="AN2266" s="57">
        <f t="shared" si="363"/>
        <v>0</v>
      </c>
      <c r="AO2266" s="76">
        <f t="shared" si="365"/>
        <v>0</v>
      </c>
      <c r="AP2266" s="63" t="str">
        <f t="shared" si="366"/>
        <v/>
      </c>
      <c r="AQ2266" s="63" t="str">
        <f t="shared" si="367"/>
        <v/>
      </c>
      <c r="AR2266" s="63" t="str">
        <f t="shared" si="368"/>
        <v/>
      </c>
      <c r="AS2266" s="63" t="str">
        <f t="shared" si="369"/>
        <v/>
      </c>
      <c r="AT2266" s="78" t="str">
        <f t="shared" si="370"/>
        <v/>
      </c>
      <c r="AU2266" s="78" t="str">
        <f t="shared" si="371"/>
        <v/>
      </c>
      <c r="AV2266" s="64" t="str">
        <f ca="1">IFERROR(__xludf.DUMMYFUNCTION("IF(TRIM(AU2266)="""","""",AU2266/INDEX(FILTER(AT$3:AT2266,TRIM(AT$3:AT2266)&lt;&gt;""""),ROWS(FILTER(AT$3:AT2266,TRIM(AT$3:AT2266)&lt;&gt;"""")))-1)"),"")</f>
        <v/>
      </c>
      <c r="AW2266" s="65" t="e">
        <f t="shared" ca="1" si="364"/>
        <v>#VALUE!</v>
      </c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</row>
    <row r="2267" spans="1:68" ht="19" x14ac:dyDescent="0.25">
      <c r="A2267" s="5"/>
      <c r="B2267" s="5"/>
      <c r="C2267" s="5"/>
      <c r="D2267" s="5"/>
      <c r="E2267" s="5"/>
      <c r="F2267" s="5"/>
      <c r="G2267" s="5"/>
      <c r="H2267" s="6"/>
      <c r="I2267" s="5"/>
      <c r="J2267" s="88"/>
      <c r="K2267" s="88"/>
      <c r="L2267" s="88"/>
      <c r="M2267" s="88"/>
      <c r="N2267" s="88"/>
      <c r="O2267" s="88"/>
      <c r="P2267" s="88"/>
      <c r="Q2267" s="89"/>
      <c r="R2267" s="88"/>
      <c r="S2267" s="88"/>
      <c r="T2267" s="90"/>
      <c r="U2267" s="6"/>
      <c r="V2267" s="92"/>
      <c r="W2267" s="77"/>
      <c r="X2267" s="91"/>
      <c r="Y2267" s="77"/>
      <c r="Z2267" s="5"/>
      <c r="AA2267" s="5"/>
      <c r="AB2267" s="5"/>
      <c r="AC2267" s="5"/>
      <c r="AD2267" s="5"/>
      <c r="AE2267" s="5"/>
      <c r="AF2267" s="5"/>
      <c r="AG2267" s="5"/>
      <c r="AH2267" s="6"/>
      <c r="AI2267" s="92"/>
      <c r="AJ2267" s="93"/>
      <c r="AK2267" s="94"/>
      <c r="AL2267" s="95"/>
      <c r="AM2267" s="56"/>
      <c r="AN2267" s="57">
        <f t="shared" si="363"/>
        <v>0</v>
      </c>
      <c r="AO2267" s="76">
        <f t="shared" si="365"/>
        <v>0</v>
      </c>
      <c r="AP2267" s="63" t="str">
        <f t="shared" si="366"/>
        <v/>
      </c>
      <c r="AQ2267" s="63" t="str">
        <f t="shared" si="367"/>
        <v/>
      </c>
      <c r="AR2267" s="63" t="str">
        <f t="shared" si="368"/>
        <v/>
      </c>
      <c r="AS2267" s="63" t="str">
        <f t="shared" si="369"/>
        <v/>
      </c>
      <c r="AT2267" s="78" t="str">
        <f t="shared" si="370"/>
        <v/>
      </c>
      <c r="AU2267" s="78" t="str">
        <f t="shared" si="371"/>
        <v/>
      </c>
      <c r="AV2267" s="64" t="str">
        <f ca="1">IFERROR(__xludf.DUMMYFUNCTION("IF(TRIM(AU2267)="""","""",AU2267/INDEX(FILTER(AT$3:AT2267,TRIM(AT$3:AT2267)&lt;&gt;""""),ROWS(FILTER(AT$3:AT2267,TRIM(AT$3:AT2267)&lt;&gt;"""")))-1)"),"")</f>
        <v/>
      </c>
      <c r="AW2267" s="65" t="e">
        <f t="shared" ca="1" si="364"/>
        <v>#VALUE!</v>
      </c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</row>
    <row r="2268" spans="1:68" ht="19" x14ac:dyDescent="0.25">
      <c r="A2268" s="5"/>
      <c r="B2268" s="5"/>
      <c r="C2268" s="5"/>
      <c r="D2268" s="5"/>
      <c r="E2268" s="5"/>
      <c r="F2268" s="5"/>
      <c r="G2268" s="5"/>
      <c r="H2268" s="6"/>
      <c r="I2268" s="5"/>
      <c r="J2268" s="88"/>
      <c r="K2268" s="88"/>
      <c r="L2268" s="88"/>
      <c r="M2268" s="88"/>
      <c r="N2268" s="88"/>
      <c r="O2268" s="88"/>
      <c r="P2268" s="88"/>
      <c r="Q2268" s="89"/>
      <c r="R2268" s="88"/>
      <c r="S2268" s="88"/>
      <c r="T2268" s="90"/>
      <c r="U2268" s="6"/>
      <c r="V2268" s="92"/>
      <c r="W2268" s="77"/>
      <c r="X2268" s="91"/>
      <c r="Y2268" s="77"/>
      <c r="Z2268" s="5"/>
      <c r="AA2268" s="5"/>
      <c r="AB2268" s="5"/>
      <c r="AC2268" s="5"/>
      <c r="AD2268" s="5"/>
      <c r="AE2268" s="5"/>
      <c r="AF2268" s="5"/>
      <c r="AG2268" s="5"/>
      <c r="AH2268" s="6"/>
      <c r="AI2268" s="92"/>
      <c r="AJ2268" s="93"/>
      <c r="AK2268" s="94"/>
      <c r="AL2268" s="95"/>
      <c r="AM2268" s="56"/>
      <c r="AN2268" s="57">
        <f t="shared" si="363"/>
        <v>0</v>
      </c>
      <c r="AO2268" s="76">
        <f t="shared" si="365"/>
        <v>0</v>
      </c>
      <c r="AP2268" s="63" t="str">
        <f t="shared" si="366"/>
        <v/>
      </c>
      <c r="AQ2268" s="63" t="str">
        <f t="shared" si="367"/>
        <v/>
      </c>
      <c r="AR2268" s="63" t="str">
        <f t="shared" si="368"/>
        <v/>
      </c>
      <c r="AS2268" s="63" t="str">
        <f t="shared" si="369"/>
        <v/>
      </c>
      <c r="AT2268" s="78" t="str">
        <f t="shared" si="370"/>
        <v/>
      </c>
      <c r="AU2268" s="78" t="str">
        <f t="shared" si="371"/>
        <v/>
      </c>
      <c r="AV2268" s="64" t="str">
        <f ca="1">IFERROR(__xludf.DUMMYFUNCTION("IF(TRIM(AU2268)="""","""",AU2268/INDEX(FILTER(AT$3:AT2268,TRIM(AT$3:AT2268)&lt;&gt;""""),ROWS(FILTER(AT$3:AT2268,TRIM(AT$3:AT2268)&lt;&gt;"""")))-1)"),"")</f>
        <v/>
      </c>
      <c r="AW2268" s="65" t="e">
        <f t="shared" ca="1" si="364"/>
        <v>#VALUE!</v>
      </c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</row>
    <row r="2269" spans="1:68" ht="19" x14ac:dyDescent="0.25">
      <c r="A2269" s="5"/>
      <c r="B2269" s="5"/>
      <c r="C2269" s="5"/>
      <c r="D2269" s="5"/>
      <c r="E2269" s="5"/>
      <c r="F2269" s="5"/>
      <c r="G2269" s="5"/>
      <c r="H2269" s="6"/>
      <c r="I2269" s="5"/>
      <c r="J2269" s="88"/>
      <c r="K2269" s="88"/>
      <c r="L2269" s="88"/>
      <c r="M2269" s="88"/>
      <c r="N2269" s="88"/>
      <c r="O2269" s="88"/>
      <c r="P2269" s="88"/>
      <c r="Q2269" s="89"/>
      <c r="R2269" s="88"/>
      <c r="S2269" s="88"/>
      <c r="T2269" s="90"/>
      <c r="U2269" s="6"/>
      <c r="V2269" s="92"/>
      <c r="W2269" s="77"/>
      <c r="X2269" s="91"/>
      <c r="Y2269" s="77"/>
      <c r="Z2269" s="5"/>
      <c r="AA2269" s="5"/>
      <c r="AB2269" s="5"/>
      <c r="AC2269" s="5"/>
      <c r="AD2269" s="5"/>
      <c r="AE2269" s="5"/>
      <c r="AF2269" s="5"/>
      <c r="AG2269" s="5"/>
      <c r="AH2269" s="6"/>
      <c r="AI2269" s="92"/>
      <c r="AJ2269" s="93"/>
      <c r="AK2269" s="94"/>
      <c r="AL2269" s="95"/>
      <c r="AM2269" s="56"/>
      <c r="AN2269" s="57">
        <f t="shared" si="363"/>
        <v>0</v>
      </c>
      <c r="AO2269" s="76">
        <f t="shared" si="365"/>
        <v>0</v>
      </c>
      <c r="AP2269" s="63" t="str">
        <f t="shared" si="366"/>
        <v/>
      </c>
      <c r="AQ2269" s="63" t="str">
        <f t="shared" si="367"/>
        <v/>
      </c>
      <c r="AR2269" s="63" t="str">
        <f t="shared" si="368"/>
        <v/>
      </c>
      <c r="AS2269" s="63" t="str">
        <f t="shared" si="369"/>
        <v/>
      </c>
      <c r="AT2269" s="78" t="str">
        <f t="shared" si="370"/>
        <v/>
      </c>
      <c r="AU2269" s="78" t="str">
        <f t="shared" si="371"/>
        <v/>
      </c>
      <c r="AV2269" s="64" t="str">
        <f ca="1">IFERROR(__xludf.DUMMYFUNCTION("IF(TRIM(AU2269)="""","""",AU2269/INDEX(FILTER(AT$3:AT2269,TRIM(AT$3:AT2269)&lt;&gt;""""),ROWS(FILTER(AT$3:AT2269,TRIM(AT$3:AT2269)&lt;&gt;"""")))-1)"),"")</f>
        <v/>
      </c>
      <c r="AW2269" s="65" t="e">
        <f t="shared" ca="1" si="364"/>
        <v>#VALUE!</v>
      </c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</row>
    <row r="2270" spans="1:68" ht="19" x14ac:dyDescent="0.25">
      <c r="A2270" s="5"/>
      <c r="B2270" s="5"/>
      <c r="C2270" s="5"/>
      <c r="D2270" s="5"/>
      <c r="E2270" s="5"/>
      <c r="F2270" s="5"/>
      <c r="G2270" s="5"/>
      <c r="H2270" s="6"/>
      <c r="I2270" s="5"/>
      <c r="J2270" s="88"/>
      <c r="K2270" s="88"/>
      <c r="L2270" s="88"/>
      <c r="M2270" s="88"/>
      <c r="N2270" s="88"/>
      <c r="O2270" s="88"/>
      <c r="P2270" s="88"/>
      <c r="Q2270" s="89"/>
      <c r="R2270" s="88"/>
      <c r="S2270" s="88"/>
      <c r="T2270" s="90"/>
      <c r="U2270" s="6"/>
      <c r="V2270" s="92"/>
      <c r="W2270" s="77"/>
      <c r="X2270" s="91"/>
      <c r="Y2270" s="77"/>
      <c r="Z2270" s="5"/>
      <c r="AA2270" s="5"/>
      <c r="AB2270" s="5"/>
      <c r="AC2270" s="5"/>
      <c r="AD2270" s="5"/>
      <c r="AE2270" s="5"/>
      <c r="AF2270" s="5"/>
      <c r="AG2270" s="5"/>
      <c r="AH2270" s="6"/>
      <c r="AI2270" s="92"/>
      <c r="AJ2270" s="93"/>
      <c r="AK2270" s="94"/>
      <c r="AL2270" s="95"/>
      <c r="AM2270" s="56"/>
      <c r="AN2270" s="57">
        <f t="shared" si="363"/>
        <v>0</v>
      </c>
      <c r="AO2270" s="76">
        <f t="shared" si="365"/>
        <v>0</v>
      </c>
      <c r="AP2270" s="63" t="str">
        <f t="shared" si="366"/>
        <v/>
      </c>
      <c r="AQ2270" s="63" t="str">
        <f t="shared" si="367"/>
        <v/>
      </c>
      <c r="AR2270" s="63" t="str">
        <f t="shared" si="368"/>
        <v/>
      </c>
      <c r="AS2270" s="63" t="str">
        <f t="shared" si="369"/>
        <v/>
      </c>
      <c r="AT2270" s="78" t="str">
        <f t="shared" si="370"/>
        <v/>
      </c>
      <c r="AU2270" s="78" t="str">
        <f t="shared" si="371"/>
        <v/>
      </c>
      <c r="AV2270" s="64" t="str">
        <f ca="1">IFERROR(__xludf.DUMMYFUNCTION("IF(TRIM(AU2270)="""","""",AU2270/INDEX(FILTER(AT$3:AT2270,TRIM(AT$3:AT2270)&lt;&gt;""""),ROWS(FILTER(AT$3:AT2270,TRIM(AT$3:AT2270)&lt;&gt;"""")))-1)"),"")</f>
        <v/>
      </c>
      <c r="AW2270" s="65" t="e">
        <f t="shared" ca="1" si="364"/>
        <v>#VALUE!</v>
      </c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</row>
    <row r="2271" spans="1:68" ht="19" x14ac:dyDescent="0.25">
      <c r="A2271" s="5"/>
      <c r="B2271" s="5"/>
      <c r="C2271" s="5"/>
      <c r="D2271" s="5"/>
      <c r="E2271" s="5"/>
      <c r="F2271" s="5"/>
      <c r="G2271" s="5"/>
      <c r="H2271" s="6"/>
      <c r="I2271" s="5"/>
      <c r="J2271" s="88"/>
      <c r="K2271" s="88"/>
      <c r="L2271" s="88"/>
      <c r="M2271" s="88"/>
      <c r="N2271" s="88"/>
      <c r="O2271" s="88"/>
      <c r="P2271" s="88"/>
      <c r="Q2271" s="89"/>
      <c r="R2271" s="88"/>
      <c r="S2271" s="88"/>
      <c r="T2271" s="90"/>
      <c r="U2271" s="6"/>
      <c r="V2271" s="92"/>
      <c r="W2271" s="77"/>
      <c r="X2271" s="91"/>
      <c r="Y2271" s="77"/>
      <c r="Z2271" s="5"/>
      <c r="AA2271" s="5"/>
      <c r="AB2271" s="5"/>
      <c r="AC2271" s="5"/>
      <c r="AD2271" s="5"/>
      <c r="AE2271" s="5"/>
      <c r="AF2271" s="5"/>
      <c r="AG2271" s="5"/>
      <c r="AH2271" s="6"/>
      <c r="AI2271" s="92"/>
      <c r="AJ2271" s="93"/>
      <c r="AK2271" s="94"/>
      <c r="AL2271" s="95"/>
      <c r="AM2271" s="56"/>
      <c r="AN2271" s="57">
        <f t="shared" si="363"/>
        <v>0</v>
      </c>
      <c r="AO2271" s="76">
        <f t="shared" si="365"/>
        <v>0</v>
      </c>
      <c r="AP2271" s="63" t="str">
        <f t="shared" si="366"/>
        <v/>
      </c>
      <c r="AQ2271" s="63" t="str">
        <f t="shared" si="367"/>
        <v/>
      </c>
      <c r="AR2271" s="63" t="str">
        <f t="shared" si="368"/>
        <v/>
      </c>
      <c r="AS2271" s="63" t="str">
        <f t="shared" si="369"/>
        <v/>
      </c>
      <c r="AT2271" s="78" t="str">
        <f t="shared" si="370"/>
        <v/>
      </c>
      <c r="AU2271" s="78" t="str">
        <f t="shared" si="371"/>
        <v/>
      </c>
      <c r="AV2271" s="64" t="str">
        <f ca="1">IFERROR(__xludf.DUMMYFUNCTION("IF(TRIM(AU2271)="""","""",AU2271/INDEX(FILTER(AT$3:AT2271,TRIM(AT$3:AT2271)&lt;&gt;""""),ROWS(FILTER(AT$3:AT2271,TRIM(AT$3:AT2271)&lt;&gt;"""")))-1)"),"")</f>
        <v/>
      </c>
      <c r="AW2271" s="65" t="e">
        <f t="shared" ca="1" si="364"/>
        <v>#VALUE!</v>
      </c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</row>
    <row r="2272" spans="1:68" ht="19" x14ac:dyDescent="0.25">
      <c r="A2272" s="5"/>
      <c r="B2272" s="5"/>
      <c r="C2272" s="5"/>
      <c r="D2272" s="5"/>
      <c r="E2272" s="5"/>
      <c r="F2272" s="5"/>
      <c r="G2272" s="5"/>
      <c r="H2272" s="6"/>
      <c r="I2272" s="5"/>
      <c r="J2272" s="88"/>
      <c r="K2272" s="88"/>
      <c r="L2272" s="88"/>
      <c r="M2272" s="88"/>
      <c r="N2272" s="88"/>
      <c r="O2272" s="88"/>
      <c r="P2272" s="88"/>
      <c r="Q2272" s="89"/>
      <c r="R2272" s="88"/>
      <c r="S2272" s="88"/>
      <c r="T2272" s="90"/>
      <c r="U2272" s="6"/>
      <c r="V2272" s="92"/>
      <c r="W2272" s="77"/>
      <c r="X2272" s="91"/>
      <c r="Y2272" s="77"/>
      <c r="Z2272" s="5"/>
      <c r="AA2272" s="5"/>
      <c r="AB2272" s="5"/>
      <c r="AC2272" s="5"/>
      <c r="AD2272" s="5"/>
      <c r="AE2272" s="5"/>
      <c r="AF2272" s="5"/>
      <c r="AG2272" s="5"/>
      <c r="AH2272" s="6"/>
      <c r="AI2272" s="92"/>
      <c r="AJ2272" s="93"/>
      <c r="AK2272" s="94"/>
      <c r="AL2272" s="95"/>
      <c r="AM2272" s="56"/>
      <c r="AN2272" s="57">
        <f t="shared" si="363"/>
        <v>0</v>
      </c>
      <c r="AO2272" s="76">
        <f t="shared" si="365"/>
        <v>0</v>
      </c>
      <c r="AP2272" s="63" t="str">
        <f t="shared" si="366"/>
        <v/>
      </c>
      <c r="AQ2272" s="63" t="str">
        <f t="shared" si="367"/>
        <v/>
      </c>
      <c r="AR2272" s="63" t="str">
        <f t="shared" si="368"/>
        <v/>
      </c>
      <c r="AS2272" s="63" t="str">
        <f t="shared" si="369"/>
        <v/>
      </c>
      <c r="AT2272" s="78" t="str">
        <f t="shared" si="370"/>
        <v/>
      </c>
      <c r="AU2272" s="78" t="str">
        <f t="shared" si="371"/>
        <v/>
      </c>
      <c r="AV2272" s="64" t="str">
        <f ca="1">IFERROR(__xludf.DUMMYFUNCTION("IF(TRIM(AU2272)="""","""",AU2272/INDEX(FILTER(AT$3:AT2272,TRIM(AT$3:AT2272)&lt;&gt;""""),ROWS(FILTER(AT$3:AT2272,TRIM(AT$3:AT2272)&lt;&gt;"""")))-1)"),"")</f>
        <v/>
      </c>
      <c r="AW2272" s="65" t="e">
        <f t="shared" ca="1" si="364"/>
        <v>#VALUE!</v>
      </c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</row>
    <row r="2273" spans="1:68" ht="19" x14ac:dyDescent="0.25">
      <c r="A2273" s="5"/>
      <c r="B2273" s="5"/>
      <c r="C2273" s="5"/>
      <c r="D2273" s="5"/>
      <c r="E2273" s="5"/>
      <c r="F2273" s="5"/>
      <c r="G2273" s="5"/>
      <c r="H2273" s="6"/>
      <c r="I2273" s="5"/>
      <c r="J2273" s="88"/>
      <c r="K2273" s="88"/>
      <c r="L2273" s="88"/>
      <c r="M2273" s="88"/>
      <c r="N2273" s="88"/>
      <c r="O2273" s="88"/>
      <c r="P2273" s="88"/>
      <c r="Q2273" s="89"/>
      <c r="R2273" s="88"/>
      <c r="S2273" s="88"/>
      <c r="T2273" s="90"/>
      <c r="U2273" s="6"/>
      <c r="V2273" s="92"/>
      <c r="W2273" s="77"/>
      <c r="X2273" s="91"/>
      <c r="Y2273" s="77"/>
      <c r="Z2273" s="5"/>
      <c r="AA2273" s="5"/>
      <c r="AB2273" s="5"/>
      <c r="AC2273" s="5"/>
      <c r="AD2273" s="5"/>
      <c r="AE2273" s="5"/>
      <c r="AF2273" s="5"/>
      <c r="AG2273" s="5"/>
      <c r="AH2273" s="6"/>
      <c r="AI2273" s="92"/>
      <c r="AJ2273" s="93"/>
      <c r="AK2273" s="94"/>
      <c r="AL2273" s="95"/>
      <c r="AM2273" s="56"/>
      <c r="AN2273" s="57">
        <f t="shared" si="363"/>
        <v>0</v>
      </c>
      <c r="AO2273" s="76">
        <f t="shared" si="365"/>
        <v>0</v>
      </c>
      <c r="AP2273" s="63" t="str">
        <f t="shared" si="366"/>
        <v/>
      </c>
      <c r="AQ2273" s="63" t="str">
        <f t="shared" si="367"/>
        <v/>
      </c>
      <c r="AR2273" s="63" t="str">
        <f t="shared" si="368"/>
        <v/>
      </c>
      <c r="AS2273" s="63" t="str">
        <f t="shared" si="369"/>
        <v/>
      </c>
      <c r="AT2273" s="78" t="str">
        <f t="shared" si="370"/>
        <v/>
      </c>
      <c r="AU2273" s="78" t="str">
        <f t="shared" si="371"/>
        <v/>
      </c>
      <c r="AV2273" s="64" t="str">
        <f ca="1">IFERROR(__xludf.DUMMYFUNCTION("IF(TRIM(AU2273)="""","""",AU2273/INDEX(FILTER(AT$3:AT2273,TRIM(AT$3:AT2273)&lt;&gt;""""),ROWS(FILTER(AT$3:AT2273,TRIM(AT$3:AT2273)&lt;&gt;"""")))-1)"),"")</f>
        <v/>
      </c>
      <c r="AW2273" s="65" t="e">
        <f t="shared" ca="1" si="364"/>
        <v>#VALUE!</v>
      </c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</row>
    <row r="2274" spans="1:68" ht="19" x14ac:dyDescent="0.25">
      <c r="A2274" s="5"/>
      <c r="B2274" s="5"/>
      <c r="C2274" s="5"/>
      <c r="D2274" s="5"/>
      <c r="E2274" s="5"/>
      <c r="F2274" s="5"/>
      <c r="G2274" s="5"/>
      <c r="H2274" s="6"/>
      <c r="I2274" s="5"/>
      <c r="J2274" s="88"/>
      <c r="K2274" s="88"/>
      <c r="L2274" s="88"/>
      <c r="M2274" s="88"/>
      <c r="N2274" s="88"/>
      <c r="O2274" s="88"/>
      <c r="P2274" s="88"/>
      <c r="Q2274" s="89"/>
      <c r="R2274" s="88"/>
      <c r="S2274" s="88"/>
      <c r="T2274" s="90"/>
      <c r="U2274" s="6"/>
      <c r="V2274" s="92"/>
      <c r="W2274" s="77"/>
      <c r="X2274" s="91"/>
      <c r="Y2274" s="77"/>
      <c r="Z2274" s="5"/>
      <c r="AA2274" s="5"/>
      <c r="AB2274" s="5"/>
      <c r="AC2274" s="5"/>
      <c r="AD2274" s="5"/>
      <c r="AE2274" s="5"/>
      <c r="AF2274" s="5"/>
      <c r="AG2274" s="5"/>
      <c r="AH2274" s="6"/>
      <c r="AI2274" s="92"/>
      <c r="AJ2274" s="93"/>
      <c r="AK2274" s="94"/>
      <c r="AL2274" s="95"/>
      <c r="AM2274" s="56"/>
      <c r="AN2274" s="57">
        <f t="shared" si="363"/>
        <v>0</v>
      </c>
      <c r="AO2274" s="76">
        <f t="shared" si="365"/>
        <v>0</v>
      </c>
      <c r="AP2274" s="63" t="str">
        <f t="shared" si="366"/>
        <v/>
      </c>
      <c r="AQ2274" s="63" t="str">
        <f t="shared" si="367"/>
        <v/>
      </c>
      <c r="AR2274" s="63" t="str">
        <f t="shared" si="368"/>
        <v/>
      </c>
      <c r="AS2274" s="63" t="str">
        <f t="shared" si="369"/>
        <v/>
      </c>
      <c r="AT2274" s="78" t="str">
        <f t="shared" si="370"/>
        <v/>
      </c>
      <c r="AU2274" s="78" t="str">
        <f t="shared" si="371"/>
        <v/>
      </c>
      <c r="AV2274" s="64" t="str">
        <f ca="1">IFERROR(__xludf.DUMMYFUNCTION("IF(TRIM(AU2274)="""","""",AU2274/INDEX(FILTER(AT$3:AT2274,TRIM(AT$3:AT2274)&lt;&gt;""""),ROWS(FILTER(AT$3:AT2274,TRIM(AT$3:AT2274)&lt;&gt;"""")))-1)"),"")</f>
        <v/>
      </c>
      <c r="AW2274" s="65" t="e">
        <f t="shared" ca="1" si="364"/>
        <v>#VALUE!</v>
      </c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</row>
    <row r="2275" spans="1:68" ht="19" x14ac:dyDescent="0.25">
      <c r="A2275" s="5"/>
      <c r="B2275" s="5"/>
      <c r="C2275" s="5"/>
      <c r="D2275" s="5"/>
      <c r="E2275" s="5"/>
      <c r="F2275" s="5"/>
      <c r="G2275" s="5"/>
      <c r="H2275" s="6"/>
      <c r="I2275" s="5"/>
      <c r="J2275" s="88"/>
      <c r="K2275" s="88"/>
      <c r="L2275" s="88"/>
      <c r="M2275" s="88"/>
      <c r="N2275" s="88"/>
      <c r="O2275" s="88"/>
      <c r="P2275" s="88"/>
      <c r="Q2275" s="89"/>
      <c r="R2275" s="88"/>
      <c r="S2275" s="88"/>
      <c r="T2275" s="90"/>
      <c r="U2275" s="6"/>
      <c r="V2275" s="92"/>
      <c r="W2275" s="77"/>
      <c r="X2275" s="91"/>
      <c r="Y2275" s="77"/>
      <c r="Z2275" s="5"/>
      <c r="AA2275" s="5"/>
      <c r="AB2275" s="5"/>
      <c r="AC2275" s="5"/>
      <c r="AD2275" s="5"/>
      <c r="AE2275" s="5"/>
      <c r="AF2275" s="5"/>
      <c r="AG2275" s="5"/>
      <c r="AH2275" s="6"/>
      <c r="AI2275" s="92"/>
      <c r="AJ2275" s="93"/>
      <c r="AK2275" s="94"/>
      <c r="AL2275" s="95"/>
      <c r="AM2275" s="56"/>
      <c r="AN2275" s="57">
        <f t="shared" si="363"/>
        <v>0</v>
      </c>
      <c r="AO2275" s="76">
        <f t="shared" si="365"/>
        <v>0</v>
      </c>
      <c r="AP2275" s="63" t="str">
        <f t="shared" si="366"/>
        <v/>
      </c>
      <c r="AQ2275" s="63" t="str">
        <f t="shared" si="367"/>
        <v/>
      </c>
      <c r="AR2275" s="63" t="str">
        <f t="shared" si="368"/>
        <v/>
      </c>
      <c r="AS2275" s="63" t="str">
        <f t="shared" si="369"/>
        <v/>
      </c>
      <c r="AT2275" s="78" t="str">
        <f t="shared" si="370"/>
        <v/>
      </c>
      <c r="AU2275" s="78" t="str">
        <f t="shared" si="371"/>
        <v/>
      </c>
      <c r="AV2275" s="64" t="str">
        <f ca="1">IFERROR(__xludf.DUMMYFUNCTION("IF(TRIM(AU2275)="""","""",AU2275/INDEX(FILTER(AT$3:AT2275,TRIM(AT$3:AT2275)&lt;&gt;""""),ROWS(FILTER(AT$3:AT2275,TRIM(AT$3:AT2275)&lt;&gt;"""")))-1)"),"")</f>
        <v/>
      </c>
      <c r="AW2275" s="65" t="e">
        <f t="shared" ca="1" si="364"/>
        <v>#VALUE!</v>
      </c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</row>
    <row r="2276" spans="1:68" ht="19" x14ac:dyDescent="0.25">
      <c r="A2276" s="5"/>
      <c r="B2276" s="5"/>
      <c r="C2276" s="5"/>
      <c r="D2276" s="5"/>
      <c r="E2276" s="5"/>
      <c r="F2276" s="5"/>
      <c r="G2276" s="5"/>
      <c r="H2276" s="6"/>
      <c r="I2276" s="5"/>
      <c r="J2276" s="88"/>
      <c r="K2276" s="88"/>
      <c r="L2276" s="88"/>
      <c r="M2276" s="88"/>
      <c r="N2276" s="88"/>
      <c r="O2276" s="88"/>
      <c r="P2276" s="88"/>
      <c r="Q2276" s="89"/>
      <c r="R2276" s="88"/>
      <c r="S2276" s="88"/>
      <c r="T2276" s="90"/>
      <c r="U2276" s="6"/>
      <c r="V2276" s="92"/>
      <c r="W2276" s="77"/>
      <c r="X2276" s="91"/>
      <c r="Y2276" s="77"/>
      <c r="Z2276" s="5"/>
      <c r="AA2276" s="5"/>
      <c r="AB2276" s="5"/>
      <c r="AC2276" s="5"/>
      <c r="AD2276" s="5"/>
      <c r="AE2276" s="5"/>
      <c r="AF2276" s="5"/>
      <c r="AG2276" s="5"/>
      <c r="AH2276" s="6"/>
      <c r="AI2276" s="92"/>
      <c r="AJ2276" s="93"/>
      <c r="AK2276" s="94"/>
      <c r="AL2276" s="95"/>
      <c r="AM2276" s="56"/>
      <c r="AN2276" s="57">
        <f t="shared" si="363"/>
        <v>0</v>
      </c>
      <c r="AO2276" s="76">
        <f t="shared" si="365"/>
        <v>0</v>
      </c>
      <c r="AP2276" s="63" t="str">
        <f t="shared" si="366"/>
        <v/>
      </c>
      <c r="AQ2276" s="63" t="str">
        <f t="shared" si="367"/>
        <v/>
      </c>
      <c r="AR2276" s="63" t="str">
        <f t="shared" si="368"/>
        <v/>
      </c>
      <c r="AS2276" s="63" t="str">
        <f t="shared" si="369"/>
        <v/>
      </c>
      <c r="AT2276" s="78" t="str">
        <f t="shared" si="370"/>
        <v/>
      </c>
      <c r="AU2276" s="78" t="str">
        <f t="shared" si="371"/>
        <v/>
      </c>
      <c r="AV2276" s="64" t="str">
        <f ca="1">IFERROR(__xludf.DUMMYFUNCTION("IF(TRIM(AU2276)="""","""",AU2276/INDEX(FILTER(AT$3:AT2276,TRIM(AT$3:AT2276)&lt;&gt;""""),ROWS(FILTER(AT$3:AT2276,TRIM(AT$3:AT2276)&lt;&gt;"""")))-1)"),"")</f>
        <v/>
      </c>
      <c r="AW2276" s="65" t="e">
        <f t="shared" ca="1" si="364"/>
        <v>#VALUE!</v>
      </c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</row>
    <row r="2277" spans="1:68" ht="19" x14ac:dyDescent="0.25">
      <c r="A2277" s="5"/>
      <c r="B2277" s="5"/>
      <c r="C2277" s="5"/>
      <c r="D2277" s="5"/>
      <c r="E2277" s="5"/>
      <c r="F2277" s="5"/>
      <c r="G2277" s="5"/>
      <c r="H2277" s="6"/>
      <c r="I2277" s="5"/>
      <c r="J2277" s="88"/>
      <c r="K2277" s="88"/>
      <c r="L2277" s="88"/>
      <c r="M2277" s="88"/>
      <c r="N2277" s="88"/>
      <c r="O2277" s="88"/>
      <c r="P2277" s="88"/>
      <c r="Q2277" s="89"/>
      <c r="R2277" s="88"/>
      <c r="S2277" s="88"/>
      <c r="T2277" s="90"/>
      <c r="U2277" s="6"/>
      <c r="V2277" s="92"/>
      <c r="W2277" s="77"/>
      <c r="X2277" s="91"/>
      <c r="Y2277" s="77"/>
      <c r="Z2277" s="5"/>
      <c r="AA2277" s="5"/>
      <c r="AB2277" s="5"/>
      <c r="AC2277" s="5"/>
      <c r="AD2277" s="5"/>
      <c r="AE2277" s="5"/>
      <c r="AF2277" s="5"/>
      <c r="AG2277" s="5"/>
      <c r="AH2277" s="6"/>
      <c r="AI2277" s="92"/>
      <c r="AJ2277" s="93"/>
      <c r="AK2277" s="94"/>
      <c r="AL2277" s="95"/>
      <c r="AM2277" s="56"/>
      <c r="AN2277" s="57">
        <f t="shared" si="363"/>
        <v>0</v>
      </c>
      <c r="AO2277" s="76">
        <f t="shared" si="365"/>
        <v>0</v>
      </c>
      <c r="AP2277" s="63" t="str">
        <f t="shared" si="366"/>
        <v/>
      </c>
      <c r="AQ2277" s="63" t="str">
        <f t="shared" si="367"/>
        <v/>
      </c>
      <c r="AR2277" s="63" t="str">
        <f t="shared" si="368"/>
        <v/>
      </c>
      <c r="AS2277" s="63" t="str">
        <f t="shared" si="369"/>
        <v/>
      </c>
      <c r="AT2277" s="78" t="str">
        <f t="shared" si="370"/>
        <v/>
      </c>
      <c r="AU2277" s="78" t="str">
        <f t="shared" si="371"/>
        <v/>
      </c>
      <c r="AV2277" s="64" t="str">
        <f ca="1">IFERROR(__xludf.DUMMYFUNCTION("IF(TRIM(AU2277)="""","""",AU2277/INDEX(FILTER(AT$3:AT2277,TRIM(AT$3:AT2277)&lt;&gt;""""),ROWS(FILTER(AT$3:AT2277,TRIM(AT$3:AT2277)&lt;&gt;"""")))-1)"),"")</f>
        <v/>
      </c>
      <c r="AW2277" s="65" t="e">
        <f t="shared" ca="1" si="364"/>
        <v>#VALUE!</v>
      </c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</row>
    <row r="2278" spans="1:68" ht="19" x14ac:dyDescent="0.25">
      <c r="A2278" s="5"/>
      <c r="B2278" s="5"/>
      <c r="C2278" s="5"/>
      <c r="D2278" s="5"/>
      <c r="E2278" s="5"/>
      <c r="F2278" s="5"/>
      <c r="G2278" s="5"/>
      <c r="H2278" s="6"/>
      <c r="I2278" s="5"/>
      <c r="J2278" s="88"/>
      <c r="K2278" s="88"/>
      <c r="L2278" s="88"/>
      <c r="M2278" s="88"/>
      <c r="N2278" s="88"/>
      <c r="O2278" s="88"/>
      <c r="P2278" s="88"/>
      <c r="Q2278" s="89"/>
      <c r="R2278" s="88"/>
      <c r="S2278" s="88"/>
      <c r="T2278" s="90"/>
      <c r="U2278" s="6"/>
      <c r="V2278" s="92"/>
      <c r="W2278" s="77"/>
      <c r="X2278" s="91"/>
      <c r="Y2278" s="77"/>
      <c r="Z2278" s="5"/>
      <c r="AA2278" s="5"/>
      <c r="AB2278" s="5"/>
      <c r="AC2278" s="5"/>
      <c r="AD2278" s="5"/>
      <c r="AE2278" s="5"/>
      <c r="AF2278" s="5"/>
      <c r="AG2278" s="5"/>
      <c r="AH2278" s="6"/>
      <c r="AI2278" s="92"/>
      <c r="AJ2278" s="93"/>
      <c r="AK2278" s="94"/>
      <c r="AL2278" s="95"/>
      <c r="AM2278" s="56"/>
      <c r="AN2278" s="57">
        <f t="shared" si="363"/>
        <v>0</v>
      </c>
      <c r="AO2278" s="76">
        <f t="shared" si="365"/>
        <v>0</v>
      </c>
      <c r="AP2278" s="63" t="str">
        <f t="shared" si="366"/>
        <v/>
      </c>
      <c r="AQ2278" s="63" t="str">
        <f t="shared" si="367"/>
        <v/>
      </c>
      <c r="AR2278" s="63" t="str">
        <f t="shared" si="368"/>
        <v/>
      </c>
      <c r="AS2278" s="63" t="str">
        <f t="shared" si="369"/>
        <v/>
      </c>
      <c r="AT2278" s="78" t="str">
        <f t="shared" si="370"/>
        <v/>
      </c>
      <c r="AU2278" s="78" t="str">
        <f t="shared" si="371"/>
        <v/>
      </c>
      <c r="AV2278" s="64" t="str">
        <f ca="1">IFERROR(__xludf.DUMMYFUNCTION("IF(TRIM(AU2278)="""","""",AU2278/INDEX(FILTER(AT$3:AT2278,TRIM(AT$3:AT2278)&lt;&gt;""""),ROWS(FILTER(AT$3:AT2278,TRIM(AT$3:AT2278)&lt;&gt;"""")))-1)"),"")</f>
        <v/>
      </c>
      <c r="AW2278" s="65" t="e">
        <f t="shared" ca="1" si="364"/>
        <v>#VALUE!</v>
      </c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</row>
    <row r="2279" spans="1:68" ht="19" x14ac:dyDescent="0.25">
      <c r="A2279" s="5"/>
      <c r="B2279" s="5"/>
      <c r="C2279" s="5"/>
      <c r="D2279" s="5"/>
      <c r="E2279" s="5"/>
      <c r="F2279" s="5"/>
      <c r="G2279" s="5"/>
      <c r="H2279" s="6"/>
      <c r="I2279" s="5"/>
      <c r="J2279" s="88"/>
      <c r="K2279" s="88"/>
      <c r="L2279" s="88"/>
      <c r="M2279" s="88"/>
      <c r="N2279" s="88"/>
      <c r="O2279" s="88"/>
      <c r="P2279" s="88"/>
      <c r="Q2279" s="89"/>
      <c r="R2279" s="88"/>
      <c r="S2279" s="88"/>
      <c r="T2279" s="90"/>
      <c r="U2279" s="6"/>
      <c r="V2279" s="92"/>
      <c r="W2279" s="77"/>
      <c r="X2279" s="91"/>
      <c r="Y2279" s="77"/>
      <c r="Z2279" s="5"/>
      <c r="AA2279" s="5"/>
      <c r="AB2279" s="5"/>
      <c r="AC2279" s="5"/>
      <c r="AD2279" s="5"/>
      <c r="AE2279" s="5"/>
      <c r="AF2279" s="5"/>
      <c r="AG2279" s="5"/>
      <c r="AH2279" s="6"/>
      <c r="AI2279" s="92"/>
      <c r="AJ2279" s="93"/>
      <c r="AK2279" s="94"/>
      <c r="AL2279" s="95"/>
      <c r="AM2279" s="56"/>
      <c r="AN2279" s="57">
        <f t="shared" si="363"/>
        <v>0</v>
      </c>
      <c r="AO2279" s="76">
        <f t="shared" si="365"/>
        <v>0</v>
      </c>
      <c r="AP2279" s="63" t="str">
        <f t="shared" si="366"/>
        <v/>
      </c>
      <c r="AQ2279" s="63" t="str">
        <f t="shared" si="367"/>
        <v/>
      </c>
      <c r="AR2279" s="63" t="str">
        <f t="shared" si="368"/>
        <v/>
      </c>
      <c r="AS2279" s="63" t="str">
        <f t="shared" si="369"/>
        <v/>
      </c>
      <c r="AT2279" s="78" t="str">
        <f t="shared" si="370"/>
        <v/>
      </c>
      <c r="AU2279" s="78" t="str">
        <f t="shared" si="371"/>
        <v/>
      </c>
      <c r="AV2279" s="64" t="str">
        <f ca="1">IFERROR(__xludf.DUMMYFUNCTION("IF(TRIM(AU2279)="""","""",AU2279/INDEX(FILTER(AT$3:AT2279,TRIM(AT$3:AT2279)&lt;&gt;""""),ROWS(FILTER(AT$3:AT2279,TRIM(AT$3:AT2279)&lt;&gt;"""")))-1)"),"")</f>
        <v/>
      </c>
      <c r="AW2279" s="65" t="e">
        <f t="shared" ca="1" si="364"/>
        <v>#VALUE!</v>
      </c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</row>
    <row r="2280" spans="1:68" ht="19" x14ac:dyDescent="0.25">
      <c r="A2280" s="5"/>
      <c r="B2280" s="5"/>
      <c r="C2280" s="5"/>
      <c r="D2280" s="5"/>
      <c r="E2280" s="5"/>
      <c r="F2280" s="5"/>
      <c r="G2280" s="5"/>
      <c r="H2280" s="6"/>
      <c r="I2280" s="5"/>
      <c r="J2280" s="88"/>
      <c r="K2280" s="88"/>
      <c r="L2280" s="88"/>
      <c r="M2280" s="88"/>
      <c r="N2280" s="88"/>
      <c r="O2280" s="88"/>
      <c r="P2280" s="88"/>
      <c r="Q2280" s="89"/>
      <c r="R2280" s="88"/>
      <c r="S2280" s="88"/>
      <c r="T2280" s="90"/>
      <c r="U2280" s="6"/>
      <c r="V2280" s="92"/>
      <c r="W2280" s="77"/>
      <c r="X2280" s="91"/>
      <c r="Y2280" s="77"/>
      <c r="Z2280" s="5"/>
      <c r="AA2280" s="5"/>
      <c r="AB2280" s="5"/>
      <c r="AC2280" s="5"/>
      <c r="AD2280" s="5"/>
      <c r="AE2280" s="5"/>
      <c r="AF2280" s="5"/>
      <c r="AG2280" s="5"/>
      <c r="AH2280" s="6"/>
      <c r="AI2280" s="92"/>
      <c r="AJ2280" s="93"/>
      <c r="AK2280" s="94"/>
      <c r="AL2280" s="95"/>
      <c r="AM2280" s="56"/>
      <c r="AN2280" s="57">
        <f t="shared" si="363"/>
        <v>0</v>
      </c>
      <c r="AO2280" s="76">
        <f t="shared" si="365"/>
        <v>0</v>
      </c>
      <c r="AP2280" s="63" t="str">
        <f t="shared" si="366"/>
        <v/>
      </c>
      <c r="AQ2280" s="63" t="str">
        <f t="shared" si="367"/>
        <v/>
      </c>
      <c r="AR2280" s="63" t="str">
        <f t="shared" si="368"/>
        <v/>
      </c>
      <c r="AS2280" s="63" t="str">
        <f t="shared" si="369"/>
        <v/>
      </c>
      <c r="AT2280" s="78" t="str">
        <f t="shared" si="370"/>
        <v/>
      </c>
      <c r="AU2280" s="78" t="str">
        <f t="shared" si="371"/>
        <v/>
      </c>
      <c r="AV2280" s="64" t="str">
        <f ca="1">IFERROR(__xludf.DUMMYFUNCTION("IF(TRIM(AU2280)="""","""",AU2280/INDEX(FILTER(AT$3:AT2280,TRIM(AT$3:AT2280)&lt;&gt;""""),ROWS(FILTER(AT$3:AT2280,TRIM(AT$3:AT2280)&lt;&gt;"""")))-1)"),"")</f>
        <v/>
      </c>
      <c r="AW2280" s="65" t="e">
        <f t="shared" ca="1" si="364"/>
        <v>#VALUE!</v>
      </c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</row>
    <row r="2281" spans="1:68" ht="19" x14ac:dyDescent="0.25">
      <c r="A2281" s="5"/>
      <c r="B2281" s="5"/>
      <c r="C2281" s="5"/>
      <c r="D2281" s="5"/>
      <c r="E2281" s="5"/>
      <c r="F2281" s="5"/>
      <c r="G2281" s="5"/>
      <c r="H2281" s="6"/>
      <c r="I2281" s="5"/>
      <c r="J2281" s="88"/>
      <c r="K2281" s="88"/>
      <c r="L2281" s="88"/>
      <c r="M2281" s="88"/>
      <c r="N2281" s="88"/>
      <c r="O2281" s="88"/>
      <c r="P2281" s="88"/>
      <c r="Q2281" s="89"/>
      <c r="R2281" s="88"/>
      <c r="S2281" s="88"/>
      <c r="T2281" s="90"/>
      <c r="U2281" s="6"/>
      <c r="V2281" s="92"/>
      <c r="W2281" s="77"/>
      <c r="X2281" s="91"/>
      <c r="Y2281" s="77"/>
      <c r="Z2281" s="5"/>
      <c r="AA2281" s="5"/>
      <c r="AB2281" s="5"/>
      <c r="AC2281" s="5"/>
      <c r="AD2281" s="5"/>
      <c r="AE2281" s="5"/>
      <c r="AF2281" s="5"/>
      <c r="AG2281" s="5"/>
      <c r="AH2281" s="6"/>
      <c r="AI2281" s="92"/>
      <c r="AJ2281" s="93"/>
      <c r="AK2281" s="94"/>
      <c r="AL2281" s="95"/>
      <c r="AM2281" s="56"/>
      <c r="AN2281" s="57">
        <f t="shared" si="363"/>
        <v>0</v>
      </c>
      <c r="AO2281" s="76">
        <f t="shared" si="365"/>
        <v>0</v>
      </c>
      <c r="AP2281" s="63" t="str">
        <f t="shared" si="366"/>
        <v/>
      </c>
      <c r="AQ2281" s="63" t="str">
        <f t="shared" si="367"/>
        <v/>
      </c>
      <c r="AR2281" s="63" t="str">
        <f t="shared" si="368"/>
        <v/>
      </c>
      <c r="AS2281" s="63" t="str">
        <f t="shared" si="369"/>
        <v/>
      </c>
      <c r="AT2281" s="78" t="str">
        <f t="shared" si="370"/>
        <v/>
      </c>
      <c r="AU2281" s="78" t="str">
        <f t="shared" si="371"/>
        <v/>
      </c>
      <c r="AV2281" s="64" t="str">
        <f ca="1">IFERROR(__xludf.DUMMYFUNCTION("IF(TRIM(AU2281)="""","""",AU2281/INDEX(FILTER(AT$3:AT2281,TRIM(AT$3:AT2281)&lt;&gt;""""),ROWS(FILTER(AT$3:AT2281,TRIM(AT$3:AT2281)&lt;&gt;"""")))-1)"),"")</f>
        <v/>
      </c>
      <c r="AW2281" s="65" t="e">
        <f t="shared" ca="1" si="364"/>
        <v>#VALUE!</v>
      </c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</row>
    <row r="2282" spans="1:68" ht="19" x14ac:dyDescent="0.25">
      <c r="A2282" s="5"/>
      <c r="B2282" s="5"/>
      <c r="C2282" s="5"/>
      <c r="D2282" s="5"/>
      <c r="E2282" s="5"/>
      <c r="F2282" s="5"/>
      <c r="G2282" s="5"/>
      <c r="H2282" s="6"/>
      <c r="I2282" s="5"/>
      <c r="J2282" s="88"/>
      <c r="K2282" s="88"/>
      <c r="L2282" s="88"/>
      <c r="M2282" s="88"/>
      <c r="N2282" s="88"/>
      <c r="O2282" s="88"/>
      <c r="P2282" s="88"/>
      <c r="Q2282" s="89"/>
      <c r="R2282" s="88"/>
      <c r="S2282" s="88"/>
      <c r="T2282" s="90"/>
      <c r="U2282" s="6"/>
      <c r="V2282" s="92"/>
      <c r="W2282" s="77"/>
      <c r="X2282" s="91"/>
      <c r="Y2282" s="77"/>
      <c r="Z2282" s="5"/>
      <c r="AA2282" s="5"/>
      <c r="AB2282" s="5"/>
      <c r="AC2282" s="5"/>
      <c r="AD2282" s="5"/>
      <c r="AE2282" s="5"/>
      <c r="AF2282" s="5"/>
      <c r="AG2282" s="5"/>
      <c r="AH2282" s="6"/>
      <c r="AI2282" s="92"/>
      <c r="AJ2282" s="93"/>
      <c r="AK2282" s="94"/>
      <c r="AL2282" s="95"/>
      <c r="AM2282" s="56"/>
      <c r="AN2282" s="57">
        <f t="shared" si="363"/>
        <v>0</v>
      </c>
      <c r="AO2282" s="76">
        <f t="shared" si="365"/>
        <v>0</v>
      </c>
      <c r="AP2282" s="63" t="str">
        <f t="shared" si="366"/>
        <v/>
      </c>
      <c r="AQ2282" s="63" t="str">
        <f t="shared" si="367"/>
        <v/>
      </c>
      <c r="AR2282" s="63" t="str">
        <f t="shared" si="368"/>
        <v/>
      </c>
      <c r="AS2282" s="63" t="str">
        <f t="shared" si="369"/>
        <v/>
      </c>
      <c r="AT2282" s="78" t="str">
        <f t="shared" si="370"/>
        <v/>
      </c>
      <c r="AU2282" s="78" t="str">
        <f t="shared" si="371"/>
        <v/>
      </c>
      <c r="AV2282" s="64" t="str">
        <f ca="1">IFERROR(__xludf.DUMMYFUNCTION("IF(TRIM(AU2282)="""","""",AU2282/INDEX(FILTER(AT$3:AT2282,TRIM(AT$3:AT2282)&lt;&gt;""""),ROWS(FILTER(AT$3:AT2282,TRIM(AT$3:AT2282)&lt;&gt;"""")))-1)"),"")</f>
        <v/>
      </c>
      <c r="AW2282" s="65" t="e">
        <f t="shared" ca="1" si="364"/>
        <v>#VALUE!</v>
      </c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</row>
    <row r="2283" spans="1:68" ht="19" x14ac:dyDescent="0.25">
      <c r="A2283" s="5"/>
      <c r="B2283" s="5"/>
      <c r="C2283" s="5"/>
      <c r="D2283" s="5"/>
      <c r="E2283" s="5"/>
      <c r="F2283" s="5"/>
      <c r="G2283" s="5"/>
      <c r="H2283" s="6"/>
      <c r="I2283" s="5"/>
      <c r="J2283" s="88"/>
      <c r="K2283" s="88"/>
      <c r="L2283" s="88"/>
      <c r="M2283" s="88"/>
      <c r="N2283" s="88"/>
      <c r="O2283" s="88"/>
      <c r="P2283" s="88"/>
      <c r="Q2283" s="89"/>
      <c r="R2283" s="88"/>
      <c r="S2283" s="88"/>
      <c r="T2283" s="90"/>
      <c r="U2283" s="6"/>
      <c r="V2283" s="92"/>
      <c r="W2283" s="77"/>
      <c r="X2283" s="91"/>
      <c r="Y2283" s="77"/>
      <c r="Z2283" s="5"/>
      <c r="AA2283" s="5"/>
      <c r="AB2283" s="5"/>
      <c r="AC2283" s="5"/>
      <c r="AD2283" s="5"/>
      <c r="AE2283" s="5"/>
      <c r="AF2283" s="5"/>
      <c r="AG2283" s="5"/>
      <c r="AH2283" s="6"/>
      <c r="AI2283" s="92"/>
      <c r="AJ2283" s="93"/>
      <c r="AK2283" s="94"/>
      <c r="AL2283" s="95"/>
      <c r="AM2283" s="56"/>
      <c r="AN2283" s="57">
        <f t="shared" si="363"/>
        <v>0</v>
      </c>
      <c r="AO2283" s="76">
        <f t="shared" si="365"/>
        <v>0</v>
      </c>
      <c r="AP2283" s="63" t="str">
        <f t="shared" si="366"/>
        <v/>
      </c>
      <c r="AQ2283" s="63" t="str">
        <f t="shared" si="367"/>
        <v/>
      </c>
      <c r="AR2283" s="63" t="str">
        <f t="shared" si="368"/>
        <v/>
      </c>
      <c r="AS2283" s="63" t="str">
        <f t="shared" si="369"/>
        <v/>
      </c>
      <c r="AT2283" s="78" t="str">
        <f t="shared" si="370"/>
        <v/>
      </c>
      <c r="AU2283" s="78" t="str">
        <f t="shared" si="371"/>
        <v/>
      </c>
      <c r="AV2283" s="64" t="str">
        <f ca="1">IFERROR(__xludf.DUMMYFUNCTION("IF(TRIM(AU2283)="""","""",AU2283/INDEX(FILTER(AT$3:AT2283,TRIM(AT$3:AT2283)&lt;&gt;""""),ROWS(FILTER(AT$3:AT2283,TRIM(AT$3:AT2283)&lt;&gt;"""")))-1)"),"")</f>
        <v/>
      </c>
      <c r="AW2283" s="65" t="e">
        <f t="shared" ca="1" si="364"/>
        <v>#VALUE!</v>
      </c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</row>
    <row r="2284" spans="1:68" ht="19" x14ac:dyDescent="0.25">
      <c r="A2284" s="5"/>
      <c r="B2284" s="5"/>
      <c r="C2284" s="5"/>
      <c r="D2284" s="5"/>
      <c r="E2284" s="5"/>
      <c r="F2284" s="5"/>
      <c r="G2284" s="5"/>
      <c r="H2284" s="6"/>
      <c r="I2284" s="5"/>
      <c r="J2284" s="88"/>
      <c r="K2284" s="88"/>
      <c r="L2284" s="88"/>
      <c r="M2284" s="88"/>
      <c r="N2284" s="88"/>
      <c r="O2284" s="88"/>
      <c r="P2284" s="88"/>
      <c r="Q2284" s="89"/>
      <c r="R2284" s="88"/>
      <c r="S2284" s="88"/>
      <c r="T2284" s="90"/>
      <c r="U2284" s="6"/>
      <c r="V2284" s="92"/>
      <c r="W2284" s="77"/>
      <c r="X2284" s="91"/>
      <c r="Y2284" s="77"/>
      <c r="Z2284" s="5"/>
      <c r="AA2284" s="5"/>
      <c r="AB2284" s="5"/>
      <c r="AC2284" s="5"/>
      <c r="AD2284" s="5"/>
      <c r="AE2284" s="5"/>
      <c r="AF2284" s="5"/>
      <c r="AG2284" s="5"/>
      <c r="AH2284" s="6"/>
      <c r="AI2284" s="92"/>
      <c r="AJ2284" s="93"/>
      <c r="AK2284" s="94"/>
      <c r="AL2284" s="95"/>
      <c r="AM2284" s="56"/>
      <c r="AN2284" s="57">
        <f t="shared" si="363"/>
        <v>0</v>
      </c>
      <c r="AO2284" s="76">
        <f t="shared" si="365"/>
        <v>0</v>
      </c>
      <c r="AP2284" s="63" t="str">
        <f t="shared" si="366"/>
        <v/>
      </c>
      <c r="AQ2284" s="63" t="str">
        <f t="shared" si="367"/>
        <v/>
      </c>
      <c r="AR2284" s="63" t="str">
        <f t="shared" si="368"/>
        <v/>
      </c>
      <c r="AS2284" s="63" t="str">
        <f t="shared" si="369"/>
        <v/>
      </c>
      <c r="AT2284" s="78" t="str">
        <f t="shared" si="370"/>
        <v/>
      </c>
      <c r="AU2284" s="78" t="str">
        <f t="shared" si="371"/>
        <v/>
      </c>
      <c r="AV2284" s="64" t="str">
        <f ca="1">IFERROR(__xludf.DUMMYFUNCTION("IF(TRIM(AU2284)="""","""",AU2284/INDEX(FILTER(AT$3:AT2284,TRIM(AT$3:AT2284)&lt;&gt;""""),ROWS(FILTER(AT$3:AT2284,TRIM(AT$3:AT2284)&lt;&gt;"""")))-1)"),"")</f>
        <v/>
      </c>
      <c r="AW2284" s="65" t="e">
        <f t="shared" ca="1" si="364"/>
        <v>#VALUE!</v>
      </c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</row>
    <row r="2285" spans="1:68" ht="19" x14ac:dyDescent="0.25">
      <c r="A2285" s="5"/>
      <c r="B2285" s="5"/>
      <c r="C2285" s="5"/>
      <c r="D2285" s="5"/>
      <c r="E2285" s="5"/>
      <c r="F2285" s="5"/>
      <c r="G2285" s="5"/>
      <c r="H2285" s="6"/>
      <c r="I2285" s="5"/>
      <c r="J2285" s="88"/>
      <c r="K2285" s="88"/>
      <c r="L2285" s="88"/>
      <c r="M2285" s="88"/>
      <c r="N2285" s="88"/>
      <c r="O2285" s="88"/>
      <c r="P2285" s="88"/>
      <c r="Q2285" s="89"/>
      <c r="R2285" s="88"/>
      <c r="S2285" s="88"/>
      <c r="T2285" s="90"/>
      <c r="U2285" s="6"/>
      <c r="V2285" s="92"/>
      <c r="W2285" s="77"/>
      <c r="X2285" s="91"/>
      <c r="Y2285" s="77"/>
      <c r="Z2285" s="5"/>
      <c r="AA2285" s="5"/>
      <c r="AB2285" s="5"/>
      <c r="AC2285" s="5"/>
      <c r="AD2285" s="5"/>
      <c r="AE2285" s="5"/>
      <c r="AF2285" s="5"/>
      <c r="AG2285" s="5"/>
      <c r="AH2285" s="6"/>
      <c r="AI2285" s="92"/>
      <c r="AJ2285" s="93"/>
      <c r="AK2285" s="94"/>
      <c r="AL2285" s="95"/>
      <c r="AM2285" s="56"/>
      <c r="AN2285" s="57">
        <f t="shared" si="363"/>
        <v>0</v>
      </c>
      <c r="AO2285" s="76">
        <f t="shared" si="365"/>
        <v>0</v>
      </c>
      <c r="AP2285" s="63" t="str">
        <f t="shared" si="366"/>
        <v/>
      </c>
      <c r="AQ2285" s="63" t="str">
        <f t="shared" si="367"/>
        <v/>
      </c>
      <c r="AR2285" s="63" t="str">
        <f t="shared" si="368"/>
        <v/>
      </c>
      <c r="AS2285" s="63" t="str">
        <f t="shared" si="369"/>
        <v/>
      </c>
      <c r="AT2285" s="78" t="str">
        <f t="shared" si="370"/>
        <v/>
      </c>
      <c r="AU2285" s="78" t="str">
        <f t="shared" si="371"/>
        <v/>
      </c>
      <c r="AV2285" s="64" t="str">
        <f ca="1">IFERROR(__xludf.DUMMYFUNCTION("IF(TRIM(AU2285)="""","""",AU2285/INDEX(FILTER(AT$3:AT2285,TRIM(AT$3:AT2285)&lt;&gt;""""),ROWS(FILTER(AT$3:AT2285,TRIM(AT$3:AT2285)&lt;&gt;"""")))-1)"),"")</f>
        <v/>
      </c>
      <c r="AW2285" s="65" t="e">
        <f t="shared" ca="1" si="364"/>
        <v>#VALUE!</v>
      </c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</row>
    <row r="2286" spans="1:68" ht="19" x14ac:dyDescent="0.25">
      <c r="A2286" s="5"/>
      <c r="B2286" s="5"/>
      <c r="C2286" s="5"/>
      <c r="D2286" s="5"/>
      <c r="E2286" s="5"/>
      <c r="F2286" s="5"/>
      <c r="G2286" s="5"/>
      <c r="H2286" s="6"/>
      <c r="I2286" s="5"/>
      <c r="J2286" s="88"/>
      <c r="K2286" s="88"/>
      <c r="L2286" s="88"/>
      <c r="M2286" s="88"/>
      <c r="N2286" s="88"/>
      <c r="O2286" s="88"/>
      <c r="P2286" s="88"/>
      <c r="Q2286" s="89"/>
      <c r="R2286" s="88"/>
      <c r="S2286" s="88"/>
      <c r="T2286" s="90"/>
      <c r="U2286" s="6"/>
      <c r="V2286" s="92"/>
      <c r="W2286" s="77"/>
      <c r="X2286" s="91"/>
      <c r="Y2286" s="77"/>
      <c r="Z2286" s="5"/>
      <c r="AA2286" s="5"/>
      <c r="AB2286" s="5"/>
      <c r="AC2286" s="5"/>
      <c r="AD2286" s="5"/>
      <c r="AE2286" s="5"/>
      <c r="AF2286" s="5"/>
      <c r="AG2286" s="5"/>
      <c r="AH2286" s="6"/>
      <c r="AI2286" s="92"/>
      <c r="AJ2286" s="93"/>
      <c r="AK2286" s="94"/>
      <c r="AL2286" s="95"/>
      <c r="AM2286" s="56"/>
      <c r="AN2286" s="57">
        <f t="shared" si="363"/>
        <v>0</v>
      </c>
      <c r="AO2286" s="76">
        <f t="shared" si="365"/>
        <v>0</v>
      </c>
      <c r="AP2286" s="63" t="str">
        <f t="shared" si="366"/>
        <v/>
      </c>
      <c r="AQ2286" s="63" t="str">
        <f t="shared" si="367"/>
        <v/>
      </c>
      <c r="AR2286" s="63" t="str">
        <f t="shared" si="368"/>
        <v/>
      </c>
      <c r="AS2286" s="63" t="str">
        <f t="shared" si="369"/>
        <v/>
      </c>
      <c r="AT2286" s="78" t="str">
        <f t="shared" si="370"/>
        <v/>
      </c>
      <c r="AU2286" s="78" t="str">
        <f t="shared" si="371"/>
        <v/>
      </c>
      <c r="AV2286" s="64" t="str">
        <f ca="1">IFERROR(__xludf.DUMMYFUNCTION("IF(TRIM(AU2286)="""","""",AU2286/INDEX(FILTER(AT$3:AT2286,TRIM(AT$3:AT2286)&lt;&gt;""""),ROWS(FILTER(AT$3:AT2286,TRIM(AT$3:AT2286)&lt;&gt;"""")))-1)"),"")</f>
        <v/>
      </c>
      <c r="AW2286" s="65" t="e">
        <f t="shared" ca="1" si="364"/>
        <v>#VALUE!</v>
      </c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</row>
    <row r="2287" spans="1:68" ht="19" x14ac:dyDescent="0.25">
      <c r="A2287" s="5"/>
      <c r="B2287" s="5"/>
      <c r="C2287" s="5"/>
      <c r="D2287" s="5"/>
      <c r="E2287" s="5"/>
      <c r="F2287" s="5"/>
      <c r="G2287" s="5"/>
      <c r="H2287" s="6"/>
      <c r="I2287" s="5"/>
      <c r="J2287" s="88"/>
      <c r="K2287" s="88"/>
      <c r="L2287" s="88"/>
      <c r="M2287" s="88"/>
      <c r="N2287" s="88"/>
      <c r="O2287" s="88"/>
      <c r="P2287" s="88"/>
      <c r="Q2287" s="89"/>
      <c r="R2287" s="88"/>
      <c r="S2287" s="88"/>
      <c r="T2287" s="90"/>
      <c r="U2287" s="6"/>
      <c r="V2287" s="92"/>
      <c r="W2287" s="77"/>
      <c r="X2287" s="91"/>
      <c r="Y2287" s="77"/>
      <c r="Z2287" s="5"/>
      <c r="AA2287" s="5"/>
      <c r="AB2287" s="5"/>
      <c r="AC2287" s="5"/>
      <c r="AD2287" s="5"/>
      <c r="AE2287" s="5"/>
      <c r="AF2287" s="5"/>
      <c r="AG2287" s="5"/>
      <c r="AH2287" s="6"/>
      <c r="AI2287" s="92"/>
      <c r="AJ2287" s="93"/>
      <c r="AK2287" s="94"/>
      <c r="AL2287" s="95"/>
      <c r="AM2287" s="56"/>
      <c r="AN2287" s="57">
        <f t="shared" si="363"/>
        <v>0</v>
      </c>
      <c r="AO2287" s="76">
        <f t="shared" si="365"/>
        <v>0</v>
      </c>
      <c r="AP2287" s="63" t="str">
        <f t="shared" si="366"/>
        <v/>
      </c>
      <c r="AQ2287" s="63" t="str">
        <f t="shared" si="367"/>
        <v/>
      </c>
      <c r="AR2287" s="63" t="str">
        <f t="shared" si="368"/>
        <v/>
      </c>
      <c r="AS2287" s="63" t="str">
        <f t="shared" si="369"/>
        <v/>
      </c>
      <c r="AT2287" s="78" t="str">
        <f t="shared" si="370"/>
        <v/>
      </c>
      <c r="AU2287" s="78" t="str">
        <f t="shared" si="371"/>
        <v/>
      </c>
      <c r="AV2287" s="64" t="str">
        <f ca="1">IFERROR(__xludf.DUMMYFUNCTION("IF(TRIM(AU2287)="""","""",AU2287/INDEX(FILTER(AT$3:AT2287,TRIM(AT$3:AT2287)&lt;&gt;""""),ROWS(FILTER(AT$3:AT2287,TRIM(AT$3:AT2287)&lt;&gt;"""")))-1)"),"")</f>
        <v/>
      </c>
      <c r="AW2287" s="65" t="e">
        <f t="shared" ca="1" si="364"/>
        <v>#VALUE!</v>
      </c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</row>
    <row r="2288" spans="1:68" ht="19" x14ac:dyDescent="0.25">
      <c r="A2288" s="5"/>
      <c r="B2288" s="5"/>
      <c r="C2288" s="5"/>
      <c r="D2288" s="5"/>
      <c r="E2288" s="5"/>
      <c r="F2288" s="5"/>
      <c r="G2288" s="5"/>
      <c r="H2288" s="6"/>
      <c r="I2288" s="5"/>
      <c r="J2288" s="88"/>
      <c r="K2288" s="88"/>
      <c r="L2288" s="88"/>
      <c r="M2288" s="88"/>
      <c r="N2288" s="88"/>
      <c r="O2288" s="88"/>
      <c r="P2288" s="88"/>
      <c r="Q2288" s="89"/>
      <c r="R2288" s="88"/>
      <c r="S2288" s="88"/>
      <c r="T2288" s="90"/>
      <c r="U2288" s="6"/>
      <c r="V2288" s="92"/>
      <c r="W2288" s="77"/>
      <c r="X2288" s="91"/>
      <c r="Y2288" s="77"/>
      <c r="Z2288" s="5"/>
      <c r="AA2288" s="5"/>
      <c r="AB2288" s="5"/>
      <c r="AC2288" s="5"/>
      <c r="AD2288" s="5"/>
      <c r="AE2288" s="5"/>
      <c r="AF2288" s="5"/>
      <c r="AG2288" s="5"/>
      <c r="AH2288" s="6"/>
      <c r="AI2288" s="92"/>
      <c r="AJ2288" s="93"/>
      <c r="AK2288" s="94"/>
      <c r="AL2288" s="95"/>
      <c r="AM2288" s="56"/>
      <c r="AN2288" s="57">
        <f t="shared" si="363"/>
        <v>0</v>
      </c>
      <c r="AO2288" s="76">
        <f t="shared" si="365"/>
        <v>0</v>
      </c>
      <c r="AP2288" s="63" t="str">
        <f t="shared" si="366"/>
        <v/>
      </c>
      <c r="AQ2288" s="63" t="str">
        <f t="shared" si="367"/>
        <v/>
      </c>
      <c r="AR2288" s="63" t="str">
        <f t="shared" si="368"/>
        <v/>
      </c>
      <c r="AS2288" s="63" t="str">
        <f t="shared" si="369"/>
        <v/>
      </c>
      <c r="AT2288" s="78" t="str">
        <f t="shared" si="370"/>
        <v/>
      </c>
      <c r="AU2288" s="78" t="str">
        <f t="shared" si="371"/>
        <v/>
      </c>
      <c r="AV2288" s="64" t="str">
        <f ca="1">IFERROR(__xludf.DUMMYFUNCTION("IF(TRIM(AU2288)="""","""",AU2288/INDEX(FILTER(AT$3:AT2288,TRIM(AT$3:AT2288)&lt;&gt;""""),ROWS(FILTER(AT$3:AT2288,TRIM(AT$3:AT2288)&lt;&gt;"""")))-1)"),"")</f>
        <v/>
      </c>
      <c r="AW2288" s="65" t="e">
        <f t="shared" ca="1" si="364"/>
        <v>#VALUE!</v>
      </c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</row>
    <row r="2289" spans="1:68" ht="19" x14ac:dyDescent="0.25">
      <c r="A2289" s="5"/>
      <c r="B2289" s="5"/>
      <c r="C2289" s="5"/>
      <c r="D2289" s="5"/>
      <c r="E2289" s="5"/>
      <c r="F2289" s="5"/>
      <c r="G2289" s="5"/>
      <c r="H2289" s="6"/>
      <c r="I2289" s="5"/>
      <c r="J2289" s="88"/>
      <c r="K2289" s="88"/>
      <c r="L2289" s="88"/>
      <c r="M2289" s="88"/>
      <c r="N2289" s="88"/>
      <c r="O2289" s="88"/>
      <c r="P2289" s="88"/>
      <c r="Q2289" s="89"/>
      <c r="R2289" s="88"/>
      <c r="S2289" s="88"/>
      <c r="T2289" s="90"/>
      <c r="U2289" s="6"/>
      <c r="V2289" s="92"/>
      <c r="W2289" s="77"/>
      <c r="X2289" s="91"/>
      <c r="Y2289" s="77"/>
      <c r="Z2289" s="5"/>
      <c r="AA2289" s="5"/>
      <c r="AB2289" s="5"/>
      <c r="AC2289" s="5"/>
      <c r="AD2289" s="5"/>
      <c r="AE2289" s="5"/>
      <c r="AF2289" s="5"/>
      <c r="AG2289" s="5"/>
      <c r="AH2289" s="6"/>
      <c r="AI2289" s="92"/>
      <c r="AJ2289" s="93"/>
      <c r="AK2289" s="94"/>
      <c r="AL2289" s="95"/>
      <c r="AM2289" s="56"/>
      <c r="AN2289" s="57">
        <f t="shared" si="363"/>
        <v>0</v>
      </c>
      <c r="AO2289" s="76">
        <f t="shared" si="365"/>
        <v>0</v>
      </c>
      <c r="AP2289" s="63" t="str">
        <f t="shared" si="366"/>
        <v/>
      </c>
      <c r="AQ2289" s="63" t="str">
        <f t="shared" si="367"/>
        <v/>
      </c>
      <c r="AR2289" s="63" t="str">
        <f t="shared" si="368"/>
        <v/>
      </c>
      <c r="AS2289" s="63" t="str">
        <f t="shared" si="369"/>
        <v/>
      </c>
      <c r="AT2289" s="78" t="str">
        <f t="shared" si="370"/>
        <v/>
      </c>
      <c r="AU2289" s="78" t="str">
        <f t="shared" si="371"/>
        <v/>
      </c>
      <c r="AV2289" s="64" t="str">
        <f ca="1">IFERROR(__xludf.DUMMYFUNCTION("IF(TRIM(AU2289)="""","""",AU2289/INDEX(FILTER(AT$3:AT2289,TRIM(AT$3:AT2289)&lt;&gt;""""),ROWS(FILTER(AT$3:AT2289,TRIM(AT$3:AT2289)&lt;&gt;"""")))-1)"),"")</f>
        <v/>
      </c>
      <c r="AW2289" s="65" t="e">
        <f t="shared" ca="1" si="364"/>
        <v>#VALUE!</v>
      </c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</row>
    <row r="2290" spans="1:68" ht="19" x14ac:dyDescent="0.25">
      <c r="A2290" s="5"/>
      <c r="B2290" s="5"/>
      <c r="C2290" s="5"/>
      <c r="D2290" s="5"/>
      <c r="E2290" s="5"/>
      <c r="F2290" s="5"/>
      <c r="G2290" s="5"/>
      <c r="H2290" s="6"/>
      <c r="I2290" s="5"/>
      <c r="J2290" s="88"/>
      <c r="K2290" s="88"/>
      <c r="L2290" s="88"/>
      <c r="M2290" s="88"/>
      <c r="N2290" s="88"/>
      <c r="O2290" s="88"/>
      <c r="P2290" s="88"/>
      <c r="Q2290" s="89"/>
      <c r="R2290" s="88"/>
      <c r="S2290" s="88"/>
      <c r="T2290" s="90"/>
      <c r="U2290" s="6"/>
      <c r="V2290" s="92"/>
      <c r="W2290" s="77"/>
      <c r="X2290" s="91"/>
      <c r="Y2290" s="77"/>
      <c r="Z2290" s="5"/>
      <c r="AA2290" s="5"/>
      <c r="AB2290" s="5"/>
      <c r="AC2290" s="5"/>
      <c r="AD2290" s="5"/>
      <c r="AE2290" s="5"/>
      <c r="AF2290" s="5"/>
      <c r="AG2290" s="5"/>
      <c r="AH2290" s="6"/>
      <c r="AI2290" s="92"/>
      <c r="AJ2290" s="93"/>
      <c r="AK2290" s="94"/>
      <c r="AL2290" s="95"/>
      <c r="AM2290" s="56"/>
      <c r="AN2290" s="57">
        <f t="shared" si="363"/>
        <v>0</v>
      </c>
      <c r="AO2290" s="76">
        <f t="shared" si="365"/>
        <v>0</v>
      </c>
      <c r="AP2290" s="63" t="str">
        <f t="shared" si="366"/>
        <v/>
      </c>
      <c r="AQ2290" s="63" t="str">
        <f t="shared" si="367"/>
        <v/>
      </c>
      <c r="AR2290" s="63" t="str">
        <f t="shared" si="368"/>
        <v/>
      </c>
      <c r="AS2290" s="63" t="str">
        <f t="shared" si="369"/>
        <v/>
      </c>
      <c r="AT2290" s="78" t="str">
        <f t="shared" si="370"/>
        <v/>
      </c>
      <c r="AU2290" s="78" t="str">
        <f t="shared" si="371"/>
        <v/>
      </c>
      <c r="AV2290" s="64" t="str">
        <f ca="1">IFERROR(__xludf.DUMMYFUNCTION("IF(TRIM(AU2290)="""","""",AU2290/INDEX(FILTER(AT$3:AT2290,TRIM(AT$3:AT2290)&lt;&gt;""""),ROWS(FILTER(AT$3:AT2290,TRIM(AT$3:AT2290)&lt;&gt;"""")))-1)"),"")</f>
        <v/>
      </c>
      <c r="AW2290" s="65" t="e">
        <f t="shared" ca="1" si="364"/>
        <v>#VALUE!</v>
      </c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</row>
    <row r="2291" spans="1:68" ht="19" x14ac:dyDescent="0.25">
      <c r="A2291" s="5"/>
      <c r="B2291" s="5"/>
      <c r="C2291" s="5"/>
      <c r="D2291" s="5"/>
      <c r="E2291" s="5"/>
      <c r="F2291" s="5"/>
      <c r="G2291" s="5"/>
      <c r="H2291" s="6"/>
      <c r="I2291" s="5"/>
      <c r="J2291" s="88"/>
      <c r="K2291" s="88"/>
      <c r="L2291" s="88"/>
      <c r="M2291" s="88"/>
      <c r="N2291" s="88"/>
      <c r="O2291" s="88"/>
      <c r="P2291" s="88"/>
      <c r="Q2291" s="89"/>
      <c r="R2291" s="88"/>
      <c r="S2291" s="88"/>
      <c r="T2291" s="90"/>
      <c r="U2291" s="6"/>
      <c r="V2291" s="92"/>
      <c r="W2291" s="77"/>
      <c r="X2291" s="91"/>
      <c r="Y2291" s="77"/>
      <c r="Z2291" s="5"/>
      <c r="AA2291" s="5"/>
      <c r="AB2291" s="5"/>
      <c r="AC2291" s="5"/>
      <c r="AD2291" s="5"/>
      <c r="AE2291" s="5"/>
      <c r="AF2291" s="5"/>
      <c r="AG2291" s="5"/>
      <c r="AH2291" s="6"/>
      <c r="AI2291" s="92"/>
      <c r="AJ2291" s="93"/>
      <c r="AK2291" s="94"/>
      <c r="AL2291" s="95"/>
      <c r="AM2291" s="56"/>
      <c r="AN2291" s="57">
        <f t="shared" si="363"/>
        <v>0</v>
      </c>
      <c r="AO2291" s="76">
        <f t="shared" si="365"/>
        <v>0</v>
      </c>
      <c r="AP2291" s="63" t="str">
        <f t="shared" si="366"/>
        <v/>
      </c>
      <c r="AQ2291" s="63" t="str">
        <f t="shared" si="367"/>
        <v/>
      </c>
      <c r="AR2291" s="63" t="str">
        <f t="shared" si="368"/>
        <v/>
      </c>
      <c r="AS2291" s="63" t="str">
        <f t="shared" si="369"/>
        <v/>
      </c>
      <c r="AT2291" s="78" t="str">
        <f t="shared" si="370"/>
        <v/>
      </c>
      <c r="AU2291" s="78" t="str">
        <f t="shared" si="371"/>
        <v/>
      </c>
      <c r="AV2291" s="64" t="str">
        <f ca="1">IFERROR(__xludf.DUMMYFUNCTION("IF(TRIM(AU2291)="""","""",AU2291/INDEX(FILTER(AT$3:AT2291,TRIM(AT$3:AT2291)&lt;&gt;""""),ROWS(FILTER(AT$3:AT2291,TRIM(AT$3:AT2291)&lt;&gt;"""")))-1)"),"")</f>
        <v/>
      </c>
      <c r="AW2291" s="65" t="e">
        <f t="shared" ca="1" si="364"/>
        <v>#VALUE!</v>
      </c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</row>
    <row r="2292" spans="1:68" ht="19" x14ac:dyDescent="0.25">
      <c r="A2292" s="5"/>
      <c r="B2292" s="5"/>
      <c r="C2292" s="5"/>
      <c r="D2292" s="5"/>
      <c r="E2292" s="5"/>
      <c r="F2292" s="5"/>
      <c r="G2292" s="5"/>
      <c r="H2292" s="6"/>
      <c r="I2292" s="5"/>
      <c r="J2292" s="88"/>
      <c r="K2292" s="88"/>
      <c r="L2292" s="88"/>
      <c r="M2292" s="88"/>
      <c r="N2292" s="88"/>
      <c r="O2292" s="88"/>
      <c r="P2292" s="88"/>
      <c r="Q2292" s="89"/>
      <c r="R2292" s="88"/>
      <c r="S2292" s="88"/>
      <c r="T2292" s="90"/>
      <c r="U2292" s="6"/>
      <c r="V2292" s="92"/>
      <c r="W2292" s="77"/>
      <c r="X2292" s="91"/>
      <c r="Y2292" s="77"/>
      <c r="Z2292" s="5"/>
      <c r="AA2292" s="5"/>
      <c r="AB2292" s="5"/>
      <c r="AC2292" s="5"/>
      <c r="AD2292" s="5"/>
      <c r="AE2292" s="5"/>
      <c r="AF2292" s="5"/>
      <c r="AG2292" s="5"/>
      <c r="AH2292" s="6"/>
      <c r="AI2292" s="92"/>
      <c r="AJ2292" s="93"/>
      <c r="AK2292" s="94"/>
      <c r="AL2292" s="95"/>
      <c r="AM2292" s="56"/>
      <c r="AN2292" s="57">
        <f t="shared" si="363"/>
        <v>0</v>
      </c>
      <c r="AO2292" s="76">
        <f t="shared" si="365"/>
        <v>0</v>
      </c>
      <c r="AP2292" s="63" t="str">
        <f t="shared" si="366"/>
        <v/>
      </c>
      <c r="AQ2292" s="63" t="str">
        <f t="shared" si="367"/>
        <v/>
      </c>
      <c r="AR2292" s="63" t="str">
        <f t="shared" si="368"/>
        <v/>
      </c>
      <c r="AS2292" s="63" t="str">
        <f t="shared" si="369"/>
        <v/>
      </c>
      <c r="AT2292" s="78" t="str">
        <f t="shared" si="370"/>
        <v/>
      </c>
      <c r="AU2292" s="78" t="str">
        <f t="shared" si="371"/>
        <v/>
      </c>
      <c r="AV2292" s="64" t="str">
        <f ca="1">IFERROR(__xludf.DUMMYFUNCTION("IF(TRIM(AU2292)="""","""",AU2292/INDEX(FILTER(AT$3:AT2292,TRIM(AT$3:AT2292)&lt;&gt;""""),ROWS(FILTER(AT$3:AT2292,TRIM(AT$3:AT2292)&lt;&gt;"""")))-1)"),"")</f>
        <v/>
      </c>
      <c r="AW2292" s="65" t="e">
        <f t="shared" ca="1" si="364"/>
        <v>#VALUE!</v>
      </c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</row>
    <row r="2293" spans="1:68" ht="19" x14ac:dyDescent="0.25">
      <c r="A2293" s="5"/>
      <c r="B2293" s="5"/>
      <c r="C2293" s="5"/>
      <c r="D2293" s="5"/>
      <c r="E2293" s="5"/>
      <c r="F2293" s="5"/>
      <c r="G2293" s="5"/>
      <c r="H2293" s="6"/>
      <c r="I2293" s="5"/>
      <c r="J2293" s="88"/>
      <c r="K2293" s="88"/>
      <c r="L2293" s="88"/>
      <c r="M2293" s="88"/>
      <c r="N2293" s="88"/>
      <c r="O2293" s="88"/>
      <c r="P2293" s="88"/>
      <c r="Q2293" s="89"/>
      <c r="R2293" s="88"/>
      <c r="S2293" s="88"/>
      <c r="T2293" s="90"/>
      <c r="U2293" s="6"/>
      <c r="V2293" s="92"/>
      <c r="W2293" s="77"/>
      <c r="X2293" s="91"/>
      <c r="Y2293" s="77"/>
      <c r="Z2293" s="5"/>
      <c r="AA2293" s="5"/>
      <c r="AB2293" s="5"/>
      <c r="AC2293" s="5"/>
      <c r="AD2293" s="5"/>
      <c r="AE2293" s="5"/>
      <c r="AF2293" s="5"/>
      <c r="AG2293" s="5"/>
      <c r="AH2293" s="6"/>
      <c r="AI2293" s="92"/>
      <c r="AJ2293" s="93"/>
      <c r="AK2293" s="94"/>
      <c r="AL2293" s="95"/>
      <c r="AM2293" s="56"/>
      <c r="AN2293" s="57">
        <f t="shared" si="363"/>
        <v>0</v>
      </c>
      <c r="AO2293" s="76">
        <f t="shared" si="365"/>
        <v>0</v>
      </c>
      <c r="AP2293" s="63" t="str">
        <f t="shared" si="366"/>
        <v/>
      </c>
      <c r="AQ2293" s="63" t="str">
        <f t="shared" si="367"/>
        <v/>
      </c>
      <c r="AR2293" s="63" t="str">
        <f t="shared" si="368"/>
        <v/>
      </c>
      <c r="AS2293" s="63" t="str">
        <f t="shared" si="369"/>
        <v/>
      </c>
      <c r="AT2293" s="78" t="str">
        <f t="shared" si="370"/>
        <v/>
      </c>
      <c r="AU2293" s="78" t="str">
        <f t="shared" si="371"/>
        <v/>
      </c>
      <c r="AV2293" s="64" t="str">
        <f ca="1">IFERROR(__xludf.DUMMYFUNCTION("IF(TRIM(AU2293)="""","""",AU2293/INDEX(FILTER(AT$3:AT2293,TRIM(AT$3:AT2293)&lt;&gt;""""),ROWS(FILTER(AT$3:AT2293,TRIM(AT$3:AT2293)&lt;&gt;"""")))-1)"),"")</f>
        <v/>
      </c>
      <c r="AW2293" s="65" t="e">
        <f t="shared" ca="1" si="364"/>
        <v>#VALUE!</v>
      </c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</row>
    <row r="2294" spans="1:68" ht="19" x14ac:dyDescent="0.25">
      <c r="A2294" s="5"/>
      <c r="B2294" s="5"/>
      <c r="C2294" s="5"/>
      <c r="D2294" s="5"/>
      <c r="E2294" s="5"/>
      <c r="F2294" s="5"/>
      <c r="G2294" s="5"/>
      <c r="H2294" s="6"/>
      <c r="I2294" s="5"/>
      <c r="J2294" s="88"/>
      <c r="K2294" s="88"/>
      <c r="L2294" s="88"/>
      <c r="M2294" s="88"/>
      <c r="N2294" s="88"/>
      <c r="O2294" s="88"/>
      <c r="P2294" s="88"/>
      <c r="Q2294" s="89"/>
      <c r="R2294" s="88"/>
      <c r="S2294" s="88"/>
      <c r="T2294" s="90"/>
      <c r="U2294" s="6"/>
      <c r="V2294" s="92"/>
      <c r="W2294" s="77"/>
      <c r="X2294" s="91"/>
      <c r="Y2294" s="77"/>
      <c r="Z2294" s="5"/>
      <c r="AA2294" s="5"/>
      <c r="AB2294" s="5"/>
      <c r="AC2294" s="5"/>
      <c r="AD2294" s="5"/>
      <c r="AE2294" s="5"/>
      <c r="AF2294" s="5"/>
      <c r="AG2294" s="5"/>
      <c r="AH2294" s="6"/>
      <c r="AI2294" s="92"/>
      <c r="AJ2294" s="93"/>
      <c r="AK2294" s="94"/>
      <c r="AL2294" s="95"/>
      <c r="AM2294" s="56"/>
      <c r="AN2294" s="57">
        <f t="shared" si="363"/>
        <v>0</v>
      </c>
      <c r="AO2294" s="76">
        <f t="shared" si="365"/>
        <v>0</v>
      </c>
      <c r="AP2294" s="63" t="str">
        <f t="shared" si="366"/>
        <v/>
      </c>
      <c r="AQ2294" s="63" t="str">
        <f t="shared" si="367"/>
        <v/>
      </c>
      <c r="AR2294" s="63" t="str">
        <f t="shared" si="368"/>
        <v/>
      </c>
      <c r="AS2294" s="63" t="str">
        <f t="shared" si="369"/>
        <v/>
      </c>
      <c r="AT2294" s="78" t="str">
        <f t="shared" si="370"/>
        <v/>
      </c>
      <c r="AU2294" s="78" t="str">
        <f t="shared" si="371"/>
        <v/>
      </c>
      <c r="AV2294" s="64" t="str">
        <f ca="1">IFERROR(__xludf.DUMMYFUNCTION("IF(TRIM(AU2294)="""","""",AU2294/INDEX(FILTER(AT$3:AT2294,TRIM(AT$3:AT2294)&lt;&gt;""""),ROWS(FILTER(AT$3:AT2294,TRIM(AT$3:AT2294)&lt;&gt;"""")))-1)"),"")</f>
        <v/>
      </c>
      <c r="AW2294" s="65" t="e">
        <f t="shared" ca="1" si="364"/>
        <v>#VALUE!</v>
      </c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</row>
    <row r="2295" spans="1:68" ht="19" x14ac:dyDescent="0.25">
      <c r="A2295" s="5"/>
      <c r="B2295" s="5"/>
      <c r="C2295" s="5"/>
      <c r="D2295" s="5"/>
      <c r="E2295" s="5"/>
      <c r="F2295" s="5"/>
      <c r="G2295" s="5"/>
      <c r="H2295" s="6"/>
      <c r="I2295" s="5"/>
      <c r="J2295" s="88"/>
      <c r="K2295" s="88"/>
      <c r="L2295" s="88"/>
      <c r="M2295" s="88"/>
      <c r="N2295" s="88"/>
      <c r="O2295" s="88"/>
      <c r="P2295" s="88"/>
      <c r="Q2295" s="89"/>
      <c r="R2295" s="88"/>
      <c r="S2295" s="88"/>
      <c r="T2295" s="90"/>
      <c r="U2295" s="6"/>
      <c r="V2295" s="92"/>
      <c r="W2295" s="77"/>
      <c r="X2295" s="91"/>
      <c r="Y2295" s="77"/>
      <c r="Z2295" s="5"/>
      <c r="AA2295" s="5"/>
      <c r="AB2295" s="5"/>
      <c r="AC2295" s="5"/>
      <c r="AD2295" s="5"/>
      <c r="AE2295" s="5"/>
      <c r="AF2295" s="5"/>
      <c r="AG2295" s="5"/>
      <c r="AH2295" s="6"/>
      <c r="AI2295" s="92"/>
      <c r="AJ2295" s="93"/>
      <c r="AK2295" s="94"/>
      <c r="AL2295" s="95"/>
      <c r="AM2295" s="56"/>
      <c r="AN2295" s="57">
        <f t="shared" si="363"/>
        <v>0</v>
      </c>
      <c r="AO2295" s="76">
        <f t="shared" si="365"/>
        <v>0</v>
      </c>
      <c r="AP2295" s="63" t="str">
        <f t="shared" si="366"/>
        <v/>
      </c>
      <c r="AQ2295" s="63" t="str">
        <f t="shared" si="367"/>
        <v/>
      </c>
      <c r="AR2295" s="63" t="str">
        <f t="shared" si="368"/>
        <v/>
      </c>
      <c r="AS2295" s="63" t="str">
        <f t="shared" si="369"/>
        <v/>
      </c>
      <c r="AT2295" s="78" t="str">
        <f t="shared" si="370"/>
        <v/>
      </c>
      <c r="AU2295" s="78" t="str">
        <f t="shared" si="371"/>
        <v/>
      </c>
      <c r="AV2295" s="64" t="str">
        <f ca="1">IFERROR(__xludf.DUMMYFUNCTION("IF(TRIM(AU2295)="""","""",AU2295/INDEX(FILTER(AT$3:AT2295,TRIM(AT$3:AT2295)&lt;&gt;""""),ROWS(FILTER(AT$3:AT2295,TRIM(AT$3:AT2295)&lt;&gt;"""")))-1)"),"")</f>
        <v/>
      </c>
      <c r="AW2295" s="65" t="e">
        <f t="shared" ca="1" si="364"/>
        <v>#VALUE!</v>
      </c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</row>
    <row r="2296" spans="1:68" ht="19" x14ac:dyDescent="0.25">
      <c r="A2296" s="5"/>
      <c r="B2296" s="5"/>
      <c r="C2296" s="5"/>
      <c r="D2296" s="5"/>
      <c r="E2296" s="5"/>
      <c r="F2296" s="5"/>
      <c r="G2296" s="5"/>
      <c r="H2296" s="6"/>
      <c r="I2296" s="5"/>
      <c r="J2296" s="88"/>
      <c r="K2296" s="88"/>
      <c r="L2296" s="88"/>
      <c r="M2296" s="88"/>
      <c r="N2296" s="88"/>
      <c r="O2296" s="88"/>
      <c r="P2296" s="88"/>
      <c r="Q2296" s="89"/>
      <c r="R2296" s="88"/>
      <c r="S2296" s="88"/>
      <c r="T2296" s="90"/>
      <c r="U2296" s="6"/>
      <c r="V2296" s="92"/>
      <c r="W2296" s="77"/>
      <c r="X2296" s="91"/>
      <c r="Y2296" s="77"/>
      <c r="Z2296" s="5"/>
      <c r="AA2296" s="5"/>
      <c r="AB2296" s="5"/>
      <c r="AC2296" s="5"/>
      <c r="AD2296" s="5"/>
      <c r="AE2296" s="5"/>
      <c r="AF2296" s="5"/>
      <c r="AG2296" s="5"/>
      <c r="AH2296" s="6"/>
      <c r="AI2296" s="92"/>
      <c r="AJ2296" s="93"/>
      <c r="AK2296" s="94"/>
      <c r="AL2296" s="95"/>
      <c r="AM2296" s="56"/>
      <c r="AN2296" s="57">
        <f t="shared" si="363"/>
        <v>0</v>
      </c>
      <c r="AO2296" s="76">
        <f t="shared" si="365"/>
        <v>0</v>
      </c>
      <c r="AP2296" s="63" t="str">
        <f t="shared" si="366"/>
        <v/>
      </c>
      <c r="AQ2296" s="63" t="str">
        <f t="shared" si="367"/>
        <v/>
      </c>
      <c r="AR2296" s="63" t="str">
        <f t="shared" si="368"/>
        <v/>
      </c>
      <c r="AS2296" s="63" t="str">
        <f t="shared" si="369"/>
        <v/>
      </c>
      <c r="AT2296" s="78" t="str">
        <f t="shared" si="370"/>
        <v/>
      </c>
      <c r="AU2296" s="78" t="str">
        <f t="shared" si="371"/>
        <v/>
      </c>
      <c r="AV2296" s="64" t="str">
        <f ca="1">IFERROR(__xludf.DUMMYFUNCTION("IF(TRIM(AU2296)="""","""",AU2296/INDEX(FILTER(AT$3:AT2296,TRIM(AT$3:AT2296)&lt;&gt;""""),ROWS(FILTER(AT$3:AT2296,TRIM(AT$3:AT2296)&lt;&gt;"""")))-1)"),"")</f>
        <v/>
      </c>
      <c r="AW2296" s="65" t="e">
        <f t="shared" ca="1" si="364"/>
        <v>#VALUE!</v>
      </c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</row>
    <row r="2297" spans="1:68" ht="19" x14ac:dyDescent="0.25">
      <c r="A2297" s="5"/>
      <c r="B2297" s="5"/>
      <c r="C2297" s="5"/>
      <c r="D2297" s="5"/>
      <c r="E2297" s="5"/>
      <c r="F2297" s="5"/>
      <c r="G2297" s="5"/>
      <c r="H2297" s="6"/>
      <c r="I2297" s="5"/>
      <c r="J2297" s="88"/>
      <c r="K2297" s="88"/>
      <c r="L2297" s="88"/>
      <c r="M2297" s="88"/>
      <c r="N2297" s="88"/>
      <c r="O2297" s="88"/>
      <c r="P2297" s="88"/>
      <c r="Q2297" s="89"/>
      <c r="R2297" s="88"/>
      <c r="S2297" s="88"/>
      <c r="T2297" s="90"/>
      <c r="U2297" s="6"/>
      <c r="V2297" s="92"/>
      <c r="W2297" s="77"/>
      <c r="X2297" s="91"/>
      <c r="Y2297" s="77"/>
      <c r="Z2297" s="5"/>
      <c r="AA2297" s="5"/>
      <c r="AB2297" s="5"/>
      <c r="AC2297" s="5"/>
      <c r="AD2297" s="5"/>
      <c r="AE2297" s="5"/>
      <c r="AF2297" s="5"/>
      <c r="AG2297" s="5"/>
      <c r="AH2297" s="6"/>
      <c r="AI2297" s="92"/>
      <c r="AJ2297" s="93"/>
      <c r="AK2297" s="94"/>
      <c r="AL2297" s="95"/>
      <c r="AM2297" s="56"/>
      <c r="AN2297" s="57">
        <f t="shared" si="363"/>
        <v>0</v>
      </c>
      <c r="AO2297" s="76">
        <f t="shared" si="365"/>
        <v>0</v>
      </c>
      <c r="AP2297" s="63" t="str">
        <f t="shared" si="366"/>
        <v/>
      </c>
      <c r="AQ2297" s="63" t="str">
        <f t="shared" si="367"/>
        <v/>
      </c>
      <c r="AR2297" s="63" t="str">
        <f t="shared" si="368"/>
        <v/>
      </c>
      <c r="AS2297" s="63" t="str">
        <f t="shared" si="369"/>
        <v/>
      </c>
      <c r="AT2297" s="78" t="str">
        <f t="shared" si="370"/>
        <v/>
      </c>
      <c r="AU2297" s="78" t="str">
        <f t="shared" si="371"/>
        <v/>
      </c>
      <c r="AV2297" s="64" t="str">
        <f ca="1">IFERROR(__xludf.DUMMYFUNCTION("IF(TRIM(AU2297)="""","""",AU2297/INDEX(FILTER(AT$3:AT2297,TRIM(AT$3:AT2297)&lt;&gt;""""),ROWS(FILTER(AT$3:AT2297,TRIM(AT$3:AT2297)&lt;&gt;"""")))-1)"),"")</f>
        <v/>
      </c>
      <c r="AW2297" s="65" t="e">
        <f t="shared" ca="1" si="364"/>
        <v>#VALUE!</v>
      </c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</row>
    <row r="2298" spans="1:68" ht="19" x14ac:dyDescent="0.25">
      <c r="A2298" s="5"/>
      <c r="B2298" s="5"/>
      <c r="C2298" s="5"/>
      <c r="D2298" s="5"/>
      <c r="E2298" s="5"/>
      <c r="F2298" s="5"/>
      <c r="G2298" s="5"/>
      <c r="H2298" s="6"/>
      <c r="I2298" s="5"/>
      <c r="J2298" s="88"/>
      <c r="K2298" s="88"/>
      <c r="L2298" s="88"/>
      <c r="M2298" s="88"/>
      <c r="N2298" s="88"/>
      <c r="O2298" s="88"/>
      <c r="P2298" s="88"/>
      <c r="Q2298" s="89"/>
      <c r="R2298" s="88"/>
      <c r="S2298" s="88"/>
      <c r="T2298" s="90"/>
      <c r="U2298" s="6"/>
      <c r="V2298" s="92"/>
      <c r="W2298" s="77"/>
      <c r="X2298" s="91"/>
      <c r="Y2298" s="77"/>
      <c r="Z2298" s="5"/>
      <c r="AA2298" s="5"/>
      <c r="AB2298" s="5"/>
      <c r="AC2298" s="5"/>
      <c r="AD2298" s="5"/>
      <c r="AE2298" s="5"/>
      <c r="AF2298" s="5"/>
      <c r="AG2298" s="5"/>
      <c r="AH2298" s="6"/>
      <c r="AI2298" s="92"/>
      <c r="AJ2298" s="93"/>
      <c r="AK2298" s="94"/>
      <c r="AL2298" s="95"/>
      <c r="AM2298" s="56"/>
      <c r="AN2298" s="57">
        <f t="shared" si="363"/>
        <v>0</v>
      </c>
      <c r="AO2298" s="76">
        <f t="shared" si="365"/>
        <v>0</v>
      </c>
      <c r="AP2298" s="63" t="str">
        <f t="shared" si="366"/>
        <v/>
      </c>
      <c r="AQ2298" s="63" t="str">
        <f t="shared" si="367"/>
        <v/>
      </c>
      <c r="AR2298" s="63" t="str">
        <f t="shared" si="368"/>
        <v/>
      </c>
      <c r="AS2298" s="63" t="str">
        <f t="shared" si="369"/>
        <v/>
      </c>
      <c r="AT2298" s="78" t="str">
        <f t="shared" si="370"/>
        <v/>
      </c>
      <c r="AU2298" s="78" t="str">
        <f t="shared" si="371"/>
        <v/>
      </c>
      <c r="AV2298" s="64" t="str">
        <f ca="1">IFERROR(__xludf.DUMMYFUNCTION("IF(TRIM(AU2298)="""","""",AU2298/INDEX(FILTER(AT$3:AT2298,TRIM(AT$3:AT2298)&lt;&gt;""""),ROWS(FILTER(AT$3:AT2298,TRIM(AT$3:AT2298)&lt;&gt;"""")))-1)"),"")</f>
        <v/>
      </c>
      <c r="AW2298" s="65" t="e">
        <f t="shared" ca="1" si="364"/>
        <v>#VALUE!</v>
      </c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</row>
    <row r="2299" spans="1:68" ht="19" x14ac:dyDescent="0.25">
      <c r="A2299" s="5"/>
      <c r="B2299" s="5"/>
      <c r="C2299" s="5"/>
      <c r="D2299" s="5"/>
      <c r="E2299" s="5"/>
      <c r="F2299" s="5"/>
      <c r="G2299" s="5"/>
      <c r="H2299" s="6"/>
      <c r="I2299" s="5"/>
      <c r="J2299" s="88"/>
      <c r="K2299" s="88"/>
      <c r="L2299" s="88"/>
      <c r="M2299" s="88"/>
      <c r="N2299" s="88"/>
      <c r="O2299" s="88"/>
      <c r="P2299" s="88"/>
      <c r="Q2299" s="89"/>
      <c r="R2299" s="88"/>
      <c r="S2299" s="88"/>
      <c r="T2299" s="90"/>
      <c r="U2299" s="6"/>
      <c r="V2299" s="92"/>
      <c r="W2299" s="77"/>
      <c r="X2299" s="91"/>
      <c r="Y2299" s="77"/>
      <c r="Z2299" s="5"/>
      <c r="AA2299" s="5"/>
      <c r="AB2299" s="5"/>
      <c r="AC2299" s="5"/>
      <c r="AD2299" s="5"/>
      <c r="AE2299" s="5"/>
      <c r="AF2299" s="5"/>
      <c r="AG2299" s="5"/>
      <c r="AH2299" s="6"/>
      <c r="AI2299" s="92"/>
      <c r="AJ2299" s="93"/>
      <c r="AK2299" s="94"/>
      <c r="AL2299" s="95"/>
      <c r="AM2299" s="56"/>
      <c r="AN2299" s="57">
        <f t="shared" si="363"/>
        <v>0</v>
      </c>
      <c r="AO2299" s="76">
        <f t="shared" si="365"/>
        <v>0</v>
      </c>
      <c r="AP2299" s="63" t="str">
        <f t="shared" si="366"/>
        <v/>
      </c>
      <c r="AQ2299" s="63" t="str">
        <f t="shared" si="367"/>
        <v/>
      </c>
      <c r="AR2299" s="63" t="str">
        <f t="shared" si="368"/>
        <v/>
      </c>
      <c r="AS2299" s="63" t="str">
        <f t="shared" si="369"/>
        <v/>
      </c>
      <c r="AT2299" s="78" t="str">
        <f t="shared" si="370"/>
        <v/>
      </c>
      <c r="AU2299" s="78" t="str">
        <f t="shared" si="371"/>
        <v/>
      </c>
      <c r="AV2299" s="64" t="str">
        <f ca="1">IFERROR(__xludf.DUMMYFUNCTION("IF(TRIM(AU2299)="""","""",AU2299/INDEX(FILTER(AT$3:AT2299,TRIM(AT$3:AT2299)&lt;&gt;""""),ROWS(FILTER(AT$3:AT2299,TRIM(AT$3:AT2299)&lt;&gt;"""")))-1)"),"")</f>
        <v/>
      </c>
      <c r="AW2299" s="65" t="e">
        <f t="shared" ca="1" si="364"/>
        <v>#VALUE!</v>
      </c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</row>
    <row r="2300" spans="1:68" ht="19" x14ac:dyDescent="0.25">
      <c r="A2300" s="5"/>
      <c r="B2300" s="5"/>
      <c r="C2300" s="5"/>
      <c r="D2300" s="5"/>
      <c r="E2300" s="5"/>
      <c r="F2300" s="5"/>
      <c r="G2300" s="5"/>
      <c r="H2300" s="6"/>
      <c r="I2300" s="5"/>
      <c r="J2300" s="88"/>
      <c r="K2300" s="88"/>
      <c r="L2300" s="88"/>
      <c r="M2300" s="88"/>
      <c r="N2300" s="88"/>
      <c r="O2300" s="88"/>
      <c r="P2300" s="88"/>
      <c r="Q2300" s="89"/>
      <c r="R2300" s="88"/>
      <c r="S2300" s="88"/>
      <c r="T2300" s="90"/>
      <c r="U2300" s="6"/>
      <c r="V2300" s="92"/>
      <c r="W2300" s="77"/>
      <c r="X2300" s="91"/>
      <c r="Y2300" s="77"/>
      <c r="Z2300" s="5"/>
      <c r="AA2300" s="5"/>
      <c r="AB2300" s="5"/>
      <c r="AC2300" s="5"/>
      <c r="AD2300" s="5"/>
      <c r="AE2300" s="5"/>
      <c r="AF2300" s="5"/>
      <c r="AG2300" s="5"/>
      <c r="AH2300" s="6"/>
      <c r="AI2300" s="92"/>
      <c r="AJ2300" s="93"/>
      <c r="AK2300" s="94"/>
      <c r="AL2300" s="95"/>
      <c r="AM2300" s="56"/>
      <c r="AN2300" s="57">
        <f t="shared" si="363"/>
        <v>0</v>
      </c>
      <c r="AO2300" s="76">
        <f t="shared" si="365"/>
        <v>0</v>
      </c>
      <c r="AP2300" s="63" t="str">
        <f t="shared" si="366"/>
        <v/>
      </c>
      <c r="AQ2300" s="63" t="str">
        <f t="shared" si="367"/>
        <v/>
      </c>
      <c r="AR2300" s="63" t="str">
        <f t="shared" si="368"/>
        <v/>
      </c>
      <c r="AS2300" s="63" t="str">
        <f t="shared" si="369"/>
        <v/>
      </c>
      <c r="AT2300" s="78" t="str">
        <f t="shared" si="370"/>
        <v/>
      </c>
      <c r="AU2300" s="78" t="str">
        <f t="shared" si="371"/>
        <v/>
      </c>
      <c r="AV2300" s="64" t="str">
        <f ca="1">IFERROR(__xludf.DUMMYFUNCTION("IF(TRIM(AU2300)="""","""",AU2300/INDEX(FILTER(AT$3:AT2300,TRIM(AT$3:AT2300)&lt;&gt;""""),ROWS(FILTER(AT$3:AT2300,TRIM(AT$3:AT2300)&lt;&gt;"""")))-1)"),"")</f>
        <v/>
      </c>
      <c r="AW2300" s="65" t="e">
        <f t="shared" ca="1" si="364"/>
        <v>#VALUE!</v>
      </c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</row>
    <row r="2301" spans="1:68" ht="19" x14ac:dyDescent="0.25">
      <c r="A2301" s="5"/>
      <c r="B2301" s="5"/>
      <c r="C2301" s="5"/>
      <c r="D2301" s="5"/>
      <c r="E2301" s="5"/>
      <c r="F2301" s="5"/>
      <c r="G2301" s="5"/>
      <c r="H2301" s="6"/>
      <c r="I2301" s="5"/>
      <c r="J2301" s="88"/>
      <c r="K2301" s="88"/>
      <c r="L2301" s="88"/>
      <c r="M2301" s="88"/>
      <c r="N2301" s="88"/>
      <c r="O2301" s="88"/>
      <c r="P2301" s="88"/>
      <c r="Q2301" s="89"/>
      <c r="R2301" s="88"/>
      <c r="S2301" s="88"/>
      <c r="T2301" s="90"/>
      <c r="U2301" s="6"/>
      <c r="V2301" s="92"/>
      <c r="W2301" s="77"/>
      <c r="X2301" s="91"/>
      <c r="Y2301" s="77"/>
      <c r="Z2301" s="5"/>
      <c r="AA2301" s="5"/>
      <c r="AB2301" s="5"/>
      <c r="AC2301" s="5"/>
      <c r="AD2301" s="5"/>
      <c r="AE2301" s="5"/>
      <c r="AF2301" s="5"/>
      <c r="AG2301" s="5"/>
      <c r="AH2301" s="6"/>
      <c r="AI2301" s="92"/>
      <c r="AJ2301" s="93"/>
      <c r="AK2301" s="94"/>
      <c r="AL2301" s="95"/>
      <c r="AM2301" s="56"/>
      <c r="AN2301" s="57">
        <f t="shared" si="363"/>
        <v>0</v>
      </c>
      <c r="AO2301" s="76">
        <f t="shared" si="365"/>
        <v>0</v>
      </c>
      <c r="AP2301" s="63" t="str">
        <f t="shared" si="366"/>
        <v/>
      </c>
      <c r="AQ2301" s="63" t="str">
        <f t="shared" si="367"/>
        <v/>
      </c>
      <c r="AR2301" s="63" t="str">
        <f t="shared" si="368"/>
        <v/>
      </c>
      <c r="AS2301" s="63" t="str">
        <f t="shared" si="369"/>
        <v/>
      </c>
      <c r="AT2301" s="78" t="str">
        <f t="shared" si="370"/>
        <v/>
      </c>
      <c r="AU2301" s="78" t="str">
        <f t="shared" si="371"/>
        <v/>
      </c>
      <c r="AV2301" s="64" t="str">
        <f ca="1">IFERROR(__xludf.DUMMYFUNCTION("IF(TRIM(AU2301)="""","""",AU2301/INDEX(FILTER(AT$3:AT2301,TRIM(AT$3:AT2301)&lt;&gt;""""),ROWS(FILTER(AT$3:AT2301,TRIM(AT$3:AT2301)&lt;&gt;"""")))-1)"),"")</f>
        <v/>
      </c>
      <c r="AW2301" s="65" t="e">
        <f t="shared" ca="1" si="364"/>
        <v>#VALUE!</v>
      </c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</row>
    <row r="2302" spans="1:68" ht="19" x14ac:dyDescent="0.25">
      <c r="A2302" s="5"/>
      <c r="B2302" s="5"/>
      <c r="C2302" s="5"/>
      <c r="D2302" s="5"/>
      <c r="E2302" s="5"/>
      <c r="F2302" s="5"/>
      <c r="G2302" s="5"/>
      <c r="H2302" s="6"/>
      <c r="I2302" s="5"/>
      <c r="J2302" s="88"/>
      <c r="K2302" s="88"/>
      <c r="L2302" s="88"/>
      <c r="M2302" s="88"/>
      <c r="N2302" s="88"/>
      <c r="O2302" s="88"/>
      <c r="P2302" s="88"/>
      <c r="Q2302" s="89"/>
      <c r="R2302" s="88"/>
      <c r="S2302" s="88"/>
      <c r="T2302" s="90"/>
      <c r="U2302" s="6"/>
      <c r="V2302" s="92"/>
      <c r="W2302" s="77"/>
      <c r="X2302" s="91"/>
      <c r="Y2302" s="77"/>
      <c r="Z2302" s="5"/>
      <c r="AA2302" s="5"/>
      <c r="AB2302" s="5"/>
      <c r="AC2302" s="5"/>
      <c r="AD2302" s="5"/>
      <c r="AE2302" s="5"/>
      <c r="AF2302" s="5"/>
      <c r="AG2302" s="5"/>
      <c r="AH2302" s="6"/>
      <c r="AI2302" s="92"/>
      <c r="AJ2302" s="93"/>
      <c r="AK2302" s="94"/>
      <c r="AL2302" s="95"/>
      <c r="AM2302" s="56"/>
      <c r="AN2302" s="57">
        <f t="shared" si="363"/>
        <v>0</v>
      </c>
      <c r="AO2302" s="76">
        <f t="shared" si="365"/>
        <v>0</v>
      </c>
      <c r="AP2302" s="63" t="str">
        <f t="shared" si="366"/>
        <v/>
      </c>
      <c r="AQ2302" s="63" t="str">
        <f t="shared" si="367"/>
        <v/>
      </c>
      <c r="AR2302" s="63" t="str">
        <f t="shared" si="368"/>
        <v/>
      </c>
      <c r="AS2302" s="63" t="str">
        <f t="shared" si="369"/>
        <v/>
      </c>
      <c r="AT2302" s="78" t="str">
        <f t="shared" si="370"/>
        <v/>
      </c>
      <c r="AU2302" s="78" t="str">
        <f t="shared" si="371"/>
        <v/>
      </c>
      <c r="AV2302" s="64" t="str">
        <f ca="1">IFERROR(__xludf.DUMMYFUNCTION("IF(TRIM(AU2302)="""","""",AU2302/INDEX(FILTER(AT$3:AT2302,TRIM(AT$3:AT2302)&lt;&gt;""""),ROWS(FILTER(AT$3:AT2302,TRIM(AT$3:AT2302)&lt;&gt;"""")))-1)"),"")</f>
        <v/>
      </c>
      <c r="AW2302" s="65" t="e">
        <f t="shared" ca="1" si="364"/>
        <v>#VALUE!</v>
      </c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</row>
    <row r="2303" spans="1:68" ht="19" x14ac:dyDescent="0.25">
      <c r="A2303" s="5"/>
      <c r="B2303" s="5"/>
      <c r="C2303" s="5"/>
      <c r="D2303" s="5"/>
      <c r="E2303" s="5"/>
      <c r="F2303" s="5"/>
      <c r="G2303" s="5"/>
      <c r="H2303" s="6"/>
      <c r="I2303" s="5"/>
      <c r="J2303" s="88"/>
      <c r="K2303" s="88"/>
      <c r="L2303" s="88"/>
      <c r="M2303" s="88"/>
      <c r="N2303" s="88"/>
      <c r="O2303" s="88"/>
      <c r="P2303" s="88"/>
      <c r="Q2303" s="89"/>
      <c r="R2303" s="88"/>
      <c r="S2303" s="88"/>
      <c r="T2303" s="90"/>
      <c r="U2303" s="6"/>
      <c r="V2303" s="92"/>
      <c r="W2303" s="77"/>
      <c r="X2303" s="91"/>
      <c r="Y2303" s="77"/>
      <c r="Z2303" s="5"/>
      <c r="AA2303" s="5"/>
      <c r="AB2303" s="5"/>
      <c r="AC2303" s="5"/>
      <c r="AD2303" s="5"/>
      <c r="AE2303" s="5"/>
      <c r="AF2303" s="5"/>
      <c r="AG2303" s="5"/>
      <c r="AH2303" s="6"/>
      <c r="AI2303" s="92"/>
      <c r="AJ2303" s="93"/>
      <c r="AK2303" s="94"/>
      <c r="AL2303" s="95"/>
      <c r="AM2303" s="56"/>
      <c r="AN2303" s="57">
        <f t="shared" si="363"/>
        <v>0</v>
      </c>
      <c r="AO2303" s="76">
        <f t="shared" si="365"/>
        <v>0</v>
      </c>
      <c r="AP2303" s="63" t="str">
        <f t="shared" si="366"/>
        <v/>
      </c>
      <c r="AQ2303" s="63" t="str">
        <f t="shared" si="367"/>
        <v/>
      </c>
      <c r="AR2303" s="63" t="str">
        <f t="shared" si="368"/>
        <v/>
      </c>
      <c r="AS2303" s="63" t="str">
        <f t="shared" si="369"/>
        <v/>
      </c>
      <c r="AT2303" s="78" t="str">
        <f t="shared" si="370"/>
        <v/>
      </c>
      <c r="AU2303" s="78" t="str">
        <f t="shared" si="371"/>
        <v/>
      </c>
      <c r="AV2303" s="64" t="str">
        <f ca="1">IFERROR(__xludf.DUMMYFUNCTION("IF(TRIM(AU2303)="""","""",AU2303/INDEX(FILTER(AT$3:AT2303,TRIM(AT$3:AT2303)&lt;&gt;""""),ROWS(FILTER(AT$3:AT2303,TRIM(AT$3:AT2303)&lt;&gt;"""")))-1)"),"")</f>
        <v/>
      </c>
      <c r="AW2303" s="65" t="e">
        <f t="shared" ca="1" si="364"/>
        <v>#VALUE!</v>
      </c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</row>
    <row r="2304" spans="1:68" ht="19" x14ac:dyDescent="0.25">
      <c r="A2304" s="5"/>
      <c r="B2304" s="5"/>
      <c r="C2304" s="5"/>
      <c r="D2304" s="5"/>
      <c r="E2304" s="5"/>
      <c r="F2304" s="5"/>
      <c r="G2304" s="5"/>
      <c r="H2304" s="6"/>
      <c r="I2304" s="5"/>
      <c r="J2304" s="88"/>
      <c r="K2304" s="88"/>
      <c r="L2304" s="88"/>
      <c r="M2304" s="88"/>
      <c r="N2304" s="88"/>
      <c r="O2304" s="88"/>
      <c r="P2304" s="88"/>
      <c r="Q2304" s="89"/>
      <c r="R2304" s="88"/>
      <c r="S2304" s="88"/>
      <c r="T2304" s="90"/>
      <c r="U2304" s="6"/>
      <c r="V2304" s="92"/>
      <c r="W2304" s="77"/>
      <c r="X2304" s="91"/>
      <c r="Y2304" s="77"/>
      <c r="Z2304" s="5"/>
      <c r="AA2304" s="5"/>
      <c r="AB2304" s="5"/>
      <c r="AC2304" s="5"/>
      <c r="AD2304" s="5"/>
      <c r="AE2304" s="5"/>
      <c r="AF2304" s="5"/>
      <c r="AG2304" s="5"/>
      <c r="AH2304" s="6"/>
      <c r="AI2304" s="92"/>
      <c r="AJ2304" s="93"/>
      <c r="AK2304" s="94"/>
      <c r="AL2304" s="95"/>
      <c r="AM2304" s="56"/>
      <c r="AN2304" s="57">
        <f t="shared" si="363"/>
        <v>0</v>
      </c>
      <c r="AO2304" s="76">
        <f t="shared" si="365"/>
        <v>0</v>
      </c>
      <c r="AP2304" s="63" t="str">
        <f t="shared" si="366"/>
        <v/>
      </c>
      <c r="AQ2304" s="63" t="str">
        <f t="shared" si="367"/>
        <v/>
      </c>
      <c r="AR2304" s="63" t="str">
        <f t="shared" si="368"/>
        <v/>
      </c>
      <c r="AS2304" s="63" t="str">
        <f t="shared" si="369"/>
        <v/>
      </c>
      <c r="AT2304" s="78" t="str">
        <f t="shared" si="370"/>
        <v/>
      </c>
      <c r="AU2304" s="78" t="str">
        <f t="shared" si="371"/>
        <v/>
      </c>
      <c r="AV2304" s="64" t="str">
        <f ca="1">IFERROR(__xludf.DUMMYFUNCTION("IF(TRIM(AU2304)="""","""",AU2304/INDEX(FILTER(AT$3:AT2304,TRIM(AT$3:AT2304)&lt;&gt;""""),ROWS(FILTER(AT$3:AT2304,TRIM(AT$3:AT2304)&lt;&gt;"""")))-1)"),"")</f>
        <v/>
      </c>
      <c r="AW2304" s="65" t="e">
        <f t="shared" ca="1" si="364"/>
        <v>#VALUE!</v>
      </c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</row>
    <row r="2305" spans="1:68" ht="19" x14ac:dyDescent="0.25">
      <c r="A2305" s="5"/>
      <c r="B2305" s="5"/>
      <c r="C2305" s="5"/>
      <c r="D2305" s="5"/>
      <c r="E2305" s="5"/>
      <c r="F2305" s="5"/>
      <c r="G2305" s="5"/>
      <c r="H2305" s="6"/>
      <c r="I2305" s="5"/>
      <c r="J2305" s="88"/>
      <c r="K2305" s="88"/>
      <c r="L2305" s="88"/>
      <c r="M2305" s="88"/>
      <c r="N2305" s="88"/>
      <c r="O2305" s="88"/>
      <c r="P2305" s="88"/>
      <c r="Q2305" s="89"/>
      <c r="R2305" s="88"/>
      <c r="S2305" s="88"/>
      <c r="T2305" s="90"/>
      <c r="U2305" s="6"/>
      <c r="V2305" s="92"/>
      <c r="W2305" s="77"/>
      <c r="X2305" s="91"/>
      <c r="Y2305" s="77"/>
      <c r="Z2305" s="5"/>
      <c r="AA2305" s="5"/>
      <c r="AB2305" s="5"/>
      <c r="AC2305" s="5"/>
      <c r="AD2305" s="5"/>
      <c r="AE2305" s="5"/>
      <c r="AF2305" s="5"/>
      <c r="AG2305" s="5"/>
      <c r="AH2305" s="6"/>
      <c r="AI2305" s="92"/>
      <c r="AJ2305" s="93"/>
      <c r="AK2305" s="94"/>
      <c r="AL2305" s="95"/>
      <c r="AM2305" s="56"/>
      <c r="AN2305" s="57">
        <f t="shared" si="363"/>
        <v>0</v>
      </c>
      <c r="AO2305" s="76">
        <f t="shared" si="365"/>
        <v>0</v>
      </c>
      <c r="AP2305" s="63" t="str">
        <f t="shared" si="366"/>
        <v/>
      </c>
      <c r="AQ2305" s="63" t="str">
        <f t="shared" si="367"/>
        <v/>
      </c>
      <c r="AR2305" s="63" t="str">
        <f t="shared" si="368"/>
        <v/>
      </c>
      <c r="AS2305" s="63" t="str">
        <f t="shared" si="369"/>
        <v/>
      </c>
      <c r="AT2305" s="78" t="str">
        <f t="shared" si="370"/>
        <v/>
      </c>
      <c r="AU2305" s="78" t="str">
        <f t="shared" si="371"/>
        <v/>
      </c>
      <c r="AV2305" s="64" t="str">
        <f ca="1">IFERROR(__xludf.DUMMYFUNCTION("IF(TRIM(AU2305)="""","""",AU2305/INDEX(FILTER(AT$3:AT2305,TRIM(AT$3:AT2305)&lt;&gt;""""),ROWS(FILTER(AT$3:AT2305,TRIM(AT$3:AT2305)&lt;&gt;"""")))-1)"),"")</f>
        <v/>
      </c>
      <c r="AW2305" s="65" t="e">
        <f t="shared" ca="1" si="364"/>
        <v>#VALUE!</v>
      </c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</row>
    <row r="2306" spans="1:68" ht="19" x14ac:dyDescent="0.25">
      <c r="A2306" s="5"/>
      <c r="B2306" s="5"/>
      <c r="C2306" s="5"/>
      <c r="D2306" s="5"/>
      <c r="E2306" s="5"/>
      <c r="F2306" s="5"/>
      <c r="G2306" s="5"/>
      <c r="H2306" s="6"/>
      <c r="I2306" s="5"/>
      <c r="J2306" s="88"/>
      <c r="K2306" s="88"/>
      <c r="L2306" s="88"/>
      <c r="M2306" s="88"/>
      <c r="N2306" s="88"/>
      <c r="O2306" s="88"/>
      <c r="P2306" s="88"/>
      <c r="Q2306" s="89"/>
      <c r="R2306" s="88"/>
      <c r="S2306" s="88"/>
      <c r="T2306" s="90"/>
      <c r="U2306" s="6"/>
      <c r="V2306" s="92"/>
      <c r="W2306" s="77"/>
      <c r="X2306" s="91"/>
      <c r="Y2306" s="77"/>
      <c r="Z2306" s="5"/>
      <c r="AA2306" s="5"/>
      <c r="AB2306" s="5"/>
      <c r="AC2306" s="5"/>
      <c r="AD2306" s="5"/>
      <c r="AE2306" s="5"/>
      <c r="AF2306" s="5"/>
      <c r="AG2306" s="5"/>
      <c r="AH2306" s="6"/>
      <c r="AI2306" s="92"/>
      <c r="AJ2306" s="93"/>
      <c r="AK2306" s="94"/>
      <c r="AL2306" s="95"/>
      <c r="AM2306" s="56"/>
      <c r="AN2306" s="57">
        <f t="shared" si="363"/>
        <v>0</v>
      </c>
      <c r="AO2306" s="76">
        <f t="shared" si="365"/>
        <v>0</v>
      </c>
      <c r="AP2306" s="63" t="str">
        <f t="shared" si="366"/>
        <v/>
      </c>
      <c r="AQ2306" s="63" t="str">
        <f t="shared" si="367"/>
        <v/>
      </c>
      <c r="AR2306" s="63" t="str">
        <f t="shared" si="368"/>
        <v/>
      </c>
      <c r="AS2306" s="63" t="str">
        <f t="shared" si="369"/>
        <v/>
      </c>
      <c r="AT2306" s="78" t="str">
        <f t="shared" si="370"/>
        <v/>
      </c>
      <c r="AU2306" s="78" t="str">
        <f t="shared" si="371"/>
        <v/>
      </c>
      <c r="AV2306" s="64" t="str">
        <f ca="1">IFERROR(__xludf.DUMMYFUNCTION("IF(TRIM(AU2306)="""","""",AU2306/INDEX(FILTER(AT$3:AT2306,TRIM(AT$3:AT2306)&lt;&gt;""""),ROWS(FILTER(AT$3:AT2306,TRIM(AT$3:AT2306)&lt;&gt;"""")))-1)"),"")</f>
        <v/>
      </c>
      <c r="AW2306" s="65" t="e">
        <f t="shared" ca="1" si="364"/>
        <v>#VALUE!</v>
      </c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</row>
    <row r="2307" spans="1:68" ht="19" x14ac:dyDescent="0.25">
      <c r="A2307" s="5"/>
      <c r="B2307" s="5"/>
      <c r="C2307" s="5"/>
      <c r="D2307" s="5"/>
      <c r="E2307" s="5"/>
      <c r="F2307" s="5"/>
      <c r="G2307" s="5"/>
      <c r="H2307" s="6"/>
      <c r="I2307" s="5"/>
      <c r="J2307" s="88"/>
      <c r="K2307" s="88"/>
      <c r="L2307" s="88"/>
      <c r="M2307" s="88"/>
      <c r="N2307" s="88"/>
      <c r="O2307" s="88"/>
      <c r="P2307" s="88"/>
      <c r="Q2307" s="89"/>
      <c r="R2307" s="88"/>
      <c r="S2307" s="88"/>
      <c r="T2307" s="90"/>
      <c r="U2307" s="6"/>
      <c r="V2307" s="92"/>
      <c r="W2307" s="77"/>
      <c r="X2307" s="91"/>
      <c r="Y2307" s="77"/>
      <c r="Z2307" s="5"/>
      <c r="AA2307" s="5"/>
      <c r="AB2307" s="5"/>
      <c r="AC2307" s="5"/>
      <c r="AD2307" s="5"/>
      <c r="AE2307" s="5"/>
      <c r="AF2307" s="5"/>
      <c r="AG2307" s="5"/>
      <c r="AH2307" s="6"/>
      <c r="AI2307" s="92"/>
      <c r="AJ2307" s="93"/>
      <c r="AK2307" s="94"/>
      <c r="AL2307" s="95"/>
      <c r="AM2307" s="56"/>
      <c r="AN2307" s="57">
        <f t="shared" ref="AN2307:AN2370" si="372">AM2307-AL2307</f>
        <v>0</v>
      </c>
      <c r="AO2307" s="76">
        <f t="shared" si="365"/>
        <v>0</v>
      </c>
      <c r="AP2307" s="63" t="str">
        <f t="shared" si="366"/>
        <v/>
      </c>
      <c r="AQ2307" s="63" t="str">
        <f t="shared" si="367"/>
        <v/>
      </c>
      <c r="AR2307" s="63" t="str">
        <f t="shared" si="368"/>
        <v/>
      </c>
      <c r="AS2307" s="63" t="str">
        <f t="shared" si="369"/>
        <v/>
      </c>
      <c r="AT2307" s="78" t="str">
        <f t="shared" si="370"/>
        <v/>
      </c>
      <c r="AU2307" s="78" t="str">
        <f t="shared" si="371"/>
        <v/>
      </c>
      <c r="AV2307" s="64" t="str">
        <f ca="1">IFERROR(__xludf.DUMMYFUNCTION("IF(TRIM(AU2307)="""","""",AU2307/INDEX(FILTER(AT$3:AT2307,TRIM(AT$3:AT2307)&lt;&gt;""""),ROWS(FILTER(AT$3:AT2307,TRIM(AT$3:AT2307)&lt;&gt;"""")))-1)"),"")</f>
        <v/>
      </c>
      <c r="AW2307" s="65" t="e">
        <f t="shared" ref="AW2307:AW2370" ca="1" si="373">AW2306*(1+AV2307)</f>
        <v>#VALUE!</v>
      </c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</row>
    <row r="2308" spans="1:68" ht="19" x14ac:dyDescent="0.25">
      <c r="A2308" s="5"/>
      <c r="B2308" s="5"/>
      <c r="C2308" s="5"/>
      <c r="D2308" s="5"/>
      <c r="E2308" s="5"/>
      <c r="F2308" s="5"/>
      <c r="G2308" s="5"/>
      <c r="H2308" s="6"/>
      <c r="I2308" s="5"/>
      <c r="J2308" s="88"/>
      <c r="K2308" s="88"/>
      <c r="L2308" s="88"/>
      <c r="M2308" s="88"/>
      <c r="N2308" s="88"/>
      <c r="O2308" s="88"/>
      <c r="P2308" s="88"/>
      <c r="Q2308" s="89"/>
      <c r="R2308" s="88"/>
      <c r="S2308" s="88"/>
      <c r="T2308" s="90"/>
      <c r="U2308" s="6"/>
      <c r="V2308" s="92"/>
      <c r="W2308" s="77"/>
      <c r="X2308" s="91"/>
      <c r="Y2308" s="77"/>
      <c r="Z2308" s="5"/>
      <c r="AA2308" s="5"/>
      <c r="AB2308" s="5"/>
      <c r="AC2308" s="5"/>
      <c r="AD2308" s="5"/>
      <c r="AE2308" s="5"/>
      <c r="AF2308" s="5"/>
      <c r="AG2308" s="5"/>
      <c r="AH2308" s="6"/>
      <c r="AI2308" s="92"/>
      <c r="AJ2308" s="93"/>
      <c r="AK2308" s="94"/>
      <c r="AL2308" s="95"/>
      <c r="AM2308" s="56"/>
      <c r="AN2308" s="57">
        <f t="shared" si="372"/>
        <v>0</v>
      </c>
      <c r="AO2308" s="76">
        <f t="shared" si="365"/>
        <v>0</v>
      </c>
      <c r="AP2308" s="63" t="str">
        <f t="shared" si="366"/>
        <v/>
      </c>
      <c r="AQ2308" s="63" t="str">
        <f t="shared" si="367"/>
        <v/>
      </c>
      <c r="AR2308" s="63" t="str">
        <f t="shared" si="368"/>
        <v/>
      </c>
      <c r="AS2308" s="63" t="str">
        <f t="shared" si="369"/>
        <v/>
      </c>
      <c r="AT2308" s="78" t="str">
        <f t="shared" si="370"/>
        <v/>
      </c>
      <c r="AU2308" s="78" t="str">
        <f t="shared" si="371"/>
        <v/>
      </c>
      <c r="AV2308" s="64" t="str">
        <f ca="1">IFERROR(__xludf.DUMMYFUNCTION("IF(TRIM(AU2308)="""","""",AU2308/INDEX(FILTER(AT$3:AT2308,TRIM(AT$3:AT2308)&lt;&gt;""""),ROWS(FILTER(AT$3:AT2308,TRIM(AT$3:AT2308)&lt;&gt;"""")))-1)"),"")</f>
        <v/>
      </c>
      <c r="AW2308" s="65" t="e">
        <f t="shared" ca="1" si="373"/>
        <v>#VALUE!</v>
      </c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</row>
    <row r="2309" spans="1:68" ht="19" x14ac:dyDescent="0.25">
      <c r="A2309" s="5"/>
      <c r="B2309" s="5"/>
      <c r="C2309" s="5"/>
      <c r="D2309" s="5"/>
      <c r="E2309" s="5"/>
      <c r="F2309" s="5"/>
      <c r="G2309" s="5"/>
      <c r="H2309" s="6"/>
      <c r="I2309" s="5"/>
      <c r="J2309" s="88"/>
      <c r="K2309" s="88"/>
      <c r="L2309" s="88"/>
      <c r="M2309" s="88"/>
      <c r="N2309" s="88"/>
      <c r="O2309" s="88"/>
      <c r="P2309" s="88"/>
      <c r="Q2309" s="89"/>
      <c r="R2309" s="88"/>
      <c r="S2309" s="88"/>
      <c r="T2309" s="90"/>
      <c r="U2309" s="6"/>
      <c r="V2309" s="92"/>
      <c r="W2309" s="77"/>
      <c r="X2309" s="91"/>
      <c r="Y2309" s="77"/>
      <c r="Z2309" s="5"/>
      <c r="AA2309" s="5"/>
      <c r="AB2309" s="5"/>
      <c r="AC2309" s="5"/>
      <c r="AD2309" s="5"/>
      <c r="AE2309" s="5"/>
      <c r="AF2309" s="5"/>
      <c r="AG2309" s="5"/>
      <c r="AH2309" s="6"/>
      <c r="AI2309" s="92"/>
      <c r="AJ2309" s="93"/>
      <c r="AK2309" s="94"/>
      <c r="AL2309" s="95"/>
      <c r="AM2309" s="56"/>
      <c r="AN2309" s="57">
        <f t="shared" si="372"/>
        <v>0</v>
      </c>
      <c r="AO2309" s="76">
        <f t="shared" si="365"/>
        <v>0</v>
      </c>
      <c r="AP2309" s="63" t="str">
        <f t="shared" si="366"/>
        <v/>
      </c>
      <c r="AQ2309" s="63" t="str">
        <f t="shared" si="367"/>
        <v/>
      </c>
      <c r="AR2309" s="63" t="str">
        <f t="shared" si="368"/>
        <v/>
      </c>
      <c r="AS2309" s="63" t="str">
        <f t="shared" si="369"/>
        <v/>
      </c>
      <c r="AT2309" s="78" t="str">
        <f t="shared" si="370"/>
        <v/>
      </c>
      <c r="AU2309" s="78" t="str">
        <f t="shared" si="371"/>
        <v/>
      </c>
      <c r="AV2309" s="64" t="str">
        <f ca="1">IFERROR(__xludf.DUMMYFUNCTION("IF(TRIM(AU2309)="""","""",AU2309/INDEX(FILTER(AT$3:AT2309,TRIM(AT$3:AT2309)&lt;&gt;""""),ROWS(FILTER(AT$3:AT2309,TRIM(AT$3:AT2309)&lt;&gt;"""")))-1)"),"")</f>
        <v/>
      </c>
      <c r="AW2309" s="65" t="e">
        <f t="shared" ca="1" si="373"/>
        <v>#VALUE!</v>
      </c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</row>
    <row r="2310" spans="1:68" ht="19" x14ac:dyDescent="0.25">
      <c r="A2310" s="5"/>
      <c r="B2310" s="5"/>
      <c r="C2310" s="5"/>
      <c r="D2310" s="5"/>
      <c r="E2310" s="5"/>
      <c r="F2310" s="5"/>
      <c r="G2310" s="5"/>
      <c r="H2310" s="6"/>
      <c r="I2310" s="5"/>
      <c r="J2310" s="88"/>
      <c r="K2310" s="88"/>
      <c r="L2310" s="88"/>
      <c r="M2310" s="88"/>
      <c r="N2310" s="88"/>
      <c r="O2310" s="88"/>
      <c r="P2310" s="88"/>
      <c r="Q2310" s="89"/>
      <c r="R2310" s="88"/>
      <c r="S2310" s="88"/>
      <c r="T2310" s="90"/>
      <c r="U2310" s="6"/>
      <c r="V2310" s="92"/>
      <c r="W2310" s="77"/>
      <c r="X2310" s="91"/>
      <c r="Y2310" s="77"/>
      <c r="Z2310" s="5"/>
      <c r="AA2310" s="5"/>
      <c r="AB2310" s="5"/>
      <c r="AC2310" s="5"/>
      <c r="AD2310" s="5"/>
      <c r="AE2310" s="5"/>
      <c r="AF2310" s="5"/>
      <c r="AG2310" s="5"/>
      <c r="AH2310" s="6"/>
      <c r="AI2310" s="92"/>
      <c r="AJ2310" s="93"/>
      <c r="AK2310" s="94"/>
      <c r="AL2310" s="95"/>
      <c r="AM2310" s="56"/>
      <c r="AN2310" s="57">
        <f t="shared" si="372"/>
        <v>0</v>
      </c>
      <c r="AO2310" s="76">
        <f t="shared" si="365"/>
        <v>0</v>
      </c>
      <c r="AP2310" s="63" t="str">
        <f t="shared" si="366"/>
        <v/>
      </c>
      <c r="AQ2310" s="63" t="str">
        <f t="shared" si="367"/>
        <v/>
      </c>
      <c r="AR2310" s="63" t="str">
        <f t="shared" si="368"/>
        <v/>
      </c>
      <c r="AS2310" s="63" t="str">
        <f t="shared" si="369"/>
        <v/>
      </c>
      <c r="AT2310" s="78" t="str">
        <f t="shared" si="370"/>
        <v/>
      </c>
      <c r="AU2310" s="78" t="str">
        <f t="shared" si="371"/>
        <v/>
      </c>
      <c r="AV2310" s="64" t="str">
        <f ca="1">IFERROR(__xludf.DUMMYFUNCTION("IF(TRIM(AU2310)="""","""",AU2310/INDEX(FILTER(AT$3:AT2310,TRIM(AT$3:AT2310)&lt;&gt;""""),ROWS(FILTER(AT$3:AT2310,TRIM(AT$3:AT2310)&lt;&gt;"""")))-1)"),"")</f>
        <v/>
      </c>
      <c r="AW2310" s="65" t="e">
        <f t="shared" ca="1" si="373"/>
        <v>#VALUE!</v>
      </c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</row>
    <row r="2311" spans="1:68" ht="19" x14ac:dyDescent="0.25">
      <c r="A2311" s="5"/>
      <c r="B2311" s="5"/>
      <c r="C2311" s="5"/>
      <c r="D2311" s="5"/>
      <c r="E2311" s="5"/>
      <c r="F2311" s="5"/>
      <c r="G2311" s="5"/>
      <c r="H2311" s="6"/>
      <c r="I2311" s="5"/>
      <c r="J2311" s="88"/>
      <c r="K2311" s="88"/>
      <c r="L2311" s="88"/>
      <c r="M2311" s="88"/>
      <c r="N2311" s="88"/>
      <c r="O2311" s="88"/>
      <c r="P2311" s="88"/>
      <c r="Q2311" s="89"/>
      <c r="R2311" s="88"/>
      <c r="S2311" s="88"/>
      <c r="T2311" s="90"/>
      <c r="U2311" s="6"/>
      <c r="V2311" s="96"/>
      <c r="W2311" s="77"/>
      <c r="X2311" s="91"/>
      <c r="Y2311" s="77"/>
      <c r="Z2311" s="5"/>
      <c r="AA2311" s="5"/>
      <c r="AB2311" s="5"/>
      <c r="AC2311" s="5"/>
      <c r="AD2311" s="5"/>
      <c r="AE2311" s="5"/>
      <c r="AF2311" s="5"/>
      <c r="AG2311" s="5"/>
      <c r="AH2311" s="6"/>
      <c r="AI2311" s="96"/>
      <c r="AJ2311" s="93"/>
      <c r="AK2311" s="94"/>
      <c r="AL2311" s="95"/>
      <c r="AM2311" s="56"/>
      <c r="AN2311" s="57">
        <f t="shared" si="372"/>
        <v>0</v>
      </c>
      <c r="AO2311" s="76">
        <f t="shared" ref="AO2311:AO2374" si="374">AVERAGE(AN2307:AN2311)</f>
        <v>0</v>
      </c>
      <c r="AP2311" s="63" t="str">
        <f t="shared" ref="AP2311:AP2374" si="375">IF(AO2311&gt;0,"Buy Stocks","")</f>
        <v/>
      </c>
      <c r="AQ2311" s="63" t="str">
        <f t="shared" ref="AQ2311:AQ2374" si="376">IF(AO2311&lt;0,"Sell Stocks","")</f>
        <v/>
      </c>
      <c r="AR2311" s="63" t="str">
        <f t="shared" ref="AR2311:AR2374" si="377">IF(AND(AP2311="Buy Stocks",AP2310=""),"Buy Stocks","")</f>
        <v/>
      </c>
      <c r="AS2311" s="63" t="str">
        <f t="shared" ref="AS2311:AS2374" si="378">IF(AND(AQ2311="Sell Stocks",AQ2310=""),"Sell Stocks","")</f>
        <v/>
      </c>
      <c r="AT2311" s="78" t="str">
        <f t="shared" ref="AT2311:AT2374" si="379">IF(AR2311="Buy Stocks",AJ2311,"")</f>
        <v/>
      </c>
      <c r="AU2311" s="78" t="str">
        <f t="shared" ref="AU2311:AU2374" si="380">IF(AS2311="Sell Stocks",AJ2311,"")</f>
        <v/>
      </c>
      <c r="AV2311" s="64" t="str">
        <f ca="1">IFERROR(__xludf.DUMMYFUNCTION("IF(TRIM(AU2311)="""","""",AU2311/INDEX(FILTER(AT$3:AT2311,TRIM(AT$3:AT2311)&lt;&gt;""""),ROWS(FILTER(AT$3:AT2311,TRIM(AT$3:AT2311)&lt;&gt;"""")))-1)"),"")</f>
        <v/>
      </c>
      <c r="AW2311" s="65" t="e">
        <f t="shared" ca="1" si="373"/>
        <v>#VALUE!</v>
      </c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</row>
    <row r="2312" spans="1:68" ht="19" x14ac:dyDescent="0.25">
      <c r="A2312" s="5"/>
      <c r="B2312" s="5"/>
      <c r="C2312" s="5"/>
      <c r="D2312" s="5"/>
      <c r="E2312" s="5"/>
      <c r="F2312" s="5"/>
      <c r="G2312" s="5"/>
      <c r="H2312" s="6"/>
      <c r="I2312" s="5"/>
      <c r="J2312" s="88"/>
      <c r="K2312" s="88"/>
      <c r="L2312" s="88"/>
      <c r="M2312" s="88"/>
      <c r="N2312" s="88"/>
      <c r="O2312" s="88"/>
      <c r="P2312" s="88"/>
      <c r="Q2312" s="89"/>
      <c r="R2312" s="88"/>
      <c r="S2312" s="88"/>
      <c r="T2312" s="90"/>
      <c r="U2312" s="6"/>
      <c r="V2312" s="96"/>
      <c r="W2312" s="77"/>
      <c r="X2312" s="91"/>
      <c r="Y2312" s="77"/>
      <c r="Z2312" s="5"/>
      <c r="AA2312" s="5"/>
      <c r="AB2312" s="5"/>
      <c r="AC2312" s="5"/>
      <c r="AD2312" s="5"/>
      <c r="AE2312" s="5"/>
      <c r="AF2312" s="5"/>
      <c r="AG2312" s="5"/>
      <c r="AH2312" s="6"/>
      <c r="AI2312" s="96"/>
      <c r="AJ2312" s="93"/>
      <c r="AK2312" s="94"/>
      <c r="AL2312" s="95"/>
      <c r="AM2312" s="56"/>
      <c r="AN2312" s="57">
        <f t="shared" si="372"/>
        <v>0</v>
      </c>
      <c r="AO2312" s="76">
        <f t="shared" si="374"/>
        <v>0</v>
      </c>
      <c r="AP2312" s="63" t="str">
        <f t="shared" si="375"/>
        <v/>
      </c>
      <c r="AQ2312" s="63" t="str">
        <f t="shared" si="376"/>
        <v/>
      </c>
      <c r="AR2312" s="63" t="str">
        <f t="shared" si="377"/>
        <v/>
      </c>
      <c r="AS2312" s="63" t="str">
        <f t="shared" si="378"/>
        <v/>
      </c>
      <c r="AT2312" s="78" t="str">
        <f t="shared" si="379"/>
        <v/>
      </c>
      <c r="AU2312" s="78" t="str">
        <f t="shared" si="380"/>
        <v/>
      </c>
      <c r="AV2312" s="64" t="str">
        <f ca="1">IFERROR(__xludf.DUMMYFUNCTION("IF(TRIM(AU2312)="""","""",AU2312/INDEX(FILTER(AT$3:AT2312,TRIM(AT$3:AT2312)&lt;&gt;""""),ROWS(FILTER(AT$3:AT2312,TRIM(AT$3:AT2312)&lt;&gt;"""")))-1)"),"")</f>
        <v/>
      </c>
      <c r="AW2312" s="65" t="e">
        <f t="shared" ca="1" si="373"/>
        <v>#VALUE!</v>
      </c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</row>
    <row r="2313" spans="1:68" ht="19" x14ac:dyDescent="0.25">
      <c r="A2313" s="5"/>
      <c r="B2313" s="5"/>
      <c r="C2313" s="5"/>
      <c r="D2313" s="5"/>
      <c r="E2313" s="5"/>
      <c r="F2313" s="5"/>
      <c r="G2313" s="5"/>
      <c r="H2313" s="6"/>
      <c r="I2313" s="5"/>
      <c r="J2313" s="88"/>
      <c r="K2313" s="88"/>
      <c r="L2313" s="88"/>
      <c r="M2313" s="88"/>
      <c r="N2313" s="88"/>
      <c r="O2313" s="88"/>
      <c r="P2313" s="88"/>
      <c r="Q2313" s="89"/>
      <c r="R2313" s="88"/>
      <c r="S2313" s="88"/>
      <c r="T2313" s="90"/>
      <c r="U2313" s="6"/>
      <c r="V2313" s="96"/>
      <c r="W2313" s="77"/>
      <c r="X2313" s="91"/>
      <c r="Y2313" s="77"/>
      <c r="Z2313" s="5"/>
      <c r="AA2313" s="5"/>
      <c r="AB2313" s="5"/>
      <c r="AC2313" s="5"/>
      <c r="AD2313" s="5"/>
      <c r="AE2313" s="5"/>
      <c r="AF2313" s="5"/>
      <c r="AG2313" s="5"/>
      <c r="AH2313" s="6"/>
      <c r="AI2313" s="96"/>
      <c r="AJ2313" s="93"/>
      <c r="AK2313" s="94"/>
      <c r="AL2313" s="95"/>
      <c r="AM2313" s="56"/>
      <c r="AN2313" s="57">
        <f t="shared" si="372"/>
        <v>0</v>
      </c>
      <c r="AO2313" s="76">
        <f t="shared" si="374"/>
        <v>0</v>
      </c>
      <c r="AP2313" s="63" t="str">
        <f t="shared" si="375"/>
        <v/>
      </c>
      <c r="AQ2313" s="63" t="str">
        <f t="shared" si="376"/>
        <v/>
      </c>
      <c r="AR2313" s="63" t="str">
        <f t="shared" si="377"/>
        <v/>
      </c>
      <c r="AS2313" s="63" t="str">
        <f t="shared" si="378"/>
        <v/>
      </c>
      <c r="AT2313" s="78" t="str">
        <f t="shared" si="379"/>
        <v/>
      </c>
      <c r="AU2313" s="78" t="str">
        <f t="shared" si="380"/>
        <v/>
      </c>
      <c r="AV2313" s="64" t="str">
        <f ca="1">IFERROR(__xludf.DUMMYFUNCTION("IF(TRIM(AU2313)="""","""",AU2313/INDEX(FILTER(AT$3:AT2313,TRIM(AT$3:AT2313)&lt;&gt;""""),ROWS(FILTER(AT$3:AT2313,TRIM(AT$3:AT2313)&lt;&gt;"""")))-1)"),"")</f>
        <v/>
      </c>
      <c r="AW2313" s="65" t="e">
        <f t="shared" ca="1" si="373"/>
        <v>#VALUE!</v>
      </c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</row>
    <row r="2314" spans="1:68" ht="19" x14ac:dyDescent="0.25">
      <c r="A2314" s="5"/>
      <c r="B2314" s="5"/>
      <c r="C2314" s="5"/>
      <c r="D2314" s="5"/>
      <c r="E2314" s="5"/>
      <c r="F2314" s="5"/>
      <c r="G2314" s="5"/>
      <c r="H2314" s="6"/>
      <c r="I2314" s="5"/>
      <c r="J2314" s="88"/>
      <c r="K2314" s="88"/>
      <c r="L2314" s="88"/>
      <c r="M2314" s="88"/>
      <c r="N2314" s="88"/>
      <c r="O2314" s="88"/>
      <c r="P2314" s="88"/>
      <c r="Q2314" s="89"/>
      <c r="R2314" s="88"/>
      <c r="S2314" s="88"/>
      <c r="T2314" s="90"/>
      <c r="U2314" s="6"/>
      <c r="V2314" s="96"/>
      <c r="W2314" s="77"/>
      <c r="X2314" s="91"/>
      <c r="Y2314" s="77"/>
      <c r="Z2314" s="5"/>
      <c r="AA2314" s="5"/>
      <c r="AB2314" s="5"/>
      <c r="AC2314" s="5"/>
      <c r="AD2314" s="5"/>
      <c r="AE2314" s="5"/>
      <c r="AF2314" s="5"/>
      <c r="AG2314" s="5"/>
      <c r="AH2314" s="6"/>
      <c r="AI2314" s="96"/>
      <c r="AJ2314" s="93"/>
      <c r="AK2314" s="94"/>
      <c r="AL2314" s="95"/>
      <c r="AM2314" s="56"/>
      <c r="AN2314" s="57">
        <f t="shared" si="372"/>
        <v>0</v>
      </c>
      <c r="AO2314" s="76">
        <f t="shared" si="374"/>
        <v>0</v>
      </c>
      <c r="AP2314" s="63" t="str">
        <f t="shared" si="375"/>
        <v/>
      </c>
      <c r="AQ2314" s="63" t="str">
        <f t="shared" si="376"/>
        <v/>
      </c>
      <c r="AR2314" s="63" t="str">
        <f t="shared" si="377"/>
        <v/>
      </c>
      <c r="AS2314" s="63" t="str">
        <f t="shared" si="378"/>
        <v/>
      </c>
      <c r="AT2314" s="78" t="str">
        <f t="shared" si="379"/>
        <v/>
      </c>
      <c r="AU2314" s="78" t="str">
        <f t="shared" si="380"/>
        <v/>
      </c>
      <c r="AV2314" s="64" t="str">
        <f ca="1">IFERROR(__xludf.DUMMYFUNCTION("IF(TRIM(AU2314)="""","""",AU2314/INDEX(FILTER(AT$3:AT2314,TRIM(AT$3:AT2314)&lt;&gt;""""),ROWS(FILTER(AT$3:AT2314,TRIM(AT$3:AT2314)&lt;&gt;"""")))-1)"),"")</f>
        <v/>
      </c>
      <c r="AW2314" s="65" t="e">
        <f t="shared" ca="1" si="373"/>
        <v>#VALUE!</v>
      </c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</row>
    <row r="2315" spans="1:68" ht="19" x14ac:dyDescent="0.25">
      <c r="A2315" s="5"/>
      <c r="B2315" s="5"/>
      <c r="C2315" s="5"/>
      <c r="D2315" s="5"/>
      <c r="E2315" s="5"/>
      <c r="F2315" s="5"/>
      <c r="G2315" s="5"/>
      <c r="H2315" s="6"/>
      <c r="I2315" s="5"/>
      <c r="J2315" s="88"/>
      <c r="K2315" s="88"/>
      <c r="L2315" s="88"/>
      <c r="M2315" s="88"/>
      <c r="N2315" s="88"/>
      <c r="O2315" s="88"/>
      <c r="P2315" s="88"/>
      <c r="Q2315" s="89"/>
      <c r="R2315" s="88"/>
      <c r="S2315" s="88"/>
      <c r="T2315" s="90"/>
      <c r="U2315" s="6"/>
      <c r="V2315" s="96"/>
      <c r="W2315" s="77"/>
      <c r="X2315" s="91"/>
      <c r="Y2315" s="77"/>
      <c r="Z2315" s="5"/>
      <c r="AA2315" s="5"/>
      <c r="AB2315" s="5"/>
      <c r="AC2315" s="5"/>
      <c r="AD2315" s="5"/>
      <c r="AE2315" s="5"/>
      <c r="AF2315" s="5"/>
      <c r="AG2315" s="5"/>
      <c r="AH2315" s="6"/>
      <c r="AI2315" s="96"/>
      <c r="AJ2315" s="93"/>
      <c r="AK2315" s="94"/>
      <c r="AL2315" s="95"/>
      <c r="AM2315" s="56"/>
      <c r="AN2315" s="57">
        <f t="shared" si="372"/>
        <v>0</v>
      </c>
      <c r="AO2315" s="76">
        <f t="shared" si="374"/>
        <v>0</v>
      </c>
      <c r="AP2315" s="63" t="str">
        <f t="shared" si="375"/>
        <v/>
      </c>
      <c r="AQ2315" s="63" t="str">
        <f t="shared" si="376"/>
        <v/>
      </c>
      <c r="AR2315" s="63" t="str">
        <f t="shared" si="377"/>
        <v/>
      </c>
      <c r="AS2315" s="63" t="str">
        <f t="shared" si="378"/>
        <v/>
      </c>
      <c r="AT2315" s="78" t="str">
        <f t="shared" si="379"/>
        <v/>
      </c>
      <c r="AU2315" s="78" t="str">
        <f t="shared" si="380"/>
        <v/>
      </c>
      <c r="AV2315" s="64" t="str">
        <f ca="1">IFERROR(__xludf.DUMMYFUNCTION("IF(TRIM(AU2315)="""","""",AU2315/INDEX(FILTER(AT$3:AT2315,TRIM(AT$3:AT2315)&lt;&gt;""""),ROWS(FILTER(AT$3:AT2315,TRIM(AT$3:AT2315)&lt;&gt;"""")))-1)"),"")</f>
        <v/>
      </c>
      <c r="AW2315" s="65" t="e">
        <f t="shared" ca="1" si="373"/>
        <v>#VALUE!</v>
      </c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</row>
    <row r="2316" spans="1:68" ht="19" x14ac:dyDescent="0.25">
      <c r="A2316" s="5"/>
      <c r="B2316" s="5"/>
      <c r="C2316" s="5"/>
      <c r="D2316" s="5"/>
      <c r="E2316" s="5"/>
      <c r="F2316" s="5"/>
      <c r="G2316" s="5"/>
      <c r="H2316" s="6"/>
      <c r="I2316" s="5"/>
      <c r="J2316" s="88"/>
      <c r="K2316" s="88"/>
      <c r="L2316" s="88"/>
      <c r="M2316" s="88"/>
      <c r="N2316" s="88"/>
      <c r="O2316" s="88"/>
      <c r="P2316" s="88"/>
      <c r="Q2316" s="89"/>
      <c r="R2316" s="88"/>
      <c r="S2316" s="88"/>
      <c r="T2316" s="90"/>
      <c r="U2316" s="6"/>
      <c r="V2316" s="96"/>
      <c r="W2316" s="77"/>
      <c r="X2316" s="91"/>
      <c r="Y2316" s="77"/>
      <c r="Z2316" s="5"/>
      <c r="AA2316" s="5"/>
      <c r="AB2316" s="5"/>
      <c r="AC2316" s="5"/>
      <c r="AD2316" s="5"/>
      <c r="AE2316" s="5"/>
      <c r="AF2316" s="5"/>
      <c r="AG2316" s="5"/>
      <c r="AH2316" s="6"/>
      <c r="AI2316" s="96"/>
      <c r="AJ2316" s="93"/>
      <c r="AK2316" s="94"/>
      <c r="AL2316" s="95"/>
      <c r="AM2316" s="56"/>
      <c r="AN2316" s="57">
        <f t="shared" si="372"/>
        <v>0</v>
      </c>
      <c r="AO2316" s="76">
        <f t="shared" si="374"/>
        <v>0</v>
      </c>
      <c r="AP2316" s="63" t="str">
        <f t="shared" si="375"/>
        <v/>
      </c>
      <c r="AQ2316" s="63" t="str">
        <f t="shared" si="376"/>
        <v/>
      </c>
      <c r="AR2316" s="63" t="str">
        <f t="shared" si="377"/>
        <v/>
      </c>
      <c r="AS2316" s="63" t="str">
        <f t="shared" si="378"/>
        <v/>
      </c>
      <c r="AT2316" s="78" t="str">
        <f t="shared" si="379"/>
        <v/>
      </c>
      <c r="AU2316" s="78" t="str">
        <f t="shared" si="380"/>
        <v/>
      </c>
      <c r="AV2316" s="64" t="str">
        <f ca="1">IFERROR(__xludf.DUMMYFUNCTION("IF(TRIM(AU2316)="""","""",AU2316/INDEX(FILTER(AT$3:AT2316,TRIM(AT$3:AT2316)&lt;&gt;""""),ROWS(FILTER(AT$3:AT2316,TRIM(AT$3:AT2316)&lt;&gt;"""")))-1)"),"")</f>
        <v/>
      </c>
      <c r="AW2316" s="65" t="e">
        <f t="shared" ca="1" si="373"/>
        <v>#VALUE!</v>
      </c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</row>
    <row r="2317" spans="1:68" ht="19" x14ac:dyDescent="0.25">
      <c r="A2317" s="5"/>
      <c r="B2317" s="5"/>
      <c r="C2317" s="5"/>
      <c r="D2317" s="5"/>
      <c r="E2317" s="5"/>
      <c r="F2317" s="5"/>
      <c r="G2317" s="5"/>
      <c r="H2317" s="6"/>
      <c r="I2317" s="5"/>
      <c r="J2317" s="88"/>
      <c r="K2317" s="88"/>
      <c r="L2317" s="88"/>
      <c r="M2317" s="88"/>
      <c r="N2317" s="88"/>
      <c r="O2317" s="88"/>
      <c r="P2317" s="88"/>
      <c r="Q2317" s="89"/>
      <c r="R2317" s="88"/>
      <c r="S2317" s="88"/>
      <c r="T2317" s="90"/>
      <c r="U2317" s="6"/>
      <c r="V2317" s="96"/>
      <c r="W2317" s="77"/>
      <c r="X2317" s="91"/>
      <c r="Y2317" s="77"/>
      <c r="Z2317" s="5"/>
      <c r="AA2317" s="5"/>
      <c r="AB2317" s="5"/>
      <c r="AC2317" s="5"/>
      <c r="AD2317" s="5"/>
      <c r="AE2317" s="5"/>
      <c r="AF2317" s="5"/>
      <c r="AG2317" s="5"/>
      <c r="AH2317" s="6"/>
      <c r="AI2317" s="96"/>
      <c r="AJ2317" s="93"/>
      <c r="AK2317" s="94"/>
      <c r="AL2317" s="95"/>
      <c r="AM2317" s="56"/>
      <c r="AN2317" s="57">
        <f t="shared" si="372"/>
        <v>0</v>
      </c>
      <c r="AO2317" s="76">
        <f t="shared" si="374"/>
        <v>0</v>
      </c>
      <c r="AP2317" s="63" t="str">
        <f t="shared" si="375"/>
        <v/>
      </c>
      <c r="AQ2317" s="63" t="str">
        <f t="shared" si="376"/>
        <v/>
      </c>
      <c r="AR2317" s="63" t="str">
        <f t="shared" si="377"/>
        <v/>
      </c>
      <c r="AS2317" s="63" t="str">
        <f t="shared" si="378"/>
        <v/>
      </c>
      <c r="AT2317" s="78" t="str">
        <f t="shared" si="379"/>
        <v/>
      </c>
      <c r="AU2317" s="78" t="str">
        <f t="shared" si="380"/>
        <v/>
      </c>
      <c r="AV2317" s="64" t="str">
        <f ca="1">IFERROR(__xludf.DUMMYFUNCTION("IF(TRIM(AU2317)="""","""",AU2317/INDEX(FILTER(AT$3:AT2317,TRIM(AT$3:AT2317)&lt;&gt;""""),ROWS(FILTER(AT$3:AT2317,TRIM(AT$3:AT2317)&lt;&gt;"""")))-1)"),"")</f>
        <v/>
      </c>
      <c r="AW2317" s="65" t="e">
        <f t="shared" ca="1" si="373"/>
        <v>#VALUE!</v>
      </c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</row>
    <row r="2318" spans="1:68" ht="19" x14ac:dyDescent="0.25">
      <c r="A2318" s="5"/>
      <c r="B2318" s="5"/>
      <c r="C2318" s="5"/>
      <c r="D2318" s="5"/>
      <c r="E2318" s="5"/>
      <c r="F2318" s="5"/>
      <c r="G2318" s="5"/>
      <c r="H2318" s="6"/>
      <c r="I2318" s="5"/>
      <c r="J2318" s="88"/>
      <c r="K2318" s="88"/>
      <c r="L2318" s="88"/>
      <c r="M2318" s="88"/>
      <c r="N2318" s="88"/>
      <c r="O2318" s="88"/>
      <c r="P2318" s="88"/>
      <c r="Q2318" s="89"/>
      <c r="R2318" s="88"/>
      <c r="S2318" s="88"/>
      <c r="T2318" s="90"/>
      <c r="U2318" s="6"/>
      <c r="V2318" s="96"/>
      <c r="W2318" s="77"/>
      <c r="X2318" s="91"/>
      <c r="Y2318" s="77"/>
      <c r="Z2318" s="5"/>
      <c r="AA2318" s="5"/>
      <c r="AB2318" s="5"/>
      <c r="AC2318" s="5"/>
      <c r="AD2318" s="5"/>
      <c r="AE2318" s="5"/>
      <c r="AF2318" s="5"/>
      <c r="AG2318" s="5"/>
      <c r="AH2318" s="6"/>
      <c r="AI2318" s="96"/>
      <c r="AJ2318" s="93"/>
      <c r="AK2318" s="94"/>
      <c r="AL2318" s="95"/>
      <c r="AM2318" s="56"/>
      <c r="AN2318" s="57">
        <f t="shared" si="372"/>
        <v>0</v>
      </c>
      <c r="AO2318" s="76">
        <f t="shared" si="374"/>
        <v>0</v>
      </c>
      <c r="AP2318" s="63" t="str">
        <f t="shared" si="375"/>
        <v/>
      </c>
      <c r="AQ2318" s="63" t="str">
        <f t="shared" si="376"/>
        <v/>
      </c>
      <c r="AR2318" s="63" t="str">
        <f t="shared" si="377"/>
        <v/>
      </c>
      <c r="AS2318" s="63" t="str">
        <f t="shared" si="378"/>
        <v/>
      </c>
      <c r="AT2318" s="78" t="str">
        <f t="shared" si="379"/>
        <v/>
      </c>
      <c r="AU2318" s="78" t="str">
        <f t="shared" si="380"/>
        <v/>
      </c>
      <c r="AV2318" s="64" t="str">
        <f ca="1">IFERROR(__xludf.DUMMYFUNCTION("IF(TRIM(AU2318)="""","""",AU2318/INDEX(FILTER(AT$3:AT2318,TRIM(AT$3:AT2318)&lt;&gt;""""),ROWS(FILTER(AT$3:AT2318,TRIM(AT$3:AT2318)&lt;&gt;"""")))-1)"),"")</f>
        <v/>
      </c>
      <c r="AW2318" s="65" t="e">
        <f t="shared" ca="1" si="373"/>
        <v>#VALUE!</v>
      </c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</row>
    <row r="2319" spans="1:68" ht="19" x14ac:dyDescent="0.25">
      <c r="A2319" s="5"/>
      <c r="B2319" s="5"/>
      <c r="C2319" s="5"/>
      <c r="D2319" s="5"/>
      <c r="E2319" s="5"/>
      <c r="F2319" s="5"/>
      <c r="G2319" s="5"/>
      <c r="H2319" s="6"/>
      <c r="I2319" s="5"/>
      <c r="J2319" s="88"/>
      <c r="K2319" s="88"/>
      <c r="L2319" s="88"/>
      <c r="M2319" s="88"/>
      <c r="N2319" s="88"/>
      <c r="O2319" s="88"/>
      <c r="P2319" s="88"/>
      <c r="Q2319" s="89"/>
      <c r="R2319" s="88"/>
      <c r="S2319" s="88"/>
      <c r="T2319" s="90"/>
      <c r="U2319" s="6"/>
      <c r="V2319" s="96"/>
      <c r="W2319" s="77"/>
      <c r="X2319" s="91"/>
      <c r="Y2319" s="77"/>
      <c r="Z2319" s="5"/>
      <c r="AA2319" s="5"/>
      <c r="AB2319" s="5"/>
      <c r="AC2319" s="5"/>
      <c r="AD2319" s="5"/>
      <c r="AE2319" s="5"/>
      <c r="AF2319" s="5"/>
      <c r="AG2319" s="5"/>
      <c r="AH2319" s="6"/>
      <c r="AI2319" s="96"/>
      <c r="AJ2319" s="93"/>
      <c r="AK2319" s="94"/>
      <c r="AL2319" s="95"/>
      <c r="AM2319" s="56"/>
      <c r="AN2319" s="57">
        <f t="shared" si="372"/>
        <v>0</v>
      </c>
      <c r="AO2319" s="76">
        <f t="shared" si="374"/>
        <v>0</v>
      </c>
      <c r="AP2319" s="63" t="str">
        <f t="shared" si="375"/>
        <v/>
      </c>
      <c r="AQ2319" s="63" t="str">
        <f t="shared" si="376"/>
        <v/>
      </c>
      <c r="AR2319" s="63" t="str">
        <f t="shared" si="377"/>
        <v/>
      </c>
      <c r="AS2319" s="63" t="str">
        <f t="shared" si="378"/>
        <v/>
      </c>
      <c r="AT2319" s="78" t="str">
        <f t="shared" si="379"/>
        <v/>
      </c>
      <c r="AU2319" s="78" t="str">
        <f t="shared" si="380"/>
        <v/>
      </c>
      <c r="AV2319" s="64" t="str">
        <f ca="1">IFERROR(__xludf.DUMMYFUNCTION("IF(TRIM(AU2319)="""","""",AU2319/INDEX(FILTER(AT$3:AT2319,TRIM(AT$3:AT2319)&lt;&gt;""""),ROWS(FILTER(AT$3:AT2319,TRIM(AT$3:AT2319)&lt;&gt;"""")))-1)"),"")</f>
        <v/>
      </c>
      <c r="AW2319" s="65" t="e">
        <f t="shared" ca="1" si="373"/>
        <v>#VALUE!</v>
      </c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</row>
    <row r="2320" spans="1:68" ht="19" x14ac:dyDescent="0.25">
      <c r="A2320" s="5"/>
      <c r="B2320" s="5"/>
      <c r="C2320" s="5"/>
      <c r="D2320" s="5"/>
      <c r="E2320" s="5"/>
      <c r="F2320" s="5"/>
      <c r="G2320" s="5"/>
      <c r="H2320" s="6"/>
      <c r="I2320" s="5"/>
      <c r="J2320" s="88"/>
      <c r="K2320" s="88"/>
      <c r="L2320" s="88"/>
      <c r="M2320" s="88"/>
      <c r="N2320" s="88"/>
      <c r="O2320" s="88"/>
      <c r="P2320" s="88"/>
      <c r="Q2320" s="89"/>
      <c r="R2320" s="88"/>
      <c r="S2320" s="88"/>
      <c r="T2320" s="90"/>
      <c r="U2320" s="6"/>
      <c r="V2320" s="96"/>
      <c r="W2320" s="77"/>
      <c r="X2320" s="91"/>
      <c r="Y2320" s="77"/>
      <c r="Z2320" s="5"/>
      <c r="AA2320" s="5"/>
      <c r="AB2320" s="5"/>
      <c r="AC2320" s="5"/>
      <c r="AD2320" s="5"/>
      <c r="AE2320" s="5"/>
      <c r="AF2320" s="5"/>
      <c r="AG2320" s="5"/>
      <c r="AH2320" s="6"/>
      <c r="AI2320" s="96"/>
      <c r="AJ2320" s="93"/>
      <c r="AK2320" s="94"/>
      <c r="AL2320" s="95"/>
      <c r="AM2320" s="56"/>
      <c r="AN2320" s="57">
        <f t="shared" si="372"/>
        <v>0</v>
      </c>
      <c r="AO2320" s="76">
        <f t="shared" si="374"/>
        <v>0</v>
      </c>
      <c r="AP2320" s="63" t="str">
        <f t="shared" si="375"/>
        <v/>
      </c>
      <c r="AQ2320" s="63" t="str">
        <f t="shared" si="376"/>
        <v/>
      </c>
      <c r="AR2320" s="63" t="str">
        <f t="shared" si="377"/>
        <v/>
      </c>
      <c r="AS2320" s="63" t="str">
        <f t="shared" si="378"/>
        <v/>
      </c>
      <c r="AT2320" s="78" t="str">
        <f t="shared" si="379"/>
        <v/>
      </c>
      <c r="AU2320" s="78" t="str">
        <f t="shared" si="380"/>
        <v/>
      </c>
      <c r="AV2320" s="64" t="str">
        <f ca="1">IFERROR(__xludf.DUMMYFUNCTION("IF(TRIM(AU2320)="""","""",AU2320/INDEX(FILTER(AT$3:AT2320,TRIM(AT$3:AT2320)&lt;&gt;""""),ROWS(FILTER(AT$3:AT2320,TRIM(AT$3:AT2320)&lt;&gt;"""")))-1)"),"")</f>
        <v/>
      </c>
      <c r="AW2320" s="65" t="e">
        <f t="shared" ca="1" si="373"/>
        <v>#VALUE!</v>
      </c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</row>
    <row r="2321" spans="1:68" ht="19" x14ac:dyDescent="0.25">
      <c r="A2321" s="5"/>
      <c r="B2321" s="5"/>
      <c r="C2321" s="5"/>
      <c r="D2321" s="5"/>
      <c r="E2321" s="5"/>
      <c r="F2321" s="5"/>
      <c r="G2321" s="5"/>
      <c r="H2321" s="6"/>
      <c r="I2321" s="5"/>
      <c r="J2321" s="88"/>
      <c r="K2321" s="88"/>
      <c r="L2321" s="88"/>
      <c r="M2321" s="88"/>
      <c r="N2321" s="88"/>
      <c r="O2321" s="88"/>
      <c r="P2321" s="88"/>
      <c r="Q2321" s="89"/>
      <c r="R2321" s="88"/>
      <c r="S2321" s="88"/>
      <c r="T2321" s="90"/>
      <c r="U2321" s="6"/>
      <c r="V2321" s="96"/>
      <c r="W2321" s="77"/>
      <c r="X2321" s="91"/>
      <c r="Y2321" s="77"/>
      <c r="Z2321" s="5"/>
      <c r="AA2321" s="5"/>
      <c r="AB2321" s="5"/>
      <c r="AC2321" s="5"/>
      <c r="AD2321" s="5"/>
      <c r="AE2321" s="5"/>
      <c r="AF2321" s="5"/>
      <c r="AG2321" s="5"/>
      <c r="AH2321" s="6"/>
      <c r="AI2321" s="96"/>
      <c r="AJ2321" s="93"/>
      <c r="AK2321" s="94"/>
      <c r="AL2321" s="95"/>
      <c r="AM2321" s="56"/>
      <c r="AN2321" s="57">
        <f t="shared" si="372"/>
        <v>0</v>
      </c>
      <c r="AO2321" s="76">
        <f t="shared" si="374"/>
        <v>0</v>
      </c>
      <c r="AP2321" s="63" t="str">
        <f t="shared" si="375"/>
        <v/>
      </c>
      <c r="AQ2321" s="63" t="str">
        <f t="shared" si="376"/>
        <v/>
      </c>
      <c r="AR2321" s="63" t="str">
        <f t="shared" si="377"/>
        <v/>
      </c>
      <c r="AS2321" s="63" t="str">
        <f t="shared" si="378"/>
        <v/>
      </c>
      <c r="AT2321" s="78" t="str">
        <f t="shared" si="379"/>
        <v/>
      </c>
      <c r="AU2321" s="78" t="str">
        <f t="shared" si="380"/>
        <v/>
      </c>
      <c r="AV2321" s="64" t="str">
        <f ca="1">IFERROR(__xludf.DUMMYFUNCTION("IF(TRIM(AU2321)="""","""",AU2321/INDEX(FILTER(AT$3:AT2321,TRIM(AT$3:AT2321)&lt;&gt;""""),ROWS(FILTER(AT$3:AT2321,TRIM(AT$3:AT2321)&lt;&gt;"""")))-1)"),"")</f>
        <v/>
      </c>
      <c r="AW2321" s="65" t="e">
        <f t="shared" ca="1" si="373"/>
        <v>#VALUE!</v>
      </c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</row>
    <row r="2322" spans="1:68" ht="19" x14ac:dyDescent="0.25">
      <c r="A2322" s="5"/>
      <c r="B2322" s="5"/>
      <c r="C2322" s="5"/>
      <c r="D2322" s="5"/>
      <c r="E2322" s="5"/>
      <c r="F2322" s="5"/>
      <c r="G2322" s="5"/>
      <c r="H2322" s="6"/>
      <c r="I2322" s="5"/>
      <c r="J2322" s="88"/>
      <c r="K2322" s="88"/>
      <c r="L2322" s="88"/>
      <c r="M2322" s="88"/>
      <c r="N2322" s="88"/>
      <c r="O2322" s="88"/>
      <c r="P2322" s="88"/>
      <c r="Q2322" s="89"/>
      <c r="R2322" s="88"/>
      <c r="S2322" s="88"/>
      <c r="T2322" s="90"/>
      <c r="U2322" s="6"/>
      <c r="V2322" s="96"/>
      <c r="W2322" s="77"/>
      <c r="X2322" s="91"/>
      <c r="Y2322" s="77"/>
      <c r="Z2322" s="5"/>
      <c r="AA2322" s="5"/>
      <c r="AB2322" s="5"/>
      <c r="AC2322" s="5"/>
      <c r="AD2322" s="5"/>
      <c r="AE2322" s="5"/>
      <c r="AF2322" s="5"/>
      <c r="AG2322" s="5"/>
      <c r="AH2322" s="6"/>
      <c r="AI2322" s="96"/>
      <c r="AJ2322" s="93"/>
      <c r="AK2322" s="94"/>
      <c r="AL2322" s="95"/>
      <c r="AM2322" s="56"/>
      <c r="AN2322" s="57">
        <f t="shared" si="372"/>
        <v>0</v>
      </c>
      <c r="AO2322" s="76">
        <f t="shared" si="374"/>
        <v>0</v>
      </c>
      <c r="AP2322" s="63" t="str">
        <f t="shared" si="375"/>
        <v/>
      </c>
      <c r="AQ2322" s="63" t="str">
        <f t="shared" si="376"/>
        <v/>
      </c>
      <c r="AR2322" s="63" t="str">
        <f t="shared" si="377"/>
        <v/>
      </c>
      <c r="AS2322" s="63" t="str">
        <f t="shared" si="378"/>
        <v/>
      </c>
      <c r="AT2322" s="78" t="str">
        <f t="shared" si="379"/>
        <v/>
      </c>
      <c r="AU2322" s="78" t="str">
        <f t="shared" si="380"/>
        <v/>
      </c>
      <c r="AV2322" s="64" t="str">
        <f ca="1">IFERROR(__xludf.DUMMYFUNCTION("IF(TRIM(AU2322)="""","""",AU2322/INDEX(FILTER(AT$3:AT2322,TRIM(AT$3:AT2322)&lt;&gt;""""),ROWS(FILTER(AT$3:AT2322,TRIM(AT$3:AT2322)&lt;&gt;"""")))-1)"),"")</f>
        <v/>
      </c>
      <c r="AW2322" s="65" t="e">
        <f t="shared" ca="1" si="373"/>
        <v>#VALUE!</v>
      </c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</row>
    <row r="2323" spans="1:68" ht="19" x14ac:dyDescent="0.25">
      <c r="A2323" s="5"/>
      <c r="B2323" s="5"/>
      <c r="C2323" s="5"/>
      <c r="D2323" s="5"/>
      <c r="E2323" s="5"/>
      <c r="F2323" s="5"/>
      <c r="G2323" s="5"/>
      <c r="H2323" s="6"/>
      <c r="I2323" s="5"/>
      <c r="J2323" s="88"/>
      <c r="K2323" s="88"/>
      <c r="L2323" s="88"/>
      <c r="M2323" s="88"/>
      <c r="N2323" s="88"/>
      <c r="O2323" s="88"/>
      <c r="P2323" s="88"/>
      <c r="Q2323" s="89"/>
      <c r="R2323" s="88"/>
      <c r="S2323" s="88"/>
      <c r="T2323" s="90"/>
      <c r="U2323" s="6"/>
      <c r="V2323" s="96"/>
      <c r="W2323" s="77"/>
      <c r="X2323" s="91"/>
      <c r="Y2323" s="77"/>
      <c r="Z2323" s="5"/>
      <c r="AA2323" s="5"/>
      <c r="AB2323" s="5"/>
      <c r="AC2323" s="5"/>
      <c r="AD2323" s="5"/>
      <c r="AE2323" s="5"/>
      <c r="AF2323" s="5"/>
      <c r="AG2323" s="5"/>
      <c r="AH2323" s="6"/>
      <c r="AI2323" s="96"/>
      <c r="AJ2323" s="93"/>
      <c r="AK2323" s="94"/>
      <c r="AL2323" s="95"/>
      <c r="AM2323" s="56"/>
      <c r="AN2323" s="57">
        <f t="shared" si="372"/>
        <v>0</v>
      </c>
      <c r="AO2323" s="76">
        <f t="shared" si="374"/>
        <v>0</v>
      </c>
      <c r="AP2323" s="63" t="str">
        <f t="shared" si="375"/>
        <v/>
      </c>
      <c r="AQ2323" s="63" t="str">
        <f t="shared" si="376"/>
        <v/>
      </c>
      <c r="AR2323" s="63" t="str">
        <f t="shared" si="377"/>
        <v/>
      </c>
      <c r="AS2323" s="63" t="str">
        <f t="shared" si="378"/>
        <v/>
      </c>
      <c r="AT2323" s="78" t="str">
        <f t="shared" si="379"/>
        <v/>
      </c>
      <c r="AU2323" s="78" t="str">
        <f t="shared" si="380"/>
        <v/>
      </c>
      <c r="AV2323" s="64" t="str">
        <f ca="1">IFERROR(__xludf.DUMMYFUNCTION("IF(TRIM(AU2323)="""","""",AU2323/INDEX(FILTER(AT$3:AT2323,TRIM(AT$3:AT2323)&lt;&gt;""""),ROWS(FILTER(AT$3:AT2323,TRIM(AT$3:AT2323)&lt;&gt;"""")))-1)"),"")</f>
        <v/>
      </c>
      <c r="AW2323" s="65" t="e">
        <f t="shared" ca="1" si="373"/>
        <v>#VALUE!</v>
      </c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</row>
    <row r="2324" spans="1:68" ht="19" x14ac:dyDescent="0.25">
      <c r="A2324" s="5"/>
      <c r="B2324" s="5"/>
      <c r="C2324" s="5"/>
      <c r="D2324" s="5"/>
      <c r="E2324" s="5"/>
      <c r="F2324" s="5"/>
      <c r="G2324" s="5"/>
      <c r="H2324" s="6"/>
      <c r="I2324" s="5"/>
      <c r="J2324" s="88"/>
      <c r="K2324" s="88"/>
      <c r="L2324" s="88"/>
      <c r="M2324" s="88"/>
      <c r="N2324" s="88"/>
      <c r="O2324" s="88"/>
      <c r="P2324" s="88"/>
      <c r="Q2324" s="89"/>
      <c r="R2324" s="88"/>
      <c r="S2324" s="88"/>
      <c r="T2324" s="90"/>
      <c r="U2324" s="6"/>
      <c r="V2324" s="96"/>
      <c r="W2324" s="77"/>
      <c r="X2324" s="91"/>
      <c r="Y2324" s="77"/>
      <c r="Z2324" s="5"/>
      <c r="AA2324" s="5"/>
      <c r="AB2324" s="5"/>
      <c r="AC2324" s="5"/>
      <c r="AD2324" s="5"/>
      <c r="AE2324" s="5"/>
      <c r="AF2324" s="5"/>
      <c r="AG2324" s="5"/>
      <c r="AH2324" s="6"/>
      <c r="AI2324" s="96"/>
      <c r="AJ2324" s="93"/>
      <c r="AK2324" s="94"/>
      <c r="AL2324" s="95"/>
      <c r="AM2324" s="56"/>
      <c r="AN2324" s="57">
        <f t="shared" si="372"/>
        <v>0</v>
      </c>
      <c r="AO2324" s="76">
        <f t="shared" si="374"/>
        <v>0</v>
      </c>
      <c r="AP2324" s="63" t="str">
        <f t="shared" si="375"/>
        <v/>
      </c>
      <c r="AQ2324" s="63" t="str">
        <f t="shared" si="376"/>
        <v/>
      </c>
      <c r="AR2324" s="63" t="str">
        <f t="shared" si="377"/>
        <v/>
      </c>
      <c r="AS2324" s="63" t="str">
        <f t="shared" si="378"/>
        <v/>
      </c>
      <c r="AT2324" s="78" t="str">
        <f t="shared" si="379"/>
        <v/>
      </c>
      <c r="AU2324" s="78" t="str">
        <f t="shared" si="380"/>
        <v/>
      </c>
      <c r="AV2324" s="64" t="str">
        <f ca="1">IFERROR(__xludf.DUMMYFUNCTION("IF(TRIM(AU2324)="""","""",AU2324/INDEX(FILTER(AT$3:AT2324,TRIM(AT$3:AT2324)&lt;&gt;""""),ROWS(FILTER(AT$3:AT2324,TRIM(AT$3:AT2324)&lt;&gt;"""")))-1)"),"")</f>
        <v/>
      </c>
      <c r="AW2324" s="65" t="e">
        <f t="shared" ca="1" si="373"/>
        <v>#VALUE!</v>
      </c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</row>
    <row r="2325" spans="1:68" ht="19" x14ac:dyDescent="0.25">
      <c r="A2325" s="5"/>
      <c r="B2325" s="5"/>
      <c r="C2325" s="5"/>
      <c r="D2325" s="5"/>
      <c r="E2325" s="5"/>
      <c r="F2325" s="5"/>
      <c r="G2325" s="5"/>
      <c r="H2325" s="6"/>
      <c r="I2325" s="5"/>
      <c r="J2325" s="88"/>
      <c r="K2325" s="88"/>
      <c r="L2325" s="88"/>
      <c r="M2325" s="88"/>
      <c r="N2325" s="88"/>
      <c r="O2325" s="88"/>
      <c r="P2325" s="88"/>
      <c r="Q2325" s="89"/>
      <c r="R2325" s="88"/>
      <c r="S2325" s="88"/>
      <c r="T2325" s="90"/>
      <c r="U2325" s="6"/>
      <c r="V2325" s="92"/>
      <c r="W2325" s="77"/>
      <c r="X2325" s="91"/>
      <c r="Y2325" s="77"/>
      <c r="Z2325" s="5"/>
      <c r="AA2325" s="5"/>
      <c r="AB2325" s="5"/>
      <c r="AC2325" s="5"/>
      <c r="AD2325" s="5"/>
      <c r="AE2325" s="5"/>
      <c r="AF2325" s="5"/>
      <c r="AG2325" s="5"/>
      <c r="AH2325" s="6"/>
      <c r="AI2325" s="92"/>
      <c r="AJ2325" s="93"/>
      <c r="AK2325" s="94"/>
      <c r="AL2325" s="95"/>
      <c r="AM2325" s="56"/>
      <c r="AN2325" s="57">
        <f t="shared" si="372"/>
        <v>0</v>
      </c>
      <c r="AO2325" s="76">
        <f t="shared" si="374"/>
        <v>0</v>
      </c>
      <c r="AP2325" s="63" t="str">
        <f t="shared" si="375"/>
        <v/>
      </c>
      <c r="AQ2325" s="63" t="str">
        <f t="shared" si="376"/>
        <v/>
      </c>
      <c r="AR2325" s="63" t="str">
        <f t="shared" si="377"/>
        <v/>
      </c>
      <c r="AS2325" s="63" t="str">
        <f t="shared" si="378"/>
        <v/>
      </c>
      <c r="AT2325" s="78" t="str">
        <f t="shared" si="379"/>
        <v/>
      </c>
      <c r="AU2325" s="78" t="str">
        <f t="shared" si="380"/>
        <v/>
      </c>
      <c r="AV2325" s="64" t="str">
        <f ca="1">IFERROR(__xludf.DUMMYFUNCTION("IF(TRIM(AU2325)="""","""",AU2325/INDEX(FILTER(AT$3:AT2325,TRIM(AT$3:AT2325)&lt;&gt;""""),ROWS(FILTER(AT$3:AT2325,TRIM(AT$3:AT2325)&lt;&gt;"""")))-1)"),"")</f>
        <v/>
      </c>
      <c r="AW2325" s="65" t="e">
        <f t="shared" ca="1" si="373"/>
        <v>#VALUE!</v>
      </c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</row>
    <row r="2326" spans="1:68" ht="19" x14ac:dyDescent="0.25">
      <c r="A2326" s="5"/>
      <c r="B2326" s="5"/>
      <c r="C2326" s="5"/>
      <c r="D2326" s="5"/>
      <c r="E2326" s="5"/>
      <c r="F2326" s="5"/>
      <c r="G2326" s="5"/>
      <c r="H2326" s="6"/>
      <c r="I2326" s="5"/>
      <c r="J2326" s="88"/>
      <c r="K2326" s="88"/>
      <c r="L2326" s="88"/>
      <c r="M2326" s="88"/>
      <c r="N2326" s="88"/>
      <c r="O2326" s="88"/>
      <c r="P2326" s="88"/>
      <c r="Q2326" s="89"/>
      <c r="R2326" s="88"/>
      <c r="S2326" s="88"/>
      <c r="T2326" s="90"/>
      <c r="U2326" s="6"/>
      <c r="V2326" s="92"/>
      <c r="W2326" s="77"/>
      <c r="X2326" s="91"/>
      <c r="Y2326" s="77"/>
      <c r="Z2326" s="5"/>
      <c r="AA2326" s="5"/>
      <c r="AB2326" s="5"/>
      <c r="AC2326" s="5"/>
      <c r="AD2326" s="5"/>
      <c r="AE2326" s="5"/>
      <c r="AF2326" s="5"/>
      <c r="AG2326" s="5"/>
      <c r="AH2326" s="6"/>
      <c r="AI2326" s="92"/>
      <c r="AJ2326" s="93"/>
      <c r="AK2326" s="94"/>
      <c r="AL2326" s="95"/>
      <c r="AM2326" s="56"/>
      <c r="AN2326" s="57">
        <f t="shared" si="372"/>
        <v>0</v>
      </c>
      <c r="AO2326" s="76">
        <f t="shared" si="374"/>
        <v>0</v>
      </c>
      <c r="AP2326" s="63" t="str">
        <f t="shared" si="375"/>
        <v/>
      </c>
      <c r="AQ2326" s="63" t="str">
        <f t="shared" si="376"/>
        <v/>
      </c>
      <c r="AR2326" s="63" t="str">
        <f t="shared" si="377"/>
        <v/>
      </c>
      <c r="AS2326" s="63" t="str">
        <f t="shared" si="378"/>
        <v/>
      </c>
      <c r="AT2326" s="78" t="str">
        <f t="shared" si="379"/>
        <v/>
      </c>
      <c r="AU2326" s="78" t="str">
        <f t="shared" si="380"/>
        <v/>
      </c>
      <c r="AV2326" s="64" t="str">
        <f ca="1">IFERROR(__xludf.DUMMYFUNCTION("IF(TRIM(AU2326)="""","""",AU2326/INDEX(FILTER(AT$3:AT2326,TRIM(AT$3:AT2326)&lt;&gt;""""),ROWS(FILTER(AT$3:AT2326,TRIM(AT$3:AT2326)&lt;&gt;"""")))-1)"),"")</f>
        <v/>
      </c>
      <c r="AW2326" s="65" t="e">
        <f t="shared" ca="1" si="373"/>
        <v>#VALUE!</v>
      </c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</row>
    <row r="2327" spans="1:68" ht="19" x14ac:dyDescent="0.25">
      <c r="A2327" s="5"/>
      <c r="B2327" s="5"/>
      <c r="C2327" s="5"/>
      <c r="D2327" s="5"/>
      <c r="E2327" s="5"/>
      <c r="F2327" s="5"/>
      <c r="G2327" s="5"/>
      <c r="H2327" s="6"/>
      <c r="I2327" s="5"/>
      <c r="J2327" s="88"/>
      <c r="K2327" s="88"/>
      <c r="L2327" s="88"/>
      <c r="M2327" s="88"/>
      <c r="N2327" s="88"/>
      <c r="O2327" s="88"/>
      <c r="P2327" s="88"/>
      <c r="Q2327" s="89"/>
      <c r="R2327" s="88"/>
      <c r="S2327" s="88"/>
      <c r="T2327" s="90"/>
      <c r="U2327" s="6"/>
      <c r="V2327" s="92"/>
      <c r="W2327" s="77"/>
      <c r="X2327" s="91"/>
      <c r="Y2327" s="77"/>
      <c r="Z2327" s="5"/>
      <c r="AA2327" s="5"/>
      <c r="AB2327" s="5"/>
      <c r="AC2327" s="5"/>
      <c r="AD2327" s="5"/>
      <c r="AE2327" s="5"/>
      <c r="AF2327" s="5"/>
      <c r="AG2327" s="5"/>
      <c r="AH2327" s="6"/>
      <c r="AI2327" s="92"/>
      <c r="AJ2327" s="93"/>
      <c r="AK2327" s="94"/>
      <c r="AL2327" s="95"/>
      <c r="AM2327" s="56"/>
      <c r="AN2327" s="57">
        <f t="shared" si="372"/>
        <v>0</v>
      </c>
      <c r="AO2327" s="76">
        <f t="shared" si="374"/>
        <v>0</v>
      </c>
      <c r="AP2327" s="63" t="str">
        <f t="shared" si="375"/>
        <v/>
      </c>
      <c r="AQ2327" s="63" t="str">
        <f t="shared" si="376"/>
        <v/>
      </c>
      <c r="AR2327" s="63" t="str">
        <f t="shared" si="377"/>
        <v/>
      </c>
      <c r="AS2327" s="63" t="str">
        <f t="shared" si="378"/>
        <v/>
      </c>
      <c r="AT2327" s="78" t="str">
        <f t="shared" si="379"/>
        <v/>
      </c>
      <c r="AU2327" s="78" t="str">
        <f t="shared" si="380"/>
        <v/>
      </c>
      <c r="AV2327" s="64" t="str">
        <f ca="1">IFERROR(__xludf.DUMMYFUNCTION("IF(TRIM(AU2327)="""","""",AU2327/INDEX(FILTER(AT$3:AT2327,TRIM(AT$3:AT2327)&lt;&gt;""""),ROWS(FILTER(AT$3:AT2327,TRIM(AT$3:AT2327)&lt;&gt;"""")))-1)"),"")</f>
        <v/>
      </c>
      <c r="AW2327" s="65" t="e">
        <f t="shared" ca="1" si="373"/>
        <v>#VALUE!</v>
      </c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</row>
    <row r="2328" spans="1:68" ht="19" x14ac:dyDescent="0.25">
      <c r="A2328" s="5"/>
      <c r="B2328" s="5"/>
      <c r="C2328" s="5"/>
      <c r="D2328" s="5"/>
      <c r="E2328" s="5"/>
      <c r="F2328" s="5"/>
      <c r="G2328" s="5"/>
      <c r="H2328" s="6"/>
      <c r="I2328" s="5"/>
      <c r="J2328" s="88"/>
      <c r="K2328" s="88"/>
      <c r="L2328" s="88"/>
      <c r="M2328" s="88"/>
      <c r="N2328" s="88"/>
      <c r="O2328" s="88"/>
      <c r="P2328" s="88"/>
      <c r="Q2328" s="89"/>
      <c r="R2328" s="88"/>
      <c r="S2328" s="88"/>
      <c r="T2328" s="90"/>
      <c r="U2328" s="6"/>
      <c r="V2328" s="92"/>
      <c r="W2328" s="77"/>
      <c r="X2328" s="91"/>
      <c r="Y2328" s="77"/>
      <c r="Z2328" s="5"/>
      <c r="AA2328" s="5"/>
      <c r="AB2328" s="5"/>
      <c r="AC2328" s="5"/>
      <c r="AD2328" s="5"/>
      <c r="AE2328" s="5"/>
      <c r="AF2328" s="5"/>
      <c r="AG2328" s="5"/>
      <c r="AH2328" s="6"/>
      <c r="AI2328" s="92"/>
      <c r="AJ2328" s="93"/>
      <c r="AK2328" s="94"/>
      <c r="AL2328" s="95"/>
      <c r="AM2328" s="56"/>
      <c r="AN2328" s="57">
        <f t="shared" si="372"/>
        <v>0</v>
      </c>
      <c r="AO2328" s="76">
        <f t="shared" si="374"/>
        <v>0</v>
      </c>
      <c r="AP2328" s="63" t="str">
        <f t="shared" si="375"/>
        <v/>
      </c>
      <c r="AQ2328" s="63" t="str">
        <f t="shared" si="376"/>
        <v/>
      </c>
      <c r="AR2328" s="63" t="str">
        <f t="shared" si="377"/>
        <v/>
      </c>
      <c r="AS2328" s="63" t="str">
        <f t="shared" si="378"/>
        <v/>
      </c>
      <c r="AT2328" s="78" t="str">
        <f t="shared" si="379"/>
        <v/>
      </c>
      <c r="AU2328" s="78" t="str">
        <f t="shared" si="380"/>
        <v/>
      </c>
      <c r="AV2328" s="64" t="str">
        <f ca="1">IFERROR(__xludf.DUMMYFUNCTION("IF(TRIM(AU2328)="""","""",AU2328/INDEX(FILTER(AT$3:AT2328,TRIM(AT$3:AT2328)&lt;&gt;""""),ROWS(FILTER(AT$3:AT2328,TRIM(AT$3:AT2328)&lt;&gt;"""")))-1)"),"")</f>
        <v/>
      </c>
      <c r="AW2328" s="65" t="e">
        <f t="shared" ca="1" si="373"/>
        <v>#VALUE!</v>
      </c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</row>
    <row r="2329" spans="1:68" ht="19" x14ac:dyDescent="0.25">
      <c r="A2329" s="5"/>
      <c r="B2329" s="5"/>
      <c r="C2329" s="5"/>
      <c r="D2329" s="5"/>
      <c r="E2329" s="5"/>
      <c r="F2329" s="5"/>
      <c r="G2329" s="5"/>
      <c r="H2329" s="6"/>
      <c r="I2329" s="5"/>
      <c r="J2329" s="88"/>
      <c r="K2329" s="88"/>
      <c r="L2329" s="88"/>
      <c r="M2329" s="88"/>
      <c r="N2329" s="88"/>
      <c r="O2329" s="88"/>
      <c r="P2329" s="88"/>
      <c r="Q2329" s="89"/>
      <c r="R2329" s="88"/>
      <c r="S2329" s="88"/>
      <c r="T2329" s="90"/>
      <c r="U2329" s="6"/>
      <c r="V2329" s="92"/>
      <c r="W2329" s="77"/>
      <c r="X2329" s="91"/>
      <c r="Y2329" s="77"/>
      <c r="Z2329" s="5"/>
      <c r="AA2329" s="5"/>
      <c r="AB2329" s="5"/>
      <c r="AC2329" s="5"/>
      <c r="AD2329" s="5"/>
      <c r="AE2329" s="5"/>
      <c r="AF2329" s="5"/>
      <c r="AG2329" s="5"/>
      <c r="AH2329" s="6"/>
      <c r="AI2329" s="92"/>
      <c r="AJ2329" s="93"/>
      <c r="AK2329" s="94"/>
      <c r="AL2329" s="95"/>
      <c r="AM2329" s="56"/>
      <c r="AN2329" s="57">
        <f t="shared" si="372"/>
        <v>0</v>
      </c>
      <c r="AO2329" s="76">
        <f t="shared" si="374"/>
        <v>0</v>
      </c>
      <c r="AP2329" s="63" t="str">
        <f t="shared" si="375"/>
        <v/>
      </c>
      <c r="AQ2329" s="63" t="str">
        <f t="shared" si="376"/>
        <v/>
      </c>
      <c r="AR2329" s="63" t="str">
        <f t="shared" si="377"/>
        <v/>
      </c>
      <c r="AS2329" s="63" t="str">
        <f t="shared" si="378"/>
        <v/>
      </c>
      <c r="AT2329" s="78" t="str">
        <f t="shared" si="379"/>
        <v/>
      </c>
      <c r="AU2329" s="78" t="str">
        <f t="shared" si="380"/>
        <v/>
      </c>
      <c r="AV2329" s="64" t="str">
        <f ca="1">IFERROR(__xludf.DUMMYFUNCTION("IF(TRIM(AU2329)="""","""",AU2329/INDEX(FILTER(AT$3:AT2329,TRIM(AT$3:AT2329)&lt;&gt;""""),ROWS(FILTER(AT$3:AT2329,TRIM(AT$3:AT2329)&lt;&gt;"""")))-1)"),"")</f>
        <v/>
      </c>
      <c r="AW2329" s="65" t="e">
        <f t="shared" ca="1" si="373"/>
        <v>#VALUE!</v>
      </c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</row>
    <row r="2330" spans="1:68" ht="19" x14ac:dyDescent="0.25">
      <c r="A2330" s="5"/>
      <c r="B2330" s="5"/>
      <c r="C2330" s="5"/>
      <c r="D2330" s="5"/>
      <c r="E2330" s="5"/>
      <c r="F2330" s="5"/>
      <c r="G2330" s="5"/>
      <c r="H2330" s="6"/>
      <c r="I2330" s="5"/>
      <c r="J2330" s="88"/>
      <c r="K2330" s="88"/>
      <c r="L2330" s="88"/>
      <c r="M2330" s="88"/>
      <c r="N2330" s="88"/>
      <c r="O2330" s="88"/>
      <c r="P2330" s="88"/>
      <c r="Q2330" s="89"/>
      <c r="R2330" s="88"/>
      <c r="S2330" s="88"/>
      <c r="T2330" s="90"/>
      <c r="U2330" s="6"/>
      <c r="V2330" s="92"/>
      <c r="W2330" s="77"/>
      <c r="X2330" s="91"/>
      <c r="Y2330" s="77"/>
      <c r="Z2330" s="5"/>
      <c r="AA2330" s="5"/>
      <c r="AB2330" s="5"/>
      <c r="AC2330" s="5"/>
      <c r="AD2330" s="5"/>
      <c r="AE2330" s="5"/>
      <c r="AF2330" s="5"/>
      <c r="AG2330" s="5"/>
      <c r="AH2330" s="6"/>
      <c r="AI2330" s="92"/>
      <c r="AJ2330" s="93"/>
      <c r="AK2330" s="94"/>
      <c r="AL2330" s="95"/>
      <c r="AM2330" s="56"/>
      <c r="AN2330" s="57">
        <f t="shared" si="372"/>
        <v>0</v>
      </c>
      <c r="AO2330" s="76">
        <f t="shared" si="374"/>
        <v>0</v>
      </c>
      <c r="AP2330" s="63" t="str">
        <f t="shared" si="375"/>
        <v/>
      </c>
      <c r="AQ2330" s="63" t="str">
        <f t="shared" si="376"/>
        <v/>
      </c>
      <c r="AR2330" s="63" t="str">
        <f t="shared" si="377"/>
        <v/>
      </c>
      <c r="AS2330" s="63" t="str">
        <f t="shared" si="378"/>
        <v/>
      </c>
      <c r="AT2330" s="78" t="str">
        <f t="shared" si="379"/>
        <v/>
      </c>
      <c r="AU2330" s="78" t="str">
        <f t="shared" si="380"/>
        <v/>
      </c>
      <c r="AV2330" s="64" t="str">
        <f ca="1">IFERROR(__xludf.DUMMYFUNCTION("IF(TRIM(AU2330)="""","""",AU2330/INDEX(FILTER(AT$3:AT2330,TRIM(AT$3:AT2330)&lt;&gt;""""),ROWS(FILTER(AT$3:AT2330,TRIM(AT$3:AT2330)&lt;&gt;"""")))-1)"),"")</f>
        <v/>
      </c>
      <c r="AW2330" s="65" t="e">
        <f t="shared" ca="1" si="373"/>
        <v>#VALUE!</v>
      </c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</row>
    <row r="2331" spans="1:68" ht="19" x14ac:dyDescent="0.25">
      <c r="A2331" s="5"/>
      <c r="B2331" s="5"/>
      <c r="C2331" s="5"/>
      <c r="D2331" s="5"/>
      <c r="E2331" s="5"/>
      <c r="F2331" s="5"/>
      <c r="G2331" s="5"/>
      <c r="H2331" s="6"/>
      <c r="I2331" s="5"/>
      <c r="J2331" s="88"/>
      <c r="K2331" s="88"/>
      <c r="L2331" s="88"/>
      <c r="M2331" s="88"/>
      <c r="N2331" s="88"/>
      <c r="O2331" s="88"/>
      <c r="P2331" s="88"/>
      <c r="Q2331" s="89"/>
      <c r="R2331" s="88"/>
      <c r="S2331" s="88"/>
      <c r="T2331" s="90"/>
      <c r="U2331" s="6"/>
      <c r="V2331" s="92"/>
      <c r="W2331" s="77"/>
      <c r="X2331" s="91"/>
      <c r="Y2331" s="77"/>
      <c r="Z2331" s="5"/>
      <c r="AA2331" s="5"/>
      <c r="AB2331" s="5"/>
      <c r="AC2331" s="5"/>
      <c r="AD2331" s="5"/>
      <c r="AE2331" s="5"/>
      <c r="AF2331" s="5"/>
      <c r="AG2331" s="5"/>
      <c r="AH2331" s="6"/>
      <c r="AI2331" s="92"/>
      <c r="AJ2331" s="93"/>
      <c r="AK2331" s="94"/>
      <c r="AL2331" s="95"/>
      <c r="AM2331" s="56"/>
      <c r="AN2331" s="57">
        <f t="shared" si="372"/>
        <v>0</v>
      </c>
      <c r="AO2331" s="76">
        <f t="shared" si="374"/>
        <v>0</v>
      </c>
      <c r="AP2331" s="63" t="str">
        <f t="shared" si="375"/>
        <v/>
      </c>
      <c r="AQ2331" s="63" t="str">
        <f t="shared" si="376"/>
        <v/>
      </c>
      <c r="AR2331" s="63" t="str">
        <f t="shared" si="377"/>
        <v/>
      </c>
      <c r="AS2331" s="63" t="str">
        <f t="shared" si="378"/>
        <v/>
      </c>
      <c r="AT2331" s="78" t="str">
        <f t="shared" si="379"/>
        <v/>
      </c>
      <c r="AU2331" s="78" t="str">
        <f t="shared" si="380"/>
        <v/>
      </c>
      <c r="AV2331" s="64" t="str">
        <f ca="1">IFERROR(__xludf.DUMMYFUNCTION("IF(TRIM(AU2331)="""","""",AU2331/INDEX(FILTER(AT$3:AT2331,TRIM(AT$3:AT2331)&lt;&gt;""""),ROWS(FILTER(AT$3:AT2331,TRIM(AT$3:AT2331)&lt;&gt;"""")))-1)"),"")</f>
        <v/>
      </c>
      <c r="AW2331" s="65" t="e">
        <f t="shared" ca="1" si="373"/>
        <v>#VALUE!</v>
      </c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</row>
    <row r="2332" spans="1:68" ht="19" x14ac:dyDescent="0.25">
      <c r="A2332" s="5"/>
      <c r="B2332" s="5"/>
      <c r="C2332" s="5"/>
      <c r="D2332" s="5"/>
      <c r="E2332" s="5"/>
      <c r="F2332" s="5"/>
      <c r="G2332" s="5"/>
      <c r="H2332" s="6"/>
      <c r="I2332" s="5"/>
      <c r="J2332" s="88"/>
      <c r="K2332" s="88"/>
      <c r="L2332" s="88"/>
      <c r="M2332" s="88"/>
      <c r="N2332" s="88"/>
      <c r="O2332" s="88"/>
      <c r="P2332" s="88"/>
      <c r="Q2332" s="89"/>
      <c r="R2332" s="88"/>
      <c r="S2332" s="88"/>
      <c r="T2332" s="90"/>
      <c r="U2332" s="6"/>
      <c r="V2332" s="96"/>
      <c r="W2332" s="77"/>
      <c r="X2332" s="91"/>
      <c r="Y2332" s="77"/>
      <c r="Z2332" s="5"/>
      <c r="AA2332" s="5"/>
      <c r="AB2332" s="5"/>
      <c r="AC2332" s="5"/>
      <c r="AD2332" s="5"/>
      <c r="AE2332" s="5"/>
      <c r="AF2332" s="5"/>
      <c r="AG2332" s="5"/>
      <c r="AH2332" s="6"/>
      <c r="AI2332" s="96"/>
      <c r="AJ2332" s="93"/>
      <c r="AK2332" s="94"/>
      <c r="AL2332" s="95"/>
      <c r="AM2332" s="56"/>
      <c r="AN2332" s="57">
        <f t="shared" si="372"/>
        <v>0</v>
      </c>
      <c r="AO2332" s="76">
        <f t="shared" si="374"/>
        <v>0</v>
      </c>
      <c r="AP2332" s="63" t="str">
        <f t="shared" si="375"/>
        <v/>
      </c>
      <c r="AQ2332" s="63" t="str">
        <f t="shared" si="376"/>
        <v/>
      </c>
      <c r="AR2332" s="63" t="str">
        <f t="shared" si="377"/>
        <v/>
      </c>
      <c r="AS2332" s="63" t="str">
        <f t="shared" si="378"/>
        <v/>
      </c>
      <c r="AT2332" s="78" t="str">
        <f t="shared" si="379"/>
        <v/>
      </c>
      <c r="AU2332" s="78" t="str">
        <f t="shared" si="380"/>
        <v/>
      </c>
      <c r="AV2332" s="64" t="str">
        <f ca="1">IFERROR(__xludf.DUMMYFUNCTION("IF(TRIM(AU2332)="""","""",AU2332/INDEX(FILTER(AT$3:AT2332,TRIM(AT$3:AT2332)&lt;&gt;""""),ROWS(FILTER(AT$3:AT2332,TRIM(AT$3:AT2332)&lt;&gt;"""")))-1)"),"")</f>
        <v/>
      </c>
      <c r="AW2332" s="65" t="e">
        <f t="shared" ca="1" si="373"/>
        <v>#VALUE!</v>
      </c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</row>
    <row r="2333" spans="1:68" ht="19" x14ac:dyDescent="0.25">
      <c r="A2333" s="5"/>
      <c r="B2333" s="5"/>
      <c r="C2333" s="5"/>
      <c r="D2333" s="5"/>
      <c r="E2333" s="5"/>
      <c r="F2333" s="5"/>
      <c r="G2333" s="5"/>
      <c r="H2333" s="6"/>
      <c r="I2333" s="5"/>
      <c r="J2333" s="88"/>
      <c r="K2333" s="88"/>
      <c r="L2333" s="88"/>
      <c r="M2333" s="88"/>
      <c r="N2333" s="88"/>
      <c r="O2333" s="88"/>
      <c r="P2333" s="88"/>
      <c r="Q2333" s="89"/>
      <c r="R2333" s="88"/>
      <c r="S2333" s="88"/>
      <c r="T2333" s="90"/>
      <c r="U2333" s="6"/>
      <c r="V2333" s="96"/>
      <c r="W2333" s="77"/>
      <c r="X2333" s="91"/>
      <c r="Y2333" s="77"/>
      <c r="Z2333" s="5"/>
      <c r="AA2333" s="5"/>
      <c r="AB2333" s="5"/>
      <c r="AC2333" s="5"/>
      <c r="AD2333" s="5"/>
      <c r="AE2333" s="5"/>
      <c r="AF2333" s="5"/>
      <c r="AG2333" s="5"/>
      <c r="AH2333" s="6"/>
      <c r="AI2333" s="96"/>
      <c r="AJ2333" s="93"/>
      <c r="AK2333" s="94"/>
      <c r="AL2333" s="95"/>
      <c r="AM2333" s="56"/>
      <c r="AN2333" s="57">
        <f t="shared" si="372"/>
        <v>0</v>
      </c>
      <c r="AO2333" s="76">
        <f t="shared" si="374"/>
        <v>0</v>
      </c>
      <c r="AP2333" s="63" t="str">
        <f t="shared" si="375"/>
        <v/>
      </c>
      <c r="AQ2333" s="63" t="str">
        <f t="shared" si="376"/>
        <v/>
      </c>
      <c r="AR2333" s="63" t="str">
        <f t="shared" si="377"/>
        <v/>
      </c>
      <c r="AS2333" s="63" t="str">
        <f t="shared" si="378"/>
        <v/>
      </c>
      <c r="AT2333" s="78" t="str">
        <f t="shared" si="379"/>
        <v/>
      </c>
      <c r="AU2333" s="78" t="str">
        <f t="shared" si="380"/>
        <v/>
      </c>
      <c r="AV2333" s="64" t="str">
        <f ca="1">IFERROR(__xludf.DUMMYFUNCTION("IF(TRIM(AU2333)="""","""",AU2333/INDEX(FILTER(AT$3:AT2333,TRIM(AT$3:AT2333)&lt;&gt;""""),ROWS(FILTER(AT$3:AT2333,TRIM(AT$3:AT2333)&lt;&gt;"""")))-1)"),"")</f>
        <v/>
      </c>
      <c r="AW2333" s="65" t="e">
        <f t="shared" ca="1" si="373"/>
        <v>#VALUE!</v>
      </c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</row>
    <row r="2334" spans="1:68" ht="19" x14ac:dyDescent="0.25">
      <c r="A2334" s="5"/>
      <c r="B2334" s="5"/>
      <c r="C2334" s="5"/>
      <c r="D2334" s="5"/>
      <c r="E2334" s="5"/>
      <c r="F2334" s="5"/>
      <c r="G2334" s="5"/>
      <c r="H2334" s="6"/>
      <c r="I2334" s="5"/>
      <c r="J2334" s="88"/>
      <c r="K2334" s="88"/>
      <c r="L2334" s="88"/>
      <c r="M2334" s="88"/>
      <c r="N2334" s="88"/>
      <c r="O2334" s="88"/>
      <c r="P2334" s="88"/>
      <c r="Q2334" s="89"/>
      <c r="R2334" s="88"/>
      <c r="S2334" s="88"/>
      <c r="T2334" s="90"/>
      <c r="U2334" s="6"/>
      <c r="V2334" s="96"/>
      <c r="W2334" s="77"/>
      <c r="X2334" s="91"/>
      <c r="Y2334" s="77"/>
      <c r="Z2334" s="5"/>
      <c r="AA2334" s="5"/>
      <c r="AB2334" s="5"/>
      <c r="AC2334" s="5"/>
      <c r="AD2334" s="5"/>
      <c r="AE2334" s="5"/>
      <c r="AF2334" s="5"/>
      <c r="AG2334" s="5"/>
      <c r="AH2334" s="6"/>
      <c r="AI2334" s="96"/>
      <c r="AJ2334" s="93"/>
      <c r="AK2334" s="94"/>
      <c r="AL2334" s="95"/>
      <c r="AM2334" s="56"/>
      <c r="AN2334" s="57">
        <f t="shared" si="372"/>
        <v>0</v>
      </c>
      <c r="AO2334" s="76">
        <f t="shared" si="374"/>
        <v>0</v>
      </c>
      <c r="AP2334" s="63" t="str">
        <f t="shared" si="375"/>
        <v/>
      </c>
      <c r="AQ2334" s="63" t="str">
        <f t="shared" si="376"/>
        <v/>
      </c>
      <c r="AR2334" s="63" t="str">
        <f t="shared" si="377"/>
        <v/>
      </c>
      <c r="AS2334" s="63" t="str">
        <f t="shared" si="378"/>
        <v/>
      </c>
      <c r="AT2334" s="78" t="str">
        <f t="shared" si="379"/>
        <v/>
      </c>
      <c r="AU2334" s="78" t="str">
        <f t="shared" si="380"/>
        <v/>
      </c>
      <c r="AV2334" s="64" t="str">
        <f ca="1">IFERROR(__xludf.DUMMYFUNCTION("IF(TRIM(AU2334)="""","""",AU2334/INDEX(FILTER(AT$3:AT2334,TRIM(AT$3:AT2334)&lt;&gt;""""),ROWS(FILTER(AT$3:AT2334,TRIM(AT$3:AT2334)&lt;&gt;"""")))-1)"),"")</f>
        <v/>
      </c>
      <c r="AW2334" s="65" t="e">
        <f t="shared" ca="1" si="373"/>
        <v>#VALUE!</v>
      </c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</row>
    <row r="2335" spans="1:68" ht="19" x14ac:dyDescent="0.25">
      <c r="A2335" s="5"/>
      <c r="B2335" s="5"/>
      <c r="C2335" s="5"/>
      <c r="D2335" s="5"/>
      <c r="E2335" s="5"/>
      <c r="F2335" s="5"/>
      <c r="G2335" s="5"/>
      <c r="H2335" s="6"/>
      <c r="I2335" s="5"/>
      <c r="J2335" s="88"/>
      <c r="K2335" s="88"/>
      <c r="L2335" s="88"/>
      <c r="M2335" s="88"/>
      <c r="N2335" s="88"/>
      <c r="O2335" s="88"/>
      <c r="P2335" s="88"/>
      <c r="Q2335" s="89"/>
      <c r="R2335" s="88"/>
      <c r="S2335" s="88"/>
      <c r="T2335" s="90"/>
      <c r="U2335" s="6"/>
      <c r="V2335" s="96"/>
      <c r="W2335" s="77"/>
      <c r="X2335" s="91"/>
      <c r="Y2335" s="77"/>
      <c r="Z2335" s="5"/>
      <c r="AA2335" s="5"/>
      <c r="AB2335" s="5"/>
      <c r="AC2335" s="5"/>
      <c r="AD2335" s="5"/>
      <c r="AE2335" s="5"/>
      <c r="AF2335" s="5"/>
      <c r="AG2335" s="5"/>
      <c r="AH2335" s="6"/>
      <c r="AI2335" s="96"/>
      <c r="AJ2335" s="93"/>
      <c r="AK2335" s="94"/>
      <c r="AL2335" s="95"/>
      <c r="AM2335" s="56"/>
      <c r="AN2335" s="57">
        <f t="shared" si="372"/>
        <v>0</v>
      </c>
      <c r="AO2335" s="76">
        <f t="shared" si="374"/>
        <v>0</v>
      </c>
      <c r="AP2335" s="63" t="str">
        <f t="shared" si="375"/>
        <v/>
      </c>
      <c r="AQ2335" s="63" t="str">
        <f t="shared" si="376"/>
        <v/>
      </c>
      <c r="AR2335" s="63" t="str">
        <f t="shared" si="377"/>
        <v/>
      </c>
      <c r="AS2335" s="63" t="str">
        <f t="shared" si="378"/>
        <v/>
      </c>
      <c r="AT2335" s="78" t="str">
        <f t="shared" si="379"/>
        <v/>
      </c>
      <c r="AU2335" s="78" t="str">
        <f t="shared" si="380"/>
        <v/>
      </c>
      <c r="AV2335" s="64" t="str">
        <f ca="1">IFERROR(__xludf.DUMMYFUNCTION("IF(TRIM(AU2335)="""","""",AU2335/INDEX(FILTER(AT$3:AT2335,TRIM(AT$3:AT2335)&lt;&gt;""""),ROWS(FILTER(AT$3:AT2335,TRIM(AT$3:AT2335)&lt;&gt;"""")))-1)"),"")</f>
        <v/>
      </c>
      <c r="AW2335" s="65" t="e">
        <f t="shared" ca="1" si="373"/>
        <v>#VALUE!</v>
      </c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</row>
    <row r="2336" spans="1:68" ht="19" x14ac:dyDescent="0.25">
      <c r="A2336" s="5"/>
      <c r="B2336" s="5"/>
      <c r="C2336" s="5"/>
      <c r="D2336" s="5"/>
      <c r="E2336" s="5"/>
      <c r="F2336" s="5"/>
      <c r="G2336" s="5"/>
      <c r="H2336" s="6"/>
      <c r="I2336" s="5"/>
      <c r="J2336" s="88"/>
      <c r="K2336" s="88"/>
      <c r="L2336" s="88"/>
      <c r="M2336" s="88"/>
      <c r="N2336" s="88"/>
      <c r="O2336" s="88"/>
      <c r="P2336" s="88"/>
      <c r="Q2336" s="89"/>
      <c r="R2336" s="88"/>
      <c r="S2336" s="88"/>
      <c r="T2336" s="90"/>
      <c r="U2336" s="6"/>
      <c r="V2336" s="96"/>
      <c r="W2336" s="77"/>
      <c r="X2336" s="91"/>
      <c r="Y2336" s="77"/>
      <c r="Z2336" s="5"/>
      <c r="AA2336" s="5"/>
      <c r="AB2336" s="5"/>
      <c r="AC2336" s="5"/>
      <c r="AD2336" s="5"/>
      <c r="AE2336" s="5"/>
      <c r="AF2336" s="5"/>
      <c r="AG2336" s="5"/>
      <c r="AH2336" s="6"/>
      <c r="AI2336" s="96"/>
      <c r="AJ2336" s="93"/>
      <c r="AK2336" s="94"/>
      <c r="AL2336" s="95"/>
      <c r="AM2336" s="56"/>
      <c r="AN2336" s="57">
        <f t="shared" si="372"/>
        <v>0</v>
      </c>
      <c r="AO2336" s="76">
        <f t="shared" si="374"/>
        <v>0</v>
      </c>
      <c r="AP2336" s="63" t="str">
        <f t="shared" si="375"/>
        <v/>
      </c>
      <c r="AQ2336" s="63" t="str">
        <f t="shared" si="376"/>
        <v/>
      </c>
      <c r="AR2336" s="63" t="str">
        <f t="shared" si="377"/>
        <v/>
      </c>
      <c r="AS2336" s="63" t="str">
        <f t="shared" si="378"/>
        <v/>
      </c>
      <c r="AT2336" s="78" t="str">
        <f t="shared" si="379"/>
        <v/>
      </c>
      <c r="AU2336" s="78" t="str">
        <f t="shared" si="380"/>
        <v/>
      </c>
      <c r="AV2336" s="64" t="str">
        <f ca="1">IFERROR(__xludf.DUMMYFUNCTION("IF(TRIM(AU2336)="""","""",AU2336/INDEX(FILTER(AT$3:AT2336,TRIM(AT$3:AT2336)&lt;&gt;""""),ROWS(FILTER(AT$3:AT2336,TRIM(AT$3:AT2336)&lt;&gt;"""")))-1)"),"")</f>
        <v/>
      </c>
      <c r="AW2336" s="65" t="e">
        <f t="shared" ca="1" si="373"/>
        <v>#VALUE!</v>
      </c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</row>
    <row r="2337" spans="1:68" ht="19" x14ac:dyDescent="0.25">
      <c r="A2337" s="5"/>
      <c r="B2337" s="5"/>
      <c r="C2337" s="5"/>
      <c r="D2337" s="5"/>
      <c r="E2337" s="5"/>
      <c r="F2337" s="5"/>
      <c r="G2337" s="5"/>
      <c r="H2337" s="6"/>
      <c r="I2337" s="5"/>
      <c r="J2337" s="88"/>
      <c r="K2337" s="88"/>
      <c r="L2337" s="88"/>
      <c r="M2337" s="88"/>
      <c r="N2337" s="88"/>
      <c r="O2337" s="88"/>
      <c r="P2337" s="88"/>
      <c r="Q2337" s="89"/>
      <c r="R2337" s="88"/>
      <c r="S2337" s="88"/>
      <c r="T2337" s="90"/>
      <c r="U2337" s="6"/>
      <c r="V2337" s="96"/>
      <c r="W2337" s="77"/>
      <c r="X2337" s="91"/>
      <c r="Y2337" s="77"/>
      <c r="Z2337" s="5"/>
      <c r="AA2337" s="5"/>
      <c r="AB2337" s="5"/>
      <c r="AC2337" s="5"/>
      <c r="AD2337" s="5"/>
      <c r="AE2337" s="5"/>
      <c r="AF2337" s="5"/>
      <c r="AG2337" s="5"/>
      <c r="AH2337" s="6"/>
      <c r="AI2337" s="96"/>
      <c r="AJ2337" s="93"/>
      <c r="AK2337" s="94"/>
      <c r="AL2337" s="95"/>
      <c r="AM2337" s="56"/>
      <c r="AN2337" s="57">
        <f t="shared" si="372"/>
        <v>0</v>
      </c>
      <c r="AO2337" s="76">
        <f t="shared" si="374"/>
        <v>0</v>
      </c>
      <c r="AP2337" s="63" t="str">
        <f t="shared" si="375"/>
        <v/>
      </c>
      <c r="AQ2337" s="63" t="str">
        <f t="shared" si="376"/>
        <v/>
      </c>
      <c r="AR2337" s="63" t="str">
        <f t="shared" si="377"/>
        <v/>
      </c>
      <c r="AS2337" s="63" t="str">
        <f t="shared" si="378"/>
        <v/>
      </c>
      <c r="AT2337" s="78" t="str">
        <f t="shared" si="379"/>
        <v/>
      </c>
      <c r="AU2337" s="78" t="str">
        <f t="shared" si="380"/>
        <v/>
      </c>
      <c r="AV2337" s="64" t="str">
        <f ca="1">IFERROR(__xludf.DUMMYFUNCTION("IF(TRIM(AU2337)="""","""",AU2337/INDEX(FILTER(AT$3:AT2337,TRIM(AT$3:AT2337)&lt;&gt;""""),ROWS(FILTER(AT$3:AT2337,TRIM(AT$3:AT2337)&lt;&gt;"""")))-1)"),"")</f>
        <v/>
      </c>
      <c r="AW2337" s="65" t="e">
        <f t="shared" ca="1" si="373"/>
        <v>#VALUE!</v>
      </c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</row>
    <row r="2338" spans="1:68" ht="19" x14ac:dyDescent="0.25">
      <c r="A2338" s="5"/>
      <c r="B2338" s="5"/>
      <c r="C2338" s="5"/>
      <c r="D2338" s="5"/>
      <c r="E2338" s="5"/>
      <c r="F2338" s="5"/>
      <c r="G2338" s="5"/>
      <c r="H2338" s="6"/>
      <c r="I2338" s="5"/>
      <c r="J2338" s="88"/>
      <c r="K2338" s="88"/>
      <c r="L2338" s="88"/>
      <c r="M2338" s="88"/>
      <c r="N2338" s="88"/>
      <c r="O2338" s="88"/>
      <c r="P2338" s="88"/>
      <c r="Q2338" s="89"/>
      <c r="R2338" s="88"/>
      <c r="S2338" s="88"/>
      <c r="T2338" s="90"/>
      <c r="U2338" s="6"/>
      <c r="V2338" s="96"/>
      <c r="W2338" s="77"/>
      <c r="X2338" s="91"/>
      <c r="Y2338" s="77"/>
      <c r="Z2338" s="5"/>
      <c r="AA2338" s="5"/>
      <c r="AB2338" s="5"/>
      <c r="AC2338" s="5"/>
      <c r="AD2338" s="5"/>
      <c r="AE2338" s="5"/>
      <c r="AF2338" s="5"/>
      <c r="AG2338" s="5"/>
      <c r="AH2338" s="6"/>
      <c r="AI2338" s="96"/>
      <c r="AJ2338" s="93"/>
      <c r="AK2338" s="94"/>
      <c r="AL2338" s="95"/>
      <c r="AM2338" s="56"/>
      <c r="AN2338" s="57">
        <f t="shared" si="372"/>
        <v>0</v>
      </c>
      <c r="AO2338" s="76">
        <f t="shared" si="374"/>
        <v>0</v>
      </c>
      <c r="AP2338" s="63" t="str">
        <f t="shared" si="375"/>
        <v/>
      </c>
      <c r="AQ2338" s="63" t="str">
        <f t="shared" si="376"/>
        <v/>
      </c>
      <c r="AR2338" s="63" t="str">
        <f t="shared" si="377"/>
        <v/>
      </c>
      <c r="AS2338" s="63" t="str">
        <f t="shared" si="378"/>
        <v/>
      </c>
      <c r="AT2338" s="78" t="str">
        <f t="shared" si="379"/>
        <v/>
      </c>
      <c r="AU2338" s="78" t="str">
        <f t="shared" si="380"/>
        <v/>
      </c>
      <c r="AV2338" s="64" t="str">
        <f ca="1">IFERROR(__xludf.DUMMYFUNCTION("IF(TRIM(AU2338)="""","""",AU2338/INDEX(FILTER(AT$3:AT2338,TRIM(AT$3:AT2338)&lt;&gt;""""),ROWS(FILTER(AT$3:AT2338,TRIM(AT$3:AT2338)&lt;&gt;"""")))-1)"),"")</f>
        <v/>
      </c>
      <c r="AW2338" s="65" t="e">
        <f t="shared" ca="1" si="373"/>
        <v>#VALUE!</v>
      </c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</row>
    <row r="2339" spans="1:68" ht="19" x14ac:dyDescent="0.25">
      <c r="A2339" s="5"/>
      <c r="B2339" s="5"/>
      <c r="C2339" s="5"/>
      <c r="D2339" s="5"/>
      <c r="E2339" s="5"/>
      <c r="F2339" s="5"/>
      <c r="G2339" s="5"/>
      <c r="H2339" s="6"/>
      <c r="I2339" s="5"/>
      <c r="J2339" s="88"/>
      <c r="K2339" s="88"/>
      <c r="L2339" s="88"/>
      <c r="M2339" s="88"/>
      <c r="N2339" s="88"/>
      <c r="O2339" s="88"/>
      <c r="P2339" s="88"/>
      <c r="Q2339" s="89"/>
      <c r="R2339" s="88"/>
      <c r="S2339" s="88"/>
      <c r="T2339" s="90"/>
      <c r="U2339" s="6"/>
      <c r="V2339" s="96"/>
      <c r="W2339" s="77"/>
      <c r="X2339" s="91"/>
      <c r="Y2339" s="77"/>
      <c r="Z2339" s="5"/>
      <c r="AA2339" s="5"/>
      <c r="AB2339" s="5"/>
      <c r="AC2339" s="5"/>
      <c r="AD2339" s="5"/>
      <c r="AE2339" s="5"/>
      <c r="AF2339" s="5"/>
      <c r="AG2339" s="5"/>
      <c r="AH2339" s="6"/>
      <c r="AI2339" s="96"/>
      <c r="AJ2339" s="93"/>
      <c r="AK2339" s="94"/>
      <c r="AL2339" s="95"/>
      <c r="AM2339" s="56"/>
      <c r="AN2339" s="57">
        <f t="shared" si="372"/>
        <v>0</v>
      </c>
      <c r="AO2339" s="76">
        <f t="shared" si="374"/>
        <v>0</v>
      </c>
      <c r="AP2339" s="63" t="str">
        <f t="shared" si="375"/>
        <v/>
      </c>
      <c r="AQ2339" s="63" t="str">
        <f t="shared" si="376"/>
        <v/>
      </c>
      <c r="AR2339" s="63" t="str">
        <f t="shared" si="377"/>
        <v/>
      </c>
      <c r="AS2339" s="63" t="str">
        <f t="shared" si="378"/>
        <v/>
      </c>
      <c r="AT2339" s="78" t="str">
        <f t="shared" si="379"/>
        <v/>
      </c>
      <c r="AU2339" s="78" t="str">
        <f t="shared" si="380"/>
        <v/>
      </c>
      <c r="AV2339" s="64" t="str">
        <f ca="1">IFERROR(__xludf.DUMMYFUNCTION("IF(TRIM(AU2339)="""","""",AU2339/INDEX(FILTER(AT$3:AT2339,TRIM(AT$3:AT2339)&lt;&gt;""""),ROWS(FILTER(AT$3:AT2339,TRIM(AT$3:AT2339)&lt;&gt;"""")))-1)"),"")</f>
        <v/>
      </c>
      <c r="AW2339" s="65" t="e">
        <f t="shared" ca="1" si="373"/>
        <v>#VALUE!</v>
      </c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</row>
    <row r="2340" spans="1:68" ht="19" x14ac:dyDescent="0.25">
      <c r="A2340" s="5"/>
      <c r="B2340" s="5"/>
      <c r="C2340" s="5"/>
      <c r="D2340" s="5"/>
      <c r="E2340" s="5"/>
      <c r="F2340" s="5"/>
      <c r="G2340" s="5"/>
      <c r="H2340" s="6"/>
      <c r="I2340" s="5"/>
      <c r="J2340" s="88"/>
      <c r="K2340" s="88"/>
      <c r="L2340" s="88"/>
      <c r="M2340" s="88"/>
      <c r="N2340" s="88"/>
      <c r="O2340" s="88"/>
      <c r="P2340" s="88"/>
      <c r="Q2340" s="89"/>
      <c r="R2340" s="88"/>
      <c r="S2340" s="88"/>
      <c r="T2340" s="90"/>
      <c r="U2340" s="6"/>
      <c r="V2340" s="96"/>
      <c r="W2340" s="77"/>
      <c r="X2340" s="91"/>
      <c r="Y2340" s="77"/>
      <c r="Z2340" s="5"/>
      <c r="AA2340" s="5"/>
      <c r="AB2340" s="5"/>
      <c r="AC2340" s="5"/>
      <c r="AD2340" s="5"/>
      <c r="AE2340" s="5"/>
      <c r="AF2340" s="5"/>
      <c r="AG2340" s="5"/>
      <c r="AH2340" s="6"/>
      <c r="AI2340" s="96"/>
      <c r="AJ2340" s="93"/>
      <c r="AK2340" s="94"/>
      <c r="AL2340" s="95"/>
      <c r="AM2340" s="56"/>
      <c r="AN2340" s="57">
        <f t="shared" si="372"/>
        <v>0</v>
      </c>
      <c r="AO2340" s="76">
        <f t="shared" si="374"/>
        <v>0</v>
      </c>
      <c r="AP2340" s="63" t="str">
        <f t="shared" si="375"/>
        <v/>
      </c>
      <c r="AQ2340" s="63" t="str">
        <f t="shared" si="376"/>
        <v/>
      </c>
      <c r="AR2340" s="63" t="str">
        <f t="shared" si="377"/>
        <v/>
      </c>
      <c r="AS2340" s="63" t="str">
        <f t="shared" si="378"/>
        <v/>
      </c>
      <c r="AT2340" s="78" t="str">
        <f t="shared" si="379"/>
        <v/>
      </c>
      <c r="AU2340" s="78" t="str">
        <f t="shared" si="380"/>
        <v/>
      </c>
      <c r="AV2340" s="64" t="str">
        <f ca="1">IFERROR(__xludf.DUMMYFUNCTION("IF(TRIM(AU2340)="""","""",AU2340/INDEX(FILTER(AT$3:AT2340,TRIM(AT$3:AT2340)&lt;&gt;""""),ROWS(FILTER(AT$3:AT2340,TRIM(AT$3:AT2340)&lt;&gt;"""")))-1)"),"")</f>
        <v/>
      </c>
      <c r="AW2340" s="65" t="e">
        <f t="shared" ca="1" si="373"/>
        <v>#VALUE!</v>
      </c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</row>
    <row r="2341" spans="1:68" ht="19" x14ac:dyDescent="0.25">
      <c r="A2341" s="5"/>
      <c r="B2341" s="5"/>
      <c r="C2341" s="5"/>
      <c r="D2341" s="5"/>
      <c r="E2341" s="5"/>
      <c r="F2341" s="5"/>
      <c r="G2341" s="5"/>
      <c r="H2341" s="6"/>
      <c r="I2341" s="5"/>
      <c r="J2341" s="88"/>
      <c r="K2341" s="88"/>
      <c r="L2341" s="88"/>
      <c r="M2341" s="88"/>
      <c r="N2341" s="88"/>
      <c r="O2341" s="88"/>
      <c r="P2341" s="88"/>
      <c r="Q2341" s="89"/>
      <c r="R2341" s="88"/>
      <c r="S2341" s="88"/>
      <c r="T2341" s="90"/>
      <c r="U2341" s="6"/>
      <c r="V2341" s="96"/>
      <c r="W2341" s="77"/>
      <c r="X2341" s="91"/>
      <c r="Y2341" s="77"/>
      <c r="Z2341" s="5"/>
      <c r="AA2341" s="5"/>
      <c r="AB2341" s="5"/>
      <c r="AC2341" s="5"/>
      <c r="AD2341" s="5"/>
      <c r="AE2341" s="5"/>
      <c r="AF2341" s="5"/>
      <c r="AG2341" s="5"/>
      <c r="AH2341" s="6"/>
      <c r="AI2341" s="96"/>
      <c r="AJ2341" s="93"/>
      <c r="AK2341" s="94"/>
      <c r="AL2341" s="95"/>
      <c r="AM2341" s="56"/>
      <c r="AN2341" s="57">
        <f t="shared" si="372"/>
        <v>0</v>
      </c>
      <c r="AO2341" s="76">
        <f t="shared" si="374"/>
        <v>0</v>
      </c>
      <c r="AP2341" s="63" t="str">
        <f t="shared" si="375"/>
        <v/>
      </c>
      <c r="AQ2341" s="63" t="str">
        <f t="shared" si="376"/>
        <v/>
      </c>
      <c r="AR2341" s="63" t="str">
        <f t="shared" si="377"/>
        <v/>
      </c>
      <c r="AS2341" s="63" t="str">
        <f t="shared" si="378"/>
        <v/>
      </c>
      <c r="AT2341" s="78" t="str">
        <f t="shared" si="379"/>
        <v/>
      </c>
      <c r="AU2341" s="78" t="str">
        <f t="shared" si="380"/>
        <v/>
      </c>
      <c r="AV2341" s="64" t="str">
        <f ca="1">IFERROR(__xludf.DUMMYFUNCTION("IF(TRIM(AU2341)="""","""",AU2341/INDEX(FILTER(AT$3:AT2341,TRIM(AT$3:AT2341)&lt;&gt;""""),ROWS(FILTER(AT$3:AT2341,TRIM(AT$3:AT2341)&lt;&gt;"""")))-1)"),"")</f>
        <v/>
      </c>
      <c r="AW2341" s="65" t="e">
        <f t="shared" ca="1" si="373"/>
        <v>#VALUE!</v>
      </c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</row>
    <row r="2342" spans="1:68" ht="19" x14ac:dyDescent="0.25">
      <c r="A2342" s="5"/>
      <c r="B2342" s="5"/>
      <c r="C2342" s="5"/>
      <c r="D2342" s="5"/>
      <c r="E2342" s="5"/>
      <c r="F2342" s="5"/>
      <c r="G2342" s="5"/>
      <c r="H2342" s="6"/>
      <c r="I2342" s="5"/>
      <c r="J2342" s="88"/>
      <c r="K2342" s="88"/>
      <c r="L2342" s="88"/>
      <c r="M2342" s="88"/>
      <c r="N2342" s="88"/>
      <c r="O2342" s="88"/>
      <c r="P2342" s="88"/>
      <c r="Q2342" s="89"/>
      <c r="R2342" s="88"/>
      <c r="S2342" s="88"/>
      <c r="T2342" s="90"/>
      <c r="U2342" s="6"/>
      <c r="V2342" s="96"/>
      <c r="W2342" s="77"/>
      <c r="X2342" s="91"/>
      <c r="Y2342" s="77"/>
      <c r="Z2342" s="5"/>
      <c r="AA2342" s="5"/>
      <c r="AB2342" s="5"/>
      <c r="AC2342" s="5"/>
      <c r="AD2342" s="5"/>
      <c r="AE2342" s="5"/>
      <c r="AF2342" s="5"/>
      <c r="AG2342" s="5"/>
      <c r="AH2342" s="6"/>
      <c r="AI2342" s="96"/>
      <c r="AJ2342" s="93"/>
      <c r="AK2342" s="94"/>
      <c r="AL2342" s="95"/>
      <c r="AM2342" s="56"/>
      <c r="AN2342" s="57">
        <f t="shared" si="372"/>
        <v>0</v>
      </c>
      <c r="AO2342" s="76">
        <f t="shared" si="374"/>
        <v>0</v>
      </c>
      <c r="AP2342" s="63" t="str">
        <f t="shared" si="375"/>
        <v/>
      </c>
      <c r="AQ2342" s="63" t="str">
        <f t="shared" si="376"/>
        <v/>
      </c>
      <c r="AR2342" s="63" t="str">
        <f t="shared" si="377"/>
        <v/>
      </c>
      <c r="AS2342" s="63" t="str">
        <f t="shared" si="378"/>
        <v/>
      </c>
      <c r="AT2342" s="78" t="str">
        <f t="shared" si="379"/>
        <v/>
      </c>
      <c r="AU2342" s="78" t="str">
        <f t="shared" si="380"/>
        <v/>
      </c>
      <c r="AV2342" s="64" t="str">
        <f ca="1">IFERROR(__xludf.DUMMYFUNCTION("IF(TRIM(AU2342)="""","""",AU2342/INDEX(FILTER(AT$3:AT2342,TRIM(AT$3:AT2342)&lt;&gt;""""),ROWS(FILTER(AT$3:AT2342,TRIM(AT$3:AT2342)&lt;&gt;"""")))-1)"),"")</f>
        <v/>
      </c>
      <c r="AW2342" s="65" t="e">
        <f t="shared" ca="1" si="373"/>
        <v>#VALUE!</v>
      </c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</row>
    <row r="2343" spans="1:68" ht="19" x14ac:dyDescent="0.25">
      <c r="A2343" s="5"/>
      <c r="B2343" s="5"/>
      <c r="C2343" s="5"/>
      <c r="D2343" s="5"/>
      <c r="E2343" s="5"/>
      <c r="F2343" s="5"/>
      <c r="G2343" s="5"/>
      <c r="H2343" s="6"/>
      <c r="I2343" s="5"/>
      <c r="J2343" s="88"/>
      <c r="K2343" s="88"/>
      <c r="L2343" s="88"/>
      <c r="M2343" s="88"/>
      <c r="N2343" s="88"/>
      <c r="O2343" s="88"/>
      <c r="P2343" s="88"/>
      <c r="Q2343" s="89"/>
      <c r="R2343" s="88"/>
      <c r="S2343" s="88"/>
      <c r="T2343" s="90"/>
      <c r="U2343" s="6"/>
      <c r="V2343" s="96"/>
      <c r="W2343" s="77"/>
      <c r="X2343" s="91"/>
      <c r="Y2343" s="77"/>
      <c r="Z2343" s="5"/>
      <c r="AA2343" s="5"/>
      <c r="AB2343" s="5"/>
      <c r="AC2343" s="5"/>
      <c r="AD2343" s="5"/>
      <c r="AE2343" s="5"/>
      <c r="AF2343" s="5"/>
      <c r="AG2343" s="5"/>
      <c r="AH2343" s="6"/>
      <c r="AI2343" s="96"/>
      <c r="AJ2343" s="93"/>
      <c r="AK2343" s="94"/>
      <c r="AL2343" s="95"/>
      <c r="AM2343" s="56"/>
      <c r="AN2343" s="57">
        <f t="shared" si="372"/>
        <v>0</v>
      </c>
      <c r="AO2343" s="76">
        <f t="shared" si="374"/>
        <v>0</v>
      </c>
      <c r="AP2343" s="63" t="str">
        <f t="shared" si="375"/>
        <v/>
      </c>
      <c r="AQ2343" s="63" t="str">
        <f t="shared" si="376"/>
        <v/>
      </c>
      <c r="AR2343" s="63" t="str">
        <f t="shared" si="377"/>
        <v/>
      </c>
      <c r="AS2343" s="63" t="str">
        <f t="shared" si="378"/>
        <v/>
      </c>
      <c r="AT2343" s="78" t="str">
        <f t="shared" si="379"/>
        <v/>
      </c>
      <c r="AU2343" s="78" t="str">
        <f t="shared" si="380"/>
        <v/>
      </c>
      <c r="AV2343" s="64" t="str">
        <f ca="1">IFERROR(__xludf.DUMMYFUNCTION("IF(TRIM(AU2343)="""","""",AU2343/INDEX(FILTER(AT$3:AT2343,TRIM(AT$3:AT2343)&lt;&gt;""""),ROWS(FILTER(AT$3:AT2343,TRIM(AT$3:AT2343)&lt;&gt;"""")))-1)"),"")</f>
        <v/>
      </c>
      <c r="AW2343" s="65" t="e">
        <f t="shared" ca="1" si="373"/>
        <v>#VALUE!</v>
      </c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</row>
    <row r="2344" spans="1:68" ht="19" x14ac:dyDescent="0.25">
      <c r="A2344" s="5"/>
      <c r="B2344" s="5"/>
      <c r="C2344" s="5"/>
      <c r="D2344" s="5"/>
      <c r="E2344" s="5"/>
      <c r="F2344" s="5"/>
      <c r="G2344" s="5"/>
      <c r="H2344" s="6"/>
      <c r="I2344" s="5"/>
      <c r="J2344" s="88"/>
      <c r="K2344" s="88"/>
      <c r="L2344" s="88"/>
      <c r="M2344" s="88"/>
      <c r="N2344" s="88"/>
      <c r="O2344" s="88"/>
      <c r="P2344" s="88"/>
      <c r="Q2344" s="89"/>
      <c r="R2344" s="88"/>
      <c r="S2344" s="88"/>
      <c r="T2344" s="90"/>
      <c r="U2344" s="6"/>
      <c r="V2344" s="96"/>
      <c r="W2344" s="77"/>
      <c r="X2344" s="91"/>
      <c r="Y2344" s="77"/>
      <c r="Z2344" s="5"/>
      <c r="AA2344" s="5"/>
      <c r="AB2344" s="5"/>
      <c r="AC2344" s="5"/>
      <c r="AD2344" s="5"/>
      <c r="AE2344" s="5"/>
      <c r="AF2344" s="5"/>
      <c r="AG2344" s="5"/>
      <c r="AH2344" s="6"/>
      <c r="AI2344" s="96"/>
      <c r="AJ2344" s="93"/>
      <c r="AK2344" s="94"/>
      <c r="AL2344" s="95"/>
      <c r="AM2344" s="56"/>
      <c r="AN2344" s="57">
        <f t="shared" si="372"/>
        <v>0</v>
      </c>
      <c r="AO2344" s="76">
        <f t="shared" si="374"/>
        <v>0</v>
      </c>
      <c r="AP2344" s="63" t="str">
        <f t="shared" si="375"/>
        <v/>
      </c>
      <c r="AQ2344" s="63" t="str">
        <f t="shared" si="376"/>
        <v/>
      </c>
      <c r="AR2344" s="63" t="str">
        <f t="shared" si="377"/>
        <v/>
      </c>
      <c r="AS2344" s="63" t="str">
        <f t="shared" si="378"/>
        <v/>
      </c>
      <c r="AT2344" s="78" t="str">
        <f t="shared" si="379"/>
        <v/>
      </c>
      <c r="AU2344" s="78" t="str">
        <f t="shared" si="380"/>
        <v/>
      </c>
      <c r="AV2344" s="64" t="str">
        <f ca="1">IFERROR(__xludf.DUMMYFUNCTION("IF(TRIM(AU2344)="""","""",AU2344/INDEX(FILTER(AT$3:AT2344,TRIM(AT$3:AT2344)&lt;&gt;""""),ROWS(FILTER(AT$3:AT2344,TRIM(AT$3:AT2344)&lt;&gt;"""")))-1)"),"")</f>
        <v/>
      </c>
      <c r="AW2344" s="65" t="e">
        <f t="shared" ca="1" si="373"/>
        <v>#VALUE!</v>
      </c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</row>
    <row r="2345" spans="1:68" ht="19" x14ac:dyDescent="0.25">
      <c r="A2345" s="5"/>
      <c r="B2345" s="5"/>
      <c r="C2345" s="5"/>
      <c r="D2345" s="5"/>
      <c r="E2345" s="5"/>
      <c r="F2345" s="5"/>
      <c r="G2345" s="5"/>
      <c r="H2345" s="6"/>
      <c r="I2345" s="5"/>
      <c r="J2345" s="88"/>
      <c r="K2345" s="88"/>
      <c r="L2345" s="88"/>
      <c r="M2345" s="88"/>
      <c r="N2345" s="88"/>
      <c r="O2345" s="88"/>
      <c r="P2345" s="88"/>
      <c r="Q2345" s="89"/>
      <c r="R2345" s="88"/>
      <c r="S2345" s="88"/>
      <c r="T2345" s="90"/>
      <c r="U2345" s="6"/>
      <c r="V2345" s="96"/>
      <c r="W2345" s="77"/>
      <c r="X2345" s="91"/>
      <c r="Y2345" s="77"/>
      <c r="Z2345" s="5"/>
      <c r="AA2345" s="5"/>
      <c r="AB2345" s="5"/>
      <c r="AC2345" s="5"/>
      <c r="AD2345" s="5"/>
      <c r="AE2345" s="5"/>
      <c r="AF2345" s="5"/>
      <c r="AG2345" s="5"/>
      <c r="AH2345" s="6"/>
      <c r="AI2345" s="96"/>
      <c r="AJ2345" s="93"/>
      <c r="AK2345" s="94"/>
      <c r="AL2345" s="95"/>
      <c r="AM2345" s="56"/>
      <c r="AN2345" s="57">
        <f t="shared" si="372"/>
        <v>0</v>
      </c>
      <c r="AO2345" s="76">
        <f t="shared" si="374"/>
        <v>0</v>
      </c>
      <c r="AP2345" s="63" t="str">
        <f t="shared" si="375"/>
        <v/>
      </c>
      <c r="AQ2345" s="63" t="str">
        <f t="shared" si="376"/>
        <v/>
      </c>
      <c r="AR2345" s="63" t="str">
        <f t="shared" si="377"/>
        <v/>
      </c>
      <c r="AS2345" s="63" t="str">
        <f t="shared" si="378"/>
        <v/>
      </c>
      <c r="AT2345" s="78" t="str">
        <f t="shared" si="379"/>
        <v/>
      </c>
      <c r="AU2345" s="78" t="str">
        <f t="shared" si="380"/>
        <v/>
      </c>
      <c r="AV2345" s="64" t="str">
        <f ca="1">IFERROR(__xludf.DUMMYFUNCTION("IF(TRIM(AU2345)="""","""",AU2345/INDEX(FILTER(AT$3:AT2345,TRIM(AT$3:AT2345)&lt;&gt;""""),ROWS(FILTER(AT$3:AT2345,TRIM(AT$3:AT2345)&lt;&gt;"""")))-1)"),"")</f>
        <v/>
      </c>
      <c r="AW2345" s="65" t="e">
        <f t="shared" ca="1" si="373"/>
        <v>#VALUE!</v>
      </c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</row>
    <row r="2346" spans="1:68" ht="19" x14ac:dyDescent="0.25">
      <c r="A2346" s="5"/>
      <c r="B2346" s="5"/>
      <c r="C2346" s="5"/>
      <c r="D2346" s="5"/>
      <c r="E2346" s="5"/>
      <c r="F2346" s="5"/>
      <c r="G2346" s="5"/>
      <c r="H2346" s="6"/>
      <c r="I2346" s="5"/>
      <c r="J2346" s="88"/>
      <c r="K2346" s="88"/>
      <c r="L2346" s="88"/>
      <c r="M2346" s="88"/>
      <c r="N2346" s="88"/>
      <c r="O2346" s="88"/>
      <c r="P2346" s="88"/>
      <c r="Q2346" s="89"/>
      <c r="R2346" s="88"/>
      <c r="S2346" s="88"/>
      <c r="T2346" s="90"/>
      <c r="U2346" s="6"/>
      <c r="V2346" s="92"/>
      <c r="W2346" s="77"/>
      <c r="X2346" s="91"/>
      <c r="Y2346" s="77"/>
      <c r="Z2346" s="5"/>
      <c r="AA2346" s="5"/>
      <c r="AB2346" s="5"/>
      <c r="AC2346" s="5"/>
      <c r="AD2346" s="5"/>
      <c r="AE2346" s="5"/>
      <c r="AF2346" s="5"/>
      <c r="AG2346" s="5"/>
      <c r="AH2346" s="6"/>
      <c r="AI2346" s="92"/>
      <c r="AJ2346" s="93"/>
      <c r="AK2346" s="94"/>
      <c r="AL2346" s="95"/>
      <c r="AM2346" s="56"/>
      <c r="AN2346" s="57">
        <f t="shared" si="372"/>
        <v>0</v>
      </c>
      <c r="AO2346" s="76">
        <f t="shared" si="374"/>
        <v>0</v>
      </c>
      <c r="AP2346" s="63" t="str">
        <f t="shared" si="375"/>
        <v/>
      </c>
      <c r="AQ2346" s="63" t="str">
        <f t="shared" si="376"/>
        <v/>
      </c>
      <c r="AR2346" s="63" t="str">
        <f t="shared" si="377"/>
        <v/>
      </c>
      <c r="AS2346" s="63" t="str">
        <f t="shared" si="378"/>
        <v/>
      </c>
      <c r="AT2346" s="78" t="str">
        <f t="shared" si="379"/>
        <v/>
      </c>
      <c r="AU2346" s="78" t="str">
        <f t="shared" si="380"/>
        <v/>
      </c>
      <c r="AV2346" s="64" t="str">
        <f ca="1">IFERROR(__xludf.DUMMYFUNCTION("IF(TRIM(AU2346)="""","""",AU2346/INDEX(FILTER(AT$3:AT2346,TRIM(AT$3:AT2346)&lt;&gt;""""),ROWS(FILTER(AT$3:AT2346,TRIM(AT$3:AT2346)&lt;&gt;"""")))-1)"),"")</f>
        <v/>
      </c>
      <c r="AW2346" s="65" t="e">
        <f t="shared" ca="1" si="373"/>
        <v>#VALUE!</v>
      </c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</row>
    <row r="2347" spans="1:68" ht="19" x14ac:dyDescent="0.25">
      <c r="A2347" s="5"/>
      <c r="B2347" s="5"/>
      <c r="C2347" s="5"/>
      <c r="D2347" s="5"/>
      <c r="E2347" s="5"/>
      <c r="F2347" s="5"/>
      <c r="G2347" s="5"/>
      <c r="H2347" s="6"/>
      <c r="I2347" s="5"/>
      <c r="J2347" s="88"/>
      <c r="K2347" s="88"/>
      <c r="L2347" s="88"/>
      <c r="M2347" s="88"/>
      <c r="N2347" s="88"/>
      <c r="O2347" s="88"/>
      <c r="P2347" s="88"/>
      <c r="Q2347" s="89"/>
      <c r="R2347" s="88"/>
      <c r="S2347" s="88"/>
      <c r="T2347" s="90"/>
      <c r="U2347" s="6"/>
      <c r="V2347" s="92"/>
      <c r="W2347" s="77"/>
      <c r="X2347" s="91"/>
      <c r="Y2347" s="77"/>
      <c r="Z2347" s="5"/>
      <c r="AA2347" s="5"/>
      <c r="AB2347" s="5"/>
      <c r="AC2347" s="5"/>
      <c r="AD2347" s="5"/>
      <c r="AE2347" s="5"/>
      <c r="AF2347" s="5"/>
      <c r="AG2347" s="5"/>
      <c r="AH2347" s="6"/>
      <c r="AI2347" s="92"/>
      <c r="AJ2347" s="93"/>
      <c r="AK2347" s="94"/>
      <c r="AL2347" s="95"/>
      <c r="AM2347" s="56"/>
      <c r="AN2347" s="57">
        <f t="shared" si="372"/>
        <v>0</v>
      </c>
      <c r="AO2347" s="76">
        <f t="shared" si="374"/>
        <v>0</v>
      </c>
      <c r="AP2347" s="63" t="str">
        <f t="shared" si="375"/>
        <v/>
      </c>
      <c r="AQ2347" s="63" t="str">
        <f t="shared" si="376"/>
        <v/>
      </c>
      <c r="AR2347" s="63" t="str">
        <f t="shared" si="377"/>
        <v/>
      </c>
      <c r="AS2347" s="63" t="str">
        <f t="shared" si="378"/>
        <v/>
      </c>
      <c r="AT2347" s="78" t="str">
        <f t="shared" si="379"/>
        <v/>
      </c>
      <c r="AU2347" s="78" t="str">
        <f t="shared" si="380"/>
        <v/>
      </c>
      <c r="AV2347" s="64" t="str">
        <f ca="1">IFERROR(__xludf.DUMMYFUNCTION("IF(TRIM(AU2347)="""","""",AU2347/INDEX(FILTER(AT$3:AT2347,TRIM(AT$3:AT2347)&lt;&gt;""""),ROWS(FILTER(AT$3:AT2347,TRIM(AT$3:AT2347)&lt;&gt;"""")))-1)"),"")</f>
        <v/>
      </c>
      <c r="AW2347" s="65" t="e">
        <f t="shared" ca="1" si="373"/>
        <v>#VALUE!</v>
      </c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</row>
    <row r="2348" spans="1:68" ht="19" x14ac:dyDescent="0.25">
      <c r="A2348" s="5"/>
      <c r="B2348" s="5"/>
      <c r="C2348" s="5"/>
      <c r="D2348" s="5"/>
      <c r="E2348" s="5"/>
      <c r="F2348" s="5"/>
      <c r="G2348" s="5"/>
      <c r="H2348" s="6"/>
      <c r="I2348" s="5"/>
      <c r="J2348" s="88"/>
      <c r="K2348" s="88"/>
      <c r="L2348" s="88"/>
      <c r="M2348" s="88"/>
      <c r="N2348" s="88"/>
      <c r="O2348" s="88"/>
      <c r="P2348" s="88"/>
      <c r="Q2348" s="89"/>
      <c r="R2348" s="88"/>
      <c r="S2348" s="88"/>
      <c r="T2348" s="90"/>
      <c r="U2348" s="6"/>
      <c r="V2348" s="92"/>
      <c r="W2348" s="77"/>
      <c r="X2348" s="91"/>
      <c r="Y2348" s="77"/>
      <c r="Z2348" s="5"/>
      <c r="AA2348" s="5"/>
      <c r="AB2348" s="5"/>
      <c r="AC2348" s="5"/>
      <c r="AD2348" s="5"/>
      <c r="AE2348" s="5"/>
      <c r="AF2348" s="5"/>
      <c r="AG2348" s="5"/>
      <c r="AH2348" s="6"/>
      <c r="AI2348" s="92"/>
      <c r="AJ2348" s="93"/>
      <c r="AK2348" s="94"/>
      <c r="AL2348" s="95"/>
      <c r="AM2348" s="56"/>
      <c r="AN2348" s="57">
        <f t="shared" si="372"/>
        <v>0</v>
      </c>
      <c r="AO2348" s="76">
        <f t="shared" si="374"/>
        <v>0</v>
      </c>
      <c r="AP2348" s="63" t="str">
        <f t="shared" si="375"/>
        <v/>
      </c>
      <c r="AQ2348" s="63" t="str">
        <f t="shared" si="376"/>
        <v/>
      </c>
      <c r="AR2348" s="63" t="str">
        <f t="shared" si="377"/>
        <v/>
      </c>
      <c r="AS2348" s="63" t="str">
        <f t="shared" si="378"/>
        <v/>
      </c>
      <c r="AT2348" s="78" t="str">
        <f t="shared" si="379"/>
        <v/>
      </c>
      <c r="AU2348" s="78" t="str">
        <f t="shared" si="380"/>
        <v/>
      </c>
      <c r="AV2348" s="64" t="str">
        <f ca="1">IFERROR(__xludf.DUMMYFUNCTION("IF(TRIM(AU2348)="""","""",AU2348/INDEX(FILTER(AT$3:AT2348,TRIM(AT$3:AT2348)&lt;&gt;""""),ROWS(FILTER(AT$3:AT2348,TRIM(AT$3:AT2348)&lt;&gt;"""")))-1)"),"")</f>
        <v/>
      </c>
      <c r="AW2348" s="65" t="e">
        <f t="shared" ca="1" si="373"/>
        <v>#VALUE!</v>
      </c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</row>
    <row r="2349" spans="1:68" ht="19" x14ac:dyDescent="0.25">
      <c r="A2349" s="5"/>
      <c r="B2349" s="5"/>
      <c r="C2349" s="5"/>
      <c r="D2349" s="5"/>
      <c r="E2349" s="5"/>
      <c r="F2349" s="5"/>
      <c r="G2349" s="5"/>
      <c r="H2349" s="6"/>
      <c r="I2349" s="5"/>
      <c r="J2349" s="88"/>
      <c r="K2349" s="88"/>
      <c r="L2349" s="88"/>
      <c r="M2349" s="88"/>
      <c r="N2349" s="88"/>
      <c r="O2349" s="88"/>
      <c r="P2349" s="88"/>
      <c r="Q2349" s="89"/>
      <c r="R2349" s="88"/>
      <c r="S2349" s="88"/>
      <c r="T2349" s="90"/>
      <c r="U2349" s="6"/>
      <c r="V2349" s="92"/>
      <c r="W2349" s="77"/>
      <c r="X2349" s="91"/>
      <c r="Y2349" s="77"/>
      <c r="Z2349" s="5"/>
      <c r="AA2349" s="5"/>
      <c r="AB2349" s="5"/>
      <c r="AC2349" s="5"/>
      <c r="AD2349" s="5"/>
      <c r="AE2349" s="5"/>
      <c r="AF2349" s="5"/>
      <c r="AG2349" s="5"/>
      <c r="AH2349" s="6"/>
      <c r="AI2349" s="92"/>
      <c r="AJ2349" s="93"/>
      <c r="AK2349" s="94"/>
      <c r="AL2349" s="95"/>
      <c r="AM2349" s="56"/>
      <c r="AN2349" s="57">
        <f t="shared" si="372"/>
        <v>0</v>
      </c>
      <c r="AO2349" s="76">
        <f t="shared" si="374"/>
        <v>0</v>
      </c>
      <c r="AP2349" s="63" t="str">
        <f t="shared" si="375"/>
        <v/>
      </c>
      <c r="AQ2349" s="63" t="str">
        <f t="shared" si="376"/>
        <v/>
      </c>
      <c r="AR2349" s="63" t="str">
        <f t="shared" si="377"/>
        <v/>
      </c>
      <c r="AS2349" s="63" t="str">
        <f t="shared" si="378"/>
        <v/>
      </c>
      <c r="AT2349" s="78" t="str">
        <f t="shared" si="379"/>
        <v/>
      </c>
      <c r="AU2349" s="78" t="str">
        <f t="shared" si="380"/>
        <v/>
      </c>
      <c r="AV2349" s="64" t="str">
        <f ca="1">IFERROR(__xludf.DUMMYFUNCTION("IF(TRIM(AU2349)="""","""",AU2349/INDEX(FILTER(AT$3:AT2349,TRIM(AT$3:AT2349)&lt;&gt;""""),ROWS(FILTER(AT$3:AT2349,TRIM(AT$3:AT2349)&lt;&gt;"""")))-1)"),"")</f>
        <v/>
      </c>
      <c r="AW2349" s="65" t="e">
        <f t="shared" ca="1" si="373"/>
        <v>#VALUE!</v>
      </c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</row>
    <row r="2350" spans="1:68" ht="19" x14ac:dyDescent="0.25">
      <c r="A2350" s="5"/>
      <c r="B2350" s="5"/>
      <c r="C2350" s="5"/>
      <c r="D2350" s="5"/>
      <c r="E2350" s="5"/>
      <c r="F2350" s="5"/>
      <c r="G2350" s="5"/>
      <c r="H2350" s="6"/>
      <c r="I2350" s="5"/>
      <c r="J2350" s="88"/>
      <c r="K2350" s="88"/>
      <c r="L2350" s="88"/>
      <c r="M2350" s="88"/>
      <c r="N2350" s="88"/>
      <c r="O2350" s="88"/>
      <c r="P2350" s="88"/>
      <c r="Q2350" s="89"/>
      <c r="R2350" s="88"/>
      <c r="S2350" s="88"/>
      <c r="T2350" s="90"/>
      <c r="U2350" s="6"/>
      <c r="V2350" s="92"/>
      <c r="W2350" s="77"/>
      <c r="X2350" s="91"/>
      <c r="Y2350" s="77"/>
      <c r="Z2350" s="5"/>
      <c r="AA2350" s="5"/>
      <c r="AB2350" s="5"/>
      <c r="AC2350" s="5"/>
      <c r="AD2350" s="5"/>
      <c r="AE2350" s="5"/>
      <c r="AF2350" s="5"/>
      <c r="AG2350" s="5"/>
      <c r="AH2350" s="6"/>
      <c r="AI2350" s="92"/>
      <c r="AJ2350" s="93"/>
      <c r="AK2350" s="94"/>
      <c r="AL2350" s="95"/>
      <c r="AM2350" s="56"/>
      <c r="AN2350" s="57">
        <f t="shared" si="372"/>
        <v>0</v>
      </c>
      <c r="AO2350" s="76">
        <f t="shared" si="374"/>
        <v>0</v>
      </c>
      <c r="AP2350" s="63" t="str">
        <f t="shared" si="375"/>
        <v/>
      </c>
      <c r="AQ2350" s="63" t="str">
        <f t="shared" si="376"/>
        <v/>
      </c>
      <c r="AR2350" s="63" t="str">
        <f t="shared" si="377"/>
        <v/>
      </c>
      <c r="AS2350" s="63" t="str">
        <f t="shared" si="378"/>
        <v/>
      </c>
      <c r="AT2350" s="78" t="str">
        <f t="shared" si="379"/>
        <v/>
      </c>
      <c r="AU2350" s="78" t="str">
        <f t="shared" si="380"/>
        <v/>
      </c>
      <c r="AV2350" s="64" t="str">
        <f ca="1">IFERROR(__xludf.DUMMYFUNCTION("IF(TRIM(AU2350)="""","""",AU2350/INDEX(FILTER(AT$3:AT2350,TRIM(AT$3:AT2350)&lt;&gt;""""),ROWS(FILTER(AT$3:AT2350,TRIM(AT$3:AT2350)&lt;&gt;"""")))-1)"),"")</f>
        <v/>
      </c>
      <c r="AW2350" s="65" t="e">
        <f t="shared" ca="1" si="373"/>
        <v>#VALUE!</v>
      </c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</row>
    <row r="2351" spans="1:68" ht="19" x14ac:dyDescent="0.25">
      <c r="A2351" s="5"/>
      <c r="B2351" s="5"/>
      <c r="C2351" s="5"/>
      <c r="D2351" s="5"/>
      <c r="E2351" s="5"/>
      <c r="F2351" s="5"/>
      <c r="G2351" s="5"/>
      <c r="H2351" s="6"/>
      <c r="I2351" s="5"/>
      <c r="J2351" s="88"/>
      <c r="K2351" s="88"/>
      <c r="L2351" s="88"/>
      <c r="M2351" s="88"/>
      <c r="N2351" s="88"/>
      <c r="O2351" s="88"/>
      <c r="P2351" s="88"/>
      <c r="Q2351" s="89"/>
      <c r="R2351" s="88"/>
      <c r="S2351" s="88"/>
      <c r="T2351" s="90"/>
      <c r="U2351" s="6"/>
      <c r="V2351" s="92"/>
      <c r="W2351" s="77"/>
      <c r="X2351" s="91"/>
      <c r="Y2351" s="77"/>
      <c r="Z2351" s="5"/>
      <c r="AA2351" s="5"/>
      <c r="AB2351" s="5"/>
      <c r="AC2351" s="5"/>
      <c r="AD2351" s="5"/>
      <c r="AE2351" s="5"/>
      <c r="AF2351" s="5"/>
      <c r="AG2351" s="5"/>
      <c r="AH2351" s="6"/>
      <c r="AI2351" s="92"/>
      <c r="AJ2351" s="93"/>
      <c r="AK2351" s="94"/>
      <c r="AL2351" s="95"/>
      <c r="AM2351" s="56"/>
      <c r="AN2351" s="57">
        <f t="shared" si="372"/>
        <v>0</v>
      </c>
      <c r="AO2351" s="76">
        <f t="shared" si="374"/>
        <v>0</v>
      </c>
      <c r="AP2351" s="63" t="str">
        <f t="shared" si="375"/>
        <v/>
      </c>
      <c r="AQ2351" s="63" t="str">
        <f t="shared" si="376"/>
        <v/>
      </c>
      <c r="AR2351" s="63" t="str">
        <f t="shared" si="377"/>
        <v/>
      </c>
      <c r="AS2351" s="63" t="str">
        <f t="shared" si="378"/>
        <v/>
      </c>
      <c r="AT2351" s="78" t="str">
        <f t="shared" si="379"/>
        <v/>
      </c>
      <c r="AU2351" s="78" t="str">
        <f t="shared" si="380"/>
        <v/>
      </c>
      <c r="AV2351" s="64" t="str">
        <f ca="1">IFERROR(__xludf.DUMMYFUNCTION("IF(TRIM(AU2351)="""","""",AU2351/INDEX(FILTER(AT$3:AT2351,TRIM(AT$3:AT2351)&lt;&gt;""""),ROWS(FILTER(AT$3:AT2351,TRIM(AT$3:AT2351)&lt;&gt;"""")))-1)"),"")</f>
        <v/>
      </c>
      <c r="AW2351" s="65" t="e">
        <f t="shared" ca="1" si="373"/>
        <v>#VALUE!</v>
      </c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</row>
    <row r="2352" spans="1:68" ht="19" x14ac:dyDescent="0.25">
      <c r="A2352" s="5"/>
      <c r="B2352" s="5"/>
      <c r="C2352" s="5"/>
      <c r="D2352" s="5"/>
      <c r="E2352" s="5"/>
      <c r="F2352" s="5"/>
      <c r="G2352" s="5"/>
      <c r="H2352" s="6"/>
      <c r="I2352" s="5"/>
      <c r="J2352" s="88"/>
      <c r="K2352" s="88"/>
      <c r="L2352" s="88"/>
      <c r="M2352" s="88"/>
      <c r="N2352" s="88"/>
      <c r="O2352" s="88"/>
      <c r="P2352" s="88"/>
      <c r="Q2352" s="89"/>
      <c r="R2352" s="88"/>
      <c r="S2352" s="88"/>
      <c r="T2352" s="90"/>
      <c r="U2352" s="6"/>
      <c r="V2352" s="92"/>
      <c r="W2352" s="77"/>
      <c r="X2352" s="91"/>
      <c r="Y2352" s="77"/>
      <c r="Z2352" s="5"/>
      <c r="AA2352" s="5"/>
      <c r="AB2352" s="5"/>
      <c r="AC2352" s="5"/>
      <c r="AD2352" s="5"/>
      <c r="AE2352" s="5"/>
      <c r="AF2352" s="5"/>
      <c r="AG2352" s="5"/>
      <c r="AH2352" s="6"/>
      <c r="AI2352" s="92"/>
      <c r="AJ2352" s="93"/>
      <c r="AK2352" s="94"/>
      <c r="AL2352" s="95"/>
      <c r="AM2352" s="56"/>
      <c r="AN2352" s="57">
        <f t="shared" si="372"/>
        <v>0</v>
      </c>
      <c r="AO2352" s="76">
        <f t="shared" si="374"/>
        <v>0</v>
      </c>
      <c r="AP2352" s="63" t="str">
        <f t="shared" si="375"/>
        <v/>
      </c>
      <c r="AQ2352" s="63" t="str">
        <f t="shared" si="376"/>
        <v/>
      </c>
      <c r="AR2352" s="63" t="str">
        <f t="shared" si="377"/>
        <v/>
      </c>
      <c r="AS2352" s="63" t="str">
        <f t="shared" si="378"/>
        <v/>
      </c>
      <c r="AT2352" s="78" t="str">
        <f t="shared" si="379"/>
        <v/>
      </c>
      <c r="AU2352" s="78" t="str">
        <f t="shared" si="380"/>
        <v/>
      </c>
      <c r="AV2352" s="64" t="str">
        <f ca="1">IFERROR(__xludf.DUMMYFUNCTION("IF(TRIM(AU2352)="""","""",AU2352/INDEX(FILTER(AT$3:AT2352,TRIM(AT$3:AT2352)&lt;&gt;""""),ROWS(FILTER(AT$3:AT2352,TRIM(AT$3:AT2352)&lt;&gt;"""")))-1)"),"")</f>
        <v/>
      </c>
      <c r="AW2352" s="65" t="e">
        <f t="shared" ca="1" si="373"/>
        <v>#VALUE!</v>
      </c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</row>
    <row r="2353" spans="1:68" ht="19" x14ac:dyDescent="0.25">
      <c r="A2353" s="5"/>
      <c r="B2353" s="5"/>
      <c r="C2353" s="5"/>
      <c r="D2353" s="5"/>
      <c r="E2353" s="5"/>
      <c r="F2353" s="5"/>
      <c r="G2353" s="5"/>
      <c r="H2353" s="6"/>
      <c r="I2353" s="5"/>
      <c r="J2353" s="88"/>
      <c r="K2353" s="88"/>
      <c r="L2353" s="88"/>
      <c r="M2353" s="88"/>
      <c r="N2353" s="88"/>
      <c r="O2353" s="88"/>
      <c r="P2353" s="88"/>
      <c r="Q2353" s="89"/>
      <c r="R2353" s="88"/>
      <c r="S2353" s="88"/>
      <c r="T2353" s="90"/>
      <c r="U2353" s="6"/>
      <c r="V2353" s="96"/>
      <c r="W2353" s="77"/>
      <c r="X2353" s="91"/>
      <c r="Y2353" s="77"/>
      <c r="Z2353" s="5"/>
      <c r="AA2353" s="5"/>
      <c r="AB2353" s="5"/>
      <c r="AC2353" s="5"/>
      <c r="AD2353" s="5"/>
      <c r="AE2353" s="5"/>
      <c r="AF2353" s="5"/>
      <c r="AG2353" s="5"/>
      <c r="AH2353" s="6"/>
      <c r="AI2353" s="96"/>
      <c r="AJ2353" s="93"/>
      <c r="AK2353" s="94"/>
      <c r="AL2353" s="95"/>
      <c r="AM2353" s="56"/>
      <c r="AN2353" s="57">
        <f t="shared" si="372"/>
        <v>0</v>
      </c>
      <c r="AO2353" s="76">
        <f t="shared" si="374"/>
        <v>0</v>
      </c>
      <c r="AP2353" s="63" t="str">
        <f t="shared" si="375"/>
        <v/>
      </c>
      <c r="AQ2353" s="63" t="str">
        <f t="shared" si="376"/>
        <v/>
      </c>
      <c r="AR2353" s="63" t="str">
        <f t="shared" si="377"/>
        <v/>
      </c>
      <c r="AS2353" s="63" t="str">
        <f t="shared" si="378"/>
        <v/>
      </c>
      <c r="AT2353" s="78" t="str">
        <f t="shared" si="379"/>
        <v/>
      </c>
      <c r="AU2353" s="78" t="str">
        <f t="shared" si="380"/>
        <v/>
      </c>
      <c r="AV2353" s="64" t="str">
        <f ca="1">IFERROR(__xludf.DUMMYFUNCTION("IF(TRIM(AU2353)="""","""",AU2353/INDEX(FILTER(AT$3:AT2353,TRIM(AT$3:AT2353)&lt;&gt;""""),ROWS(FILTER(AT$3:AT2353,TRIM(AT$3:AT2353)&lt;&gt;"""")))-1)"),"")</f>
        <v/>
      </c>
      <c r="AW2353" s="65" t="e">
        <f t="shared" ca="1" si="373"/>
        <v>#VALUE!</v>
      </c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</row>
    <row r="2354" spans="1:68" ht="19" x14ac:dyDescent="0.25">
      <c r="A2354" s="5"/>
      <c r="B2354" s="5"/>
      <c r="C2354" s="5"/>
      <c r="D2354" s="5"/>
      <c r="E2354" s="5"/>
      <c r="F2354" s="5"/>
      <c r="G2354" s="5"/>
      <c r="H2354" s="6"/>
      <c r="I2354" s="5"/>
      <c r="J2354" s="88"/>
      <c r="K2354" s="88"/>
      <c r="L2354" s="88"/>
      <c r="M2354" s="88"/>
      <c r="N2354" s="88"/>
      <c r="O2354" s="88"/>
      <c r="P2354" s="88"/>
      <c r="Q2354" s="89"/>
      <c r="R2354" s="88"/>
      <c r="S2354" s="88"/>
      <c r="T2354" s="90"/>
      <c r="U2354" s="6"/>
      <c r="V2354" s="96"/>
      <c r="W2354" s="77"/>
      <c r="X2354" s="91"/>
      <c r="Y2354" s="77"/>
      <c r="Z2354" s="5"/>
      <c r="AA2354" s="5"/>
      <c r="AB2354" s="5"/>
      <c r="AC2354" s="5"/>
      <c r="AD2354" s="5"/>
      <c r="AE2354" s="5"/>
      <c r="AF2354" s="5"/>
      <c r="AG2354" s="5"/>
      <c r="AH2354" s="6"/>
      <c r="AI2354" s="96"/>
      <c r="AJ2354" s="93"/>
      <c r="AK2354" s="94"/>
      <c r="AL2354" s="95"/>
      <c r="AM2354" s="56"/>
      <c r="AN2354" s="57">
        <f t="shared" si="372"/>
        <v>0</v>
      </c>
      <c r="AO2354" s="76">
        <f t="shared" si="374"/>
        <v>0</v>
      </c>
      <c r="AP2354" s="63" t="str">
        <f t="shared" si="375"/>
        <v/>
      </c>
      <c r="AQ2354" s="63" t="str">
        <f t="shared" si="376"/>
        <v/>
      </c>
      <c r="AR2354" s="63" t="str">
        <f t="shared" si="377"/>
        <v/>
      </c>
      <c r="AS2354" s="63" t="str">
        <f t="shared" si="378"/>
        <v/>
      </c>
      <c r="AT2354" s="78" t="str">
        <f t="shared" si="379"/>
        <v/>
      </c>
      <c r="AU2354" s="78" t="str">
        <f t="shared" si="380"/>
        <v/>
      </c>
      <c r="AV2354" s="64" t="str">
        <f ca="1">IFERROR(__xludf.DUMMYFUNCTION("IF(TRIM(AU2354)="""","""",AU2354/INDEX(FILTER(AT$3:AT2354,TRIM(AT$3:AT2354)&lt;&gt;""""),ROWS(FILTER(AT$3:AT2354,TRIM(AT$3:AT2354)&lt;&gt;"""")))-1)"),"")</f>
        <v/>
      </c>
      <c r="AW2354" s="65" t="e">
        <f t="shared" ca="1" si="373"/>
        <v>#VALUE!</v>
      </c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</row>
    <row r="2355" spans="1:68" ht="19" x14ac:dyDescent="0.25">
      <c r="A2355" s="5"/>
      <c r="B2355" s="5"/>
      <c r="C2355" s="5"/>
      <c r="D2355" s="5"/>
      <c r="E2355" s="5"/>
      <c r="F2355" s="5"/>
      <c r="G2355" s="5"/>
      <c r="H2355" s="6"/>
      <c r="I2355" s="5"/>
      <c r="J2355" s="88"/>
      <c r="K2355" s="88"/>
      <c r="L2355" s="88"/>
      <c r="M2355" s="88"/>
      <c r="N2355" s="88"/>
      <c r="O2355" s="88"/>
      <c r="P2355" s="88"/>
      <c r="Q2355" s="89"/>
      <c r="R2355" s="88"/>
      <c r="S2355" s="88"/>
      <c r="T2355" s="90"/>
      <c r="U2355" s="6"/>
      <c r="V2355" s="96"/>
      <c r="W2355" s="77"/>
      <c r="X2355" s="91"/>
      <c r="Y2355" s="77"/>
      <c r="Z2355" s="5"/>
      <c r="AA2355" s="5"/>
      <c r="AB2355" s="5"/>
      <c r="AC2355" s="5"/>
      <c r="AD2355" s="5"/>
      <c r="AE2355" s="5"/>
      <c r="AF2355" s="5"/>
      <c r="AG2355" s="5"/>
      <c r="AH2355" s="6"/>
      <c r="AI2355" s="96"/>
      <c r="AJ2355" s="93"/>
      <c r="AK2355" s="94"/>
      <c r="AL2355" s="95"/>
      <c r="AM2355" s="56"/>
      <c r="AN2355" s="57">
        <f t="shared" si="372"/>
        <v>0</v>
      </c>
      <c r="AO2355" s="76">
        <f t="shared" si="374"/>
        <v>0</v>
      </c>
      <c r="AP2355" s="63" t="str">
        <f t="shared" si="375"/>
        <v/>
      </c>
      <c r="AQ2355" s="63" t="str">
        <f t="shared" si="376"/>
        <v/>
      </c>
      <c r="AR2355" s="63" t="str">
        <f t="shared" si="377"/>
        <v/>
      </c>
      <c r="AS2355" s="63" t="str">
        <f t="shared" si="378"/>
        <v/>
      </c>
      <c r="AT2355" s="78" t="str">
        <f t="shared" si="379"/>
        <v/>
      </c>
      <c r="AU2355" s="78" t="str">
        <f t="shared" si="380"/>
        <v/>
      </c>
      <c r="AV2355" s="64" t="str">
        <f ca="1">IFERROR(__xludf.DUMMYFUNCTION("IF(TRIM(AU2355)="""","""",AU2355/INDEX(FILTER(AT$3:AT2355,TRIM(AT$3:AT2355)&lt;&gt;""""),ROWS(FILTER(AT$3:AT2355,TRIM(AT$3:AT2355)&lt;&gt;"""")))-1)"),"")</f>
        <v/>
      </c>
      <c r="AW2355" s="65" t="e">
        <f t="shared" ca="1" si="373"/>
        <v>#VALUE!</v>
      </c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</row>
    <row r="2356" spans="1:68" ht="19" x14ac:dyDescent="0.25">
      <c r="A2356" s="5"/>
      <c r="B2356" s="5"/>
      <c r="C2356" s="5"/>
      <c r="D2356" s="5"/>
      <c r="E2356" s="5"/>
      <c r="F2356" s="5"/>
      <c r="G2356" s="5"/>
      <c r="H2356" s="6"/>
      <c r="I2356" s="5"/>
      <c r="J2356" s="88"/>
      <c r="K2356" s="88"/>
      <c r="L2356" s="88"/>
      <c r="M2356" s="88"/>
      <c r="N2356" s="88"/>
      <c r="O2356" s="88"/>
      <c r="P2356" s="88"/>
      <c r="Q2356" s="89"/>
      <c r="R2356" s="88"/>
      <c r="S2356" s="88"/>
      <c r="T2356" s="90"/>
      <c r="U2356" s="6"/>
      <c r="V2356" s="96"/>
      <c r="W2356" s="77"/>
      <c r="X2356" s="91"/>
      <c r="Y2356" s="77"/>
      <c r="Z2356" s="5"/>
      <c r="AA2356" s="5"/>
      <c r="AB2356" s="5"/>
      <c r="AC2356" s="5"/>
      <c r="AD2356" s="5"/>
      <c r="AE2356" s="5"/>
      <c r="AF2356" s="5"/>
      <c r="AG2356" s="5"/>
      <c r="AH2356" s="6"/>
      <c r="AI2356" s="96"/>
      <c r="AJ2356" s="93"/>
      <c r="AK2356" s="94"/>
      <c r="AL2356" s="95"/>
      <c r="AM2356" s="56"/>
      <c r="AN2356" s="57">
        <f t="shared" si="372"/>
        <v>0</v>
      </c>
      <c r="AO2356" s="76">
        <f t="shared" si="374"/>
        <v>0</v>
      </c>
      <c r="AP2356" s="63" t="str">
        <f t="shared" si="375"/>
        <v/>
      </c>
      <c r="AQ2356" s="63" t="str">
        <f t="shared" si="376"/>
        <v/>
      </c>
      <c r="AR2356" s="63" t="str">
        <f t="shared" si="377"/>
        <v/>
      </c>
      <c r="AS2356" s="63" t="str">
        <f t="shared" si="378"/>
        <v/>
      </c>
      <c r="AT2356" s="78" t="str">
        <f t="shared" si="379"/>
        <v/>
      </c>
      <c r="AU2356" s="78" t="str">
        <f t="shared" si="380"/>
        <v/>
      </c>
      <c r="AV2356" s="64" t="str">
        <f ca="1">IFERROR(__xludf.DUMMYFUNCTION("IF(TRIM(AU2356)="""","""",AU2356/INDEX(FILTER(AT$3:AT2356,TRIM(AT$3:AT2356)&lt;&gt;""""),ROWS(FILTER(AT$3:AT2356,TRIM(AT$3:AT2356)&lt;&gt;"""")))-1)"),"")</f>
        <v/>
      </c>
      <c r="AW2356" s="65" t="e">
        <f t="shared" ca="1" si="373"/>
        <v>#VALUE!</v>
      </c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</row>
    <row r="2357" spans="1:68" ht="19" x14ac:dyDescent="0.25">
      <c r="A2357" s="5"/>
      <c r="B2357" s="5"/>
      <c r="C2357" s="5"/>
      <c r="D2357" s="5"/>
      <c r="E2357" s="5"/>
      <c r="F2357" s="5"/>
      <c r="G2357" s="5"/>
      <c r="H2357" s="6"/>
      <c r="I2357" s="5"/>
      <c r="J2357" s="88"/>
      <c r="K2357" s="88"/>
      <c r="L2357" s="88"/>
      <c r="M2357" s="88"/>
      <c r="N2357" s="88"/>
      <c r="O2357" s="88"/>
      <c r="P2357" s="88"/>
      <c r="Q2357" s="89"/>
      <c r="R2357" s="88"/>
      <c r="S2357" s="88"/>
      <c r="T2357" s="90"/>
      <c r="U2357" s="6"/>
      <c r="V2357" s="96"/>
      <c r="W2357" s="77"/>
      <c r="X2357" s="91"/>
      <c r="Y2357" s="77"/>
      <c r="Z2357" s="5"/>
      <c r="AA2357" s="5"/>
      <c r="AB2357" s="5"/>
      <c r="AC2357" s="5"/>
      <c r="AD2357" s="5"/>
      <c r="AE2357" s="5"/>
      <c r="AF2357" s="5"/>
      <c r="AG2357" s="5"/>
      <c r="AH2357" s="6"/>
      <c r="AI2357" s="96"/>
      <c r="AJ2357" s="93"/>
      <c r="AK2357" s="94"/>
      <c r="AL2357" s="95"/>
      <c r="AM2357" s="56"/>
      <c r="AN2357" s="57">
        <f t="shared" si="372"/>
        <v>0</v>
      </c>
      <c r="AO2357" s="76">
        <f t="shared" si="374"/>
        <v>0</v>
      </c>
      <c r="AP2357" s="63" t="str">
        <f t="shared" si="375"/>
        <v/>
      </c>
      <c r="AQ2357" s="63" t="str">
        <f t="shared" si="376"/>
        <v/>
      </c>
      <c r="AR2357" s="63" t="str">
        <f t="shared" si="377"/>
        <v/>
      </c>
      <c r="AS2357" s="63" t="str">
        <f t="shared" si="378"/>
        <v/>
      </c>
      <c r="AT2357" s="78" t="str">
        <f t="shared" si="379"/>
        <v/>
      </c>
      <c r="AU2357" s="78" t="str">
        <f t="shared" si="380"/>
        <v/>
      </c>
      <c r="AV2357" s="64" t="str">
        <f ca="1">IFERROR(__xludf.DUMMYFUNCTION("IF(TRIM(AU2357)="""","""",AU2357/INDEX(FILTER(AT$3:AT2357,TRIM(AT$3:AT2357)&lt;&gt;""""),ROWS(FILTER(AT$3:AT2357,TRIM(AT$3:AT2357)&lt;&gt;"""")))-1)"),"")</f>
        <v/>
      </c>
      <c r="AW2357" s="65" t="e">
        <f t="shared" ca="1" si="373"/>
        <v>#VALUE!</v>
      </c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</row>
    <row r="2358" spans="1:68" ht="19" x14ac:dyDescent="0.25">
      <c r="A2358" s="5"/>
      <c r="B2358" s="5"/>
      <c r="C2358" s="5"/>
      <c r="D2358" s="5"/>
      <c r="E2358" s="5"/>
      <c r="F2358" s="5"/>
      <c r="G2358" s="5"/>
      <c r="H2358" s="6"/>
      <c r="I2358" s="5"/>
      <c r="J2358" s="88"/>
      <c r="K2358" s="88"/>
      <c r="L2358" s="88"/>
      <c r="M2358" s="88"/>
      <c r="N2358" s="88"/>
      <c r="O2358" s="88"/>
      <c r="P2358" s="88"/>
      <c r="Q2358" s="89"/>
      <c r="R2358" s="88"/>
      <c r="S2358" s="88"/>
      <c r="T2358" s="90"/>
      <c r="U2358" s="6"/>
      <c r="V2358" s="96"/>
      <c r="W2358" s="77"/>
      <c r="X2358" s="91"/>
      <c r="Y2358" s="77"/>
      <c r="Z2358" s="5"/>
      <c r="AA2358" s="5"/>
      <c r="AB2358" s="5"/>
      <c r="AC2358" s="5"/>
      <c r="AD2358" s="5"/>
      <c r="AE2358" s="5"/>
      <c r="AF2358" s="5"/>
      <c r="AG2358" s="5"/>
      <c r="AH2358" s="6"/>
      <c r="AI2358" s="96"/>
      <c r="AJ2358" s="93"/>
      <c r="AK2358" s="94"/>
      <c r="AL2358" s="95"/>
      <c r="AM2358" s="56"/>
      <c r="AN2358" s="57">
        <f t="shared" si="372"/>
        <v>0</v>
      </c>
      <c r="AO2358" s="76">
        <f t="shared" si="374"/>
        <v>0</v>
      </c>
      <c r="AP2358" s="63" t="str">
        <f t="shared" si="375"/>
        <v/>
      </c>
      <c r="AQ2358" s="63" t="str">
        <f t="shared" si="376"/>
        <v/>
      </c>
      <c r="AR2358" s="63" t="str">
        <f t="shared" si="377"/>
        <v/>
      </c>
      <c r="AS2358" s="63" t="str">
        <f t="shared" si="378"/>
        <v/>
      </c>
      <c r="AT2358" s="78" t="str">
        <f t="shared" si="379"/>
        <v/>
      </c>
      <c r="AU2358" s="78" t="str">
        <f t="shared" si="380"/>
        <v/>
      </c>
      <c r="AV2358" s="64" t="str">
        <f ca="1">IFERROR(__xludf.DUMMYFUNCTION("IF(TRIM(AU2358)="""","""",AU2358/INDEX(FILTER(AT$3:AT2358,TRIM(AT$3:AT2358)&lt;&gt;""""),ROWS(FILTER(AT$3:AT2358,TRIM(AT$3:AT2358)&lt;&gt;"""")))-1)"),"")</f>
        <v/>
      </c>
      <c r="AW2358" s="65" t="e">
        <f t="shared" ca="1" si="373"/>
        <v>#VALUE!</v>
      </c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</row>
    <row r="2359" spans="1:68" ht="19" x14ac:dyDescent="0.25">
      <c r="A2359" s="5"/>
      <c r="B2359" s="5"/>
      <c r="C2359" s="5"/>
      <c r="D2359" s="5"/>
      <c r="E2359" s="5"/>
      <c r="F2359" s="5"/>
      <c r="G2359" s="5"/>
      <c r="H2359" s="6"/>
      <c r="I2359" s="5"/>
      <c r="J2359" s="88"/>
      <c r="K2359" s="88"/>
      <c r="L2359" s="88"/>
      <c r="M2359" s="88"/>
      <c r="N2359" s="88"/>
      <c r="O2359" s="88"/>
      <c r="P2359" s="88"/>
      <c r="Q2359" s="89"/>
      <c r="R2359" s="88"/>
      <c r="S2359" s="88"/>
      <c r="T2359" s="90"/>
      <c r="U2359" s="6"/>
      <c r="V2359" s="96"/>
      <c r="W2359" s="77"/>
      <c r="X2359" s="91"/>
      <c r="Y2359" s="77"/>
      <c r="Z2359" s="5"/>
      <c r="AA2359" s="5"/>
      <c r="AB2359" s="5"/>
      <c r="AC2359" s="5"/>
      <c r="AD2359" s="5"/>
      <c r="AE2359" s="5"/>
      <c r="AF2359" s="5"/>
      <c r="AG2359" s="5"/>
      <c r="AH2359" s="6"/>
      <c r="AI2359" s="96"/>
      <c r="AJ2359" s="93"/>
      <c r="AK2359" s="94"/>
      <c r="AL2359" s="95"/>
      <c r="AM2359" s="56"/>
      <c r="AN2359" s="57">
        <f t="shared" si="372"/>
        <v>0</v>
      </c>
      <c r="AO2359" s="76">
        <f t="shared" si="374"/>
        <v>0</v>
      </c>
      <c r="AP2359" s="63" t="str">
        <f t="shared" si="375"/>
        <v/>
      </c>
      <c r="AQ2359" s="63" t="str">
        <f t="shared" si="376"/>
        <v/>
      </c>
      <c r="AR2359" s="63" t="str">
        <f t="shared" si="377"/>
        <v/>
      </c>
      <c r="AS2359" s="63" t="str">
        <f t="shared" si="378"/>
        <v/>
      </c>
      <c r="AT2359" s="78" t="str">
        <f t="shared" si="379"/>
        <v/>
      </c>
      <c r="AU2359" s="78" t="str">
        <f t="shared" si="380"/>
        <v/>
      </c>
      <c r="AV2359" s="64" t="str">
        <f ca="1">IFERROR(__xludf.DUMMYFUNCTION("IF(TRIM(AU2359)="""","""",AU2359/INDEX(FILTER(AT$3:AT2359,TRIM(AT$3:AT2359)&lt;&gt;""""),ROWS(FILTER(AT$3:AT2359,TRIM(AT$3:AT2359)&lt;&gt;"""")))-1)"),"")</f>
        <v/>
      </c>
      <c r="AW2359" s="65" t="e">
        <f t="shared" ca="1" si="373"/>
        <v>#VALUE!</v>
      </c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</row>
    <row r="2360" spans="1:68" ht="19" x14ac:dyDescent="0.25">
      <c r="A2360" s="5"/>
      <c r="B2360" s="5"/>
      <c r="C2360" s="5"/>
      <c r="D2360" s="5"/>
      <c r="E2360" s="5"/>
      <c r="F2360" s="5"/>
      <c r="G2360" s="5"/>
      <c r="H2360" s="6"/>
      <c r="I2360" s="5"/>
      <c r="J2360" s="88"/>
      <c r="K2360" s="88"/>
      <c r="L2360" s="88"/>
      <c r="M2360" s="88"/>
      <c r="N2360" s="88"/>
      <c r="O2360" s="88"/>
      <c r="P2360" s="88"/>
      <c r="Q2360" s="89"/>
      <c r="R2360" s="88"/>
      <c r="S2360" s="88"/>
      <c r="T2360" s="90"/>
      <c r="U2360" s="6"/>
      <c r="V2360" s="96"/>
      <c r="W2360" s="77"/>
      <c r="X2360" s="91"/>
      <c r="Y2360" s="77"/>
      <c r="Z2360" s="5"/>
      <c r="AA2360" s="5"/>
      <c r="AB2360" s="5"/>
      <c r="AC2360" s="5"/>
      <c r="AD2360" s="5"/>
      <c r="AE2360" s="5"/>
      <c r="AF2360" s="5"/>
      <c r="AG2360" s="5"/>
      <c r="AH2360" s="6"/>
      <c r="AI2360" s="96"/>
      <c r="AJ2360" s="93"/>
      <c r="AK2360" s="94"/>
      <c r="AL2360" s="95"/>
      <c r="AM2360" s="56"/>
      <c r="AN2360" s="57">
        <f t="shared" si="372"/>
        <v>0</v>
      </c>
      <c r="AO2360" s="76">
        <f t="shared" si="374"/>
        <v>0</v>
      </c>
      <c r="AP2360" s="63" t="str">
        <f t="shared" si="375"/>
        <v/>
      </c>
      <c r="AQ2360" s="63" t="str">
        <f t="shared" si="376"/>
        <v/>
      </c>
      <c r="AR2360" s="63" t="str">
        <f t="shared" si="377"/>
        <v/>
      </c>
      <c r="AS2360" s="63" t="str">
        <f t="shared" si="378"/>
        <v/>
      </c>
      <c r="AT2360" s="78" t="str">
        <f t="shared" si="379"/>
        <v/>
      </c>
      <c r="AU2360" s="78" t="str">
        <f t="shared" si="380"/>
        <v/>
      </c>
      <c r="AV2360" s="64" t="str">
        <f ca="1">IFERROR(__xludf.DUMMYFUNCTION("IF(TRIM(AU2360)="""","""",AU2360/INDEX(FILTER(AT$3:AT2360,TRIM(AT$3:AT2360)&lt;&gt;""""),ROWS(FILTER(AT$3:AT2360,TRIM(AT$3:AT2360)&lt;&gt;"""")))-1)"),"")</f>
        <v/>
      </c>
      <c r="AW2360" s="65" t="e">
        <f t="shared" ca="1" si="373"/>
        <v>#VALUE!</v>
      </c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</row>
    <row r="2361" spans="1:68" ht="19" x14ac:dyDescent="0.25">
      <c r="A2361" s="5"/>
      <c r="B2361" s="5"/>
      <c r="C2361" s="5"/>
      <c r="D2361" s="5"/>
      <c r="E2361" s="5"/>
      <c r="F2361" s="5"/>
      <c r="G2361" s="5"/>
      <c r="H2361" s="6"/>
      <c r="I2361" s="5"/>
      <c r="J2361" s="88"/>
      <c r="K2361" s="88"/>
      <c r="L2361" s="88"/>
      <c r="M2361" s="88"/>
      <c r="N2361" s="88"/>
      <c r="O2361" s="88"/>
      <c r="P2361" s="88"/>
      <c r="Q2361" s="89"/>
      <c r="R2361" s="88"/>
      <c r="S2361" s="88"/>
      <c r="T2361" s="90"/>
      <c r="U2361" s="6"/>
      <c r="V2361" s="96"/>
      <c r="W2361" s="77"/>
      <c r="X2361" s="91"/>
      <c r="Y2361" s="77"/>
      <c r="Z2361" s="5"/>
      <c r="AA2361" s="5"/>
      <c r="AB2361" s="5"/>
      <c r="AC2361" s="5"/>
      <c r="AD2361" s="5"/>
      <c r="AE2361" s="5"/>
      <c r="AF2361" s="5"/>
      <c r="AG2361" s="5"/>
      <c r="AH2361" s="6"/>
      <c r="AI2361" s="96"/>
      <c r="AJ2361" s="93"/>
      <c r="AK2361" s="94"/>
      <c r="AL2361" s="95"/>
      <c r="AM2361" s="56"/>
      <c r="AN2361" s="57">
        <f t="shared" si="372"/>
        <v>0</v>
      </c>
      <c r="AO2361" s="76">
        <f t="shared" si="374"/>
        <v>0</v>
      </c>
      <c r="AP2361" s="63" t="str">
        <f t="shared" si="375"/>
        <v/>
      </c>
      <c r="AQ2361" s="63" t="str">
        <f t="shared" si="376"/>
        <v/>
      </c>
      <c r="AR2361" s="63" t="str">
        <f t="shared" si="377"/>
        <v/>
      </c>
      <c r="AS2361" s="63" t="str">
        <f t="shared" si="378"/>
        <v/>
      </c>
      <c r="AT2361" s="78" t="str">
        <f t="shared" si="379"/>
        <v/>
      </c>
      <c r="AU2361" s="78" t="str">
        <f t="shared" si="380"/>
        <v/>
      </c>
      <c r="AV2361" s="64" t="str">
        <f ca="1">IFERROR(__xludf.DUMMYFUNCTION("IF(TRIM(AU2361)="""","""",AU2361/INDEX(FILTER(AT$3:AT2361,TRIM(AT$3:AT2361)&lt;&gt;""""),ROWS(FILTER(AT$3:AT2361,TRIM(AT$3:AT2361)&lt;&gt;"""")))-1)"),"")</f>
        <v/>
      </c>
      <c r="AW2361" s="65" t="e">
        <f t="shared" ca="1" si="373"/>
        <v>#VALUE!</v>
      </c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</row>
    <row r="2362" spans="1:68" ht="19" x14ac:dyDescent="0.25">
      <c r="A2362" s="5"/>
      <c r="B2362" s="5"/>
      <c r="C2362" s="5"/>
      <c r="D2362" s="5"/>
      <c r="E2362" s="5"/>
      <c r="F2362" s="5"/>
      <c r="G2362" s="5"/>
      <c r="H2362" s="6"/>
      <c r="I2362" s="5"/>
      <c r="J2362" s="88"/>
      <c r="K2362" s="88"/>
      <c r="L2362" s="88"/>
      <c r="M2362" s="88"/>
      <c r="N2362" s="88"/>
      <c r="O2362" s="88"/>
      <c r="P2362" s="88"/>
      <c r="Q2362" s="89"/>
      <c r="R2362" s="88"/>
      <c r="S2362" s="88"/>
      <c r="T2362" s="90"/>
      <c r="U2362" s="6"/>
      <c r="V2362" s="96"/>
      <c r="W2362" s="77"/>
      <c r="X2362" s="91"/>
      <c r="Y2362" s="77"/>
      <c r="Z2362" s="5"/>
      <c r="AA2362" s="5"/>
      <c r="AB2362" s="5"/>
      <c r="AC2362" s="5"/>
      <c r="AD2362" s="5"/>
      <c r="AE2362" s="5"/>
      <c r="AF2362" s="5"/>
      <c r="AG2362" s="5"/>
      <c r="AH2362" s="6"/>
      <c r="AI2362" s="96"/>
      <c r="AJ2362" s="93"/>
      <c r="AK2362" s="94"/>
      <c r="AL2362" s="95"/>
      <c r="AM2362" s="56"/>
      <c r="AN2362" s="57">
        <f t="shared" si="372"/>
        <v>0</v>
      </c>
      <c r="AO2362" s="76">
        <f t="shared" si="374"/>
        <v>0</v>
      </c>
      <c r="AP2362" s="63" t="str">
        <f t="shared" si="375"/>
        <v/>
      </c>
      <c r="AQ2362" s="63" t="str">
        <f t="shared" si="376"/>
        <v/>
      </c>
      <c r="AR2362" s="63" t="str">
        <f t="shared" si="377"/>
        <v/>
      </c>
      <c r="AS2362" s="63" t="str">
        <f t="shared" si="378"/>
        <v/>
      </c>
      <c r="AT2362" s="78" t="str">
        <f t="shared" si="379"/>
        <v/>
      </c>
      <c r="AU2362" s="78" t="str">
        <f t="shared" si="380"/>
        <v/>
      </c>
      <c r="AV2362" s="64" t="str">
        <f ca="1">IFERROR(__xludf.DUMMYFUNCTION("IF(TRIM(AU2362)="""","""",AU2362/INDEX(FILTER(AT$3:AT2362,TRIM(AT$3:AT2362)&lt;&gt;""""),ROWS(FILTER(AT$3:AT2362,TRIM(AT$3:AT2362)&lt;&gt;"""")))-1)"),"")</f>
        <v/>
      </c>
      <c r="AW2362" s="65" t="e">
        <f t="shared" ca="1" si="373"/>
        <v>#VALUE!</v>
      </c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</row>
    <row r="2363" spans="1:68" ht="19" x14ac:dyDescent="0.25">
      <c r="A2363" s="5"/>
      <c r="B2363" s="5"/>
      <c r="C2363" s="5"/>
      <c r="D2363" s="5"/>
      <c r="E2363" s="5"/>
      <c r="F2363" s="5"/>
      <c r="G2363" s="5"/>
      <c r="H2363" s="6"/>
      <c r="I2363" s="5"/>
      <c r="J2363" s="88"/>
      <c r="K2363" s="88"/>
      <c r="L2363" s="88"/>
      <c r="M2363" s="88"/>
      <c r="N2363" s="88"/>
      <c r="O2363" s="88"/>
      <c r="P2363" s="88"/>
      <c r="Q2363" s="89"/>
      <c r="R2363" s="88"/>
      <c r="S2363" s="88"/>
      <c r="T2363" s="90"/>
      <c r="U2363" s="6"/>
      <c r="V2363" s="96"/>
      <c r="W2363" s="77"/>
      <c r="X2363" s="91"/>
      <c r="Y2363" s="77"/>
      <c r="Z2363" s="5"/>
      <c r="AA2363" s="5"/>
      <c r="AB2363" s="5"/>
      <c r="AC2363" s="5"/>
      <c r="AD2363" s="5"/>
      <c r="AE2363" s="5"/>
      <c r="AF2363" s="5"/>
      <c r="AG2363" s="5"/>
      <c r="AH2363" s="6"/>
      <c r="AI2363" s="96"/>
      <c r="AJ2363" s="93"/>
      <c r="AK2363" s="94"/>
      <c r="AL2363" s="95"/>
      <c r="AM2363" s="56"/>
      <c r="AN2363" s="57">
        <f t="shared" si="372"/>
        <v>0</v>
      </c>
      <c r="AO2363" s="76">
        <f t="shared" si="374"/>
        <v>0</v>
      </c>
      <c r="AP2363" s="63" t="str">
        <f t="shared" si="375"/>
        <v/>
      </c>
      <c r="AQ2363" s="63" t="str">
        <f t="shared" si="376"/>
        <v/>
      </c>
      <c r="AR2363" s="63" t="str">
        <f t="shared" si="377"/>
        <v/>
      </c>
      <c r="AS2363" s="63" t="str">
        <f t="shared" si="378"/>
        <v/>
      </c>
      <c r="AT2363" s="78" t="str">
        <f t="shared" si="379"/>
        <v/>
      </c>
      <c r="AU2363" s="78" t="str">
        <f t="shared" si="380"/>
        <v/>
      </c>
      <c r="AV2363" s="64" t="str">
        <f ca="1">IFERROR(__xludf.DUMMYFUNCTION("IF(TRIM(AU2363)="""","""",AU2363/INDEX(FILTER(AT$3:AT2363,TRIM(AT$3:AT2363)&lt;&gt;""""),ROWS(FILTER(AT$3:AT2363,TRIM(AT$3:AT2363)&lt;&gt;"""")))-1)"),"")</f>
        <v/>
      </c>
      <c r="AW2363" s="65" t="e">
        <f t="shared" ca="1" si="373"/>
        <v>#VALUE!</v>
      </c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</row>
    <row r="2364" spans="1:68" ht="19" x14ac:dyDescent="0.25">
      <c r="A2364" s="5"/>
      <c r="B2364" s="5"/>
      <c r="C2364" s="5"/>
      <c r="D2364" s="5"/>
      <c r="E2364" s="5"/>
      <c r="F2364" s="5"/>
      <c r="G2364" s="5"/>
      <c r="H2364" s="6"/>
      <c r="I2364" s="5"/>
      <c r="J2364" s="88"/>
      <c r="K2364" s="88"/>
      <c r="L2364" s="88"/>
      <c r="M2364" s="88"/>
      <c r="N2364" s="88"/>
      <c r="O2364" s="88"/>
      <c r="P2364" s="88"/>
      <c r="Q2364" s="89"/>
      <c r="R2364" s="88"/>
      <c r="S2364" s="88"/>
      <c r="T2364" s="90"/>
      <c r="U2364" s="6"/>
      <c r="V2364" s="96"/>
      <c r="W2364" s="77"/>
      <c r="X2364" s="91"/>
      <c r="Y2364" s="77"/>
      <c r="Z2364" s="5"/>
      <c r="AA2364" s="5"/>
      <c r="AB2364" s="5"/>
      <c r="AC2364" s="5"/>
      <c r="AD2364" s="5"/>
      <c r="AE2364" s="5"/>
      <c r="AF2364" s="5"/>
      <c r="AG2364" s="5"/>
      <c r="AH2364" s="6"/>
      <c r="AI2364" s="96"/>
      <c r="AJ2364" s="93"/>
      <c r="AK2364" s="94"/>
      <c r="AL2364" s="95"/>
      <c r="AM2364" s="56"/>
      <c r="AN2364" s="57">
        <f t="shared" si="372"/>
        <v>0</v>
      </c>
      <c r="AO2364" s="76">
        <f t="shared" si="374"/>
        <v>0</v>
      </c>
      <c r="AP2364" s="63" t="str">
        <f t="shared" si="375"/>
        <v/>
      </c>
      <c r="AQ2364" s="63" t="str">
        <f t="shared" si="376"/>
        <v/>
      </c>
      <c r="AR2364" s="63" t="str">
        <f t="shared" si="377"/>
        <v/>
      </c>
      <c r="AS2364" s="63" t="str">
        <f t="shared" si="378"/>
        <v/>
      </c>
      <c r="AT2364" s="78" t="str">
        <f t="shared" si="379"/>
        <v/>
      </c>
      <c r="AU2364" s="78" t="str">
        <f t="shared" si="380"/>
        <v/>
      </c>
      <c r="AV2364" s="64" t="str">
        <f ca="1">IFERROR(__xludf.DUMMYFUNCTION("IF(TRIM(AU2364)="""","""",AU2364/INDEX(FILTER(AT$3:AT2364,TRIM(AT$3:AT2364)&lt;&gt;""""),ROWS(FILTER(AT$3:AT2364,TRIM(AT$3:AT2364)&lt;&gt;"""")))-1)"),"")</f>
        <v/>
      </c>
      <c r="AW2364" s="65" t="e">
        <f t="shared" ca="1" si="373"/>
        <v>#VALUE!</v>
      </c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</row>
    <row r="2365" spans="1:68" ht="19" x14ac:dyDescent="0.25">
      <c r="A2365" s="5"/>
      <c r="B2365" s="5"/>
      <c r="C2365" s="5"/>
      <c r="D2365" s="5"/>
      <c r="E2365" s="5"/>
      <c r="F2365" s="5"/>
      <c r="G2365" s="5"/>
      <c r="H2365" s="6"/>
      <c r="I2365" s="5"/>
      <c r="J2365" s="88"/>
      <c r="K2365" s="88"/>
      <c r="L2365" s="88"/>
      <c r="M2365" s="88"/>
      <c r="N2365" s="88"/>
      <c r="O2365" s="88"/>
      <c r="P2365" s="88"/>
      <c r="Q2365" s="89"/>
      <c r="R2365" s="88"/>
      <c r="S2365" s="88"/>
      <c r="T2365" s="90"/>
      <c r="U2365" s="6"/>
      <c r="V2365" s="96"/>
      <c r="W2365" s="77"/>
      <c r="X2365" s="91"/>
      <c r="Y2365" s="77"/>
      <c r="Z2365" s="5"/>
      <c r="AA2365" s="5"/>
      <c r="AB2365" s="5"/>
      <c r="AC2365" s="5"/>
      <c r="AD2365" s="5"/>
      <c r="AE2365" s="5"/>
      <c r="AF2365" s="5"/>
      <c r="AG2365" s="5"/>
      <c r="AH2365" s="6"/>
      <c r="AI2365" s="96"/>
      <c r="AJ2365" s="93"/>
      <c r="AK2365" s="94"/>
      <c r="AL2365" s="95"/>
      <c r="AM2365" s="56"/>
      <c r="AN2365" s="57">
        <f t="shared" si="372"/>
        <v>0</v>
      </c>
      <c r="AO2365" s="76">
        <f t="shared" si="374"/>
        <v>0</v>
      </c>
      <c r="AP2365" s="63" t="str">
        <f t="shared" si="375"/>
        <v/>
      </c>
      <c r="AQ2365" s="63" t="str">
        <f t="shared" si="376"/>
        <v/>
      </c>
      <c r="AR2365" s="63" t="str">
        <f t="shared" si="377"/>
        <v/>
      </c>
      <c r="AS2365" s="63" t="str">
        <f t="shared" si="378"/>
        <v/>
      </c>
      <c r="AT2365" s="78" t="str">
        <f t="shared" si="379"/>
        <v/>
      </c>
      <c r="AU2365" s="78" t="str">
        <f t="shared" si="380"/>
        <v/>
      </c>
      <c r="AV2365" s="64" t="str">
        <f ca="1">IFERROR(__xludf.DUMMYFUNCTION("IF(TRIM(AU2365)="""","""",AU2365/INDEX(FILTER(AT$3:AT2365,TRIM(AT$3:AT2365)&lt;&gt;""""),ROWS(FILTER(AT$3:AT2365,TRIM(AT$3:AT2365)&lt;&gt;"""")))-1)"),"")</f>
        <v/>
      </c>
      <c r="AW2365" s="65" t="e">
        <f t="shared" ca="1" si="373"/>
        <v>#VALUE!</v>
      </c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</row>
    <row r="2366" spans="1:68" ht="19" x14ac:dyDescent="0.25">
      <c r="A2366" s="5"/>
      <c r="B2366" s="5"/>
      <c r="C2366" s="5"/>
      <c r="D2366" s="5"/>
      <c r="E2366" s="5"/>
      <c r="F2366" s="5"/>
      <c r="G2366" s="5"/>
      <c r="H2366" s="6"/>
      <c r="I2366" s="5"/>
      <c r="J2366" s="88"/>
      <c r="K2366" s="88"/>
      <c r="L2366" s="88"/>
      <c r="M2366" s="88"/>
      <c r="N2366" s="88"/>
      <c r="O2366" s="88"/>
      <c r="P2366" s="88"/>
      <c r="Q2366" s="89"/>
      <c r="R2366" s="88"/>
      <c r="S2366" s="88"/>
      <c r="T2366" s="90"/>
      <c r="U2366" s="6"/>
      <c r="V2366" s="96"/>
      <c r="W2366" s="77"/>
      <c r="X2366" s="91"/>
      <c r="Y2366" s="77"/>
      <c r="Z2366" s="5"/>
      <c r="AA2366" s="5"/>
      <c r="AB2366" s="5"/>
      <c r="AC2366" s="5"/>
      <c r="AD2366" s="5"/>
      <c r="AE2366" s="5"/>
      <c r="AF2366" s="5"/>
      <c r="AG2366" s="5"/>
      <c r="AH2366" s="6"/>
      <c r="AI2366" s="96"/>
      <c r="AJ2366" s="93"/>
      <c r="AK2366" s="94"/>
      <c r="AL2366" s="95"/>
      <c r="AM2366" s="56"/>
      <c r="AN2366" s="57">
        <f t="shared" si="372"/>
        <v>0</v>
      </c>
      <c r="AO2366" s="76">
        <f t="shared" si="374"/>
        <v>0</v>
      </c>
      <c r="AP2366" s="63" t="str">
        <f t="shared" si="375"/>
        <v/>
      </c>
      <c r="AQ2366" s="63" t="str">
        <f t="shared" si="376"/>
        <v/>
      </c>
      <c r="AR2366" s="63" t="str">
        <f t="shared" si="377"/>
        <v/>
      </c>
      <c r="AS2366" s="63" t="str">
        <f t="shared" si="378"/>
        <v/>
      </c>
      <c r="AT2366" s="78" t="str">
        <f t="shared" si="379"/>
        <v/>
      </c>
      <c r="AU2366" s="78" t="str">
        <f t="shared" si="380"/>
        <v/>
      </c>
      <c r="AV2366" s="64" t="str">
        <f ca="1">IFERROR(__xludf.DUMMYFUNCTION("IF(TRIM(AU2366)="""","""",AU2366/INDEX(FILTER(AT$3:AT2366,TRIM(AT$3:AT2366)&lt;&gt;""""),ROWS(FILTER(AT$3:AT2366,TRIM(AT$3:AT2366)&lt;&gt;"""")))-1)"),"")</f>
        <v/>
      </c>
      <c r="AW2366" s="65" t="e">
        <f t="shared" ca="1" si="373"/>
        <v>#VALUE!</v>
      </c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</row>
    <row r="2367" spans="1:68" ht="19" x14ac:dyDescent="0.25">
      <c r="A2367" s="5"/>
      <c r="B2367" s="5"/>
      <c r="C2367" s="5"/>
      <c r="D2367" s="5"/>
      <c r="E2367" s="5"/>
      <c r="F2367" s="5"/>
      <c r="G2367" s="5"/>
      <c r="H2367" s="6"/>
      <c r="I2367" s="5"/>
      <c r="J2367" s="88"/>
      <c r="K2367" s="88"/>
      <c r="L2367" s="88"/>
      <c r="M2367" s="88"/>
      <c r="N2367" s="88"/>
      <c r="O2367" s="88"/>
      <c r="P2367" s="88"/>
      <c r="Q2367" s="89"/>
      <c r="R2367" s="88"/>
      <c r="S2367" s="88"/>
      <c r="T2367" s="90"/>
      <c r="U2367" s="6"/>
      <c r="V2367" s="96"/>
      <c r="W2367" s="77"/>
      <c r="X2367" s="91"/>
      <c r="Y2367" s="77"/>
      <c r="Z2367" s="5"/>
      <c r="AA2367" s="5"/>
      <c r="AB2367" s="5"/>
      <c r="AC2367" s="5"/>
      <c r="AD2367" s="5"/>
      <c r="AE2367" s="5"/>
      <c r="AF2367" s="5"/>
      <c r="AG2367" s="5"/>
      <c r="AH2367" s="6"/>
      <c r="AI2367" s="96"/>
      <c r="AJ2367" s="93"/>
      <c r="AK2367" s="94"/>
      <c r="AL2367" s="95"/>
      <c r="AM2367" s="56"/>
      <c r="AN2367" s="57">
        <f t="shared" si="372"/>
        <v>0</v>
      </c>
      <c r="AO2367" s="76">
        <f t="shared" si="374"/>
        <v>0</v>
      </c>
      <c r="AP2367" s="63" t="str">
        <f t="shared" si="375"/>
        <v/>
      </c>
      <c r="AQ2367" s="63" t="str">
        <f t="shared" si="376"/>
        <v/>
      </c>
      <c r="AR2367" s="63" t="str">
        <f t="shared" si="377"/>
        <v/>
      </c>
      <c r="AS2367" s="63" t="str">
        <f t="shared" si="378"/>
        <v/>
      </c>
      <c r="AT2367" s="78" t="str">
        <f t="shared" si="379"/>
        <v/>
      </c>
      <c r="AU2367" s="78" t="str">
        <f t="shared" si="380"/>
        <v/>
      </c>
      <c r="AV2367" s="64" t="str">
        <f ca="1">IFERROR(__xludf.DUMMYFUNCTION("IF(TRIM(AU2367)="""","""",AU2367/INDEX(FILTER(AT$3:AT2367,TRIM(AT$3:AT2367)&lt;&gt;""""),ROWS(FILTER(AT$3:AT2367,TRIM(AT$3:AT2367)&lt;&gt;"""")))-1)"),"")</f>
        <v/>
      </c>
      <c r="AW2367" s="65" t="e">
        <f t="shared" ca="1" si="373"/>
        <v>#VALUE!</v>
      </c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</row>
    <row r="2368" spans="1:68" ht="19" x14ac:dyDescent="0.25">
      <c r="A2368" s="5"/>
      <c r="B2368" s="5"/>
      <c r="C2368" s="5"/>
      <c r="D2368" s="5"/>
      <c r="E2368" s="5"/>
      <c r="F2368" s="5"/>
      <c r="G2368" s="5"/>
      <c r="H2368" s="6"/>
      <c r="I2368" s="5"/>
      <c r="J2368" s="88"/>
      <c r="K2368" s="88"/>
      <c r="L2368" s="88"/>
      <c r="M2368" s="88"/>
      <c r="N2368" s="88"/>
      <c r="O2368" s="88"/>
      <c r="P2368" s="88"/>
      <c r="Q2368" s="89"/>
      <c r="R2368" s="88"/>
      <c r="S2368" s="88"/>
      <c r="T2368" s="90"/>
      <c r="U2368" s="6"/>
      <c r="V2368" s="96"/>
      <c r="W2368" s="77"/>
      <c r="X2368" s="91"/>
      <c r="Y2368" s="77"/>
      <c r="Z2368" s="5"/>
      <c r="AA2368" s="5"/>
      <c r="AB2368" s="5"/>
      <c r="AC2368" s="5"/>
      <c r="AD2368" s="5"/>
      <c r="AE2368" s="5"/>
      <c r="AF2368" s="5"/>
      <c r="AG2368" s="5"/>
      <c r="AH2368" s="6"/>
      <c r="AI2368" s="96"/>
      <c r="AJ2368" s="93"/>
      <c r="AK2368" s="94"/>
      <c r="AL2368" s="95"/>
      <c r="AM2368" s="56"/>
      <c r="AN2368" s="57">
        <f t="shared" si="372"/>
        <v>0</v>
      </c>
      <c r="AO2368" s="76">
        <f t="shared" si="374"/>
        <v>0</v>
      </c>
      <c r="AP2368" s="63" t="str">
        <f t="shared" si="375"/>
        <v/>
      </c>
      <c r="AQ2368" s="63" t="str">
        <f t="shared" si="376"/>
        <v/>
      </c>
      <c r="AR2368" s="63" t="str">
        <f t="shared" si="377"/>
        <v/>
      </c>
      <c r="AS2368" s="63" t="str">
        <f t="shared" si="378"/>
        <v/>
      </c>
      <c r="AT2368" s="78" t="str">
        <f t="shared" si="379"/>
        <v/>
      </c>
      <c r="AU2368" s="78" t="str">
        <f t="shared" si="380"/>
        <v/>
      </c>
      <c r="AV2368" s="64" t="str">
        <f ca="1">IFERROR(__xludf.DUMMYFUNCTION("IF(TRIM(AU2368)="""","""",AU2368/INDEX(FILTER(AT$3:AT2368,TRIM(AT$3:AT2368)&lt;&gt;""""),ROWS(FILTER(AT$3:AT2368,TRIM(AT$3:AT2368)&lt;&gt;"""")))-1)"),"")</f>
        <v/>
      </c>
      <c r="AW2368" s="65" t="e">
        <f t="shared" ca="1" si="373"/>
        <v>#VALUE!</v>
      </c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</row>
    <row r="2369" spans="1:68" ht="19" x14ac:dyDescent="0.25">
      <c r="A2369" s="5"/>
      <c r="B2369" s="5"/>
      <c r="C2369" s="5"/>
      <c r="D2369" s="5"/>
      <c r="E2369" s="5"/>
      <c r="F2369" s="5"/>
      <c r="G2369" s="5"/>
      <c r="H2369" s="6"/>
      <c r="I2369" s="5"/>
      <c r="J2369" s="88"/>
      <c r="K2369" s="88"/>
      <c r="L2369" s="88"/>
      <c r="M2369" s="88"/>
      <c r="N2369" s="88"/>
      <c r="O2369" s="88"/>
      <c r="P2369" s="88"/>
      <c r="Q2369" s="89"/>
      <c r="R2369" s="88"/>
      <c r="S2369" s="88"/>
      <c r="T2369" s="90"/>
      <c r="U2369" s="6"/>
      <c r="V2369" s="92"/>
      <c r="W2369" s="77"/>
      <c r="X2369" s="91"/>
      <c r="Y2369" s="77"/>
      <c r="Z2369" s="5"/>
      <c r="AA2369" s="5"/>
      <c r="AB2369" s="5"/>
      <c r="AC2369" s="5"/>
      <c r="AD2369" s="5"/>
      <c r="AE2369" s="5"/>
      <c r="AF2369" s="5"/>
      <c r="AG2369" s="5"/>
      <c r="AH2369" s="6"/>
      <c r="AI2369" s="92"/>
      <c r="AJ2369" s="93"/>
      <c r="AK2369" s="94"/>
      <c r="AL2369" s="95"/>
      <c r="AM2369" s="56"/>
      <c r="AN2369" s="57">
        <f t="shared" si="372"/>
        <v>0</v>
      </c>
      <c r="AO2369" s="76">
        <f t="shared" si="374"/>
        <v>0</v>
      </c>
      <c r="AP2369" s="63" t="str">
        <f t="shared" si="375"/>
        <v/>
      </c>
      <c r="AQ2369" s="63" t="str">
        <f t="shared" si="376"/>
        <v/>
      </c>
      <c r="AR2369" s="63" t="str">
        <f t="shared" si="377"/>
        <v/>
      </c>
      <c r="AS2369" s="63" t="str">
        <f t="shared" si="378"/>
        <v/>
      </c>
      <c r="AT2369" s="78" t="str">
        <f t="shared" si="379"/>
        <v/>
      </c>
      <c r="AU2369" s="78" t="str">
        <f t="shared" si="380"/>
        <v/>
      </c>
      <c r="AV2369" s="64" t="str">
        <f ca="1">IFERROR(__xludf.DUMMYFUNCTION("IF(TRIM(AU2369)="""","""",AU2369/INDEX(FILTER(AT$3:AT2369,TRIM(AT$3:AT2369)&lt;&gt;""""),ROWS(FILTER(AT$3:AT2369,TRIM(AT$3:AT2369)&lt;&gt;"""")))-1)"),"")</f>
        <v/>
      </c>
      <c r="AW2369" s="65" t="e">
        <f t="shared" ca="1" si="373"/>
        <v>#VALUE!</v>
      </c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</row>
    <row r="2370" spans="1:68" ht="19" x14ac:dyDescent="0.25">
      <c r="A2370" s="5"/>
      <c r="B2370" s="5"/>
      <c r="C2370" s="5"/>
      <c r="D2370" s="5"/>
      <c r="E2370" s="5"/>
      <c r="F2370" s="5"/>
      <c r="G2370" s="5"/>
      <c r="H2370" s="6"/>
      <c r="I2370" s="5"/>
      <c r="J2370" s="88"/>
      <c r="K2370" s="88"/>
      <c r="L2370" s="88"/>
      <c r="M2370" s="88"/>
      <c r="N2370" s="88"/>
      <c r="O2370" s="88"/>
      <c r="P2370" s="88"/>
      <c r="Q2370" s="89"/>
      <c r="R2370" s="88"/>
      <c r="S2370" s="88"/>
      <c r="T2370" s="90"/>
      <c r="U2370" s="6"/>
      <c r="V2370" s="92"/>
      <c r="W2370" s="77"/>
      <c r="X2370" s="91"/>
      <c r="Y2370" s="77"/>
      <c r="Z2370" s="5"/>
      <c r="AA2370" s="5"/>
      <c r="AB2370" s="5"/>
      <c r="AC2370" s="5"/>
      <c r="AD2370" s="5"/>
      <c r="AE2370" s="5"/>
      <c r="AF2370" s="5"/>
      <c r="AG2370" s="5"/>
      <c r="AH2370" s="6"/>
      <c r="AI2370" s="92"/>
      <c r="AJ2370" s="93"/>
      <c r="AK2370" s="94"/>
      <c r="AL2370" s="95"/>
      <c r="AM2370" s="56"/>
      <c r="AN2370" s="57">
        <f t="shared" si="372"/>
        <v>0</v>
      </c>
      <c r="AO2370" s="76">
        <f t="shared" si="374"/>
        <v>0</v>
      </c>
      <c r="AP2370" s="63" t="str">
        <f t="shared" si="375"/>
        <v/>
      </c>
      <c r="AQ2370" s="63" t="str">
        <f t="shared" si="376"/>
        <v/>
      </c>
      <c r="AR2370" s="63" t="str">
        <f t="shared" si="377"/>
        <v/>
      </c>
      <c r="AS2370" s="63" t="str">
        <f t="shared" si="378"/>
        <v/>
      </c>
      <c r="AT2370" s="78" t="str">
        <f t="shared" si="379"/>
        <v/>
      </c>
      <c r="AU2370" s="78" t="str">
        <f t="shared" si="380"/>
        <v/>
      </c>
      <c r="AV2370" s="64" t="str">
        <f ca="1">IFERROR(__xludf.DUMMYFUNCTION("IF(TRIM(AU2370)="""","""",AU2370/INDEX(FILTER(AT$3:AT2370,TRIM(AT$3:AT2370)&lt;&gt;""""),ROWS(FILTER(AT$3:AT2370,TRIM(AT$3:AT2370)&lt;&gt;"""")))-1)"),"")</f>
        <v/>
      </c>
      <c r="AW2370" s="65" t="e">
        <f t="shared" ca="1" si="373"/>
        <v>#VALUE!</v>
      </c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</row>
    <row r="2371" spans="1:68" ht="19" x14ac:dyDescent="0.25">
      <c r="A2371" s="5"/>
      <c r="B2371" s="5"/>
      <c r="C2371" s="5"/>
      <c r="D2371" s="5"/>
      <c r="E2371" s="5"/>
      <c r="F2371" s="5"/>
      <c r="G2371" s="5"/>
      <c r="H2371" s="6"/>
      <c r="I2371" s="5"/>
      <c r="J2371" s="88"/>
      <c r="K2371" s="88"/>
      <c r="L2371" s="88"/>
      <c r="M2371" s="88"/>
      <c r="N2371" s="88"/>
      <c r="O2371" s="88"/>
      <c r="P2371" s="88"/>
      <c r="Q2371" s="89"/>
      <c r="R2371" s="88"/>
      <c r="S2371" s="88"/>
      <c r="T2371" s="90"/>
      <c r="U2371" s="6"/>
      <c r="V2371" s="92"/>
      <c r="W2371" s="77"/>
      <c r="X2371" s="91"/>
      <c r="Y2371" s="77"/>
      <c r="Z2371" s="5"/>
      <c r="AA2371" s="5"/>
      <c r="AB2371" s="5"/>
      <c r="AC2371" s="5"/>
      <c r="AD2371" s="5"/>
      <c r="AE2371" s="5"/>
      <c r="AF2371" s="5"/>
      <c r="AG2371" s="5"/>
      <c r="AH2371" s="6"/>
      <c r="AI2371" s="92"/>
      <c r="AJ2371" s="93"/>
      <c r="AK2371" s="94"/>
      <c r="AL2371" s="95"/>
      <c r="AM2371" s="56"/>
      <c r="AN2371" s="57">
        <f t="shared" ref="AN2371:AN2434" si="381">AM2371-AL2371</f>
        <v>0</v>
      </c>
      <c r="AO2371" s="76">
        <f t="shared" si="374"/>
        <v>0</v>
      </c>
      <c r="AP2371" s="63" t="str">
        <f t="shared" si="375"/>
        <v/>
      </c>
      <c r="AQ2371" s="63" t="str">
        <f t="shared" si="376"/>
        <v/>
      </c>
      <c r="AR2371" s="63" t="str">
        <f t="shared" si="377"/>
        <v/>
      </c>
      <c r="AS2371" s="63" t="str">
        <f t="shared" si="378"/>
        <v/>
      </c>
      <c r="AT2371" s="78" t="str">
        <f t="shared" si="379"/>
        <v/>
      </c>
      <c r="AU2371" s="78" t="str">
        <f t="shared" si="380"/>
        <v/>
      </c>
      <c r="AV2371" s="64" t="str">
        <f ca="1">IFERROR(__xludf.DUMMYFUNCTION("IF(TRIM(AU2371)="""","""",AU2371/INDEX(FILTER(AT$3:AT2371,TRIM(AT$3:AT2371)&lt;&gt;""""),ROWS(FILTER(AT$3:AT2371,TRIM(AT$3:AT2371)&lt;&gt;"""")))-1)"),"")</f>
        <v/>
      </c>
      <c r="AW2371" s="65" t="e">
        <f t="shared" ref="AW2371:AW2434" ca="1" si="382">AW2370*(1+AV2371)</f>
        <v>#VALUE!</v>
      </c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</row>
    <row r="2372" spans="1:68" ht="19" x14ac:dyDescent="0.25">
      <c r="A2372" s="5"/>
      <c r="B2372" s="5"/>
      <c r="C2372" s="5"/>
      <c r="D2372" s="5"/>
      <c r="E2372" s="5"/>
      <c r="F2372" s="5"/>
      <c r="G2372" s="5"/>
      <c r="H2372" s="6"/>
      <c r="I2372" s="5"/>
      <c r="J2372" s="88"/>
      <c r="K2372" s="88"/>
      <c r="L2372" s="88"/>
      <c r="M2372" s="88"/>
      <c r="N2372" s="88"/>
      <c r="O2372" s="88"/>
      <c r="P2372" s="88"/>
      <c r="Q2372" s="89"/>
      <c r="R2372" s="88"/>
      <c r="S2372" s="88"/>
      <c r="T2372" s="90"/>
      <c r="U2372" s="6"/>
      <c r="V2372" s="92"/>
      <c r="W2372" s="77"/>
      <c r="X2372" s="91"/>
      <c r="Y2372" s="77"/>
      <c r="Z2372" s="5"/>
      <c r="AA2372" s="5"/>
      <c r="AB2372" s="5"/>
      <c r="AC2372" s="5"/>
      <c r="AD2372" s="5"/>
      <c r="AE2372" s="5"/>
      <c r="AF2372" s="5"/>
      <c r="AG2372" s="5"/>
      <c r="AH2372" s="6"/>
      <c r="AI2372" s="92"/>
      <c r="AJ2372" s="93"/>
      <c r="AK2372" s="94"/>
      <c r="AL2372" s="95"/>
      <c r="AM2372" s="56"/>
      <c r="AN2372" s="57">
        <f t="shared" si="381"/>
        <v>0</v>
      </c>
      <c r="AO2372" s="76">
        <f t="shared" si="374"/>
        <v>0</v>
      </c>
      <c r="AP2372" s="63" t="str">
        <f t="shared" si="375"/>
        <v/>
      </c>
      <c r="AQ2372" s="63" t="str">
        <f t="shared" si="376"/>
        <v/>
      </c>
      <c r="AR2372" s="63" t="str">
        <f t="shared" si="377"/>
        <v/>
      </c>
      <c r="AS2372" s="63" t="str">
        <f t="shared" si="378"/>
        <v/>
      </c>
      <c r="AT2372" s="78" t="str">
        <f t="shared" si="379"/>
        <v/>
      </c>
      <c r="AU2372" s="78" t="str">
        <f t="shared" si="380"/>
        <v/>
      </c>
      <c r="AV2372" s="64" t="str">
        <f ca="1">IFERROR(__xludf.DUMMYFUNCTION("IF(TRIM(AU2372)="""","""",AU2372/INDEX(FILTER(AT$3:AT2372,TRIM(AT$3:AT2372)&lt;&gt;""""),ROWS(FILTER(AT$3:AT2372,TRIM(AT$3:AT2372)&lt;&gt;"""")))-1)"),"")</f>
        <v/>
      </c>
      <c r="AW2372" s="65" t="e">
        <f t="shared" ca="1" si="382"/>
        <v>#VALUE!</v>
      </c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</row>
    <row r="2373" spans="1:68" ht="19" x14ac:dyDescent="0.25">
      <c r="A2373" s="5"/>
      <c r="B2373" s="5"/>
      <c r="C2373" s="5"/>
      <c r="D2373" s="5"/>
      <c r="E2373" s="5"/>
      <c r="F2373" s="5"/>
      <c r="G2373" s="5"/>
      <c r="H2373" s="6"/>
      <c r="I2373" s="5"/>
      <c r="J2373" s="88"/>
      <c r="K2373" s="88"/>
      <c r="L2373" s="88"/>
      <c r="M2373" s="88"/>
      <c r="N2373" s="88"/>
      <c r="O2373" s="88"/>
      <c r="P2373" s="88"/>
      <c r="Q2373" s="89"/>
      <c r="R2373" s="88"/>
      <c r="S2373" s="88"/>
      <c r="T2373" s="90"/>
      <c r="U2373" s="6"/>
      <c r="V2373" s="92"/>
      <c r="W2373" s="77"/>
      <c r="X2373" s="91"/>
      <c r="Y2373" s="77"/>
      <c r="Z2373" s="5"/>
      <c r="AA2373" s="5"/>
      <c r="AB2373" s="5"/>
      <c r="AC2373" s="5"/>
      <c r="AD2373" s="5"/>
      <c r="AE2373" s="5"/>
      <c r="AF2373" s="5"/>
      <c r="AG2373" s="5"/>
      <c r="AH2373" s="6"/>
      <c r="AI2373" s="92"/>
      <c r="AJ2373" s="93"/>
      <c r="AK2373" s="94"/>
      <c r="AL2373" s="95"/>
      <c r="AM2373" s="56"/>
      <c r="AN2373" s="57">
        <f t="shared" si="381"/>
        <v>0</v>
      </c>
      <c r="AO2373" s="76">
        <f t="shared" si="374"/>
        <v>0</v>
      </c>
      <c r="AP2373" s="63" t="str">
        <f t="shared" si="375"/>
        <v/>
      </c>
      <c r="AQ2373" s="63" t="str">
        <f t="shared" si="376"/>
        <v/>
      </c>
      <c r="AR2373" s="63" t="str">
        <f t="shared" si="377"/>
        <v/>
      </c>
      <c r="AS2373" s="63" t="str">
        <f t="shared" si="378"/>
        <v/>
      </c>
      <c r="AT2373" s="78" t="str">
        <f t="shared" si="379"/>
        <v/>
      </c>
      <c r="AU2373" s="78" t="str">
        <f t="shared" si="380"/>
        <v/>
      </c>
      <c r="AV2373" s="64" t="str">
        <f ca="1">IFERROR(__xludf.DUMMYFUNCTION("IF(TRIM(AU2373)="""","""",AU2373/INDEX(FILTER(AT$3:AT2373,TRIM(AT$3:AT2373)&lt;&gt;""""),ROWS(FILTER(AT$3:AT2373,TRIM(AT$3:AT2373)&lt;&gt;"""")))-1)"),"")</f>
        <v/>
      </c>
      <c r="AW2373" s="65" t="e">
        <f t="shared" ca="1" si="382"/>
        <v>#VALUE!</v>
      </c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</row>
    <row r="2374" spans="1:68" ht="19" x14ac:dyDescent="0.25">
      <c r="A2374" s="5"/>
      <c r="B2374" s="5"/>
      <c r="C2374" s="5"/>
      <c r="D2374" s="5"/>
      <c r="E2374" s="5"/>
      <c r="F2374" s="5"/>
      <c r="G2374" s="5"/>
      <c r="H2374" s="6"/>
      <c r="I2374" s="5"/>
      <c r="J2374" s="88"/>
      <c r="K2374" s="88"/>
      <c r="L2374" s="88"/>
      <c r="M2374" s="88"/>
      <c r="N2374" s="88"/>
      <c r="O2374" s="88"/>
      <c r="P2374" s="88"/>
      <c r="Q2374" s="89"/>
      <c r="R2374" s="88"/>
      <c r="S2374" s="88"/>
      <c r="T2374" s="90"/>
      <c r="U2374" s="6"/>
      <c r="V2374" s="92"/>
      <c r="W2374" s="77"/>
      <c r="X2374" s="91"/>
      <c r="Y2374" s="77"/>
      <c r="Z2374" s="5"/>
      <c r="AA2374" s="5"/>
      <c r="AB2374" s="5"/>
      <c r="AC2374" s="5"/>
      <c r="AD2374" s="5"/>
      <c r="AE2374" s="5"/>
      <c r="AF2374" s="5"/>
      <c r="AG2374" s="5"/>
      <c r="AH2374" s="6"/>
      <c r="AI2374" s="92"/>
      <c r="AJ2374" s="93"/>
      <c r="AK2374" s="94"/>
      <c r="AL2374" s="95"/>
      <c r="AM2374" s="56"/>
      <c r="AN2374" s="57">
        <f t="shared" si="381"/>
        <v>0</v>
      </c>
      <c r="AO2374" s="76">
        <f t="shared" si="374"/>
        <v>0</v>
      </c>
      <c r="AP2374" s="63" t="str">
        <f t="shared" si="375"/>
        <v/>
      </c>
      <c r="AQ2374" s="63" t="str">
        <f t="shared" si="376"/>
        <v/>
      </c>
      <c r="AR2374" s="63" t="str">
        <f t="shared" si="377"/>
        <v/>
      </c>
      <c r="AS2374" s="63" t="str">
        <f t="shared" si="378"/>
        <v/>
      </c>
      <c r="AT2374" s="78" t="str">
        <f t="shared" si="379"/>
        <v/>
      </c>
      <c r="AU2374" s="78" t="str">
        <f t="shared" si="380"/>
        <v/>
      </c>
      <c r="AV2374" s="64" t="str">
        <f ca="1">IFERROR(__xludf.DUMMYFUNCTION("IF(TRIM(AU2374)="""","""",AU2374/INDEX(FILTER(AT$3:AT2374,TRIM(AT$3:AT2374)&lt;&gt;""""),ROWS(FILTER(AT$3:AT2374,TRIM(AT$3:AT2374)&lt;&gt;"""")))-1)"),"")</f>
        <v/>
      </c>
      <c r="AW2374" s="65" t="e">
        <f t="shared" ca="1" si="382"/>
        <v>#VALUE!</v>
      </c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</row>
    <row r="2375" spans="1:68" ht="19" x14ac:dyDescent="0.25">
      <c r="A2375" s="5"/>
      <c r="B2375" s="5"/>
      <c r="C2375" s="5"/>
      <c r="D2375" s="5"/>
      <c r="E2375" s="5"/>
      <c r="F2375" s="5"/>
      <c r="G2375" s="5"/>
      <c r="H2375" s="6"/>
      <c r="I2375" s="5"/>
      <c r="J2375" s="88"/>
      <c r="K2375" s="88"/>
      <c r="L2375" s="88"/>
      <c r="M2375" s="88"/>
      <c r="N2375" s="88"/>
      <c r="O2375" s="88"/>
      <c r="P2375" s="88"/>
      <c r="Q2375" s="89"/>
      <c r="R2375" s="88"/>
      <c r="S2375" s="88"/>
      <c r="T2375" s="90"/>
      <c r="U2375" s="6"/>
      <c r="V2375" s="92"/>
      <c r="W2375" s="77"/>
      <c r="X2375" s="91"/>
      <c r="Y2375" s="77"/>
      <c r="Z2375" s="5"/>
      <c r="AA2375" s="5"/>
      <c r="AB2375" s="5"/>
      <c r="AC2375" s="5"/>
      <c r="AD2375" s="5"/>
      <c r="AE2375" s="5"/>
      <c r="AF2375" s="5"/>
      <c r="AG2375" s="5"/>
      <c r="AH2375" s="6"/>
      <c r="AI2375" s="92"/>
      <c r="AJ2375" s="93"/>
      <c r="AK2375" s="94"/>
      <c r="AL2375" s="95"/>
      <c r="AM2375" s="56"/>
      <c r="AN2375" s="57">
        <f t="shared" si="381"/>
        <v>0</v>
      </c>
      <c r="AO2375" s="76">
        <f t="shared" ref="AO2375:AO2438" si="383">AVERAGE(AN2371:AN2375)</f>
        <v>0</v>
      </c>
      <c r="AP2375" s="63" t="str">
        <f t="shared" ref="AP2375:AP2438" si="384">IF(AO2375&gt;0,"Buy Stocks","")</f>
        <v/>
      </c>
      <c r="AQ2375" s="63" t="str">
        <f t="shared" ref="AQ2375:AQ2438" si="385">IF(AO2375&lt;0,"Sell Stocks","")</f>
        <v/>
      </c>
      <c r="AR2375" s="63" t="str">
        <f t="shared" ref="AR2375:AR2438" si="386">IF(AND(AP2375="Buy Stocks",AP2374=""),"Buy Stocks","")</f>
        <v/>
      </c>
      <c r="AS2375" s="63" t="str">
        <f t="shared" ref="AS2375:AS2438" si="387">IF(AND(AQ2375="Sell Stocks",AQ2374=""),"Sell Stocks","")</f>
        <v/>
      </c>
      <c r="AT2375" s="78" t="str">
        <f t="shared" ref="AT2375:AT2438" si="388">IF(AR2375="Buy Stocks",AJ2375,"")</f>
        <v/>
      </c>
      <c r="AU2375" s="78" t="str">
        <f t="shared" ref="AU2375:AU2438" si="389">IF(AS2375="Sell Stocks",AJ2375,"")</f>
        <v/>
      </c>
      <c r="AV2375" s="64" t="str">
        <f ca="1">IFERROR(__xludf.DUMMYFUNCTION("IF(TRIM(AU2375)="""","""",AU2375/INDEX(FILTER(AT$3:AT2375,TRIM(AT$3:AT2375)&lt;&gt;""""),ROWS(FILTER(AT$3:AT2375,TRIM(AT$3:AT2375)&lt;&gt;"""")))-1)"),"")</f>
        <v/>
      </c>
      <c r="AW2375" s="65" t="e">
        <f t="shared" ca="1" si="382"/>
        <v>#VALUE!</v>
      </c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</row>
    <row r="2376" spans="1:68" ht="19" x14ac:dyDescent="0.25">
      <c r="A2376" s="5"/>
      <c r="B2376" s="5"/>
      <c r="C2376" s="5"/>
      <c r="D2376" s="5"/>
      <c r="E2376" s="5"/>
      <c r="F2376" s="5"/>
      <c r="G2376" s="5"/>
      <c r="H2376" s="6"/>
      <c r="I2376" s="5"/>
      <c r="J2376" s="88"/>
      <c r="K2376" s="88"/>
      <c r="L2376" s="88"/>
      <c r="M2376" s="88"/>
      <c r="N2376" s="88"/>
      <c r="O2376" s="88"/>
      <c r="P2376" s="88"/>
      <c r="Q2376" s="89"/>
      <c r="R2376" s="88"/>
      <c r="S2376" s="88"/>
      <c r="T2376" s="90"/>
      <c r="U2376" s="6"/>
      <c r="V2376" s="92"/>
      <c r="W2376" s="77"/>
      <c r="X2376" s="91"/>
      <c r="Y2376" s="77"/>
      <c r="Z2376" s="5"/>
      <c r="AA2376" s="5"/>
      <c r="AB2376" s="5"/>
      <c r="AC2376" s="5"/>
      <c r="AD2376" s="5"/>
      <c r="AE2376" s="5"/>
      <c r="AF2376" s="5"/>
      <c r="AG2376" s="5"/>
      <c r="AH2376" s="6"/>
      <c r="AI2376" s="92"/>
      <c r="AJ2376" s="93"/>
      <c r="AK2376" s="94"/>
      <c r="AL2376" s="95"/>
      <c r="AM2376" s="56"/>
      <c r="AN2376" s="57">
        <f t="shared" si="381"/>
        <v>0</v>
      </c>
      <c r="AO2376" s="76">
        <f t="shared" si="383"/>
        <v>0</v>
      </c>
      <c r="AP2376" s="63" t="str">
        <f t="shared" si="384"/>
        <v/>
      </c>
      <c r="AQ2376" s="63" t="str">
        <f t="shared" si="385"/>
        <v/>
      </c>
      <c r="AR2376" s="63" t="str">
        <f t="shared" si="386"/>
        <v/>
      </c>
      <c r="AS2376" s="63" t="str">
        <f t="shared" si="387"/>
        <v/>
      </c>
      <c r="AT2376" s="78" t="str">
        <f t="shared" si="388"/>
        <v/>
      </c>
      <c r="AU2376" s="78" t="str">
        <f t="shared" si="389"/>
        <v/>
      </c>
      <c r="AV2376" s="64" t="str">
        <f ca="1">IFERROR(__xludf.DUMMYFUNCTION("IF(TRIM(AU2376)="""","""",AU2376/INDEX(FILTER(AT$3:AT2376,TRIM(AT$3:AT2376)&lt;&gt;""""),ROWS(FILTER(AT$3:AT2376,TRIM(AT$3:AT2376)&lt;&gt;"""")))-1)"),"")</f>
        <v/>
      </c>
      <c r="AW2376" s="65" t="e">
        <f t="shared" ca="1" si="382"/>
        <v>#VALUE!</v>
      </c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</row>
    <row r="2377" spans="1:68" ht="19" x14ac:dyDescent="0.25">
      <c r="A2377" s="5"/>
      <c r="B2377" s="5"/>
      <c r="C2377" s="5"/>
      <c r="D2377" s="5"/>
      <c r="E2377" s="5"/>
      <c r="F2377" s="5"/>
      <c r="G2377" s="5"/>
      <c r="H2377" s="6"/>
      <c r="I2377" s="5"/>
      <c r="J2377" s="88"/>
      <c r="K2377" s="88"/>
      <c r="L2377" s="88"/>
      <c r="M2377" s="88"/>
      <c r="N2377" s="88"/>
      <c r="O2377" s="88"/>
      <c r="P2377" s="88"/>
      <c r="Q2377" s="89"/>
      <c r="R2377" s="88"/>
      <c r="S2377" s="88"/>
      <c r="T2377" s="90"/>
      <c r="U2377" s="6"/>
      <c r="V2377" s="92"/>
      <c r="W2377" s="77"/>
      <c r="X2377" s="91"/>
      <c r="Y2377" s="77"/>
      <c r="Z2377" s="5"/>
      <c r="AA2377" s="5"/>
      <c r="AB2377" s="5"/>
      <c r="AC2377" s="5"/>
      <c r="AD2377" s="5"/>
      <c r="AE2377" s="5"/>
      <c r="AF2377" s="5"/>
      <c r="AG2377" s="5"/>
      <c r="AH2377" s="6"/>
      <c r="AI2377" s="92"/>
      <c r="AJ2377" s="93"/>
      <c r="AK2377" s="94"/>
      <c r="AL2377" s="95"/>
      <c r="AM2377" s="56"/>
      <c r="AN2377" s="57">
        <f t="shared" si="381"/>
        <v>0</v>
      </c>
      <c r="AO2377" s="76">
        <f t="shared" si="383"/>
        <v>0</v>
      </c>
      <c r="AP2377" s="63" t="str">
        <f t="shared" si="384"/>
        <v/>
      </c>
      <c r="AQ2377" s="63" t="str">
        <f t="shared" si="385"/>
        <v/>
      </c>
      <c r="AR2377" s="63" t="str">
        <f t="shared" si="386"/>
        <v/>
      </c>
      <c r="AS2377" s="63" t="str">
        <f t="shared" si="387"/>
        <v/>
      </c>
      <c r="AT2377" s="78" t="str">
        <f t="shared" si="388"/>
        <v/>
      </c>
      <c r="AU2377" s="78" t="str">
        <f t="shared" si="389"/>
        <v/>
      </c>
      <c r="AV2377" s="64" t="str">
        <f ca="1">IFERROR(__xludf.DUMMYFUNCTION("IF(TRIM(AU2377)="""","""",AU2377/INDEX(FILTER(AT$3:AT2377,TRIM(AT$3:AT2377)&lt;&gt;""""),ROWS(FILTER(AT$3:AT2377,TRIM(AT$3:AT2377)&lt;&gt;"""")))-1)"),"")</f>
        <v/>
      </c>
      <c r="AW2377" s="65" t="e">
        <f t="shared" ca="1" si="382"/>
        <v>#VALUE!</v>
      </c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</row>
    <row r="2378" spans="1:68" ht="19" x14ac:dyDescent="0.25">
      <c r="A2378" s="5"/>
      <c r="B2378" s="5"/>
      <c r="C2378" s="5"/>
      <c r="D2378" s="5"/>
      <c r="E2378" s="5"/>
      <c r="F2378" s="5"/>
      <c r="G2378" s="5"/>
      <c r="H2378" s="6"/>
      <c r="I2378" s="5"/>
      <c r="J2378" s="88"/>
      <c r="K2378" s="88"/>
      <c r="L2378" s="88"/>
      <c r="M2378" s="88"/>
      <c r="N2378" s="88"/>
      <c r="O2378" s="88"/>
      <c r="P2378" s="88"/>
      <c r="Q2378" s="89"/>
      <c r="R2378" s="88"/>
      <c r="S2378" s="88"/>
      <c r="T2378" s="90"/>
      <c r="U2378" s="6"/>
      <c r="V2378" s="92"/>
      <c r="W2378" s="77"/>
      <c r="X2378" s="91"/>
      <c r="Y2378" s="77"/>
      <c r="Z2378" s="5"/>
      <c r="AA2378" s="5"/>
      <c r="AB2378" s="5"/>
      <c r="AC2378" s="5"/>
      <c r="AD2378" s="5"/>
      <c r="AE2378" s="5"/>
      <c r="AF2378" s="5"/>
      <c r="AG2378" s="5"/>
      <c r="AH2378" s="6"/>
      <c r="AI2378" s="92"/>
      <c r="AJ2378" s="93"/>
      <c r="AK2378" s="94"/>
      <c r="AL2378" s="95"/>
      <c r="AM2378" s="56"/>
      <c r="AN2378" s="57">
        <f t="shared" si="381"/>
        <v>0</v>
      </c>
      <c r="AO2378" s="76">
        <f t="shared" si="383"/>
        <v>0</v>
      </c>
      <c r="AP2378" s="63" t="str">
        <f t="shared" si="384"/>
        <v/>
      </c>
      <c r="AQ2378" s="63" t="str">
        <f t="shared" si="385"/>
        <v/>
      </c>
      <c r="AR2378" s="63" t="str">
        <f t="shared" si="386"/>
        <v/>
      </c>
      <c r="AS2378" s="63" t="str">
        <f t="shared" si="387"/>
        <v/>
      </c>
      <c r="AT2378" s="78" t="str">
        <f t="shared" si="388"/>
        <v/>
      </c>
      <c r="AU2378" s="78" t="str">
        <f t="shared" si="389"/>
        <v/>
      </c>
      <c r="AV2378" s="64" t="str">
        <f ca="1">IFERROR(__xludf.DUMMYFUNCTION("IF(TRIM(AU2378)="""","""",AU2378/INDEX(FILTER(AT$3:AT2378,TRIM(AT$3:AT2378)&lt;&gt;""""),ROWS(FILTER(AT$3:AT2378,TRIM(AT$3:AT2378)&lt;&gt;"""")))-1)"),"")</f>
        <v/>
      </c>
      <c r="AW2378" s="65" t="e">
        <f t="shared" ca="1" si="382"/>
        <v>#VALUE!</v>
      </c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</row>
    <row r="2379" spans="1:68" ht="19" x14ac:dyDescent="0.25">
      <c r="A2379" s="5"/>
      <c r="B2379" s="5"/>
      <c r="C2379" s="5"/>
      <c r="D2379" s="5"/>
      <c r="E2379" s="5"/>
      <c r="F2379" s="5"/>
      <c r="G2379" s="5"/>
      <c r="H2379" s="6"/>
      <c r="I2379" s="5"/>
      <c r="J2379" s="88"/>
      <c r="K2379" s="88"/>
      <c r="L2379" s="88"/>
      <c r="M2379" s="88"/>
      <c r="N2379" s="88"/>
      <c r="O2379" s="88"/>
      <c r="P2379" s="88"/>
      <c r="Q2379" s="89"/>
      <c r="R2379" s="88"/>
      <c r="S2379" s="88"/>
      <c r="T2379" s="90"/>
      <c r="U2379" s="6"/>
      <c r="V2379" s="92"/>
      <c r="W2379" s="77"/>
      <c r="X2379" s="91"/>
      <c r="Y2379" s="77"/>
      <c r="Z2379" s="5"/>
      <c r="AA2379" s="5"/>
      <c r="AB2379" s="5"/>
      <c r="AC2379" s="5"/>
      <c r="AD2379" s="5"/>
      <c r="AE2379" s="5"/>
      <c r="AF2379" s="5"/>
      <c r="AG2379" s="5"/>
      <c r="AH2379" s="6"/>
      <c r="AI2379" s="92"/>
      <c r="AJ2379" s="93"/>
      <c r="AK2379" s="94"/>
      <c r="AL2379" s="95"/>
      <c r="AM2379" s="56"/>
      <c r="AN2379" s="57">
        <f t="shared" si="381"/>
        <v>0</v>
      </c>
      <c r="AO2379" s="76">
        <f t="shared" si="383"/>
        <v>0</v>
      </c>
      <c r="AP2379" s="63" t="str">
        <f t="shared" si="384"/>
        <v/>
      </c>
      <c r="AQ2379" s="63" t="str">
        <f t="shared" si="385"/>
        <v/>
      </c>
      <c r="AR2379" s="63" t="str">
        <f t="shared" si="386"/>
        <v/>
      </c>
      <c r="AS2379" s="63" t="str">
        <f t="shared" si="387"/>
        <v/>
      </c>
      <c r="AT2379" s="78" t="str">
        <f t="shared" si="388"/>
        <v/>
      </c>
      <c r="AU2379" s="78" t="str">
        <f t="shared" si="389"/>
        <v/>
      </c>
      <c r="AV2379" s="64" t="str">
        <f ca="1">IFERROR(__xludf.DUMMYFUNCTION("IF(TRIM(AU2379)="""","""",AU2379/INDEX(FILTER(AT$3:AT2379,TRIM(AT$3:AT2379)&lt;&gt;""""),ROWS(FILTER(AT$3:AT2379,TRIM(AT$3:AT2379)&lt;&gt;"""")))-1)"),"")</f>
        <v/>
      </c>
      <c r="AW2379" s="65" t="e">
        <f t="shared" ca="1" si="382"/>
        <v>#VALUE!</v>
      </c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</row>
    <row r="2380" spans="1:68" ht="19" x14ac:dyDescent="0.25">
      <c r="A2380" s="5"/>
      <c r="B2380" s="5"/>
      <c r="C2380" s="5"/>
      <c r="D2380" s="5"/>
      <c r="E2380" s="5"/>
      <c r="F2380" s="5"/>
      <c r="G2380" s="5"/>
      <c r="H2380" s="6"/>
      <c r="I2380" s="5"/>
      <c r="J2380" s="88"/>
      <c r="K2380" s="88"/>
      <c r="L2380" s="88"/>
      <c r="M2380" s="88"/>
      <c r="N2380" s="88"/>
      <c r="O2380" s="88"/>
      <c r="P2380" s="88"/>
      <c r="Q2380" s="89"/>
      <c r="R2380" s="88"/>
      <c r="S2380" s="88"/>
      <c r="T2380" s="90"/>
      <c r="U2380" s="6"/>
      <c r="V2380" s="92"/>
      <c r="W2380" s="77"/>
      <c r="X2380" s="91"/>
      <c r="Y2380" s="77"/>
      <c r="Z2380" s="5"/>
      <c r="AA2380" s="5"/>
      <c r="AB2380" s="5"/>
      <c r="AC2380" s="5"/>
      <c r="AD2380" s="5"/>
      <c r="AE2380" s="5"/>
      <c r="AF2380" s="5"/>
      <c r="AG2380" s="5"/>
      <c r="AH2380" s="6"/>
      <c r="AI2380" s="92"/>
      <c r="AJ2380" s="93"/>
      <c r="AK2380" s="94"/>
      <c r="AL2380" s="95"/>
      <c r="AM2380" s="56"/>
      <c r="AN2380" s="57">
        <f t="shared" si="381"/>
        <v>0</v>
      </c>
      <c r="AO2380" s="76">
        <f t="shared" si="383"/>
        <v>0</v>
      </c>
      <c r="AP2380" s="63" t="str">
        <f t="shared" si="384"/>
        <v/>
      </c>
      <c r="AQ2380" s="63" t="str">
        <f t="shared" si="385"/>
        <v/>
      </c>
      <c r="AR2380" s="63" t="str">
        <f t="shared" si="386"/>
        <v/>
      </c>
      <c r="AS2380" s="63" t="str">
        <f t="shared" si="387"/>
        <v/>
      </c>
      <c r="AT2380" s="78" t="str">
        <f t="shared" si="388"/>
        <v/>
      </c>
      <c r="AU2380" s="78" t="str">
        <f t="shared" si="389"/>
        <v/>
      </c>
      <c r="AV2380" s="64" t="str">
        <f ca="1">IFERROR(__xludf.DUMMYFUNCTION("IF(TRIM(AU2380)="""","""",AU2380/INDEX(FILTER(AT$3:AT2380,TRIM(AT$3:AT2380)&lt;&gt;""""),ROWS(FILTER(AT$3:AT2380,TRIM(AT$3:AT2380)&lt;&gt;"""")))-1)"),"")</f>
        <v/>
      </c>
      <c r="AW2380" s="65" t="e">
        <f t="shared" ca="1" si="382"/>
        <v>#VALUE!</v>
      </c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</row>
    <row r="2381" spans="1:68" ht="19" x14ac:dyDescent="0.25">
      <c r="A2381" s="5"/>
      <c r="B2381" s="5"/>
      <c r="C2381" s="5"/>
      <c r="D2381" s="5"/>
      <c r="E2381" s="5"/>
      <c r="F2381" s="5"/>
      <c r="G2381" s="5"/>
      <c r="H2381" s="6"/>
      <c r="I2381" s="5"/>
      <c r="J2381" s="88"/>
      <c r="K2381" s="88"/>
      <c r="L2381" s="88"/>
      <c r="M2381" s="88"/>
      <c r="N2381" s="88"/>
      <c r="O2381" s="88"/>
      <c r="P2381" s="88"/>
      <c r="Q2381" s="89"/>
      <c r="R2381" s="88"/>
      <c r="S2381" s="88"/>
      <c r="T2381" s="90"/>
      <c r="U2381" s="6"/>
      <c r="V2381" s="92"/>
      <c r="W2381" s="77"/>
      <c r="X2381" s="91"/>
      <c r="Y2381" s="77"/>
      <c r="Z2381" s="5"/>
      <c r="AA2381" s="5"/>
      <c r="AB2381" s="5"/>
      <c r="AC2381" s="5"/>
      <c r="AD2381" s="5"/>
      <c r="AE2381" s="5"/>
      <c r="AF2381" s="5"/>
      <c r="AG2381" s="5"/>
      <c r="AH2381" s="6"/>
      <c r="AI2381" s="92"/>
      <c r="AJ2381" s="93"/>
      <c r="AK2381" s="94"/>
      <c r="AL2381" s="95"/>
      <c r="AM2381" s="56"/>
      <c r="AN2381" s="57">
        <f t="shared" si="381"/>
        <v>0</v>
      </c>
      <c r="AO2381" s="76">
        <f t="shared" si="383"/>
        <v>0</v>
      </c>
      <c r="AP2381" s="63" t="str">
        <f t="shared" si="384"/>
        <v/>
      </c>
      <c r="AQ2381" s="63" t="str">
        <f t="shared" si="385"/>
        <v/>
      </c>
      <c r="AR2381" s="63" t="str">
        <f t="shared" si="386"/>
        <v/>
      </c>
      <c r="AS2381" s="63" t="str">
        <f t="shared" si="387"/>
        <v/>
      </c>
      <c r="AT2381" s="78" t="str">
        <f t="shared" si="388"/>
        <v/>
      </c>
      <c r="AU2381" s="78" t="str">
        <f t="shared" si="389"/>
        <v/>
      </c>
      <c r="AV2381" s="64" t="str">
        <f ca="1">IFERROR(__xludf.DUMMYFUNCTION("IF(TRIM(AU2381)="""","""",AU2381/INDEX(FILTER(AT$3:AT2381,TRIM(AT$3:AT2381)&lt;&gt;""""),ROWS(FILTER(AT$3:AT2381,TRIM(AT$3:AT2381)&lt;&gt;"""")))-1)"),"")</f>
        <v/>
      </c>
      <c r="AW2381" s="65" t="e">
        <f t="shared" ca="1" si="382"/>
        <v>#VALUE!</v>
      </c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</row>
    <row r="2382" spans="1:68" ht="19" x14ac:dyDescent="0.25">
      <c r="A2382" s="5"/>
      <c r="B2382" s="5"/>
      <c r="C2382" s="5"/>
      <c r="D2382" s="5"/>
      <c r="E2382" s="5"/>
      <c r="F2382" s="5"/>
      <c r="G2382" s="5"/>
      <c r="H2382" s="6"/>
      <c r="I2382" s="5"/>
      <c r="J2382" s="88"/>
      <c r="K2382" s="88"/>
      <c r="L2382" s="88"/>
      <c r="M2382" s="88"/>
      <c r="N2382" s="88"/>
      <c r="O2382" s="88"/>
      <c r="P2382" s="88"/>
      <c r="Q2382" s="89"/>
      <c r="R2382" s="88"/>
      <c r="S2382" s="88"/>
      <c r="T2382" s="90"/>
      <c r="U2382" s="6"/>
      <c r="V2382" s="92"/>
      <c r="W2382" s="77"/>
      <c r="X2382" s="91"/>
      <c r="Y2382" s="77"/>
      <c r="Z2382" s="5"/>
      <c r="AA2382" s="5"/>
      <c r="AB2382" s="5"/>
      <c r="AC2382" s="5"/>
      <c r="AD2382" s="5"/>
      <c r="AE2382" s="5"/>
      <c r="AF2382" s="5"/>
      <c r="AG2382" s="5"/>
      <c r="AH2382" s="6"/>
      <c r="AI2382" s="92"/>
      <c r="AJ2382" s="93"/>
      <c r="AK2382" s="94"/>
      <c r="AL2382" s="95"/>
      <c r="AM2382" s="56"/>
      <c r="AN2382" s="57">
        <f t="shared" si="381"/>
        <v>0</v>
      </c>
      <c r="AO2382" s="76">
        <f t="shared" si="383"/>
        <v>0</v>
      </c>
      <c r="AP2382" s="63" t="str">
        <f t="shared" si="384"/>
        <v/>
      </c>
      <c r="AQ2382" s="63" t="str">
        <f t="shared" si="385"/>
        <v/>
      </c>
      <c r="AR2382" s="63" t="str">
        <f t="shared" si="386"/>
        <v/>
      </c>
      <c r="AS2382" s="63" t="str">
        <f t="shared" si="387"/>
        <v/>
      </c>
      <c r="AT2382" s="78" t="str">
        <f t="shared" si="388"/>
        <v/>
      </c>
      <c r="AU2382" s="78" t="str">
        <f t="shared" si="389"/>
        <v/>
      </c>
      <c r="AV2382" s="64" t="str">
        <f ca="1">IFERROR(__xludf.DUMMYFUNCTION("IF(TRIM(AU2382)="""","""",AU2382/INDEX(FILTER(AT$3:AT2382,TRIM(AT$3:AT2382)&lt;&gt;""""),ROWS(FILTER(AT$3:AT2382,TRIM(AT$3:AT2382)&lt;&gt;"""")))-1)"),"")</f>
        <v/>
      </c>
      <c r="AW2382" s="65" t="e">
        <f t="shared" ca="1" si="382"/>
        <v>#VALUE!</v>
      </c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</row>
    <row r="2383" spans="1:68" ht="19" x14ac:dyDescent="0.25">
      <c r="A2383" s="5"/>
      <c r="B2383" s="5"/>
      <c r="C2383" s="5"/>
      <c r="D2383" s="5"/>
      <c r="E2383" s="5"/>
      <c r="F2383" s="5"/>
      <c r="G2383" s="5"/>
      <c r="H2383" s="6"/>
      <c r="I2383" s="5"/>
      <c r="J2383" s="88"/>
      <c r="K2383" s="88"/>
      <c r="L2383" s="88"/>
      <c r="M2383" s="88"/>
      <c r="N2383" s="88"/>
      <c r="O2383" s="88"/>
      <c r="P2383" s="88"/>
      <c r="Q2383" s="89"/>
      <c r="R2383" s="88"/>
      <c r="S2383" s="88"/>
      <c r="T2383" s="90"/>
      <c r="U2383" s="6"/>
      <c r="V2383" s="92"/>
      <c r="W2383" s="77"/>
      <c r="X2383" s="91"/>
      <c r="Y2383" s="77"/>
      <c r="Z2383" s="5"/>
      <c r="AA2383" s="5"/>
      <c r="AB2383" s="5"/>
      <c r="AC2383" s="5"/>
      <c r="AD2383" s="5"/>
      <c r="AE2383" s="5"/>
      <c r="AF2383" s="5"/>
      <c r="AG2383" s="5"/>
      <c r="AH2383" s="6"/>
      <c r="AI2383" s="92"/>
      <c r="AJ2383" s="93"/>
      <c r="AK2383" s="94"/>
      <c r="AL2383" s="95"/>
      <c r="AM2383" s="56"/>
      <c r="AN2383" s="57">
        <f t="shared" si="381"/>
        <v>0</v>
      </c>
      <c r="AO2383" s="76">
        <f t="shared" si="383"/>
        <v>0</v>
      </c>
      <c r="AP2383" s="63" t="str">
        <f t="shared" si="384"/>
        <v/>
      </c>
      <c r="AQ2383" s="63" t="str">
        <f t="shared" si="385"/>
        <v/>
      </c>
      <c r="AR2383" s="63" t="str">
        <f t="shared" si="386"/>
        <v/>
      </c>
      <c r="AS2383" s="63" t="str">
        <f t="shared" si="387"/>
        <v/>
      </c>
      <c r="AT2383" s="78" t="str">
        <f t="shared" si="388"/>
        <v/>
      </c>
      <c r="AU2383" s="78" t="str">
        <f t="shared" si="389"/>
        <v/>
      </c>
      <c r="AV2383" s="64" t="str">
        <f ca="1">IFERROR(__xludf.DUMMYFUNCTION("IF(TRIM(AU2383)="""","""",AU2383/INDEX(FILTER(AT$3:AT2383,TRIM(AT$3:AT2383)&lt;&gt;""""),ROWS(FILTER(AT$3:AT2383,TRIM(AT$3:AT2383)&lt;&gt;"""")))-1)"),"")</f>
        <v/>
      </c>
      <c r="AW2383" s="65" t="e">
        <f t="shared" ca="1" si="382"/>
        <v>#VALUE!</v>
      </c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</row>
    <row r="2384" spans="1:68" ht="19" x14ac:dyDescent="0.25">
      <c r="A2384" s="5"/>
      <c r="B2384" s="5"/>
      <c r="C2384" s="5"/>
      <c r="D2384" s="5"/>
      <c r="E2384" s="5"/>
      <c r="F2384" s="5"/>
      <c r="G2384" s="5"/>
      <c r="H2384" s="6"/>
      <c r="I2384" s="5"/>
      <c r="J2384" s="88"/>
      <c r="K2384" s="88"/>
      <c r="L2384" s="88"/>
      <c r="M2384" s="88"/>
      <c r="N2384" s="88"/>
      <c r="O2384" s="88"/>
      <c r="P2384" s="88"/>
      <c r="Q2384" s="89"/>
      <c r="R2384" s="88"/>
      <c r="S2384" s="88"/>
      <c r="T2384" s="90"/>
      <c r="U2384" s="6"/>
      <c r="V2384" s="92"/>
      <c r="W2384" s="77"/>
      <c r="X2384" s="91"/>
      <c r="Y2384" s="77"/>
      <c r="Z2384" s="5"/>
      <c r="AA2384" s="5"/>
      <c r="AB2384" s="5"/>
      <c r="AC2384" s="5"/>
      <c r="AD2384" s="5"/>
      <c r="AE2384" s="5"/>
      <c r="AF2384" s="5"/>
      <c r="AG2384" s="5"/>
      <c r="AH2384" s="6"/>
      <c r="AI2384" s="92"/>
      <c r="AJ2384" s="93"/>
      <c r="AK2384" s="94"/>
      <c r="AL2384" s="95"/>
      <c r="AM2384" s="56"/>
      <c r="AN2384" s="57">
        <f t="shared" si="381"/>
        <v>0</v>
      </c>
      <c r="AO2384" s="76">
        <f t="shared" si="383"/>
        <v>0</v>
      </c>
      <c r="AP2384" s="63" t="str">
        <f t="shared" si="384"/>
        <v/>
      </c>
      <c r="AQ2384" s="63" t="str">
        <f t="shared" si="385"/>
        <v/>
      </c>
      <c r="AR2384" s="63" t="str">
        <f t="shared" si="386"/>
        <v/>
      </c>
      <c r="AS2384" s="63" t="str">
        <f t="shared" si="387"/>
        <v/>
      </c>
      <c r="AT2384" s="78" t="str">
        <f t="shared" si="388"/>
        <v/>
      </c>
      <c r="AU2384" s="78" t="str">
        <f t="shared" si="389"/>
        <v/>
      </c>
      <c r="AV2384" s="64" t="str">
        <f ca="1">IFERROR(__xludf.DUMMYFUNCTION("IF(TRIM(AU2384)="""","""",AU2384/INDEX(FILTER(AT$3:AT2384,TRIM(AT$3:AT2384)&lt;&gt;""""),ROWS(FILTER(AT$3:AT2384,TRIM(AT$3:AT2384)&lt;&gt;"""")))-1)"),"")</f>
        <v/>
      </c>
      <c r="AW2384" s="65" t="e">
        <f t="shared" ca="1" si="382"/>
        <v>#VALUE!</v>
      </c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</row>
    <row r="2385" spans="1:68" ht="19" x14ac:dyDescent="0.25">
      <c r="A2385" s="5"/>
      <c r="B2385" s="5"/>
      <c r="C2385" s="5"/>
      <c r="D2385" s="5"/>
      <c r="E2385" s="5"/>
      <c r="F2385" s="5"/>
      <c r="G2385" s="5"/>
      <c r="H2385" s="6"/>
      <c r="I2385" s="5"/>
      <c r="J2385" s="88"/>
      <c r="K2385" s="88"/>
      <c r="L2385" s="88"/>
      <c r="M2385" s="88"/>
      <c r="N2385" s="88"/>
      <c r="O2385" s="88"/>
      <c r="P2385" s="88"/>
      <c r="Q2385" s="89"/>
      <c r="R2385" s="88"/>
      <c r="S2385" s="88"/>
      <c r="T2385" s="90"/>
      <c r="U2385" s="6"/>
      <c r="V2385" s="92"/>
      <c r="W2385" s="77"/>
      <c r="X2385" s="91"/>
      <c r="Y2385" s="77"/>
      <c r="Z2385" s="5"/>
      <c r="AA2385" s="5"/>
      <c r="AB2385" s="5"/>
      <c r="AC2385" s="5"/>
      <c r="AD2385" s="5"/>
      <c r="AE2385" s="5"/>
      <c r="AF2385" s="5"/>
      <c r="AG2385" s="5"/>
      <c r="AH2385" s="6"/>
      <c r="AI2385" s="92"/>
      <c r="AJ2385" s="93"/>
      <c r="AK2385" s="94"/>
      <c r="AL2385" s="95"/>
      <c r="AM2385" s="56"/>
      <c r="AN2385" s="57">
        <f t="shared" si="381"/>
        <v>0</v>
      </c>
      <c r="AO2385" s="76">
        <f t="shared" si="383"/>
        <v>0</v>
      </c>
      <c r="AP2385" s="63" t="str">
        <f t="shared" si="384"/>
        <v/>
      </c>
      <c r="AQ2385" s="63" t="str">
        <f t="shared" si="385"/>
        <v/>
      </c>
      <c r="AR2385" s="63" t="str">
        <f t="shared" si="386"/>
        <v/>
      </c>
      <c r="AS2385" s="63" t="str">
        <f t="shared" si="387"/>
        <v/>
      </c>
      <c r="AT2385" s="78" t="str">
        <f t="shared" si="388"/>
        <v/>
      </c>
      <c r="AU2385" s="78" t="str">
        <f t="shared" si="389"/>
        <v/>
      </c>
      <c r="AV2385" s="64" t="str">
        <f ca="1">IFERROR(__xludf.DUMMYFUNCTION("IF(TRIM(AU2385)="""","""",AU2385/INDEX(FILTER(AT$3:AT2385,TRIM(AT$3:AT2385)&lt;&gt;""""),ROWS(FILTER(AT$3:AT2385,TRIM(AT$3:AT2385)&lt;&gt;"""")))-1)"),"")</f>
        <v/>
      </c>
      <c r="AW2385" s="65" t="e">
        <f t="shared" ca="1" si="382"/>
        <v>#VALUE!</v>
      </c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</row>
    <row r="2386" spans="1:68" ht="19" x14ac:dyDescent="0.25">
      <c r="A2386" s="5"/>
      <c r="B2386" s="5"/>
      <c r="C2386" s="5"/>
      <c r="D2386" s="5"/>
      <c r="E2386" s="5"/>
      <c r="F2386" s="5"/>
      <c r="G2386" s="5"/>
      <c r="H2386" s="6"/>
      <c r="I2386" s="5"/>
      <c r="J2386" s="88"/>
      <c r="K2386" s="88"/>
      <c r="L2386" s="88"/>
      <c r="M2386" s="88"/>
      <c r="N2386" s="88"/>
      <c r="O2386" s="88"/>
      <c r="P2386" s="88"/>
      <c r="Q2386" s="89"/>
      <c r="R2386" s="88"/>
      <c r="S2386" s="88"/>
      <c r="T2386" s="90"/>
      <c r="U2386" s="6"/>
      <c r="V2386" s="92"/>
      <c r="W2386" s="77"/>
      <c r="X2386" s="91"/>
      <c r="Y2386" s="77"/>
      <c r="Z2386" s="5"/>
      <c r="AA2386" s="5"/>
      <c r="AB2386" s="5"/>
      <c r="AC2386" s="5"/>
      <c r="AD2386" s="5"/>
      <c r="AE2386" s="5"/>
      <c r="AF2386" s="5"/>
      <c r="AG2386" s="5"/>
      <c r="AH2386" s="6"/>
      <c r="AI2386" s="92"/>
      <c r="AJ2386" s="93"/>
      <c r="AK2386" s="94"/>
      <c r="AL2386" s="95"/>
      <c r="AM2386" s="56"/>
      <c r="AN2386" s="57">
        <f t="shared" si="381"/>
        <v>0</v>
      </c>
      <c r="AO2386" s="76">
        <f t="shared" si="383"/>
        <v>0</v>
      </c>
      <c r="AP2386" s="63" t="str">
        <f t="shared" si="384"/>
        <v/>
      </c>
      <c r="AQ2386" s="63" t="str">
        <f t="shared" si="385"/>
        <v/>
      </c>
      <c r="AR2386" s="63" t="str">
        <f t="shared" si="386"/>
        <v/>
      </c>
      <c r="AS2386" s="63" t="str">
        <f t="shared" si="387"/>
        <v/>
      </c>
      <c r="AT2386" s="78" t="str">
        <f t="shared" si="388"/>
        <v/>
      </c>
      <c r="AU2386" s="78" t="str">
        <f t="shared" si="389"/>
        <v/>
      </c>
      <c r="AV2386" s="64" t="str">
        <f ca="1">IFERROR(__xludf.DUMMYFUNCTION("IF(TRIM(AU2386)="""","""",AU2386/INDEX(FILTER(AT$3:AT2386,TRIM(AT$3:AT2386)&lt;&gt;""""),ROWS(FILTER(AT$3:AT2386,TRIM(AT$3:AT2386)&lt;&gt;"""")))-1)"),"")</f>
        <v/>
      </c>
      <c r="AW2386" s="65" t="e">
        <f t="shared" ca="1" si="382"/>
        <v>#VALUE!</v>
      </c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</row>
    <row r="2387" spans="1:68" ht="19" x14ac:dyDescent="0.25">
      <c r="A2387" s="5"/>
      <c r="B2387" s="5"/>
      <c r="C2387" s="5"/>
      <c r="D2387" s="5"/>
      <c r="E2387" s="5"/>
      <c r="F2387" s="5"/>
      <c r="G2387" s="5"/>
      <c r="H2387" s="6"/>
      <c r="I2387" s="5"/>
      <c r="J2387" s="88"/>
      <c r="K2387" s="88"/>
      <c r="L2387" s="88"/>
      <c r="M2387" s="88"/>
      <c r="N2387" s="88"/>
      <c r="O2387" s="88"/>
      <c r="P2387" s="88"/>
      <c r="Q2387" s="89"/>
      <c r="R2387" s="88"/>
      <c r="S2387" s="88"/>
      <c r="T2387" s="90"/>
      <c r="U2387" s="6"/>
      <c r="V2387" s="92"/>
      <c r="W2387" s="77"/>
      <c r="X2387" s="91"/>
      <c r="Y2387" s="77"/>
      <c r="Z2387" s="5"/>
      <c r="AA2387" s="5"/>
      <c r="AB2387" s="5"/>
      <c r="AC2387" s="5"/>
      <c r="AD2387" s="5"/>
      <c r="AE2387" s="5"/>
      <c r="AF2387" s="5"/>
      <c r="AG2387" s="5"/>
      <c r="AH2387" s="6"/>
      <c r="AI2387" s="92"/>
      <c r="AJ2387" s="93"/>
      <c r="AK2387" s="94"/>
      <c r="AL2387" s="95"/>
      <c r="AM2387" s="56"/>
      <c r="AN2387" s="57">
        <f t="shared" si="381"/>
        <v>0</v>
      </c>
      <c r="AO2387" s="76">
        <f t="shared" si="383"/>
        <v>0</v>
      </c>
      <c r="AP2387" s="63" t="str">
        <f t="shared" si="384"/>
        <v/>
      </c>
      <c r="AQ2387" s="63" t="str">
        <f t="shared" si="385"/>
        <v/>
      </c>
      <c r="AR2387" s="63" t="str">
        <f t="shared" si="386"/>
        <v/>
      </c>
      <c r="AS2387" s="63" t="str">
        <f t="shared" si="387"/>
        <v/>
      </c>
      <c r="AT2387" s="78" t="str">
        <f t="shared" si="388"/>
        <v/>
      </c>
      <c r="AU2387" s="78" t="str">
        <f t="shared" si="389"/>
        <v/>
      </c>
      <c r="AV2387" s="64" t="str">
        <f ca="1">IFERROR(__xludf.DUMMYFUNCTION("IF(TRIM(AU2387)="""","""",AU2387/INDEX(FILTER(AT$3:AT2387,TRIM(AT$3:AT2387)&lt;&gt;""""),ROWS(FILTER(AT$3:AT2387,TRIM(AT$3:AT2387)&lt;&gt;"""")))-1)"),"")</f>
        <v/>
      </c>
      <c r="AW2387" s="65" t="e">
        <f t="shared" ca="1" si="382"/>
        <v>#VALUE!</v>
      </c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</row>
    <row r="2388" spans="1:68" ht="19" x14ac:dyDescent="0.25">
      <c r="A2388" s="5"/>
      <c r="B2388" s="5"/>
      <c r="C2388" s="5"/>
      <c r="D2388" s="5"/>
      <c r="E2388" s="5"/>
      <c r="F2388" s="5"/>
      <c r="G2388" s="5"/>
      <c r="H2388" s="6"/>
      <c r="I2388" s="5"/>
      <c r="J2388" s="88"/>
      <c r="K2388" s="88"/>
      <c r="L2388" s="88"/>
      <c r="M2388" s="88"/>
      <c r="N2388" s="88"/>
      <c r="O2388" s="88"/>
      <c r="P2388" s="88"/>
      <c r="Q2388" s="89"/>
      <c r="R2388" s="88"/>
      <c r="S2388" s="88"/>
      <c r="T2388" s="90"/>
      <c r="U2388" s="6"/>
      <c r="V2388" s="92"/>
      <c r="W2388" s="77"/>
      <c r="X2388" s="91"/>
      <c r="Y2388" s="77"/>
      <c r="Z2388" s="5"/>
      <c r="AA2388" s="5"/>
      <c r="AB2388" s="5"/>
      <c r="AC2388" s="5"/>
      <c r="AD2388" s="5"/>
      <c r="AE2388" s="5"/>
      <c r="AF2388" s="5"/>
      <c r="AG2388" s="5"/>
      <c r="AH2388" s="6"/>
      <c r="AI2388" s="92"/>
      <c r="AJ2388" s="93"/>
      <c r="AK2388" s="94"/>
      <c r="AL2388" s="95"/>
      <c r="AM2388" s="56"/>
      <c r="AN2388" s="57">
        <f t="shared" si="381"/>
        <v>0</v>
      </c>
      <c r="AO2388" s="76">
        <f t="shared" si="383"/>
        <v>0</v>
      </c>
      <c r="AP2388" s="63" t="str">
        <f t="shared" si="384"/>
        <v/>
      </c>
      <c r="AQ2388" s="63" t="str">
        <f t="shared" si="385"/>
        <v/>
      </c>
      <c r="AR2388" s="63" t="str">
        <f t="shared" si="386"/>
        <v/>
      </c>
      <c r="AS2388" s="63" t="str">
        <f t="shared" si="387"/>
        <v/>
      </c>
      <c r="AT2388" s="78" t="str">
        <f t="shared" si="388"/>
        <v/>
      </c>
      <c r="AU2388" s="78" t="str">
        <f t="shared" si="389"/>
        <v/>
      </c>
      <c r="AV2388" s="64" t="str">
        <f ca="1">IFERROR(__xludf.DUMMYFUNCTION("IF(TRIM(AU2388)="""","""",AU2388/INDEX(FILTER(AT$3:AT2388,TRIM(AT$3:AT2388)&lt;&gt;""""),ROWS(FILTER(AT$3:AT2388,TRIM(AT$3:AT2388)&lt;&gt;"""")))-1)"),"")</f>
        <v/>
      </c>
      <c r="AW2388" s="65" t="e">
        <f t="shared" ca="1" si="382"/>
        <v>#VALUE!</v>
      </c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</row>
    <row r="2389" spans="1:68" ht="19" x14ac:dyDescent="0.25">
      <c r="A2389" s="5"/>
      <c r="B2389" s="5"/>
      <c r="C2389" s="5"/>
      <c r="D2389" s="5"/>
      <c r="E2389" s="5"/>
      <c r="F2389" s="5"/>
      <c r="G2389" s="5"/>
      <c r="H2389" s="6"/>
      <c r="I2389" s="5"/>
      <c r="J2389" s="88"/>
      <c r="K2389" s="88"/>
      <c r="L2389" s="88"/>
      <c r="M2389" s="88"/>
      <c r="N2389" s="88"/>
      <c r="O2389" s="88"/>
      <c r="P2389" s="88"/>
      <c r="Q2389" s="89"/>
      <c r="R2389" s="88"/>
      <c r="S2389" s="88"/>
      <c r="T2389" s="90"/>
      <c r="U2389" s="6"/>
      <c r="V2389" s="92"/>
      <c r="W2389" s="77"/>
      <c r="X2389" s="91"/>
      <c r="Y2389" s="77"/>
      <c r="Z2389" s="5"/>
      <c r="AA2389" s="5"/>
      <c r="AB2389" s="5"/>
      <c r="AC2389" s="5"/>
      <c r="AD2389" s="5"/>
      <c r="AE2389" s="5"/>
      <c r="AF2389" s="5"/>
      <c r="AG2389" s="5"/>
      <c r="AH2389" s="6"/>
      <c r="AI2389" s="92"/>
      <c r="AJ2389" s="93"/>
      <c r="AK2389" s="94"/>
      <c r="AL2389" s="95"/>
      <c r="AM2389" s="56"/>
      <c r="AN2389" s="57">
        <f t="shared" si="381"/>
        <v>0</v>
      </c>
      <c r="AO2389" s="76">
        <f t="shared" si="383"/>
        <v>0</v>
      </c>
      <c r="AP2389" s="63" t="str">
        <f t="shared" si="384"/>
        <v/>
      </c>
      <c r="AQ2389" s="63" t="str">
        <f t="shared" si="385"/>
        <v/>
      </c>
      <c r="AR2389" s="63" t="str">
        <f t="shared" si="386"/>
        <v/>
      </c>
      <c r="AS2389" s="63" t="str">
        <f t="shared" si="387"/>
        <v/>
      </c>
      <c r="AT2389" s="78" t="str">
        <f t="shared" si="388"/>
        <v/>
      </c>
      <c r="AU2389" s="78" t="str">
        <f t="shared" si="389"/>
        <v/>
      </c>
      <c r="AV2389" s="64" t="str">
        <f ca="1">IFERROR(__xludf.DUMMYFUNCTION("IF(TRIM(AU2389)="""","""",AU2389/INDEX(FILTER(AT$3:AT2389,TRIM(AT$3:AT2389)&lt;&gt;""""),ROWS(FILTER(AT$3:AT2389,TRIM(AT$3:AT2389)&lt;&gt;"""")))-1)"),"")</f>
        <v/>
      </c>
      <c r="AW2389" s="65" t="e">
        <f t="shared" ca="1" si="382"/>
        <v>#VALUE!</v>
      </c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</row>
    <row r="2390" spans="1:68" ht="19" x14ac:dyDescent="0.25">
      <c r="A2390" s="5"/>
      <c r="B2390" s="5"/>
      <c r="C2390" s="5"/>
      <c r="D2390" s="5"/>
      <c r="E2390" s="5"/>
      <c r="F2390" s="5"/>
      <c r="G2390" s="5"/>
      <c r="H2390" s="6"/>
      <c r="I2390" s="5"/>
      <c r="J2390" s="88"/>
      <c r="K2390" s="88"/>
      <c r="L2390" s="88"/>
      <c r="M2390" s="88"/>
      <c r="N2390" s="88"/>
      <c r="O2390" s="88"/>
      <c r="P2390" s="88"/>
      <c r="Q2390" s="89"/>
      <c r="R2390" s="88"/>
      <c r="S2390" s="88"/>
      <c r="T2390" s="90"/>
      <c r="U2390" s="6"/>
      <c r="V2390" s="92"/>
      <c r="W2390" s="77"/>
      <c r="X2390" s="91"/>
      <c r="Y2390" s="77"/>
      <c r="Z2390" s="5"/>
      <c r="AA2390" s="5"/>
      <c r="AB2390" s="5"/>
      <c r="AC2390" s="5"/>
      <c r="AD2390" s="5"/>
      <c r="AE2390" s="5"/>
      <c r="AF2390" s="5"/>
      <c r="AG2390" s="5"/>
      <c r="AH2390" s="6"/>
      <c r="AI2390" s="92"/>
      <c r="AJ2390" s="93"/>
      <c r="AK2390" s="94"/>
      <c r="AL2390" s="95"/>
      <c r="AM2390" s="56"/>
      <c r="AN2390" s="57">
        <f t="shared" si="381"/>
        <v>0</v>
      </c>
      <c r="AO2390" s="76">
        <f t="shared" si="383"/>
        <v>0</v>
      </c>
      <c r="AP2390" s="63" t="str">
        <f t="shared" si="384"/>
        <v/>
      </c>
      <c r="AQ2390" s="63" t="str">
        <f t="shared" si="385"/>
        <v/>
      </c>
      <c r="AR2390" s="63" t="str">
        <f t="shared" si="386"/>
        <v/>
      </c>
      <c r="AS2390" s="63" t="str">
        <f t="shared" si="387"/>
        <v/>
      </c>
      <c r="AT2390" s="78" t="str">
        <f t="shared" si="388"/>
        <v/>
      </c>
      <c r="AU2390" s="78" t="str">
        <f t="shared" si="389"/>
        <v/>
      </c>
      <c r="AV2390" s="64" t="str">
        <f ca="1">IFERROR(__xludf.DUMMYFUNCTION("IF(TRIM(AU2390)="""","""",AU2390/INDEX(FILTER(AT$3:AT2390,TRIM(AT$3:AT2390)&lt;&gt;""""),ROWS(FILTER(AT$3:AT2390,TRIM(AT$3:AT2390)&lt;&gt;"""")))-1)"),"")</f>
        <v/>
      </c>
      <c r="AW2390" s="65" t="e">
        <f t="shared" ca="1" si="382"/>
        <v>#VALUE!</v>
      </c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</row>
    <row r="2391" spans="1:68" ht="19" x14ac:dyDescent="0.25">
      <c r="A2391" s="5"/>
      <c r="B2391" s="5"/>
      <c r="C2391" s="5"/>
      <c r="D2391" s="5"/>
      <c r="E2391" s="5"/>
      <c r="F2391" s="5"/>
      <c r="G2391" s="5"/>
      <c r="H2391" s="6"/>
      <c r="I2391" s="5"/>
      <c r="J2391" s="88"/>
      <c r="K2391" s="88"/>
      <c r="L2391" s="88"/>
      <c r="M2391" s="88"/>
      <c r="N2391" s="88"/>
      <c r="O2391" s="88"/>
      <c r="P2391" s="88"/>
      <c r="Q2391" s="89"/>
      <c r="R2391" s="88"/>
      <c r="S2391" s="88"/>
      <c r="T2391" s="90"/>
      <c r="U2391" s="6"/>
      <c r="V2391" s="92"/>
      <c r="W2391" s="77"/>
      <c r="X2391" s="91"/>
      <c r="Y2391" s="77"/>
      <c r="Z2391" s="5"/>
      <c r="AA2391" s="5"/>
      <c r="AB2391" s="5"/>
      <c r="AC2391" s="5"/>
      <c r="AD2391" s="5"/>
      <c r="AE2391" s="5"/>
      <c r="AF2391" s="5"/>
      <c r="AG2391" s="5"/>
      <c r="AH2391" s="6"/>
      <c r="AI2391" s="92"/>
      <c r="AJ2391" s="93"/>
      <c r="AK2391" s="94"/>
      <c r="AL2391" s="95"/>
      <c r="AM2391" s="56"/>
      <c r="AN2391" s="57">
        <f t="shared" si="381"/>
        <v>0</v>
      </c>
      <c r="AO2391" s="76">
        <f t="shared" si="383"/>
        <v>0</v>
      </c>
      <c r="AP2391" s="63" t="str">
        <f t="shared" si="384"/>
        <v/>
      </c>
      <c r="AQ2391" s="63" t="str">
        <f t="shared" si="385"/>
        <v/>
      </c>
      <c r="AR2391" s="63" t="str">
        <f t="shared" si="386"/>
        <v/>
      </c>
      <c r="AS2391" s="63" t="str">
        <f t="shared" si="387"/>
        <v/>
      </c>
      <c r="AT2391" s="78" t="str">
        <f t="shared" si="388"/>
        <v/>
      </c>
      <c r="AU2391" s="78" t="str">
        <f t="shared" si="389"/>
        <v/>
      </c>
      <c r="AV2391" s="64" t="str">
        <f ca="1">IFERROR(__xludf.DUMMYFUNCTION("IF(TRIM(AU2391)="""","""",AU2391/INDEX(FILTER(AT$3:AT2391,TRIM(AT$3:AT2391)&lt;&gt;""""),ROWS(FILTER(AT$3:AT2391,TRIM(AT$3:AT2391)&lt;&gt;"""")))-1)"),"")</f>
        <v/>
      </c>
      <c r="AW2391" s="65" t="e">
        <f t="shared" ca="1" si="382"/>
        <v>#VALUE!</v>
      </c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</row>
    <row r="2392" spans="1:68" ht="19" x14ac:dyDescent="0.25">
      <c r="A2392" s="5"/>
      <c r="B2392" s="5"/>
      <c r="C2392" s="5"/>
      <c r="D2392" s="5"/>
      <c r="E2392" s="5"/>
      <c r="F2392" s="5"/>
      <c r="G2392" s="5"/>
      <c r="H2392" s="6"/>
      <c r="I2392" s="5"/>
      <c r="J2392" s="88"/>
      <c r="K2392" s="88"/>
      <c r="L2392" s="88"/>
      <c r="M2392" s="88"/>
      <c r="N2392" s="88"/>
      <c r="O2392" s="88"/>
      <c r="P2392" s="88"/>
      <c r="Q2392" s="89"/>
      <c r="R2392" s="88"/>
      <c r="S2392" s="88"/>
      <c r="T2392" s="90"/>
      <c r="U2392" s="6"/>
      <c r="V2392" s="92"/>
      <c r="W2392" s="77"/>
      <c r="X2392" s="91"/>
      <c r="Y2392" s="77"/>
      <c r="Z2392" s="5"/>
      <c r="AA2392" s="5"/>
      <c r="AB2392" s="5"/>
      <c r="AC2392" s="5"/>
      <c r="AD2392" s="5"/>
      <c r="AE2392" s="5"/>
      <c r="AF2392" s="5"/>
      <c r="AG2392" s="5"/>
      <c r="AH2392" s="6"/>
      <c r="AI2392" s="92"/>
      <c r="AJ2392" s="93"/>
      <c r="AK2392" s="94"/>
      <c r="AL2392" s="95"/>
      <c r="AM2392" s="56"/>
      <c r="AN2392" s="57">
        <f t="shared" si="381"/>
        <v>0</v>
      </c>
      <c r="AO2392" s="76">
        <f t="shared" si="383"/>
        <v>0</v>
      </c>
      <c r="AP2392" s="63" t="str">
        <f t="shared" si="384"/>
        <v/>
      </c>
      <c r="AQ2392" s="63" t="str">
        <f t="shared" si="385"/>
        <v/>
      </c>
      <c r="AR2392" s="63" t="str">
        <f t="shared" si="386"/>
        <v/>
      </c>
      <c r="AS2392" s="63" t="str">
        <f t="shared" si="387"/>
        <v/>
      </c>
      <c r="AT2392" s="78" t="str">
        <f t="shared" si="388"/>
        <v/>
      </c>
      <c r="AU2392" s="78" t="str">
        <f t="shared" si="389"/>
        <v/>
      </c>
      <c r="AV2392" s="64" t="str">
        <f ca="1">IFERROR(__xludf.DUMMYFUNCTION("IF(TRIM(AU2392)="""","""",AU2392/INDEX(FILTER(AT$3:AT2392,TRIM(AT$3:AT2392)&lt;&gt;""""),ROWS(FILTER(AT$3:AT2392,TRIM(AT$3:AT2392)&lt;&gt;"""")))-1)"),"")</f>
        <v/>
      </c>
      <c r="AW2392" s="65" t="e">
        <f t="shared" ca="1" si="382"/>
        <v>#VALUE!</v>
      </c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</row>
    <row r="2393" spans="1:68" ht="19" x14ac:dyDescent="0.25">
      <c r="A2393" s="5"/>
      <c r="B2393" s="5"/>
      <c r="C2393" s="5"/>
      <c r="D2393" s="5"/>
      <c r="E2393" s="5"/>
      <c r="F2393" s="5"/>
      <c r="G2393" s="5"/>
      <c r="H2393" s="6"/>
      <c r="I2393" s="5"/>
      <c r="J2393" s="88"/>
      <c r="K2393" s="88"/>
      <c r="L2393" s="88"/>
      <c r="M2393" s="88"/>
      <c r="N2393" s="88"/>
      <c r="O2393" s="88"/>
      <c r="P2393" s="88"/>
      <c r="Q2393" s="89"/>
      <c r="R2393" s="88"/>
      <c r="S2393" s="88"/>
      <c r="T2393" s="90"/>
      <c r="U2393" s="6"/>
      <c r="V2393" s="92"/>
      <c r="W2393" s="77"/>
      <c r="X2393" s="91"/>
      <c r="Y2393" s="77"/>
      <c r="Z2393" s="5"/>
      <c r="AA2393" s="5"/>
      <c r="AB2393" s="5"/>
      <c r="AC2393" s="5"/>
      <c r="AD2393" s="5"/>
      <c r="AE2393" s="5"/>
      <c r="AF2393" s="5"/>
      <c r="AG2393" s="5"/>
      <c r="AH2393" s="6"/>
      <c r="AI2393" s="92"/>
      <c r="AJ2393" s="93"/>
      <c r="AK2393" s="94"/>
      <c r="AL2393" s="95"/>
      <c r="AM2393" s="56"/>
      <c r="AN2393" s="57">
        <f t="shared" si="381"/>
        <v>0</v>
      </c>
      <c r="AO2393" s="76">
        <f t="shared" si="383"/>
        <v>0</v>
      </c>
      <c r="AP2393" s="63" t="str">
        <f t="shared" si="384"/>
        <v/>
      </c>
      <c r="AQ2393" s="63" t="str">
        <f t="shared" si="385"/>
        <v/>
      </c>
      <c r="AR2393" s="63" t="str">
        <f t="shared" si="386"/>
        <v/>
      </c>
      <c r="AS2393" s="63" t="str">
        <f t="shared" si="387"/>
        <v/>
      </c>
      <c r="AT2393" s="78" t="str">
        <f t="shared" si="388"/>
        <v/>
      </c>
      <c r="AU2393" s="78" t="str">
        <f t="shared" si="389"/>
        <v/>
      </c>
      <c r="AV2393" s="64" t="str">
        <f ca="1">IFERROR(__xludf.DUMMYFUNCTION("IF(TRIM(AU2393)="""","""",AU2393/INDEX(FILTER(AT$3:AT2393,TRIM(AT$3:AT2393)&lt;&gt;""""),ROWS(FILTER(AT$3:AT2393,TRIM(AT$3:AT2393)&lt;&gt;"""")))-1)"),"")</f>
        <v/>
      </c>
      <c r="AW2393" s="65" t="e">
        <f t="shared" ca="1" si="382"/>
        <v>#VALUE!</v>
      </c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/>
      <c r="BM2393" s="5"/>
      <c r="BN2393" s="5"/>
      <c r="BO2393" s="5"/>
      <c r="BP2393" s="5"/>
    </row>
    <row r="2394" spans="1:68" ht="19" x14ac:dyDescent="0.25">
      <c r="A2394" s="5"/>
      <c r="B2394" s="5"/>
      <c r="C2394" s="5"/>
      <c r="D2394" s="5"/>
      <c r="E2394" s="5"/>
      <c r="F2394" s="5"/>
      <c r="G2394" s="5"/>
      <c r="H2394" s="6"/>
      <c r="I2394" s="5"/>
      <c r="J2394" s="88"/>
      <c r="K2394" s="88"/>
      <c r="L2394" s="88"/>
      <c r="M2394" s="88"/>
      <c r="N2394" s="88"/>
      <c r="O2394" s="88"/>
      <c r="P2394" s="88"/>
      <c r="Q2394" s="89"/>
      <c r="R2394" s="88"/>
      <c r="S2394" s="88"/>
      <c r="T2394" s="90"/>
      <c r="U2394" s="6"/>
      <c r="V2394" s="92"/>
      <c r="W2394" s="77"/>
      <c r="X2394" s="91"/>
      <c r="Y2394" s="77"/>
      <c r="Z2394" s="5"/>
      <c r="AA2394" s="5"/>
      <c r="AB2394" s="5"/>
      <c r="AC2394" s="5"/>
      <c r="AD2394" s="5"/>
      <c r="AE2394" s="5"/>
      <c r="AF2394" s="5"/>
      <c r="AG2394" s="5"/>
      <c r="AH2394" s="6"/>
      <c r="AI2394" s="92"/>
      <c r="AJ2394" s="93"/>
      <c r="AK2394" s="94"/>
      <c r="AL2394" s="95"/>
      <c r="AM2394" s="56"/>
      <c r="AN2394" s="57">
        <f t="shared" si="381"/>
        <v>0</v>
      </c>
      <c r="AO2394" s="76">
        <f t="shared" si="383"/>
        <v>0</v>
      </c>
      <c r="AP2394" s="63" t="str">
        <f t="shared" si="384"/>
        <v/>
      </c>
      <c r="AQ2394" s="63" t="str">
        <f t="shared" si="385"/>
        <v/>
      </c>
      <c r="AR2394" s="63" t="str">
        <f t="shared" si="386"/>
        <v/>
      </c>
      <c r="AS2394" s="63" t="str">
        <f t="shared" si="387"/>
        <v/>
      </c>
      <c r="AT2394" s="78" t="str">
        <f t="shared" si="388"/>
        <v/>
      </c>
      <c r="AU2394" s="78" t="str">
        <f t="shared" si="389"/>
        <v/>
      </c>
      <c r="AV2394" s="64" t="str">
        <f ca="1">IFERROR(__xludf.DUMMYFUNCTION("IF(TRIM(AU2394)="""","""",AU2394/INDEX(FILTER(AT$3:AT2394,TRIM(AT$3:AT2394)&lt;&gt;""""),ROWS(FILTER(AT$3:AT2394,TRIM(AT$3:AT2394)&lt;&gt;"""")))-1)"),"")</f>
        <v/>
      </c>
      <c r="AW2394" s="65" t="e">
        <f t="shared" ca="1" si="382"/>
        <v>#VALUE!</v>
      </c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</row>
    <row r="2395" spans="1:68" ht="19" x14ac:dyDescent="0.25">
      <c r="A2395" s="5"/>
      <c r="B2395" s="5"/>
      <c r="C2395" s="5"/>
      <c r="D2395" s="5"/>
      <c r="E2395" s="5"/>
      <c r="F2395" s="5"/>
      <c r="G2395" s="5"/>
      <c r="H2395" s="6"/>
      <c r="I2395" s="5"/>
      <c r="J2395" s="88"/>
      <c r="K2395" s="88"/>
      <c r="L2395" s="88"/>
      <c r="M2395" s="88"/>
      <c r="N2395" s="88"/>
      <c r="O2395" s="88"/>
      <c r="P2395" s="88"/>
      <c r="Q2395" s="89"/>
      <c r="R2395" s="88"/>
      <c r="S2395" s="88"/>
      <c r="T2395" s="90"/>
      <c r="U2395" s="6"/>
      <c r="V2395" s="92"/>
      <c r="W2395" s="77"/>
      <c r="X2395" s="91"/>
      <c r="Y2395" s="77"/>
      <c r="Z2395" s="5"/>
      <c r="AA2395" s="5"/>
      <c r="AB2395" s="5"/>
      <c r="AC2395" s="5"/>
      <c r="AD2395" s="5"/>
      <c r="AE2395" s="5"/>
      <c r="AF2395" s="5"/>
      <c r="AG2395" s="5"/>
      <c r="AH2395" s="6"/>
      <c r="AI2395" s="92"/>
      <c r="AJ2395" s="93"/>
      <c r="AK2395" s="94"/>
      <c r="AL2395" s="95"/>
      <c r="AM2395" s="56"/>
      <c r="AN2395" s="57">
        <f t="shared" si="381"/>
        <v>0</v>
      </c>
      <c r="AO2395" s="76">
        <f t="shared" si="383"/>
        <v>0</v>
      </c>
      <c r="AP2395" s="63" t="str">
        <f t="shared" si="384"/>
        <v/>
      </c>
      <c r="AQ2395" s="63" t="str">
        <f t="shared" si="385"/>
        <v/>
      </c>
      <c r="AR2395" s="63" t="str">
        <f t="shared" si="386"/>
        <v/>
      </c>
      <c r="AS2395" s="63" t="str">
        <f t="shared" si="387"/>
        <v/>
      </c>
      <c r="AT2395" s="78" t="str">
        <f t="shared" si="388"/>
        <v/>
      </c>
      <c r="AU2395" s="78" t="str">
        <f t="shared" si="389"/>
        <v/>
      </c>
      <c r="AV2395" s="64" t="str">
        <f ca="1">IFERROR(__xludf.DUMMYFUNCTION("IF(TRIM(AU2395)="""","""",AU2395/INDEX(FILTER(AT$3:AT2395,TRIM(AT$3:AT2395)&lt;&gt;""""),ROWS(FILTER(AT$3:AT2395,TRIM(AT$3:AT2395)&lt;&gt;"""")))-1)"),"")</f>
        <v/>
      </c>
      <c r="AW2395" s="65" t="e">
        <f t="shared" ca="1" si="382"/>
        <v>#VALUE!</v>
      </c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</row>
    <row r="2396" spans="1:68" ht="19" x14ac:dyDescent="0.25">
      <c r="A2396" s="5"/>
      <c r="B2396" s="5"/>
      <c r="C2396" s="5"/>
      <c r="D2396" s="5"/>
      <c r="E2396" s="5"/>
      <c r="F2396" s="5"/>
      <c r="G2396" s="5"/>
      <c r="H2396" s="6"/>
      <c r="I2396" s="5"/>
      <c r="J2396" s="88"/>
      <c r="K2396" s="88"/>
      <c r="L2396" s="88"/>
      <c r="M2396" s="88"/>
      <c r="N2396" s="88"/>
      <c r="O2396" s="88"/>
      <c r="P2396" s="88"/>
      <c r="Q2396" s="89"/>
      <c r="R2396" s="88"/>
      <c r="S2396" s="88"/>
      <c r="T2396" s="90"/>
      <c r="U2396" s="6"/>
      <c r="V2396" s="92"/>
      <c r="W2396" s="77"/>
      <c r="X2396" s="91"/>
      <c r="Y2396" s="77"/>
      <c r="Z2396" s="5"/>
      <c r="AA2396" s="5"/>
      <c r="AB2396" s="5"/>
      <c r="AC2396" s="5"/>
      <c r="AD2396" s="5"/>
      <c r="AE2396" s="5"/>
      <c r="AF2396" s="5"/>
      <c r="AG2396" s="5"/>
      <c r="AH2396" s="6"/>
      <c r="AI2396" s="92"/>
      <c r="AJ2396" s="93"/>
      <c r="AK2396" s="94"/>
      <c r="AL2396" s="95"/>
      <c r="AM2396" s="56"/>
      <c r="AN2396" s="57">
        <f t="shared" si="381"/>
        <v>0</v>
      </c>
      <c r="AO2396" s="76">
        <f t="shared" si="383"/>
        <v>0</v>
      </c>
      <c r="AP2396" s="63" t="str">
        <f t="shared" si="384"/>
        <v/>
      </c>
      <c r="AQ2396" s="63" t="str">
        <f t="shared" si="385"/>
        <v/>
      </c>
      <c r="AR2396" s="63" t="str">
        <f t="shared" si="386"/>
        <v/>
      </c>
      <c r="AS2396" s="63" t="str">
        <f t="shared" si="387"/>
        <v/>
      </c>
      <c r="AT2396" s="78" t="str">
        <f t="shared" si="388"/>
        <v/>
      </c>
      <c r="AU2396" s="78" t="str">
        <f t="shared" si="389"/>
        <v/>
      </c>
      <c r="AV2396" s="64" t="str">
        <f ca="1">IFERROR(__xludf.DUMMYFUNCTION("IF(TRIM(AU2396)="""","""",AU2396/INDEX(FILTER(AT$3:AT2396,TRIM(AT$3:AT2396)&lt;&gt;""""),ROWS(FILTER(AT$3:AT2396,TRIM(AT$3:AT2396)&lt;&gt;"""")))-1)"),"")</f>
        <v/>
      </c>
      <c r="AW2396" s="65" t="e">
        <f t="shared" ca="1" si="382"/>
        <v>#VALUE!</v>
      </c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</row>
    <row r="2397" spans="1:68" ht="19" x14ac:dyDescent="0.25">
      <c r="A2397" s="5"/>
      <c r="B2397" s="5"/>
      <c r="C2397" s="5"/>
      <c r="D2397" s="5"/>
      <c r="E2397" s="5"/>
      <c r="F2397" s="5"/>
      <c r="G2397" s="5"/>
      <c r="H2397" s="6"/>
      <c r="I2397" s="5"/>
      <c r="J2397" s="88"/>
      <c r="K2397" s="88"/>
      <c r="L2397" s="88"/>
      <c r="M2397" s="88"/>
      <c r="N2397" s="88"/>
      <c r="O2397" s="88"/>
      <c r="P2397" s="88"/>
      <c r="Q2397" s="89"/>
      <c r="R2397" s="88"/>
      <c r="S2397" s="88"/>
      <c r="T2397" s="90"/>
      <c r="U2397" s="6"/>
      <c r="V2397" s="92"/>
      <c r="W2397" s="77"/>
      <c r="X2397" s="91"/>
      <c r="Y2397" s="77"/>
      <c r="Z2397" s="5"/>
      <c r="AA2397" s="5"/>
      <c r="AB2397" s="5"/>
      <c r="AC2397" s="5"/>
      <c r="AD2397" s="5"/>
      <c r="AE2397" s="5"/>
      <c r="AF2397" s="5"/>
      <c r="AG2397" s="5"/>
      <c r="AH2397" s="6"/>
      <c r="AI2397" s="92"/>
      <c r="AJ2397" s="93"/>
      <c r="AK2397" s="94"/>
      <c r="AL2397" s="95"/>
      <c r="AM2397" s="56"/>
      <c r="AN2397" s="57">
        <f t="shared" si="381"/>
        <v>0</v>
      </c>
      <c r="AO2397" s="76">
        <f t="shared" si="383"/>
        <v>0</v>
      </c>
      <c r="AP2397" s="63" t="str">
        <f t="shared" si="384"/>
        <v/>
      </c>
      <c r="AQ2397" s="63" t="str">
        <f t="shared" si="385"/>
        <v/>
      </c>
      <c r="AR2397" s="63" t="str">
        <f t="shared" si="386"/>
        <v/>
      </c>
      <c r="AS2397" s="63" t="str">
        <f t="shared" si="387"/>
        <v/>
      </c>
      <c r="AT2397" s="78" t="str">
        <f t="shared" si="388"/>
        <v/>
      </c>
      <c r="AU2397" s="78" t="str">
        <f t="shared" si="389"/>
        <v/>
      </c>
      <c r="AV2397" s="64" t="str">
        <f ca="1">IFERROR(__xludf.DUMMYFUNCTION("IF(TRIM(AU2397)="""","""",AU2397/INDEX(FILTER(AT$3:AT2397,TRIM(AT$3:AT2397)&lt;&gt;""""),ROWS(FILTER(AT$3:AT2397,TRIM(AT$3:AT2397)&lt;&gt;"""")))-1)"),"")</f>
        <v/>
      </c>
      <c r="AW2397" s="65" t="e">
        <f t="shared" ca="1" si="382"/>
        <v>#VALUE!</v>
      </c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</row>
    <row r="2398" spans="1:68" ht="19" x14ac:dyDescent="0.25">
      <c r="A2398" s="5"/>
      <c r="B2398" s="5"/>
      <c r="C2398" s="5"/>
      <c r="D2398" s="5"/>
      <c r="E2398" s="5"/>
      <c r="F2398" s="5"/>
      <c r="G2398" s="5"/>
      <c r="H2398" s="6"/>
      <c r="I2398" s="5"/>
      <c r="J2398" s="88"/>
      <c r="K2398" s="88"/>
      <c r="L2398" s="88"/>
      <c r="M2398" s="88"/>
      <c r="N2398" s="88"/>
      <c r="O2398" s="88"/>
      <c r="P2398" s="88"/>
      <c r="Q2398" s="89"/>
      <c r="R2398" s="88"/>
      <c r="S2398" s="88"/>
      <c r="T2398" s="90"/>
      <c r="U2398" s="6"/>
      <c r="V2398" s="92"/>
      <c r="W2398" s="77"/>
      <c r="X2398" s="91"/>
      <c r="Y2398" s="77"/>
      <c r="Z2398" s="5"/>
      <c r="AA2398" s="5"/>
      <c r="AB2398" s="5"/>
      <c r="AC2398" s="5"/>
      <c r="AD2398" s="5"/>
      <c r="AE2398" s="5"/>
      <c r="AF2398" s="5"/>
      <c r="AG2398" s="5"/>
      <c r="AH2398" s="6"/>
      <c r="AI2398" s="92"/>
      <c r="AJ2398" s="93"/>
      <c r="AK2398" s="94"/>
      <c r="AL2398" s="95"/>
      <c r="AM2398" s="56"/>
      <c r="AN2398" s="57">
        <f t="shared" si="381"/>
        <v>0</v>
      </c>
      <c r="AO2398" s="76">
        <f t="shared" si="383"/>
        <v>0</v>
      </c>
      <c r="AP2398" s="63" t="str">
        <f t="shared" si="384"/>
        <v/>
      </c>
      <c r="AQ2398" s="63" t="str">
        <f t="shared" si="385"/>
        <v/>
      </c>
      <c r="AR2398" s="63" t="str">
        <f t="shared" si="386"/>
        <v/>
      </c>
      <c r="AS2398" s="63" t="str">
        <f t="shared" si="387"/>
        <v/>
      </c>
      <c r="AT2398" s="78" t="str">
        <f t="shared" si="388"/>
        <v/>
      </c>
      <c r="AU2398" s="78" t="str">
        <f t="shared" si="389"/>
        <v/>
      </c>
      <c r="AV2398" s="64" t="str">
        <f ca="1">IFERROR(__xludf.DUMMYFUNCTION("IF(TRIM(AU2398)="""","""",AU2398/INDEX(FILTER(AT$3:AT2398,TRIM(AT$3:AT2398)&lt;&gt;""""),ROWS(FILTER(AT$3:AT2398,TRIM(AT$3:AT2398)&lt;&gt;"""")))-1)"),"")</f>
        <v/>
      </c>
      <c r="AW2398" s="65" t="e">
        <f t="shared" ca="1" si="382"/>
        <v>#VALUE!</v>
      </c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</row>
    <row r="2399" spans="1:68" ht="19" x14ac:dyDescent="0.25">
      <c r="A2399" s="5"/>
      <c r="B2399" s="5"/>
      <c r="C2399" s="5"/>
      <c r="D2399" s="5"/>
      <c r="E2399" s="5"/>
      <c r="F2399" s="5"/>
      <c r="G2399" s="5"/>
      <c r="H2399" s="6"/>
      <c r="I2399" s="5"/>
      <c r="J2399" s="88"/>
      <c r="K2399" s="88"/>
      <c r="L2399" s="88"/>
      <c r="M2399" s="88"/>
      <c r="N2399" s="88"/>
      <c r="O2399" s="88"/>
      <c r="P2399" s="88"/>
      <c r="Q2399" s="89"/>
      <c r="R2399" s="88"/>
      <c r="S2399" s="88"/>
      <c r="T2399" s="90"/>
      <c r="U2399" s="6"/>
      <c r="V2399" s="92"/>
      <c r="W2399" s="77"/>
      <c r="X2399" s="91"/>
      <c r="Y2399" s="77"/>
      <c r="Z2399" s="5"/>
      <c r="AA2399" s="5"/>
      <c r="AB2399" s="5"/>
      <c r="AC2399" s="5"/>
      <c r="AD2399" s="5"/>
      <c r="AE2399" s="5"/>
      <c r="AF2399" s="5"/>
      <c r="AG2399" s="5"/>
      <c r="AH2399" s="6"/>
      <c r="AI2399" s="92"/>
      <c r="AJ2399" s="93"/>
      <c r="AK2399" s="94"/>
      <c r="AL2399" s="95"/>
      <c r="AM2399" s="56"/>
      <c r="AN2399" s="57">
        <f t="shared" si="381"/>
        <v>0</v>
      </c>
      <c r="AO2399" s="76">
        <f t="shared" si="383"/>
        <v>0</v>
      </c>
      <c r="AP2399" s="63" t="str">
        <f t="shared" si="384"/>
        <v/>
      </c>
      <c r="AQ2399" s="63" t="str">
        <f t="shared" si="385"/>
        <v/>
      </c>
      <c r="AR2399" s="63" t="str">
        <f t="shared" si="386"/>
        <v/>
      </c>
      <c r="AS2399" s="63" t="str">
        <f t="shared" si="387"/>
        <v/>
      </c>
      <c r="AT2399" s="78" t="str">
        <f t="shared" si="388"/>
        <v/>
      </c>
      <c r="AU2399" s="78" t="str">
        <f t="shared" si="389"/>
        <v/>
      </c>
      <c r="AV2399" s="64" t="str">
        <f ca="1">IFERROR(__xludf.DUMMYFUNCTION("IF(TRIM(AU2399)="""","""",AU2399/INDEX(FILTER(AT$3:AT2399,TRIM(AT$3:AT2399)&lt;&gt;""""),ROWS(FILTER(AT$3:AT2399,TRIM(AT$3:AT2399)&lt;&gt;"""")))-1)"),"")</f>
        <v/>
      </c>
      <c r="AW2399" s="65" t="e">
        <f t="shared" ca="1" si="382"/>
        <v>#VALUE!</v>
      </c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</row>
    <row r="2400" spans="1:68" ht="19" x14ac:dyDescent="0.25">
      <c r="A2400" s="5"/>
      <c r="B2400" s="5"/>
      <c r="C2400" s="5"/>
      <c r="D2400" s="5"/>
      <c r="E2400" s="5"/>
      <c r="F2400" s="5"/>
      <c r="G2400" s="5"/>
      <c r="H2400" s="6"/>
      <c r="I2400" s="5"/>
      <c r="J2400" s="88"/>
      <c r="K2400" s="88"/>
      <c r="L2400" s="88"/>
      <c r="M2400" s="88"/>
      <c r="N2400" s="88"/>
      <c r="O2400" s="88"/>
      <c r="P2400" s="88"/>
      <c r="Q2400" s="89"/>
      <c r="R2400" s="88"/>
      <c r="S2400" s="88"/>
      <c r="T2400" s="90"/>
      <c r="U2400" s="6"/>
      <c r="V2400" s="92"/>
      <c r="W2400" s="77"/>
      <c r="X2400" s="91"/>
      <c r="Y2400" s="77"/>
      <c r="Z2400" s="5"/>
      <c r="AA2400" s="5"/>
      <c r="AB2400" s="5"/>
      <c r="AC2400" s="5"/>
      <c r="AD2400" s="5"/>
      <c r="AE2400" s="5"/>
      <c r="AF2400" s="5"/>
      <c r="AG2400" s="5"/>
      <c r="AH2400" s="6"/>
      <c r="AI2400" s="92"/>
      <c r="AJ2400" s="93"/>
      <c r="AK2400" s="94"/>
      <c r="AL2400" s="95"/>
      <c r="AM2400" s="56"/>
      <c r="AN2400" s="57">
        <f t="shared" si="381"/>
        <v>0</v>
      </c>
      <c r="AO2400" s="76">
        <f t="shared" si="383"/>
        <v>0</v>
      </c>
      <c r="AP2400" s="63" t="str">
        <f t="shared" si="384"/>
        <v/>
      </c>
      <c r="AQ2400" s="63" t="str">
        <f t="shared" si="385"/>
        <v/>
      </c>
      <c r="AR2400" s="63" t="str">
        <f t="shared" si="386"/>
        <v/>
      </c>
      <c r="AS2400" s="63" t="str">
        <f t="shared" si="387"/>
        <v/>
      </c>
      <c r="AT2400" s="78" t="str">
        <f t="shared" si="388"/>
        <v/>
      </c>
      <c r="AU2400" s="78" t="str">
        <f t="shared" si="389"/>
        <v/>
      </c>
      <c r="AV2400" s="64" t="str">
        <f ca="1">IFERROR(__xludf.DUMMYFUNCTION("IF(TRIM(AU2400)="""","""",AU2400/INDEX(FILTER(AT$3:AT2400,TRIM(AT$3:AT2400)&lt;&gt;""""),ROWS(FILTER(AT$3:AT2400,TRIM(AT$3:AT2400)&lt;&gt;"""")))-1)"),"")</f>
        <v/>
      </c>
      <c r="AW2400" s="65" t="e">
        <f t="shared" ca="1" si="382"/>
        <v>#VALUE!</v>
      </c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</row>
    <row r="2401" spans="1:68" ht="19" x14ac:dyDescent="0.25">
      <c r="A2401" s="5"/>
      <c r="B2401" s="5"/>
      <c r="C2401" s="5"/>
      <c r="D2401" s="5"/>
      <c r="E2401" s="5"/>
      <c r="F2401" s="5"/>
      <c r="G2401" s="5"/>
      <c r="H2401" s="6"/>
      <c r="I2401" s="5"/>
      <c r="J2401" s="88"/>
      <c r="K2401" s="88"/>
      <c r="L2401" s="88"/>
      <c r="M2401" s="88"/>
      <c r="N2401" s="88"/>
      <c r="O2401" s="88"/>
      <c r="P2401" s="88"/>
      <c r="Q2401" s="89"/>
      <c r="R2401" s="88"/>
      <c r="S2401" s="88"/>
      <c r="T2401" s="90"/>
      <c r="U2401" s="6"/>
      <c r="V2401" s="92"/>
      <c r="W2401" s="77"/>
      <c r="X2401" s="91"/>
      <c r="Y2401" s="77"/>
      <c r="Z2401" s="5"/>
      <c r="AA2401" s="5"/>
      <c r="AB2401" s="5"/>
      <c r="AC2401" s="5"/>
      <c r="AD2401" s="5"/>
      <c r="AE2401" s="5"/>
      <c r="AF2401" s="5"/>
      <c r="AG2401" s="5"/>
      <c r="AH2401" s="6"/>
      <c r="AI2401" s="92"/>
      <c r="AJ2401" s="93"/>
      <c r="AK2401" s="94"/>
      <c r="AL2401" s="95"/>
      <c r="AM2401" s="56"/>
      <c r="AN2401" s="57">
        <f t="shared" si="381"/>
        <v>0</v>
      </c>
      <c r="AO2401" s="76">
        <f t="shared" si="383"/>
        <v>0</v>
      </c>
      <c r="AP2401" s="63" t="str">
        <f t="shared" si="384"/>
        <v/>
      </c>
      <c r="AQ2401" s="63" t="str">
        <f t="shared" si="385"/>
        <v/>
      </c>
      <c r="AR2401" s="63" t="str">
        <f t="shared" si="386"/>
        <v/>
      </c>
      <c r="AS2401" s="63" t="str">
        <f t="shared" si="387"/>
        <v/>
      </c>
      <c r="AT2401" s="78" t="str">
        <f t="shared" si="388"/>
        <v/>
      </c>
      <c r="AU2401" s="78" t="str">
        <f t="shared" si="389"/>
        <v/>
      </c>
      <c r="AV2401" s="64" t="str">
        <f ca="1">IFERROR(__xludf.DUMMYFUNCTION("IF(TRIM(AU2401)="""","""",AU2401/INDEX(FILTER(AT$3:AT2401,TRIM(AT$3:AT2401)&lt;&gt;""""),ROWS(FILTER(AT$3:AT2401,TRIM(AT$3:AT2401)&lt;&gt;"""")))-1)"),"")</f>
        <v/>
      </c>
      <c r="AW2401" s="65" t="e">
        <f t="shared" ca="1" si="382"/>
        <v>#VALUE!</v>
      </c>
      <c r="AX2401" s="5"/>
      <c r="AY2401" s="5"/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</row>
    <row r="2402" spans="1:68" ht="19" x14ac:dyDescent="0.25">
      <c r="A2402" s="5"/>
      <c r="B2402" s="5"/>
      <c r="C2402" s="5"/>
      <c r="D2402" s="5"/>
      <c r="E2402" s="5"/>
      <c r="F2402" s="5"/>
      <c r="G2402" s="5"/>
      <c r="H2402" s="6"/>
      <c r="I2402" s="5"/>
      <c r="J2402" s="88"/>
      <c r="K2402" s="88"/>
      <c r="L2402" s="88"/>
      <c r="M2402" s="88"/>
      <c r="N2402" s="88"/>
      <c r="O2402" s="88"/>
      <c r="P2402" s="88"/>
      <c r="Q2402" s="89"/>
      <c r="R2402" s="88"/>
      <c r="S2402" s="88"/>
      <c r="T2402" s="90"/>
      <c r="U2402" s="6"/>
      <c r="V2402" s="92"/>
      <c r="W2402" s="77"/>
      <c r="X2402" s="91"/>
      <c r="Y2402" s="77"/>
      <c r="Z2402" s="5"/>
      <c r="AA2402" s="5"/>
      <c r="AB2402" s="5"/>
      <c r="AC2402" s="5"/>
      <c r="AD2402" s="5"/>
      <c r="AE2402" s="5"/>
      <c r="AF2402" s="5"/>
      <c r="AG2402" s="5"/>
      <c r="AH2402" s="6"/>
      <c r="AI2402" s="92"/>
      <c r="AJ2402" s="93"/>
      <c r="AK2402" s="94"/>
      <c r="AL2402" s="95"/>
      <c r="AM2402" s="56"/>
      <c r="AN2402" s="57">
        <f t="shared" si="381"/>
        <v>0</v>
      </c>
      <c r="AO2402" s="76">
        <f t="shared" si="383"/>
        <v>0</v>
      </c>
      <c r="AP2402" s="63" t="str">
        <f t="shared" si="384"/>
        <v/>
      </c>
      <c r="AQ2402" s="63" t="str">
        <f t="shared" si="385"/>
        <v/>
      </c>
      <c r="AR2402" s="63" t="str">
        <f t="shared" si="386"/>
        <v/>
      </c>
      <c r="AS2402" s="63" t="str">
        <f t="shared" si="387"/>
        <v/>
      </c>
      <c r="AT2402" s="78" t="str">
        <f t="shared" si="388"/>
        <v/>
      </c>
      <c r="AU2402" s="78" t="str">
        <f t="shared" si="389"/>
        <v/>
      </c>
      <c r="AV2402" s="64" t="str">
        <f ca="1">IFERROR(__xludf.DUMMYFUNCTION("IF(TRIM(AU2402)="""","""",AU2402/INDEX(FILTER(AT$3:AT2402,TRIM(AT$3:AT2402)&lt;&gt;""""),ROWS(FILTER(AT$3:AT2402,TRIM(AT$3:AT2402)&lt;&gt;"""")))-1)"),"")</f>
        <v/>
      </c>
      <c r="AW2402" s="65" t="e">
        <f t="shared" ca="1" si="382"/>
        <v>#VALUE!</v>
      </c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</row>
    <row r="2403" spans="1:68" ht="19" x14ac:dyDescent="0.25">
      <c r="A2403" s="5"/>
      <c r="B2403" s="5"/>
      <c r="C2403" s="5"/>
      <c r="D2403" s="5"/>
      <c r="E2403" s="5"/>
      <c r="F2403" s="5"/>
      <c r="G2403" s="5"/>
      <c r="H2403" s="6"/>
      <c r="I2403" s="5"/>
      <c r="J2403" s="88"/>
      <c r="K2403" s="88"/>
      <c r="L2403" s="88"/>
      <c r="M2403" s="88"/>
      <c r="N2403" s="88"/>
      <c r="O2403" s="88"/>
      <c r="P2403" s="88"/>
      <c r="Q2403" s="89"/>
      <c r="R2403" s="88"/>
      <c r="S2403" s="88"/>
      <c r="T2403" s="90"/>
      <c r="U2403" s="6"/>
      <c r="V2403" s="92"/>
      <c r="W2403" s="77"/>
      <c r="X2403" s="91"/>
      <c r="Y2403" s="77"/>
      <c r="Z2403" s="5"/>
      <c r="AA2403" s="5"/>
      <c r="AB2403" s="5"/>
      <c r="AC2403" s="5"/>
      <c r="AD2403" s="5"/>
      <c r="AE2403" s="5"/>
      <c r="AF2403" s="5"/>
      <c r="AG2403" s="5"/>
      <c r="AH2403" s="6"/>
      <c r="AI2403" s="92"/>
      <c r="AJ2403" s="93"/>
      <c r="AK2403" s="94"/>
      <c r="AL2403" s="95"/>
      <c r="AM2403" s="56"/>
      <c r="AN2403" s="57">
        <f t="shared" si="381"/>
        <v>0</v>
      </c>
      <c r="AO2403" s="76">
        <f t="shared" si="383"/>
        <v>0</v>
      </c>
      <c r="AP2403" s="63" t="str">
        <f t="shared" si="384"/>
        <v/>
      </c>
      <c r="AQ2403" s="63" t="str">
        <f t="shared" si="385"/>
        <v/>
      </c>
      <c r="AR2403" s="63" t="str">
        <f t="shared" si="386"/>
        <v/>
      </c>
      <c r="AS2403" s="63" t="str">
        <f t="shared" si="387"/>
        <v/>
      </c>
      <c r="AT2403" s="78" t="str">
        <f t="shared" si="388"/>
        <v/>
      </c>
      <c r="AU2403" s="78" t="str">
        <f t="shared" si="389"/>
        <v/>
      </c>
      <c r="AV2403" s="64" t="str">
        <f ca="1">IFERROR(__xludf.DUMMYFUNCTION("IF(TRIM(AU2403)="""","""",AU2403/INDEX(FILTER(AT$3:AT2403,TRIM(AT$3:AT2403)&lt;&gt;""""),ROWS(FILTER(AT$3:AT2403,TRIM(AT$3:AT2403)&lt;&gt;"""")))-1)"),"")</f>
        <v/>
      </c>
      <c r="AW2403" s="65" t="e">
        <f t="shared" ca="1" si="382"/>
        <v>#VALUE!</v>
      </c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</row>
    <row r="2404" spans="1:68" ht="19" x14ac:dyDescent="0.25">
      <c r="A2404" s="5"/>
      <c r="B2404" s="5"/>
      <c r="C2404" s="5"/>
      <c r="D2404" s="5"/>
      <c r="E2404" s="5"/>
      <c r="F2404" s="5"/>
      <c r="G2404" s="5"/>
      <c r="H2404" s="6"/>
      <c r="I2404" s="5"/>
      <c r="J2404" s="88"/>
      <c r="K2404" s="88"/>
      <c r="L2404" s="88"/>
      <c r="M2404" s="88"/>
      <c r="N2404" s="88"/>
      <c r="O2404" s="88"/>
      <c r="P2404" s="88"/>
      <c r="Q2404" s="89"/>
      <c r="R2404" s="88"/>
      <c r="S2404" s="88"/>
      <c r="T2404" s="90"/>
      <c r="U2404" s="6"/>
      <c r="V2404" s="92"/>
      <c r="W2404" s="77"/>
      <c r="X2404" s="91"/>
      <c r="Y2404" s="77"/>
      <c r="Z2404" s="5"/>
      <c r="AA2404" s="5"/>
      <c r="AB2404" s="5"/>
      <c r="AC2404" s="5"/>
      <c r="AD2404" s="5"/>
      <c r="AE2404" s="5"/>
      <c r="AF2404" s="5"/>
      <c r="AG2404" s="5"/>
      <c r="AH2404" s="6"/>
      <c r="AI2404" s="92"/>
      <c r="AJ2404" s="93"/>
      <c r="AK2404" s="94"/>
      <c r="AL2404" s="95"/>
      <c r="AM2404" s="56"/>
      <c r="AN2404" s="57">
        <f t="shared" si="381"/>
        <v>0</v>
      </c>
      <c r="AO2404" s="76">
        <f t="shared" si="383"/>
        <v>0</v>
      </c>
      <c r="AP2404" s="63" t="str">
        <f t="shared" si="384"/>
        <v/>
      </c>
      <c r="AQ2404" s="63" t="str">
        <f t="shared" si="385"/>
        <v/>
      </c>
      <c r="AR2404" s="63" t="str">
        <f t="shared" si="386"/>
        <v/>
      </c>
      <c r="AS2404" s="63" t="str">
        <f t="shared" si="387"/>
        <v/>
      </c>
      <c r="AT2404" s="78" t="str">
        <f t="shared" si="388"/>
        <v/>
      </c>
      <c r="AU2404" s="78" t="str">
        <f t="shared" si="389"/>
        <v/>
      </c>
      <c r="AV2404" s="64" t="str">
        <f ca="1">IFERROR(__xludf.DUMMYFUNCTION("IF(TRIM(AU2404)="""","""",AU2404/INDEX(FILTER(AT$3:AT2404,TRIM(AT$3:AT2404)&lt;&gt;""""),ROWS(FILTER(AT$3:AT2404,TRIM(AT$3:AT2404)&lt;&gt;"""")))-1)"),"")</f>
        <v/>
      </c>
      <c r="AW2404" s="65" t="e">
        <f t="shared" ca="1" si="382"/>
        <v>#VALUE!</v>
      </c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</row>
    <row r="2405" spans="1:68" ht="19" x14ac:dyDescent="0.25">
      <c r="A2405" s="5"/>
      <c r="B2405" s="5"/>
      <c r="C2405" s="5"/>
      <c r="D2405" s="5"/>
      <c r="E2405" s="5"/>
      <c r="F2405" s="5"/>
      <c r="G2405" s="5"/>
      <c r="H2405" s="6"/>
      <c r="I2405" s="5"/>
      <c r="J2405" s="88"/>
      <c r="K2405" s="88"/>
      <c r="L2405" s="88"/>
      <c r="M2405" s="88"/>
      <c r="N2405" s="88"/>
      <c r="O2405" s="88"/>
      <c r="P2405" s="88"/>
      <c r="Q2405" s="89"/>
      <c r="R2405" s="88"/>
      <c r="S2405" s="88"/>
      <c r="T2405" s="90"/>
      <c r="U2405" s="6"/>
      <c r="V2405" s="92"/>
      <c r="W2405" s="77"/>
      <c r="X2405" s="91"/>
      <c r="Y2405" s="77"/>
      <c r="Z2405" s="5"/>
      <c r="AA2405" s="5"/>
      <c r="AB2405" s="5"/>
      <c r="AC2405" s="5"/>
      <c r="AD2405" s="5"/>
      <c r="AE2405" s="5"/>
      <c r="AF2405" s="5"/>
      <c r="AG2405" s="5"/>
      <c r="AH2405" s="6"/>
      <c r="AI2405" s="92"/>
      <c r="AJ2405" s="93"/>
      <c r="AK2405" s="94"/>
      <c r="AL2405" s="95"/>
      <c r="AM2405" s="56"/>
      <c r="AN2405" s="57">
        <f t="shared" si="381"/>
        <v>0</v>
      </c>
      <c r="AO2405" s="76">
        <f t="shared" si="383"/>
        <v>0</v>
      </c>
      <c r="AP2405" s="63" t="str">
        <f t="shared" si="384"/>
        <v/>
      </c>
      <c r="AQ2405" s="63" t="str">
        <f t="shared" si="385"/>
        <v/>
      </c>
      <c r="AR2405" s="63" t="str">
        <f t="shared" si="386"/>
        <v/>
      </c>
      <c r="AS2405" s="63" t="str">
        <f t="shared" si="387"/>
        <v/>
      </c>
      <c r="AT2405" s="78" t="str">
        <f t="shared" si="388"/>
        <v/>
      </c>
      <c r="AU2405" s="78" t="str">
        <f t="shared" si="389"/>
        <v/>
      </c>
      <c r="AV2405" s="64" t="str">
        <f ca="1">IFERROR(__xludf.DUMMYFUNCTION("IF(TRIM(AU2405)="""","""",AU2405/INDEX(FILTER(AT$3:AT2405,TRIM(AT$3:AT2405)&lt;&gt;""""),ROWS(FILTER(AT$3:AT2405,TRIM(AT$3:AT2405)&lt;&gt;"""")))-1)"),"")</f>
        <v/>
      </c>
      <c r="AW2405" s="65" t="e">
        <f t="shared" ca="1" si="382"/>
        <v>#VALUE!</v>
      </c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</row>
    <row r="2406" spans="1:68" ht="19" x14ac:dyDescent="0.25">
      <c r="A2406" s="5"/>
      <c r="B2406" s="5"/>
      <c r="C2406" s="5"/>
      <c r="D2406" s="5"/>
      <c r="E2406" s="5"/>
      <c r="F2406" s="5"/>
      <c r="G2406" s="5"/>
      <c r="H2406" s="6"/>
      <c r="I2406" s="5"/>
      <c r="J2406" s="88"/>
      <c r="K2406" s="88"/>
      <c r="L2406" s="88"/>
      <c r="M2406" s="88"/>
      <c r="N2406" s="88"/>
      <c r="O2406" s="88"/>
      <c r="P2406" s="88"/>
      <c r="Q2406" s="89"/>
      <c r="R2406" s="88"/>
      <c r="S2406" s="88"/>
      <c r="T2406" s="90"/>
      <c r="U2406" s="6"/>
      <c r="V2406" s="92"/>
      <c r="W2406" s="77"/>
      <c r="X2406" s="91"/>
      <c r="Y2406" s="77"/>
      <c r="Z2406" s="5"/>
      <c r="AA2406" s="5"/>
      <c r="AB2406" s="5"/>
      <c r="AC2406" s="5"/>
      <c r="AD2406" s="5"/>
      <c r="AE2406" s="5"/>
      <c r="AF2406" s="5"/>
      <c r="AG2406" s="5"/>
      <c r="AH2406" s="6"/>
      <c r="AI2406" s="92"/>
      <c r="AJ2406" s="93"/>
      <c r="AK2406" s="94"/>
      <c r="AL2406" s="95"/>
      <c r="AM2406" s="56"/>
      <c r="AN2406" s="57">
        <f t="shared" si="381"/>
        <v>0</v>
      </c>
      <c r="AO2406" s="76">
        <f t="shared" si="383"/>
        <v>0</v>
      </c>
      <c r="AP2406" s="63" t="str">
        <f t="shared" si="384"/>
        <v/>
      </c>
      <c r="AQ2406" s="63" t="str">
        <f t="shared" si="385"/>
        <v/>
      </c>
      <c r="AR2406" s="63" t="str">
        <f t="shared" si="386"/>
        <v/>
      </c>
      <c r="AS2406" s="63" t="str">
        <f t="shared" si="387"/>
        <v/>
      </c>
      <c r="AT2406" s="78" t="str">
        <f t="shared" si="388"/>
        <v/>
      </c>
      <c r="AU2406" s="78" t="str">
        <f t="shared" si="389"/>
        <v/>
      </c>
      <c r="AV2406" s="64" t="str">
        <f ca="1">IFERROR(__xludf.DUMMYFUNCTION("IF(TRIM(AU2406)="""","""",AU2406/INDEX(FILTER(AT$3:AT2406,TRIM(AT$3:AT2406)&lt;&gt;""""),ROWS(FILTER(AT$3:AT2406,TRIM(AT$3:AT2406)&lt;&gt;"""")))-1)"),"")</f>
        <v/>
      </c>
      <c r="AW2406" s="65" t="e">
        <f t="shared" ca="1" si="382"/>
        <v>#VALUE!</v>
      </c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</row>
    <row r="2407" spans="1:68" ht="19" x14ac:dyDescent="0.25">
      <c r="A2407" s="5"/>
      <c r="B2407" s="5"/>
      <c r="C2407" s="5"/>
      <c r="D2407" s="5"/>
      <c r="E2407" s="5"/>
      <c r="F2407" s="5"/>
      <c r="G2407" s="5"/>
      <c r="H2407" s="6"/>
      <c r="I2407" s="5"/>
      <c r="J2407" s="88"/>
      <c r="K2407" s="88"/>
      <c r="L2407" s="88"/>
      <c r="M2407" s="88"/>
      <c r="N2407" s="88"/>
      <c r="O2407" s="88"/>
      <c r="P2407" s="88"/>
      <c r="Q2407" s="89"/>
      <c r="R2407" s="88"/>
      <c r="S2407" s="88"/>
      <c r="T2407" s="90"/>
      <c r="U2407" s="6"/>
      <c r="V2407" s="92"/>
      <c r="W2407" s="77"/>
      <c r="X2407" s="91"/>
      <c r="Y2407" s="77"/>
      <c r="Z2407" s="5"/>
      <c r="AA2407" s="5"/>
      <c r="AB2407" s="5"/>
      <c r="AC2407" s="5"/>
      <c r="AD2407" s="5"/>
      <c r="AE2407" s="5"/>
      <c r="AF2407" s="5"/>
      <c r="AG2407" s="5"/>
      <c r="AH2407" s="6"/>
      <c r="AI2407" s="92"/>
      <c r="AJ2407" s="93"/>
      <c r="AK2407" s="94"/>
      <c r="AL2407" s="95"/>
      <c r="AM2407" s="56"/>
      <c r="AN2407" s="57">
        <f t="shared" si="381"/>
        <v>0</v>
      </c>
      <c r="AO2407" s="76">
        <f t="shared" si="383"/>
        <v>0</v>
      </c>
      <c r="AP2407" s="63" t="str">
        <f t="shared" si="384"/>
        <v/>
      </c>
      <c r="AQ2407" s="63" t="str">
        <f t="shared" si="385"/>
        <v/>
      </c>
      <c r="AR2407" s="63" t="str">
        <f t="shared" si="386"/>
        <v/>
      </c>
      <c r="AS2407" s="63" t="str">
        <f t="shared" si="387"/>
        <v/>
      </c>
      <c r="AT2407" s="78" t="str">
        <f t="shared" si="388"/>
        <v/>
      </c>
      <c r="AU2407" s="78" t="str">
        <f t="shared" si="389"/>
        <v/>
      </c>
      <c r="AV2407" s="64" t="str">
        <f ca="1">IFERROR(__xludf.DUMMYFUNCTION("IF(TRIM(AU2407)="""","""",AU2407/INDEX(FILTER(AT$3:AT2407,TRIM(AT$3:AT2407)&lt;&gt;""""),ROWS(FILTER(AT$3:AT2407,TRIM(AT$3:AT2407)&lt;&gt;"""")))-1)"),"")</f>
        <v/>
      </c>
      <c r="AW2407" s="65" t="e">
        <f t="shared" ca="1" si="382"/>
        <v>#VALUE!</v>
      </c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</row>
    <row r="2408" spans="1:68" ht="19" x14ac:dyDescent="0.25">
      <c r="A2408" s="5"/>
      <c r="B2408" s="5"/>
      <c r="C2408" s="5"/>
      <c r="D2408" s="5"/>
      <c r="E2408" s="5"/>
      <c r="F2408" s="5"/>
      <c r="G2408" s="5"/>
      <c r="H2408" s="6"/>
      <c r="I2408" s="5"/>
      <c r="J2408" s="88"/>
      <c r="K2408" s="88"/>
      <c r="L2408" s="88"/>
      <c r="M2408" s="88"/>
      <c r="N2408" s="88"/>
      <c r="O2408" s="88"/>
      <c r="P2408" s="88"/>
      <c r="Q2408" s="89"/>
      <c r="R2408" s="88"/>
      <c r="S2408" s="88"/>
      <c r="T2408" s="90"/>
      <c r="U2408" s="6"/>
      <c r="V2408" s="92"/>
      <c r="W2408" s="77"/>
      <c r="X2408" s="91"/>
      <c r="Y2408" s="77"/>
      <c r="Z2408" s="5"/>
      <c r="AA2408" s="5"/>
      <c r="AB2408" s="5"/>
      <c r="AC2408" s="5"/>
      <c r="AD2408" s="5"/>
      <c r="AE2408" s="5"/>
      <c r="AF2408" s="5"/>
      <c r="AG2408" s="5"/>
      <c r="AH2408" s="6"/>
      <c r="AI2408" s="92"/>
      <c r="AJ2408" s="93"/>
      <c r="AK2408" s="94"/>
      <c r="AL2408" s="95"/>
      <c r="AM2408" s="56"/>
      <c r="AN2408" s="57">
        <f t="shared" si="381"/>
        <v>0</v>
      </c>
      <c r="AO2408" s="76">
        <f t="shared" si="383"/>
        <v>0</v>
      </c>
      <c r="AP2408" s="63" t="str">
        <f t="shared" si="384"/>
        <v/>
      </c>
      <c r="AQ2408" s="63" t="str">
        <f t="shared" si="385"/>
        <v/>
      </c>
      <c r="AR2408" s="63" t="str">
        <f t="shared" si="386"/>
        <v/>
      </c>
      <c r="AS2408" s="63" t="str">
        <f t="shared" si="387"/>
        <v/>
      </c>
      <c r="AT2408" s="78" t="str">
        <f t="shared" si="388"/>
        <v/>
      </c>
      <c r="AU2408" s="78" t="str">
        <f t="shared" si="389"/>
        <v/>
      </c>
      <c r="AV2408" s="64" t="str">
        <f ca="1">IFERROR(__xludf.DUMMYFUNCTION("IF(TRIM(AU2408)="""","""",AU2408/INDEX(FILTER(AT$3:AT2408,TRIM(AT$3:AT2408)&lt;&gt;""""),ROWS(FILTER(AT$3:AT2408,TRIM(AT$3:AT2408)&lt;&gt;"""")))-1)"),"")</f>
        <v/>
      </c>
      <c r="AW2408" s="65" t="e">
        <f t="shared" ca="1" si="382"/>
        <v>#VALUE!</v>
      </c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</row>
    <row r="2409" spans="1:68" ht="19" x14ac:dyDescent="0.25">
      <c r="A2409" s="5"/>
      <c r="B2409" s="5"/>
      <c r="C2409" s="5"/>
      <c r="D2409" s="5"/>
      <c r="E2409" s="5"/>
      <c r="F2409" s="5"/>
      <c r="G2409" s="5"/>
      <c r="H2409" s="6"/>
      <c r="I2409" s="5"/>
      <c r="J2409" s="88"/>
      <c r="K2409" s="88"/>
      <c r="L2409" s="88"/>
      <c r="M2409" s="88"/>
      <c r="N2409" s="88"/>
      <c r="O2409" s="88"/>
      <c r="P2409" s="88"/>
      <c r="Q2409" s="89"/>
      <c r="R2409" s="88"/>
      <c r="S2409" s="88"/>
      <c r="T2409" s="90"/>
      <c r="U2409" s="6"/>
      <c r="V2409" s="92"/>
      <c r="W2409" s="77"/>
      <c r="X2409" s="91"/>
      <c r="Y2409" s="77"/>
      <c r="Z2409" s="5"/>
      <c r="AA2409" s="5"/>
      <c r="AB2409" s="5"/>
      <c r="AC2409" s="5"/>
      <c r="AD2409" s="5"/>
      <c r="AE2409" s="5"/>
      <c r="AF2409" s="5"/>
      <c r="AG2409" s="5"/>
      <c r="AH2409" s="6"/>
      <c r="AI2409" s="92"/>
      <c r="AJ2409" s="93"/>
      <c r="AK2409" s="94"/>
      <c r="AL2409" s="95"/>
      <c r="AM2409" s="56"/>
      <c r="AN2409" s="57">
        <f t="shared" si="381"/>
        <v>0</v>
      </c>
      <c r="AO2409" s="76">
        <f t="shared" si="383"/>
        <v>0</v>
      </c>
      <c r="AP2409" s="63" t="str">
        <f t="shared" si="384"/>
        <v/>
      </c>
      <c r="AQ2409" s="63" t="str">
        <f t="shared" si="385"/>
        <v/>
      </c>
      <c r="AR2409" s="63" t="str">
        <f t="shared" si="386"/>
        <v/>
      </c>
      <c r="AS2409" s="63" t="str">
        <f t="shared" si="387"/>
        <v/>
      </c>
      <c r="AT2409" s="78" t="str">
        <f t="shared" si="388"/>
        <v/>
      </c>
      <c r="AU2409" s="78" t="str">
        <f t="shared" si="389"/>
        <v/>
      </c>
      <c r="AV2409" s="64" t="str">
        <f ca="1">IFERROR(__xludf.DUMMYFUNCTION("IF(TRIM(AU2409)="""","""",AU2409/INDEX(FILTER(AT$3:AT2409,TRIM(AT$3:AT2409)&lt;&gt;""""),ROWS(FILTER(AT$3:AT2409,TRIM(AT$3:AT2409)&lt;&gt;"""")))-1)"),"")</f>
        <v/>
      </c>
      <c r="AW2409" s="65" t="e">
        <f t="shared" ca="1" si="382"/>
        <v>#VALUE!</v>
      </c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</row>
    <row r="2410" spans="1:68" ht="19" x14ac:dyDescent="0.25">
      <c r="A2410" s="5"/>
      <c r="B2410" s="5"/>
      <c r="C2410" s="5"/>
      <c r="D2410" s="5"/>
      <c r="E2410" s="5"/>
      <c r="F2410" s="5"/>
      <c r="G2410" s="5"/>
      <c r="H2410" s="6"/>
      <c r="I2410" s="5"/>
      <c r="J2410" s="88"/>
      <c r="K2410" s="88"/>
      <c r="L2410" s="88"/>
      <c r="M2410" s="88"/>
      <c r="N2410" s="88"/>
      <c r="O2410" s="88"/>
      <c r="P2410" s="88"/>
      <c r="Q2410" s="89"/>
      <c r="R2410" s="88"/>
      <c r="S2410" s="88"/>
      <c r="T2410" s="90"/>
      <c r="U2410" s="6"/>
      <c r="V2410" s="92"/>
      <c r="W2410" s="77"/>
      <c r="X2410" s="91"/>
      <c r="Y2410" s="77"/>
      <c r="Z2410" s="5"/>
      <c r="AA2410" s="5"/>
      <c r="AB2410" s="5"/>
      <c r="AC2410" s="5"/>
      <c r="AD2410" s="5"/>
      <c r="AE2410" s="5"/>
      <c r="AF2410" s="5"/>
      <c r="AG2410" s="5"/>
      <c r="AH2410" s="6"/>
      <c r="AI2410" s="92"/>
      <c r="AJ2410" s="93"/>
      <c r="AK2410" s="94"/>
      <c r="AL2410" s="95"/>
      <c r="AM2410" s="56"/>
      <c r="AN2410" s="57">
        <f t="shared" si="381"/>
        <v>0</v>
      </c>
      <c r="AO2410" s="76">
        <f t="shared" si="383"/>
        <v>0</v>
      </c>
      <c r="AP2410" s="63" t="str">
        <f t="shared" si="384"/>
        <v/>
      </c>
      <c r="AQ2410" s="63" t="str">
        <f t="shared" si="385"/>
        <v/>
      </c>
      <c r="AR2410" s="63" t="str">
        <f t="shared" si="386"/>
        <v/>
      </c>
      <c r="AS2410" s="63" t="str">
        <f t="shared" si="387"/>
        <v/>
      </c>
      <c r="AT2410" s="78" t="str">
        <f t="shared" si="388"/>
        <v/>
      </c>
      <c r="AU2410" s="78" t="str">
        <f t="shared" si="389"/>
        <v/>
      </c>
      <c r="AV2410" s="64" t="str">
        <f ca="1">IFERROR(__xludf.DUMMYFUNCTION("IF(TRIM(AU2410)="""","""",AU2410/INDEX(FILTER(AT$3:AT2410,TRIM(AT$3:AT2410)&lt;&gt;""""),ROWS(FILTER(AT$3:AT2410,TRIM(AT$3:AT2410)&lt;&gt;"""")))-1)"),"")</f>
        <v/>
      </c>
      <c r="AW2410" s="65" t="e">
        <f t="shared" ca="1" si="382"/>
        <v>#VALUE!</v>
      </c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</row>
    <row r="2411" spans="1:68" ht="19" x14ac:dyDescent="0.25">
      <c r="A2411" s="5"/>
      <c r="B2411" s="5"/>
      <c r="C2411" s="5"/>
      <c r="D2411" s="5"/>
      <c r="E2411" s="5"/>
      <c r="F2411" s="5"/>
      <c r="G2411" s="5"/>
      <c r="H2411" s="6"/>
      <c r="I2411" s="5"/>
      <c r="J2411" s="88"/>
      <c r="K2411" s="88"/>
      <c r="L2411" s="88"/>
      <c r="M2411" s="88"/>
      <c r="N2411" s="88"/>
      <c r="O2411" s="88"/>
      <c r="P2411" s="88"/>
      <c r="Q2411" s="89"/>
      <c r="R2411" s="88"/>
      <c r="S2411" s="88"/>
      <c r="T2411" s="90"/>
      <c r="U2411" s="6"/>
      <c r="V2411" s="92"/>
      <c r="W2411" s="77"/>
      <c r="X2411" s="91"/>
      <c r="Y2411" s="77"/>
      <c r="Z2411" s="5"/>
      <c r="AA2411" s="5"/>
      <c r="AB2411" s="5"/>
      <c r="AC2411" s="5"/>
      <c r="AD2411" s="5"/>
      <c r="AE2411" s="5"/>
      <c r="AF2411" s="5"/>
      <c r="AG2411" s="5"/>
      <c r="AH2411" s="6"/>
      <c r="AI2411" s="92"/>
      <c r="AJ2411" s="93"/>
      <c r="AK2411" s="94"/>
      <c r="AL2411" s="95"/>
      <c r="AM2411" s="56"/>
      <c r="AN2411" s="57">
        <f t="shared" si="381"/>
        <v>0</v>
      </c>
      <c r="AO2411" s="76">
        <f t="shared" si="383"/>
        <v>0</v>
      </c>
      <c r="AP2411" s="63" t="str">
        <f t="shared" si="384"/>
        <v/>
      </c>
      <c r="AQ2411" s="63" t="str">
        <f t="shared" si="385"/>
        <v/>
      </c>
      <c r="AR2411" s="63" t="str">
        <f t="shared" si="386"/>
        <v/>
      </c>
      <c r="AS2411" s="63" t="str">
        <f t="shared" si="387"/>
        <v/>
      </c>
      <c r="AT2411" s="78" t="str">
        <f t="shared" si="388"/>
        <v/>
      </c>
      <c r="AU2411" s="78" t="str">
        <f t="shared" si="389"/>
        <v/>
      </c>
      <c r="AV2411" s="64" t="str">
        <f ca="1">IFERROR(__xludf.DUMMYFUNCTION("IF(TRIM(AU2411)="""","""",AU2411/INDEX(FILTER(AT$3:AT2411,TRIM(AT$3:AT2411)&lt;&gt;""""),ROWS(FILTER(AT$3:AT2411,TRIM(AT$3:AT2411)&lt;&gt;"""")))-1)"),"")</f>
        <v/>
      </c>
      <c r="AW2411" s="65" t="e">
        <f t="shared" ca="1" si="382"/>
        <v>#VALUE!</v>
      </c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</row>
    <row r="2412" spans="1:68" ht="19" x14ac:dyDescent="0.25">
      <c r="A2412" s="5"/>
      <c r="B2412" s="5"/>
      <c r="C2412" s="5"/>
      <c r="D2412" s="5"/>
      <c r="E2412" s="5"/>
      <c r="F2412" s="5"/>
      <c r="G2412" s="5"/>
      <c r="H2412" s="6"/>
      <c r="I2412" s="5"/>
      <c r="J2412" s="88"/>
      <c r="K2412" s="88"/>
      <c r="L2412" s="88"/>
      <c r="M2412" s="88"/>
      <c r="N2412" s="88"/>
      <c r="O2412" s="88"/>
      <c r="P2412" s="88"/>
      <c r="Q2412" s="89"/>
      <c r="R2412" s="88"/>
      <c r="S2412" s="88"/>
      <c r="T2412" s="90"/>
      <c r="U2412" s="6"/>
      <c r="V2412" s="92"/>
      <c r="W2412" s="77"/>
      <c r="X2412" s="91"/>
      <c r="Y2412" s="77"/>
      <c r="Z2412" s="5"/>
      <c r="AA2412" s="5"/>
      <c r="AB2412" s="5"/>
      <c r="AC2412" s="5"/>
      <c r="AD2412" s="5"/>
      <c r="AE2412" s="5"/>
      <c r="AF2412" s="5"/>
      <c r="AG2412" s="5"/>
      <c r="AH2412" s="6"/>
      <c r="AI2412" s="92"/>
      <c r="AJ2412" s="93"/>
      <c r="AK2412" s="94"/>
      <c r="AL2412" s="95"/>
      <c r="AM2412" s="56"/>
      <c r="AN2412" s="57">
        <f t="shared" si="381"/>
        <v>0</v>
      </c>
      <c r="AO2412" s="76">
        <f t="shared" si="383"/>
        <v>0</v>
      </c>
      <c r="AP2412" s="63" t="str">
        <f t="shared" si="384"/>
        <v/>
      </c>
      <c r="AQ2412" s="63" t="str">
        <f t="shared" si="385"/>
        <v/>
      </c>
      <c r="AR2412" s="63" t="str">
        <f t="shared" si="386"/>
        <v/>
      </c>
      <c r="AS2412" s="63" t="str">
        <f t="shared" si="387"/>
        <v/>
      </c>
      <c r="AT2412" s="78" t="str">
        <f t="shared" si="388"/>
        <v/>
      </c>
      <c r="AU2412" s="78" t="str">
        <f t="shared" si="389"/>
        <v/>
      </c>
      <c r="AV2412" s="64" t="str">
        <f ca="1">IFERROR(__xludf.DUMMYFUNCTION("IF(TRIM(AU2412)="""","""",AU2412/INDEX(FILTER(AT$3:AT2412,TRIM(AT$3:AT2412)&lt;&gt;""""),ROWS(FILTER(AT$3:AT2412,TRIM(AT$3:AT2412)&lt;&gt;"""")))-1)"),"")</f>
        <v/>
      </c>
      <c r="AW2412" s="65" t="e">
        <f t="shared" ca="1" si="382"/>
        <v>#VALUE!</v>
      </c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</row>
    <row r="2413" spans="1:68" ht="19" x14ac:dyDescent="0.25">
      <c r="A2413" s="5"/>
      <c r="B2413" s="5"/>
      <c r="C2413" s="5"/>
      <c r="D2413" s="5"/>
      <c r="E2413" s="5"/>
      <c r="F2413" s="5"/>
      <c r="G2413" s="5"/>
      <c r="H2413" s="6"/>
      <c r="I2413" s="5"/>
      <c r="J2413" s="88"/>
      <c r="K2413" s="88"/>
      <c r="L2413" s="88"/>
      <c r="M2413" s="88"/>
      <c r="N2413" s="88"/>
      <c r="O2413" s="88"/>
      <c r="P2413" s="88"/>
      <c r="Q2413" s="89"/>
      <c r="R2413" s="88"/>
      <c r="S2413" s="88"/>
      <c r="T2413" s="90"/>
      <c r="U2413" s="6"/>
      <c r="V2413" s="92"/>
      <c r="W2413" s="77"/>
      <c r="X2413" s="91"/>
      <c r="Y2413" s="77"/>
      <c r="Z2413" s="5"/>
      <c r="AA2413" s="5"/>
      <c r="AB2413" s="5"/>
      <c r="AC2413" s="5"/>
      <c r="AD2413" s="5"/>
      <c r="AE2413" s="5"/>
      <c r="AF2413" s="5"/>
      <c r="AG2413" s="5"/>
      <c r="AH2413" s="6"/>
      <c r="AI2413" s="92"/>
      <c r="AJ2413" s="93"/>
      <c r="AK2413" s="94"/>
      <c r="AL2413" s="95"/>
      <c r="AM2413" s="56"/>
      <c r="AN2413" s="57">
        <f t="shared" si="381"/>
        <v>0</v>
      </c>
      <c r="AO2413" s="76">
        <f t="shared" si="383"/>
        <v>0</v>
      </c>
      <c r="AP2413" s="63" t="str">
        <f t="shared" si="384"/>
        <v/>
      </c>
      <c r="AQ2413" s="63" t="str">
        <f t="shared" si="385"/>
        <v/>
      </c>
      <c r="AR2413" s="63" t="str">
        <f t="shared" si="386"/>
        <v/>
      </c>
      <c r="AS2413" s="63" t="str">
        <f t="shared" si="387"/>
        <v/>
      </c>
      <c r="AT2413" s="78" t="str">
        <f t="shared" si="388"/>
        <v/>
      </c>
      <c r="AU2413" s="78" t="str">
        <f t="shared" si="389"/>
        <v/>
      </c>
      <c r="AV2413" s="64" t="str">
        <f ca="1">IFERROR(__xludf.DUMMYFUNCTION("IF(TRIM(AU2413)="""","""",AU2413/INDEX(FILTER(AT$3:AT2413,TRIM(AT$3:AT2413)&lt;&gt;""""),ROWS(FILTER(AT$3:AT2413,TRIM(AT$3:AT2413)&lt;&gt;"""")))-1)"),"")</f>
        <v/>
      </c>
      <c r="AW2413" s="65" t="e">
        <f t="shared" ca="1" si="382"/>
        <v>#VALUE!</v>
      </c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</row>
    <row r="2414" spans="1:68" ht="19" x14ac:dyDescent="0.25">
      <c r="A2414" s="5"/>
      <c r="B2414" s="5"/>
      <c r="C2414" s="5"/>
      <c r="D2414" s="5"/>
      <c r="E2414" s="5"/>
      <c r="F2414" s="5"/>
      <c r="G2414" s="5"/>
      <c r="H2414" s="6"/>
      <c r="I2414" s="5"/>
      <c r="J2414" s="88"/>
      <c r="K2414" s="88"/>
      <c r="L2414" s="88"/>
      <c r="M2414" s="88"/>
      <c r="N2414" s="88"/>
      <c r="O2414" s="88"/>
      <c r="P2414" s="88"/>
      <c r="Q2414" s="89"/>
      <c r="R2414" s="88"/>
      <c r="S2414" s="88"/>
      <c r="T2414" s="90"/>
      <c r="U2414" s="6"/>
      <c r="V2414" s="92"/>
      <c r="W2414" s="77"/>
      <c r="X2414" s="91"/>
      <c r="Y2414" s="77"/>
      <c r="Z2414" s="5"/>
      <c r="AA2414" s="5"/>
      <c r="AB2414" s="5"/>
      <c r="AC2414" s="5"/>
      <c r="AD2414" s="5"/>
      <c r="AE2414" s="5"/>
      <c r="AF2414" s="5"/>
      <c r="AG2414" s="5"/>
      <c r="AH2414" s="6"/>
      <c r="AI2414" s="92"/>
      <c r="AJ2414" s="93"/>
      <c r="AK2414" s="94"/>
      <c r="AL2414" s="95"/>
      <c r="AM2414" s="56"/>
      <c r="AN2414" s="57">
        <f t="shared" si="381"/>
        <v>0</v>
      </c>
      <c r="AO2414" s="76">
        <f t="shared" si="383"/>
        <v>0</v>
      </c>
      <c r="AP2414" s="63" t="str">
        <f t="shared" si="384"/>
        <v/>
      </c>
      <c r="AQ2414" s="63" t="str">
        <f t="shared" si="385"/>
        <v/>
      </c>
      <c r="AR2414" s="63" t="str">
        <f t="shared" si="386"/>
        <v/>
      </c>
      <c r="AS2414" s="63" t="str">
        <f t="shared" si="387"/>
        <v/>
      </c>
      <c r="AT2414" s="78" t="str">
        <f t="shared" si="388"/>
        <v/>
      </c>
      <c r="AU2414" s="78" t="str">
        <f t="shared" si="389"/>
        <v/>
      </c>
      <c r="AV2414" s="64" t="str">
        <f ca="1">IFERROR(__xludf.DUMMYFUNCTION("IF(TRIM(AU2414)="""","""",AU2414/INDEX(FILTER(AT$3:AT2414,TRIM(AT$3:AT2414)&lt;&gt;""""),ROWS(FILTER(AT$3:AT2414,TRIM(AT$3:AT2414)&lt;&gt;"""")))-1)"),"")</f>
        <v/>
      </c>
      <c r="AW2414" s="65" t="e">
        <f t="shared" ca="1" si="382"/>
        <v>#VALUE!</v>
      </c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</row>
    <row r="2415" spans="1:68" ht="19" x14ac:dyDescent="0.25">
      <c r="A2415" s="5"/>
      <c r="B2415" s="5"/>
      <c r="C2415" s="5"/>
      <c r="D2415" s="5"/>
      <c r="E2415" s="5"/>
      <c r="F2415" s="5"/>
      <c r="G2415" s="5"/>
      <c r="H2415" s="6"/>
      <c r="I2415" s="5"/>
      <c r="J2415" s="88"/>
      <c r="K2415" s="88"/>
      <c r="L2415" s="88"/>
      <c r="M2415" s="88"/>
      <c r="N2415" s="88"/>
      <c r="O2415" s="88"/>
      <c r="P2415" s="88"/>
      <c r="Q2415" s="89"/>
      <c r="R2415" s="88"/>
      <c r="S2415" s="88"/>
      <c r="T2415" s="90"/>
      <c r="U2415" s="6"/>
      <c r="V2415" s="92"/>
      <c r="W2415" s="77"/>
      <c r="X2415" s="91"/>
      <c r="Y2415" s="77"/>
      <c r="Z2415" s="5"/>
      <c r="AA2415" s="5"/>
      <c r="AB2415" s="5"/>
      <c r="AC2415" s="5"/>
      <c r="AD2415" s="5"/>
      <c r="AE2415" s="5"/>
      <c r="AF2415" s="5"/>
      <c r="AG2415" s="5"/>
      <c r="AH2415" s="6"/>
      <c r="AI2415" s="92"/>
      <c r="AJ2415" s="93"/>
      <c r="AK2415" s="94"/>
      <c r="AL2415" s="95"/>
      <c r="AM2415" s="56"/>
      <c r="AN2415" s="57">
        <f t="shared" si="381"/>
        <v>0</v>
      </c>
      <c r="AO2415" s="76">
        <f t="shared" si="383"/>
        <v>0</v>
      </c>
      <c r="AP2415" s="63" t="str">
        <f t="shared" si="384"/>
        <v/>
      </c>
      <c r="AQ2415" s="63" t="str">
        <f t="shared" si="385"/>
        <v/>
      </c>
      <c r="AR2415" s="63" t="str">
        <f t="shared" si="386"/>
        <v/>
      </c>
      <c r="AS2415" s="63" t="str">
        <f t="shared" si="387"/>
        <v/>
      </c>
      <c r="AT2415" s="78" t="str">
        <f t="shared" si="388"/>
        <v/>
      </c>
      <c r="AU2415" s="78" t="str">
        <f t="shared" si="389"/>
        <v/>
      </c>
      <c r="AV2415" s="64" t="str">
        <f ca="1">IFERROR(__xludf.DUMMYFUNCTION("IF(TRIM(AU2415)="""","""",AU2415/INDEX(FILTER(AT$3:AT2415,TRIM(AT$3:AT2415)&lt;&gt;""""),ROWS(FILTER(AT$3:AT2415,TRIM(AT$3:AT2415)&lt;&gt;"""")))-1)"),"")</f>
        <v/>
      </c>
      <c r="AW2415" s="65" t="e">
        <f t="shared" ca="1" si="382"/>
        <v>#VALUE!</v>
      </c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</row>
    <row r="2416" spans="1:68" ht="19" x14ac:dyDescent="0.25">
      <c r="A2416" s="5"/>
      <c r="B2416" s="5"/>
      <c r="C2416" s="5"/>
      <c r="D2416" s="5"/>
      <c r="E2416" s="5"/>
      <c r="F2416" s="5"/>
      <c r="G2416" s="5"/>
      <c r="H2416" s="6"/>
      <c r="I2416" s="5"/>
      <c r="J2416" s="88"/>
      <c r="K2416" s="88"/>
      <c r="L2416" s="88"/>
      <c r="M2416" s="88"/>
      <c r="N2416" s="88"/>
      <c r="O2416" s="88"/>
      <c r="P2416" s="88"/>
      <c r="Q2416" s="89"/>
      <c r="R2416" s="88"/>
      <c r="S2416" s="88"/>
      <c r="T2416" s="90"/>
      <c r="U2416" s="6"/>
      <c r="V2416" s="92"/>
      <c r="W2416" s="77"/>
      <c r="X2416" s="91"/>
      <c r="Y2416" s="77"/>
      <c r="Z2416" s="5"/>
      <c r="AA2416" s="5"/>
      <c r="AB2416" s="5"/>
      <c r="AC2416" s="5"/>
      <c r="AD2416" s="5"/>
      <c r="AE2416" s="5"/>
      <c r="AF2416" s="5"/>
      <c r="AG2416" s="5"/>
      <c r="AH2416" s="6"/>
      <c r="AI2416" s="92"/>
      <c r="AJ2416" s="93"/>
      <c r="AK2416" s="94"/>
      <c r="AL2416" s="95"/>
      <c r="AM2416" s="56"/>
      <c r="AN2416" s="57">
        <f t="shared" si="381"/>
        <v>0</v>
      </c>
      <c r="AO2416" s="76">
        <f t="shared" si="383"/>
        <v>0</v>
      </c>
      <c r="AP2416" s="63" t="str">
        <f t="shared" si="384"/>
        <v/>
      </c>
      <c r="AQ2416" s="63" t="str">
        <f t="shared" si="385"/>
        <v/>
      </c>
      <c r="AR2416" s="63" t="str">
        <f t="shared" si="386"/>
        <v/>
      </c>
      <c r="AS2416" s="63" t="str">
        <f t="shared" si="387"/>
        <v/>
      </c>
      <c r="AT2416" s="78" t="str">
        <f t="shared" si="388"/>
        <v/>
      </c>
      <c r="AU2416" s="78" t="str">
        <f t="shared" si="389"/>
        <v/>
      </c>
      <c r="AV2416" s="64" t="str">
        <f ca="1">IFERROR(__xludf.DUMMYFUNCTION("IF(TRIM(AU2416)="""","""",AU2416/INDEX(FILTER(AT$3:AT2416,TRIM(AT$3:AT2416)&lt;&gt;""""),ROWS(FILTER(AT$3:AT2416,TRIM(AT$3:AT2416)&lt;&gt;"""")))-1)"),"")</f>
        <v/>
      </c>
      <c r="AW2416" s="65" t="e">
        <f t="shared" ca="1" si="382"/>
        <v>#VALUE!</v>
      </c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</row>
    <row r="2417" spans="1:68" ht="19" x14ac:dyDescent="0.25">
      <c r="A2417" s="5"/>
      <c r="B2417" s="5"/>
      <c r="C2417" s="5"/>
      <c r="D2417" s="5"/>
      <c r="E2417" s="5"/>
      <c r="F2417" s="5"/>
      <c r="G2417" s="5"/>
      <c r="H2417" s="6"/>
      <c r="I2417" s="5"/>
      <c r="J2417" s="88"/>
      <c r="K2417" s="88"/>
      <c r="L2417" s="88"/>
      <c r="M2417" s="88"/>
      <c r="N2417" s="88"/>
      <c r="O2417" s="88"/>
      <c r="P2417" s="88"/>
      <c r="Q2417" s="89"/>
      <c r="R2417" s="88"/>
      <c r="S2417" s="88"/>
      <c r="T2417" s="90"/>
      <c r="U2417" s="6"/>
      <c r="V2417" s="92"/>
      <c r="W2417" s="77"/>
      <c r="X2417" s="91"/>
      <c r="Y2417" s="77"/>
      <c r="Z2417" s="5"/>
      <c r="AA2417" s="5"/>
      <c r="AB2417" s="5"/>
      <c r="AC2417" s="5"/>
      <c r="AD2417" s="5"/>
      <c r="AE2417" s="5"/>
      <c r="AF2417" s="5"/>
      <c r="AG2417" s="5"/>
      <c r="AH2417" s="6"/>
      <c r="AI2417" s="92"/>
      <c r="AJ2417" s="93"/>
      <c r="AK2417" s="94"/>
      <c r="AL2417" s="95"/>
      <c r="AM2417" s="56"/>
      <c r="AN2417" s="57">
        <f t="shared" si="381"/>
        <v>0</v>
      </c>
      <c r="AO2417" s="76">
        <f t="shared" si="383"/>
        <v>0</v>
      </c>
      <c r="AP2417" s="63" t="str">
        <f t="shared" si="384"/>
        <v/>
      </c>
      <c r="AQ2417" s="63" t="str">
        <f t="shared" si="385"/>
        <v/>
      </c>
      <c r="AR2417" s="63" t="str">
        <f t="shared" si="386"/>
        <v/>
      </c>
      <c r="AS2417" s="63" t="str">
        <f t="shared" si="387"/>
        <v/>
      </c>
      <c r="AT2417" s="78" t="str">
        <f t="shared" si="388"/>
        <v/>
      </c>
      <c r="AU2417" s="78" t="str">
        <f t="shared" si="389"/>
        <v/>
      </c>
      <c r="AV2417" s="64" t="str">
        <f ca="1">IFERROR(__xludf.DUMMYFUNCTION("IF(TRIM(AU2417)="""","""",AU2417/INDEX(FILTER(AT$3:AT2417,TRIM(AT$3:AT2417)&lt;&gt;""""),ROWS(FILTER(AT$3:AT2417,TRIM(AT$3:AT2417)&lt;&gt;"""")))-1)"),"")</f>
        <v/>
      </c>
      <c r="AW2417" s="65" t="e">
        <f t="shared" ca="1" si="382"/>
        <v>#VALUE!</v>
      </c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/>
      <c r="BO2417" s="5"/>
      <c r="BP2417" s="5"/>
    </row>
    <row r="2418" spans="1:68" ht="19" x14ac:dyDescent="0.25">
      <c r="A2418" s="5"/>
      <c r="B2418" s="5"/>
      <c r="C2418" s="5"/>
      <c r="D2418" s="5"/>
      <c r="E2418" s="5"/>
      <c r="F2418" s="5"/>
      <c r="G2418" s="5"/>
      <c r="H2418" s="6"/>
      <c r="I2418" s="5"/>
      <c r="J2418" s="88"/>
      <c r="K2418" s="88"/>
      <c r="L2418" s="88"/>
      <c r="M2418" s="88"/>
      <c r="N2418" s="88"/>
      <c r="O2418" s="88"/>
      <c r="P2418" s="88"/>
      <c r="Q2418" s="89"/>
      <c r="R2418" s="88"/>
      <c r="S2418" s="88"/>
      <c r="T2418" s="90"/>
      <c r="U2418" s="6"/>
      <c r="V2418" s="92"/>
      <c r="W2418" s="77"/>
      <c r="X2418" s="91"/>
      <c r="Y2418" s="77"/>
      <c r="Z2418" s="5"/>
      <c r="AA2418" s="5"/>
      <c r="AB2418" s="5"/>
      <c r="AC2418" s="5"/>
      <c r="AD2418" s="5"/>
      <c r="AE2418" s="5"/>
      <c r="AF2418" s="5"/>
      <c r="AG2418" s="5"/>
      <c r="AH2418" s="6"/>
      <c r="AI2418" s="92"/>
      <c r="AJ2418" s="93"/>
      <c r="AK2418" s="94"/>
      <c r="AL2418" s="95"/>
      <c r="AM2418" s="56"/>
      <c r="AN2418" s="57">
        <f t="shared" si="381"/>
        <v>0</v>
      </c>
      <c r="AO2418" s="76">
        <f t="shared" si="383"/>
        <v>0</v>
      </c>
      <c r="AP2418" s="63" t="str">
        <f t="shared" si="384"/>
        <v/>
      </c>
      <c r="AQ2418" s="63" t="str">
        <f t="shared" si="385"/>
        <v/>
      </c>
      <c r="AR2418" s="63" t="str">
        <f t="shared" si="386"/>
        <v/>
      </c>
      <c r="AS2418" s="63" t="str">
        <f t="shared" si="387"/>
        <v/>
      </c>
      <c r="AT2418" s="78" t="str">
        <f t="shared" si="388"/>
        <v/>
      </c>
      <c r="AU2418" s="78" t="str">
        <f t="shared" si="389"/>
        <v/>
      </c>
      <c r="AV2418" s="64" t="str">
        <f ca="1">IFERROR(__xludf.DUMMYFUNCTION("IF(TRIM(AU2418)="""","""",AU2418/INDEX(FILTER(AT$3:AT2418,TRIM(AT$3:AT2418)&lt;&gt;""""),ROWS(FILTER(AT$3:AT2418,TRIM(AT$3:AT2418)&lt;&gt;"""")))-1)"),"")</f>
        <v/>
      </c>
      <c r="AW2418" s="65" t="e">
        <f t="shared" ca="1" si="382"/>
        <v>#VALUE!</v>
      </c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</row>
    <row r="2419" spans="1:68" ht="19" x14ac:dyDescent="0.25">
      <c r="A2419" s="5"/>
      <c r="B2419" s="5"/>
      <c r="C2419" s="5"/>
      <c r="D2419" s="5"/>
      <c r="E2419" s="5"/>
      <c r="F2419" s="5"/>
      <c r="G2419" s="5"/>
      <c r="H2419" s="6"/>
      <c r="I2419" s="5"/>
      <c r="J2419" s="88"/>
      <c r="K2419" s="88"/>
      <c r="L2419" s="88"/>
      <c r="M2419" s="88"/>
      <c r="N2419" s="88"/>
      <c r="O2419" s="88"/>
      <c r="P2419" s="88"/>
      <c r="Q2419" s="89"/>
      <c r="R2419" s="88"/>
      <c r="S2419" s="88"/>
      <c r="T2419" s="90"/>
      <c r="U2419" s="6"/>
      <c r="V2419" s="92"/>
      <c r="W2419" s="77"/>
      <c r="X2419" s="91"/>
      <c r="Y2419" s="77"/>
      <c r="Z2419" s="5"/>
      <c r="AA2419" s="5"/>
      <c r="AB2419" s="5"/>
      <c r="AC2419" s="5"/>
      <c r="AD2419" s="5"/>
      <c r="AE2419" s="5"/>
      <c r="AF2419" s="5"/>
      <c r="AG2419" s="5"/>
      <c r="AH2419" s="6"/>
      <c r="AI2419" s="92"/>
      <c r="AJ2419" s="93"/>
      <c r="AK2419" s="94"/>
      <c r="AL2419" s="95"/>
      <c r="AM2419" s="56"/>
      <c r="AN2419" s="57">
        <f t="shared" si="381"/>
        <v>0</v>
      </c>
      <c r="AO2419" s="76">
        <f t="shared" si="383"/>
        <v>0</v>
      </c>
      <c r="AP2419" s="63" t="str">
        <f t="shared" si="384"/>
        <v/>
      </c>
      <c r="AQ2419" s="63" t="str">
        <f t="shared" si="385"/>
        <v/>
      </c>
      <c r="AR2419" s="63" t="str">
        <f t="shared" si="386"/>
        <v/>
      </c>
      <c r="AS2419" s="63" t="str">
        <f t="shared" si="387"/>
        <v/>
      </c>
      <c r="AT2419" s="78" t="str">
        <f t="shared" si="388"/>
        <v/>
      </c>
      <c r="AU2419" s="78" t="str">
        <f t="shared" si="389"/>
        <v/>
      </c>
      <c r="AV2419" s="64" t="str">
        <f ca="1">IFERROR(__xludf.DUMMYFUNCTION("IF(TRIM(AU2419)="""","""",AU2419/INDEX(FILTER(AT$3:AT2419,TRIM(AT$3:AT2419)&lt;&gt;""""),ROWS(FILTER(AT$3:AT2419,TRIM(AT$3:AT2419)&lt;&gt;"""")))-1)"),"")</f>
        <v/>
      </c>
      <c r="AW2419" s="65" t="e">
        <f t="shared" ca="1" si="382"/>
        <v>#VALUE!</v>
      </c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</row>
    <row r="2420" spans="1:68" ht="19" x14ac:dyDescent="0.25">
      <c r="A2420" s="5"/>
      <c r="B2420" s="5"/>
      <c r="C2420" s="5"/>
      <c r="D2420" s="5"/>
      <c r="E2420" s="5"/>
      <c r="F2420" s="5"/>
      <c r="G2420" s="5"/>
      <c r="H2420" s="6"/>
      <c r="I2420" s="5"/>
      <c r="J2420" s="88"/>
      <c r="K2420" s="88"/>
      <c r="L2420" s="88"/>
      <c r="M2420" s="88"/>
      <c r="N2420" s="88"/>
      <c r="O2420" s="88"/>
      <c r="P2420" s="88"/>
      <c r="Q2420" s="89"/>
      <c r="R2420" s="88"/>
      <c r="S2420" s="88"/>
      <c r="T2420" s="90"/>
      <c r="U2420" s="6"/>
      <c r="V2420" s="92"/>
      <c r="W2420" s="77"/>
      <c r="X2420" s="91"/>
      <c r="Y2420" s="77"/>
      <c r="Z2420" s="5"/>
      <c r="AA2420" s="5"/>
      <c r="AB2420" s="5"/>
      <c r="AC2420" s="5"/>
      <c r="AD2420" s="5"/>
      <c r="AE2420" s="5"/>
      <c r="AF2420" s="5"/>
      <c r="AG2420" s="5"/>
      <c r="AH2420" s="6"/>
      <c r="AI2420" s="92"/>
      <c r="AJ2420" s="93"/>
      <c r="AK2420" s="94"/>
      <c r="AL2420" s="95"/>
      <c r="AM2420" s="56"/>
      <c r="AN2420" s="57">
        <f t="shared" si="381"/>
        <v>0</v>
      </c>
      <c r="AO2420" s="76">
        <f t="shared" si="383"/>
        <v>0</v>
      </c>
      <c r="AP2420" s="63" t="str">
        <f t="shared" si="384"/>
        <v/>
      </c>
      <c r="AQ2420" s="63" t="str">
        <f t="shared" si="385"/>
        <v/>
      </c>
      <c r="AR2420" s="63" t="str">
        <f t="shared" si="386"/>
        <v/>
      </c>
      <c r="AS2420" s="63" t="str">
        <f t="shared" si="387"/>
        <v/>
      </c>
      <c r="AT2420" s="78" t="str">
        <f t="shared" si="388"/>
        <v/>
      </c>
      <c r="AU2420" s="78" t="str">
        <f t="shared" si="389"/>
        <v/>
      </c>
      <c r="AV2420" s="64" t="str">
        <f ca="1">IFERROR(__xludf.DUMMYFUNCTION("IF(TRIM(AU2420)="""","""",AU2420/INDEX(FILTER(AT$3:AT2420,TRIM(AT$3:AT2420)&lt;&gt;""""),ROWS(FILTER(AT$3:AT2420,TRIM(AT$3:AT2420)&lt;&gt;"""")))-1)"),"")</f>
        <v/>
      </c>
      <c r="AW2420" s="65" t="e">
        <f t="shared" ca="1" si="382"/>
        <v>#VALUE!</v>
      </c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</row>
    <row r="2421" spans="1:68" ht="19" x14ac:dyDescent="0.25">
      <c r="A2421" s="5"/>
      <c r="B2421" s="5"/>
      <c r="C2421" s="5"/>
      <c r="D2421" s="5"/>
      <c r="E2421" s="5"/>
      <c r="F2421" s="5"/>
      <c r="G2421" s="5"/>
      <c r="H2421" s="6"/>
      <c r="I2421" s="5"/>
      <c r="J2421" s="88"/>
      <c r="K2421" s="88"/>
      <c r="L2421" s="88"/>
      <c r="M2421" s="88"/>
      <c r="N2421" s="88"/>
      <c r="O2421" s="88"/>
      <c r="P2421" s="88"/>
      <c r="Q2421" s="89"/>
      <c r="R2421" s="88"/>
      <c r="S2421" s="88"/>
      <c r="T2421" s="90"/>
      <c r="U2421" s="6"/>
      <c r="V2421" s="92"/>
      <c r="W2421" s="77"/>
      <c r="X2421" s="91"/>
      <c r="Y2421" s="77"/>
      <c r="Z2421" s="5"/>
      <c r="AA2421" s="5"/>
      <c r="AB2421" s="5"/>
      <c r="AC2421" s="5"/>
      <c r="AD2421" s="5"/>
      <c r="AE2421" s="5"/>
      <c r="AF2421" s="5"/>
      <c r="AG2421" s="5"/>
      <c r="AH2421" s="6"/>
      <c r="AI2421" s="92"/>
      <c r="AJ2421" s="93"/>
      <c r="AK2421" s="94"/>
      <c r="AL2421" s="95"/>
      <c r="AM2421" s="56"/>
      <c r="AN2421" s="57">
        <f t="shared" si="381"/>
        <v>0</v>
      </c>
      <c r="AO2421" s="76">
        <f t="shared" si="383"/>
        <v>0</v>
      </c>
      <c r="AP2421" s="63" t="str">
        <f t="shared" si="384"/>
        <v/>
      </c>
      <c r="AQ2421" s="63" t="str">
        <f t="shared" si="385"/>
        <v/>
      </c>
      <c r="AR2421" s="63" t="str">
        <f t="shared" si="386"/>
        <v/>
      </c>
      <c r="AS2421" s="63" t="str">
        <f t="shared" si="387"/>
        <v/>
      </c>
      <c r="AT2421" s="78" t="str">
        <f t="shared" si="388"/>
        <v/>
      </c>
      <c r="AU2421" s="78" t="str">
        <f t="shared" si="389"/>
        <v/>
      </c>
      <c r="AV2421" s="64" t="str">
        <f ca="1">IFERROR(__xludf.DUMMYFUNCTION("IF(TRIM(AU2421)="""","""",AU2421/INDEX(FILTER(AT$3:AT2421,TRIM(AT$3:AT2421)&lt;&gt;""""),ROWS(FILTER(AT$3:AT2421,TRIM(AT$3:AT2421)&lt;&gt;"""")))-1)"),"")</f>
        <v/>
      </c>
      <c r="AW2421" s="65" t="e">
        <f t="shared" ca="1" si="382"/>
        <v>#VALUE!</v>
      </c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</row>
    <row r="2422" spans="1:68" ht="19" x14ac:dyDescent="0.25">
      <c r="A2422" s="5"/>
      <c r="B2422" s="5"/>
      <c r="C2422" s="5"/>
      <c r="D2422" s="5"/>
      <c r="E2422" s="5"/>
      <c r="F2422" s="5"/>
      <c r="G2422" s="5"/>
      <c r="H2422" s="6"/>
      <c r="I2422" s="5"/>
      <c r="J2422" s="88"/>
      <c r="K2422" s="88"/>
      <c r="L2422" s="88"/>
      <c r="M2422" s="88"/>
      <c r="N2422" s="88"/>
      <c r="O2422" s="88"/>
      <c r="P2422" s="88"/>
      <c r="Q2422" s="89"/>
      <c r="R2422" s="88"/>
      <c r="S2422" s="88"/>
      <c r="T2422" s="90"/>
      <c r="U2422" s="6"/>
      <c r="V2422" s="92"/>
      <c r="W2422" s="77"/>
      <c r="X2422" s="91"/>
      <c r="Y2422" s="77"/>
      <c r="Z2422" s="5"/>
      <c r="AA2422" s="5"/>
      <c r="AB2422" s="5"/>
      <c r="AC2422" s="5"/>
      <c r="AD2422" s="5"/>
      <c r="AE2422" s="5"/>
      <c r="AF2422" s="5"/>
      <c r="AG2422" s="5"/>
      <c r="AH2422" s="6"/>
      <c r="AI2422" s="92"/>
      <c r="AJ2422" s="93"/>
      <c r="AK2422" s="94"/>
      <c r="AL2422" s="95"/>
      <c r="AM2422" s="56"/>
      <c r="AN2422" s="57">
        <f t="shared" si="381"/>
        <v>0</v>
      </c>
      <c r="AO2422" s="76">
        <f t="shared" si="383"/>
        <v>0</v>
      </c>
      <c r="AP2422" s="63" t="str">
        <f t="shared" si="384"/>
        <v/>
      </c>
      <c r="AQ2422" s="63" t="str">
        <f t="shared" si="385"/>
        <v/>
      </c>
      <c r="AR2422" s="63" t="str">
        <f t="shared" si="386"/>
        <v/>
      </c>
      <c r="AS2422" s="63" t="str">
        <f t="shared" si="387"/>
        <v/>
      </c>
      <c r="AT2422" s="78" t="str">
        <f t="shared" si="388"/>
        <v/>
      </c>
      <c r="AU2422" s="78" t="str">
        <f t="shared" si="389"/>
        <v/>
      </c>
      <c r="AV2422" s="64" t="str">
        <f ca="1">IFERROR(__xludf.DUMMYFUNCTION("IF(TRIM(AU2422)="""","""",AU2422/INDEX(FILTER(AT$3:AT2422,TRIM(AT$3:AT2422)&lt;&gt;""""),ROWS(FILTER(AT$3:AT2422,TRIM(AT$3:AT2422)&lt;&gt;"""")))-1)"),"")</f>
        <v/>
      </c>
      <c r="AW2422" s="65" t="e">
        <f t="shared" ca="1" si="382"/>
        <v>#VALUE!</v>
      </c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</row>
    <row r="2423" spans="1:68" ht="19" x14ac:dyDescent="0.25">
      <c r="A2423" s="5"/>
      <c r="B2423" s="5"/>
      <c r="C2423" s="5"/>
      <c r="D2423" s="5"/>
      <c r="E2423" s="5"/>
      <c r="F2423" s="5"/>
      <c r="G2423" s="5"/>
      <c r="H2423" s="6"/>
      <c r="I2423" s="5"/>
      <c r="J2423" s="88"/>
      <c r="K2423" s="88"/>
      <c r="L2423" s="88"/>
      <c r="M2423" s="88"/>
      <c r="N2423" s="88"/>
      <c r="O2423" s="88"/>
      <c r="P2423" s="88"/>
      <c r="Q2423" s="89"/>
      <c r="R2423" s="88"/>
      <c r="S2423" s="88"/>
      <c r="T2423" s="90"/>
      <c r="U2423" s="6"/>
      <c r="V2423" s="92"/>
      <c r="W2423" s="77"/>
      <c r="X2423" s="91"/>
      <c r="Y2423" s="77"/>
      <c r="Z2423" s="5"/>
      <c r="AA2423" s="5"/>
      <c r="AB2423" s="5"/>
      <c r="AC2423" s="5"/>
      <c r="AD2423" s="5"/>
      <c r="AE2423" s="5"/>
      <c r="AF2423" s="5"/>
      <c r="AG2423" s="5"/>
      <c r="AH2423" s="6"/>
      <c r="AI2423" s="92"/>
      <c r="AJ2423" s="93"/>
      <c r="AK2423" s="94"/>
      <c r="AL2423" s="95"/>
      <c r="AM2423" s="56"/>
      <c r="AN2423" s="57">
        <f t="shared" si="381"/>
        <v>0</v>
      </c>
      <c r="AO2423" s="76">
        <f t="shared" si="383"/>
        <v>0</v>
      </c>
      <c r="AP2423" s="63" t="str">
        <f t="shared" si="384"/>
        <v/>
      </c>
      <c r="AQ2423" s="63" t="str">
        <f t="shared" si="385"/>
        <v/>
      </c>
      <c r="AR2423" s="63" t="str">
        <f t="shared" si="386"/>
        <v/>
      </c>
      <c r="AS2423" s="63" t="str">
        <f t="shared" si="387"/>
        <v/>
      </c>
      <c r="AT2423" s="78" t="str">
        <f t="shared" si="388"/>
        <v/>
      </c>
      <c r="AU2423" s="78" t="str">
        <f t="shared" si="389"/>
        <v/>
      </c>
      <c r="AV2423" s="64" t="str">
        <f ca="1">IFERROR(__xludf.DUMMYFUNCTION("IF(TRIM(AU2423)="""","""",AU2423/INDEX(FILTER(AT$3:AT2423,TRIM(AT$3:AT2423)&lt;&gt;""""),ROWS(FILTER(AT$3:AT2423,TRIM(AT$3:AT2423)&lt;&gt;"""")))-1)"),"")</f>
        <v/>
      </c>
      <c r="AW2423" s="65" t="e">
        <f t="shared" ca="1" si="382"/>
        <v>#VALUE!</v>
      </c>
      <c r="AX2423" s="5"/>
      <c r="AY2423" s="5"/>
      <c r="AZ2423" s="5"/>
      <c r="BA2423" s="5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</row>
    <row r="2424" spans="1:68" ht="19" x14ac:dyDescent="0.25">
      <c r="A2424" s="5"/>
      <c r="B2424" s="5"/>
      <c r="C2424" s="5"/>
      <c r="D2424" s="5"/>
      <c r="E2424" s="5"/>
      <c r="F2424" s="5"/>
      <c r="G2424" s="5"/>
      <c r="H2424" s="6"/>
      <c r="I2424" s="5"/>
      <c r="J2424" s="88"/>
      <c r="K2424" s="88"/>
      <c r="L2424" s="88"/>
      <c r="M2424" s="88"/>
      <c r="N2424" s="88"/>
      <c r="O2424" s="88"/>
      <c r="P2424" s="88"/>
      <c r="Q2424" s="89"/>
      <c r="R2424" s="88"/>
      <c r="S2424" s="88"/>
      <c r="T2424" s="90"/>
      <c r="U2424" s="6"/>
      <c r="V2424" s="92"/>
      <c r="W2424" s="77"/>
      <c r="X2424" s="91"/>
      <c r="Y2424" s="77"/>
      <c r="Z2424" s="5"/>
      <c r="AA2424" s="5"/>
      <c r="AB2424" s="5"/>
      <c r="AC2424" s="5"/>
      <c r="AD2424" s="5"/>
      <c r="AE2424" s="5"/>
      <c r="AF2424" s="5"/>
      <c r="AG2424" s="5"/>
      <c r="AH2424" s="6"/>
      <c r="AI2424" s="92"/>
      <c r="AJ2424" s="93"/>
      <c r="AK2424" s="94"/>
      <c r="AL2424" s="95"/>
      <c r="AM2424" s="56"/>
      <c r="AN2424" s="57">
        <f t="shared" si="381"/>
        <v>0</v>
      </c>
      <c r="AO2424" s="76">
        <f t="shared" si="383"/>
        <v>0</v>
      </c>
      <c r="AP2424" s="63" t="str">
        <f t="shared" si="384"/>
        <v/>
      </c>
      <c r="AQ2424" s="63" t="str">
        <f t="shared" si="385"/>
        <v/>
      </c>
      <c r="AR2424" s="63" t="str">
        <f t="shared" si="386"/>
        <v/>
      </c>
      <c r="AS2424" s="63" t="str">
        <f t="shared" si="387"/>
        <v/>
      </c>
      <c r="AT2424" s="78" t="str">
        <f t="shared" si="388"/>
        <v/>
      </c>
      <c r="AU2424" s="78" t="str">
        <f t="shared" si="389"/>
        <v/>
      </c>
      <c r="AV2424" s="64" t="str">
        <f ca="1">IFERROR(__xludf.DUMMYFUNCTION("IF(TRIM(AU2424)="""","""",AU2424/INDEX(FILTER(AT$3:AT2424,TRIM(AT$3:AT2424)&lt;&gt;""""),ROWS(FILTER(AT$3:AT2424,TRIM(AT$3:AT2424)&lt;&gt;"""")))-1)"),"")</f>
        <v/>
      </c>
      <c r="AW2424" s="65" t="e">
        <f t="shared" ca="1" si="382"/>
        <v>#VALUE!</v>
      </c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</row>
    <row r="2425" spans="1:68" ht="19" x14ac:dyDescent="0.25">
      <c r="A2425" s="5"/>
      <c r="B2425" s="5"/>
      <c r="C2425" s="5"/>
      <c r="D2425" s="5"/>
      <c r="E2425" s="5"/>
      <c r="F2425" s="5"/>
      <c r="G2425" s="5"/>
      <c r="H2425" s="6"/>
      <c r="I2425" s="5"/>
      <c r="J2425" s="88"/>
      <c r="K2425" s="88"/>
      <c r="L2425" s="88"/>
      <c r="M2425" s="88"/>
      <c r="N2425" s="88"/>
      <c r="O2425" s="88"/>
      <c r="P2425" s="88"/>
      <c r="Q2425" s="89"/>
      <c r="R2425" s="88"/>
      <c r="S2425" s="88"/>
      <c r="T2425" s="90"/>
      <c r="U2425" s="6"/>
      <c r="V2425" s="92"/>
      <c r="W2425" s="77"/>
      <c r="X2425" s="91"/>
      <c r="Y2425" s="77"/>
      <c r="Z2425" s="5"/>
      <c r="AA2425" s="5"/>
      <c r="AB2425" s="5"/>
      <c r="AC2425" s="5"/>
      <c r="AD2425" s="5"/>
      <c r="AE2425" s="5"/>
      <c r="AF2425" s="5"/>
      <c r="AG2425" s="5"/>
      <c r="AH2425" s="6"/>
      <c r="AI2425" s="92"/>
      <c r="AJ2425" s="93"/>
      <c r="AK2425" s="94"/>
      <c r="AL2425" s="95"/>
      <c r="AM2425" s="56"/>
      <c r="AN2425" s="57">
        <f t="shared" si="381"/>
        <v>0</v>
      </c>
      <c r="AO2425" s="76">
        <f t="shared" si="383"/>
        <v>0</v>
      </c>
      <c r="AP2425" s="63" t="str">
        <f t="shared" si="384"/>
        <v/>
      </c>
      <c r="AQ2425" s="63" t="str">
        <f t="shared" si="385"/>
        <v/>
      </c>
      <c r="AR2425" s="63" t="str">
        <f t="shared" si="386"/>
        <v/>
      </c>
      <c r="AS2425" s="63" t="str">
        <f t="shared" si="387"/>
        <v/>
      </c>
      <c r="AT2425" s="78" t="str">
        <f t="shared" si="388"/>
        <v/>
      </c>
      <c r="AU2425" s="78" t="str">
        <f t="shared" si="389"/>
        <v/>
      </c>
      <c r="AV2425" s="64" t="str">
        <f ca="1">IFERROR(__xludf.DUMMYFUNCTION("IF(TRIM(AU2425)="""","""",AU2425/INDEX(FILTER(AT$3:AT2425,TRIM(AT$3:AT2425)&lt;&gt;""""),ROWS(FILTER(AT$3:AT2425,TRIM(AT$3:AT2425)&lt;&gt;"""")))-1)"),"")</f>
        <v/>
      </c>
      <c r="AW2425" s="65" t="e">
        <f t="shared" ca="1" si="382"/>
        <v>#VALUE!</v>
      </c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</row>
    <row r="2426" spans="1:68" ht="19" x14ac:dyDescent="0.25">
      <c r="A2426" s="5"/>
      <c r="B2426" s="5"/>
      <c r="C2426" s="5"/>
      <c r="D2426" s="5"/>
      <c r="E2426" s="5"/>
      <c r="F2426" s="5"/>
      <c r="G2426" s="5"/>
      <c r="H2426" s="6"/>
      <c r="I2426" s="5"/>
      <c r="J2426" s="88"/>
      <c r="K2426" s="88"/>
      <c r="L2426" s="88"/>
      <c r="M2426" s="88"/>
      <c r="N2426" s="88"/>
      <c r="O2426" s="88"/>
      <c r="P2426" s="88"/>
      <c r="Q2426" s="89"/>
      <c r="R2426" s="88"/>
      <c r="S2426" s="88"/>
      <c r="T2426" s="90"/>
      <c r="U2426" s="6"/>
      <c r="V2426" s="92"/>
      <c r="W2426" s="77"/>
      <c r="X2426" s="91"/>
      <c r="Y2426" s="77"/>
      <c r="Z2426" s="5"/>
      <c r="AA2426" s="5"/>
      <c r="AB2426" s="5"/>
      <c r="AC2426" s="5"/>
      <c r="AD2426" s="5"/>
      <c r="AE2426" s="5"/>
      <c r="AF2426" s="5"/>
      <c r="AG2426" s="5"/>
      <c r="AH2426" s="6"/>
      <c r="AI2426" s="92"/>
      <c r="AJ2426" s="93"/>
      <c r="AK2426" s="94"/>
      <c r="AL2426" s="95"/>
      <c r="AM2426" s="56"/>
      <c r="AN2426" s="57">
        <f t="shared" si="381"/>
        <v>0</v>
      </c>
      <c r="AO2426" s="76">
        <f t="shared" si="383"/>
        <v>0</v>
      </c>
      <c r="AP2426" s="63" t="str">
        <f t="shared" si="384"/>
        <v/>
      </c>
      <c r="AQ2426" s="63" t="str">
        <f t="shared" si="385"/>
        <v/>
      </c>
      <c r="AR2426" s="63" t="str">
        <f t="shared" si="386"/>
        <v/>
      </c>
      <c r="AS2426" s="63" t="str">
        <f t="shared" si="387"/>
        <v/>
      </c>
      <c r="AT2426" s="78" t="str">
        <f t="shared" si="388"/>
        <v/>
      </c>
      <c r="AU2426" s="78" t="str">
        <f t="shared" si="389"/>
        <v/>
      </c>
      <c r="AV2426" s="64" t="str">
        <f ca="1">IFERROR(__xludf.DUMMYFUNCTION("IF(TRIM(AU2426)="""","""",AU2426/INDEX(FILTER(AT$3:AT2426,TRIM(AT$3:AT2426)&lt;&gt;""""),ROWS(FILTER(AT$3:AT2426,TRIM(AT$3:AT2426)&lt;&gt;"""")))-1)"),"")</f>
        <v/>
      </c>
      <c r="AW2426" s="65" t="e">
        <f t="shared" ca="1" si="382"/>
        <v>#VALUE!</v>
      </c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</row>
    <row r="2427" spans="1:68" ht="19" x14ac:dyDescent="0.25">
      <c r="A2427" s="5"/>
      <c r="B2427" s="5"/>
      <c r="C2427" s="5"/>
      <c r="D2427" s="5"/>
      <c r="E2427" s="5"/>
      <c r="F2427" s="5"/>
      <c r="G2427" s="5"/>
      <c r="H2427" s="6"/>
      <c r="I2427" s="5"/>
      <c r="J2427" s="88"/>
      <c r="K2427" s="88"/>
      <c r="L2427" s="88"/>
      <c r="M2427" s="88"/>
      <c r="N2427" s="88"/>
      <c r="O2427" s="88"/>
      <c r="P2427" s="88"/>
      <c r="Q2427" s="89"/>
      <c r="R2427" s="88"/>
      <c r="S2427" s="88"/>
      <c r="T2427" s="90"/>
      <c r="U2427" s="6"/>
      <c r="V2427" s="92"/>
      <c r="W2427" s="77"/>
      <c r="X2427" s="91"/>
      <c r="Y2427" s="77"/>
      <c r="Z2427" s="5"/>
      <c r="AA2427" s="5"/>
      <c r="AB2427" s="5"/>
      <c r="AC2427" s="5"/>
      <c r="AD2427" s="5"/>
      <c r="AE2427" s="5"/>
      <c r="AF2427" s="5"/>
      <c r="AG2427" s="5"/>
      <c r="AH2427" s="6"/>
      <c r="AI2427" s="92"/>
      <c r="AJ2427" s="93"/>
      <c r="AK2427" s="94"/>
      <c r="AL2427" s="95"/>
      <c r="AM2427" s="56"/>
      <c r="AN2427" s="57">
        <f t="shared" si="381"/>
        <v>0</v>
      </c>
      <c r="AO2427" s="76">
        <f t="shared" si="383"/>
        <v>0</v>
      </c>
      <c r="AP2427" s="63" t="str">
        <f t="shared" si="384"/>
        <v/>
      </c>
      <c r="AQ2427" s="63" t="str">
        <f t="shared" si="385"/>
        <v/>
      </c>
      <c r="AR2427" s="63" t="str">
        <f t="shared" si="386"/>
        <v/>
      </c>
      <c r="AS2427" s="63" t="str">
        <f t="shared" si="387"/>
        <v/>
      </c>
      <c r="AT2427" s="78" t="str">
        <f t="shared" si="388"/>
        <v/>
      </c>
      <c r="AU2427" s="78" t="str">
        <f t="shared" si="389"/>
        <v/>
      </c>
      <c r="AV2427" s="64" t="str">
        <f ca="1">IFERROR(__xludf.DUMMYFUNCTION("IF(TRIM(AU2427)="""","""",AU2427/INDEX(FILTER(AT$3:AT2427,TRIM(AT$3:AT2427)&lt;&gt;""""),ROWS(FILTER(AT$3:AT2427,TRIM(AT$3:AT2427)&lt;&gt;"""")))-1)"),"")</f>
        <v/>
      </c>
      <c r="AW2427" s="65" t="e">
        <f t="shared" ca="1" si="382"/>
        <v>#VALUE!</v>
      </c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</row>
    <row r="2428" spans="1:68" ht="19" x14ac:dyDescent="0.25">
      <c r="A2428" s="5"/>
      <c r="B2428" s="5"/>
      <c r="C2428" s="5"/>
      <c r="D2428" s="5"/>
      <c r="E2428" s="5"/>
      <c r="F2428" s="5"/>
      <c r="G2428" s="5"/>
      <c r="H2428" s="6"/>
      <c r="I2428" s="5"/>
      <c r="J2428" s="88"/>
      <c r="K2428" s="88"/>
      <c r="L2428" s="88"/>
      <c r="M2428" s="88"/>
      <c r="N2428" s="88"/>
      <c r="O2428" s="88"/>
      <c r="P2428" s="88"/>
      <c r="Q2428" s="89"/>
      <c r="R2428" s="88"/>
      <c r="S2428" s="88"/>
      <c r="T2428" s="90"/>
      <c r="U2428" s="6"/>
      <c r="V2428" s="92"/>
      <c r="W2428" s="77"/>
      <c r="X2428" s="91"/>
      <c r="Y2428" s="77"/>
      <c r="Z2428" s="5"/>
      <c r="AA2428" s="5"/>
      <c r="AB2428" s="5"/>
      <c r="AC2428" s="5"/>
      <c r="AD2428" s="5"/>
      <c r="AE2428" s="5"/>
      <c r="AF2428" s="5"/>
      <c r="AG2428" s="5"/>
      <c r="AH2428" s="6"/>
      <c r="AI2428" s="92"/>
      <c r="AJ2428" s="93"/>
      <c r="AK2428" s="94"/>
      <c r="AL2428" s="95"/>
      <c r="AM2428" s="56"/>
      <c r="AN2428" s="57">
        <f t="shared" si="381"/>
        <v>0</v>
      </c>
      <c r="AO2428" s="76">
        <f t="shared" si="383"/>
        <v>0</v>
      </c>
      <c r="AP2428" s="63" t="str">
        <f t="shared" si="384"/>
        <v/>
      </c>
      <c r="AQ2428" s="63" t="str">
        <f t="shared" si="385"/>
        <v/>
      </c>
      <c r="AR2428" s="63" t="str">
        <f t="shared" si="386"/>
        <v/>
      </c>
      <c r="AS2428" s="63" t="str">
        <f t="shared" si="387"/>
        <v/>
      </c>
      <c r="AT2428" s="78" t="str">
        <f t="shared" si="388"/>
        <v/>
      </c>
      <c r="AU2428" s="78" t="str">
        <f t="shared" si="389"/>
        <v/>
      </c>
      <c r="AV2428" s="64" t="str">
        <f ca="1">IFERROR(__xludf.DUMMYFUNCTION("IF(TRIM(AU2428)="""","""",AU2428/INDEX(FILTER(AT$3:AT2428,TRIM(AT$3:AT2428)&lt;&gt;""""),ROWS(FILTER(AT$3:AT2428,TRIM(AT$3:AT2428)&lt;&gt;"""")))-1)"),"")</f>
        <v/>
      </c>
      <c r="AW2428" s="65" t="e">
        <f t="shared" ca="1" si="382"/>
        <v>#VALUE!</v>
      </c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</row>
    <row r="2429" spans="1:68" ht="19" x14ac:dyDescent="0.25">
      <c r="A2429" s="5"/>
      <c r="B2429" s="5"/>
      <c r="C2429" s="5"/>
      <c r="D2429" s="5"/>
      <c r="E2429" s="5"/>
      <c r="F2429" s="5"/>
      <c r="G2429" s="5"/>
      <c r="H2429" s="6"/>
      <c r="I2429" s="5"/>
      <c r="J2429" s="88"/>
      <c r="K2429" s="88"/>
      <c r="L2429" s="88"/>
      <c r="M2429" s="88"/>
      <c r="N2429" s="88"/>
      <c r="O2429" s="88"/>
      <c r="P2429" s="88"/>
      <c r="Q2429" s="89"/>
      <c r="R2429" s="88"/>
      <c r="S2429" s="88"/>
      <c r="T2429" s="90"/>
      <c r="U2429" s="6"/>
      <c r="V2429" s="92"/>
      <c r="W2429" s="77"/>
      <c r="X2429" s="91"/>
      <c r="Y2429" s="77"/>
      <c r="Z2429" s="5"/>
      <c r="AA2429" s="5"/>
      <c r="AB2429" s="5"/>
      <c r="AC2429" s="5"/>
      <c r="AD2429" s="5"/>
      <c r="AE2429" s="5"/>
      <c r="AF2429" s="5"/>
      <c r="AG2429" s="5"/>
      <c r="AH2429" s="6"/>
      <c r="AI2429" s="92"/>
      <c r="AJ2429" s="93"/>
      <c r="AK2429" s="94"/>
      <c r="AL2429" s="95"/>
      <c r="AM2429" s="56"/>
      <c r="AN2429" s="57">
        <f t="shared" si="381"/>
        <v>0</v>
      </c>
      <c r="AO2429" s="76">
        <f t="shared" si="383"/>
        <v>0</v>
      </c>
      <c r="AP2429" s="63" t="str">
        <f t="shared" si="384"/>
        <v/>
      </c>
      <c r="AQ2429" s="63" t="str">
        <f t="shared" si="385"/>
        <v/>
      </c>
      <c r="AR2429" s="63" t="str">
        <f t="shared" si="386"/>
        <v/>
      </c>
      <c r="AS2429" s="63" t="str">
        <f t="shared" si="387"/>
        <v/>
      </c>
      <c r="AT2429" s="78" t="str">
        <f t="shared" si="388"/>
        <v/>
      </c>
      <c r="AU2429" s="78" t="str">
        <f t="shared" si="389"/>
        <v/>
      </c>
      <c r="AV2429" s="64" t="str">
        <f ca="1">IFERROR(__xludf.DUMMYFUNCTION("IF(TRIM(AU2429)="""","""",AU2429/INDEX(FILTER(AT$3:AT2429,TRIM(AT$3:AT2429)&lt;&gt;""""),ROWS(FILTER(AT$3:AT2429,TRIM(AT$3:AT2429)&lt;&gt;"""")))-1)"),"")</f>
        <v/>
      </c>
      <c r="AW2429" s="65" t="e">
        <f t="shared" ca="1" si="382"/>
        <v>#VALUE!</v>
      </c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</row>
    <row r="2430" spans="1:68" ht="19" x14ac:dyDescent="0.25">
      <c r="A2430" s="5"/>
      <c r="B2430" s="5"/>
      <c r="C2430" s="5"/>
      <c r="D2430" s="5"/>
      <c r="E2430" s="5"/>
      <c r="F2430" s="5"/>
      <c r="G2430" s="5"/>
      <c r="H2430" s="6"/>
      <c r="I2430" s="5"/>
      <c r="J2430" s="88"/>
      <c r="K2430" s="88"/>
      <c r="L2430" s="88"/>
      <c r="M2430" s="88"/>
      <c r="N2430" s="88"/>
      <c r="O2430" s="88"/>
      <c r="P2430" s="88"/>
      <c r="Q2430" s="89"/>
      <c r="R2430" s="88"/>
      <c r="S2430" s="88"/>
      <c r="T2430" s="90"/>
      <c r="U2430" s="6"/>
      <c r="V2430" s="92"/>
      <c r="W2430" s="77"/>
      <c r="X2430" s="91"/>
      <c r="Y2430" s="77"/>
      <c r="Z2430" s="5"/>
      <c r="AA2430" s="5"/>
      <c r="AB2430" s="5"/>
      <c r="AC2430" s="5"/>
      <c r="AD2430" s="5"/>
      <c r="AE2430" s="5"/>
      <c r="AF2430" s="5"/>
      <c r="AG2430" s="5"/>
      <c r="AH2430" s="6"/>
      <c r="AI2430" s="92"/>
      <c r="AJ2430" s="93"/>
      <c r="AK2430" s="94"/>
      <c r="AL2430" s="95"/>
      <c r="AM2430" s="56"/>
      <c r="AN2430" s="57">
        <f t="shared" si="381"/>
        <v>0</v>
      </c>
      <c r="AO2430" s="76">
        <f t="shared" si="383"/>
        <v>0</v>
      </c>
      <c r="AP2430" s="63" t="str">
        <f t="shared" si="384"/>
        <v/>
      </c>
      <c r="AQ2430" s="63" t="str">
        <f t="shared" si="385"/>
        <v/>
      </c>
      <c r="AR2430" s="63" t="str">
        <f t="shared" si="386"/>
        <v/>
      </c>
      <c r="AS2430" s="63" t="str">
        <f t="shared" si="387"/>
        <v/>
      </c>
      <c r="AT2430" s="78" t="str">
        <f t="shared" si="388"/>
        <v/>
      </c>
      <c r="AU2430" s="78" t="str">
        <f t="shared" si="389"/>
        <v/>
      </c>
      <c r="AV2430" s="64" t="str">
        <f ca="1">IFERROR(__xludf.DUMMYFUNCTION("IF(TRIM(AU2430)="""","""",AU2430/INDEX(FILTER(AT$3:AT2430,TRIM(AT$3:AT2430)&lt;&gt;""""),ROWS(FILTER(AT$3:AT2430,TRIM(AT$3:AT2430)&lt;&gt;"""")))-1)"),"")</f>
        <v/>
      </c>
      <c r="AW2430" s="65" t="e">
        <f t="shared" ca="1" si="382"/>
        <v>#VALUE!</v>
      </c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</row>
    <row r="2431" spans="1:68" ht="19" x14ac:dyDescent="0.25">
      <c r="A2431" s="5"/>
      <c r="B2431" s="5"/>
      <c r="C2431" s="5"/>
      <c r="D2431" s="5"/>
      <c r="E2431" s="5"/>
      <c r="F2431" s="5"/>
      <c r="G2431" s="5"/>
      <c r="H2431" s="6"/>
      <c r="I2431" s="5"/>
      <c r="J2431" s="88"/>
      <c r="K2431" s="88"/>
      <c r="L2431" s="88"/>
      <c r="M2431" s="88"/>
      <c r="N2431" s="88"/>
      <c r="O2431" s="88"/>
      <c r="P2431" s="88"/>
      <c r="Q2431" s="89"/>
      <c r="R2431" s="88"/>
      <c r="S2431" s="88"/>
      <c r="T2431" s="90"/>
      <c r="U2431" s="6"/>
      <c r="V2431" s="92"/>
      <c r="W2431" s="77"/>
      <c r="X2431" s="91"/>
      <c r="Y2431" s="77"/>
      <c r="Z2431" s="5"/>
      <c r="AA2431" s="5"/>
      <c r="AB2431" s="5"/>
      <c r="AC2431" s="5"/>
      <c r="AD2431" s="5"/>
      <c r="AE2431" s="5"/>
      <c r="AF2431" s="5"/>
      <c r="AG2431" s="5"/>
      <c r="AH2431" s="6"/>
      <c r="AI2431" s="92"/>
      <c r="AJ2431" s="93"/>
      <c r="AK2431" s="94"/>
      <c r="AL2431" s="95"/>
      <c r="AM2431" s="56"/>
      <c r="AN2431" s="57">
        <f t="shared" si="381"/>
        <v>0</v>
      </c>
      <c r="AO2431" s="76">
        <f t="shared" si="383"/>
        <v>0</v>
      </c>
      <c r="AP2431" s="63" t="str">
        <f t="shared" si="384"/>
        <v/>
      </c>
      <c r="AQ2431" s="63" t="str">
        <f t="shared" si="385"/>
        <v/>
      </c>
      <c r="AR2431" s="63" t="str">
        <f t="shared" si="386"/>
        <v/>
      </c>
      <c r="AS2431" s="63" t="str">
        <f t="shared" si="387"/>
        <v/>
      </c>
      <c r="AT2431" s="78" t="str">
        <f t="shared" si="388"/>
        <v/>
      </c>
      <c r="AU2431" s="78" t="str">
        <f t="shared" si="389"/>
        <v/>
      </c>
      <c r="AV2431" s="64" t="str">
        <f ca="1">IFERROR(__xludf.DUMMYFUNCTION("IF(TRIM(AU2431)="""","""",AU2431/INDEX(FILTER(AT$3:AT2431,TRIM(AT$3:AT2431)&lt;&gt;""""),ROWS(FILTER(AT$3:AT2431,TRIM(AT$3:AT2431)&lt;&gt;"""")))-1)"),"")</f>
        <v/>
      </c>
      <c r="AW2431" s="65" t="e">
        <f t="shared" ca="1" si="382"/>
        <v>#VALUE!</v>
      </c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</row>
    <row r="2432" spans="1:68" ht="19" x14ac:dyDescent="0.25">
      <c r="A2432" s="5"/>
      <c r="B2432" s="5"/>
      <c r="C2432" s="5"/>
      <c r="D2432" s="5"/>
      <c r="E2432" s="5"/>
      <c r="F2432" s="5"/>
      <c r="G2432" s="5"/>
      <c r="H2432" s="6"/>
      <c r="I2432" s="5"/>
      <c r="J2432" s="88"/>
      <c r="K2432" s="88"/>
      <c r="L2432" s="88"/>
      <c r="M2432" s="88"/>
      <c r="N2432" s="88"/>
      <c r="O2432" s="88"/>
      <c r="P2432" s="88"/>
      <c r="Q2432" s="89"/>
      <c r="R2432" s="88"/>
      <c r="S2432" s="88"/>
      <c r="T2432" s="90"/>
      <c r="U2432" s="6"/>
      <c r="V2432" s="92"/>
      <c r="W2432" s="77"/>
      <c r="X2432" s="91"/>
      <c r="Y2432" s="77"/>
      <c r="Z2432" s="5"/>
      <c r="AA2432" s="5"/>
      <c r="AB2432" s="5"/>
      <c r="AC2432" s="5"/>
      <c r="AD2432" s="5"/>
      <c r="AE2432" s="5"/>
      <c r="AF2432" s="5"/>
      <c r="AG2432" s="5"/>
      <c r="AH2432" s="6"/>
      <c r="AI2432" s="92"/>
      <c r="AJ2432" s="93"/>
      <c r="AK2432" s="94"/>
      <c r="AL2432" s="95"/>
      <c r="AM2432" s="56"/>
      <c r="AN2432" s="57">
        <f t="shared" si="381"/>
        <v>0</v>
      </c>
      <c r="AO2432" s="76">
        <f t="shared" si="383"/>
        <v>0</v>
      </c>
      <c r="AP2432" s="63" t="str">
        <f t="shared" si="384"/>
        <v/>
      </c>
      <c r="AQ2432" s="63" t="str">
        <f t="shared" si="385"/>
        <v/>
      </c>
      <c r="AR2432" s="63" t="str">
        <f t="shared" si="386"/>
        <v/>
      </c>
      <c r="AS2432" s="63" t="str">
        <f t="shared" si="387"/>
        <v/>
      </c>
      <c r="AT2432" s="78" t="str">
        <f t="shared" si="388"/>
        <v/>
      </c>
      <c r="AU2432" s="78" t="str">
        <f t="shared" si="389"/>
        <v/>
      </c>
      <c r="AV2432" s="64" t="str">
        <f ca="1">IFERROR(__xludf.DUMMYFUNCTION("IF(TRIM(AU2432)="""","""",AU2432/INDEX(FILTER(AT$3:AT2432,TRIM(AT$3:AT2432)&lt;&gt;""""),ROWS(FILTER(AT$3:AT2432,TRIM(AT$3:AT2432)&lt;&gt;"""")))-1)"),"")</f>
        <v/>
      </c>
      <c r="AW2432" s="65" t="e">
        <f t="shared" ca="1" si="382"/>
        <v>#VALUE!</v>
      </c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</row>
    <row r="2433" spans="1:68" ht="19" x14ac:dyDescent="0.25">
      <c r="A2433" s="5"/>
      <c r="B2433" s="5"/>
      <c r="C2433" s="5"/>
      <c r="D2433" s="5"/>
      <c r="E2433" s="5"/>
      <c r="F2433" s="5"/>
      <c r="G2433" s="5"/>
      <c r="H2433" s="6"/>
      <c r="I2433" s="5"/>
      <c r="J2433" s="88"/>
      <c r="K2433" s="88"/>
      <c r="L2433" s="88"/>
      <c r="M2433" s="88"/>
      <c r="N2433" s="88"/>
      <c r="O2433" s="88"/>
      <c r="P2433" s="88"/>
      <c r="Q2433" s="89"/>
      <c r="R2433" s="88"/>
      <c r="S2433" s="88"/>
      <c r="T2433" s="90"/>
      <c r="U2433" s="6"/>
      <c r="V2433" s="92"/>
      <c r="W2433" s="77"/>
      <c r="X2433" s="91"/>
      <c r="Y2433" s="77"/>
      <c r="Z2433" s="5"/>
      <c r="AA2433" s="5"/>
      <c r="AB2433" s="5"/>
      <c r="AC2433" s="5"/>
      <c r="AD2433" s="5"/>
      <c r="AE2433" s="5"/>
      <c r="AF2433" s="5"/>
      <c r="AG2433" s="5"/>
      <c r="AH2433" s="6"/>
      <c r="AI2433" s="92"/>
      <c r="AJ2433" s="93"/>
      <c r="AK2433" s="94"/>
      <c r="AL2433" s="95"/>
      <c r="AM2433" s="56"/>
      <c r="AN2433" s="57">
        <f t="shared" si="381"/>
        <v>0</v>
      </c>
      <c r="AO2433" s="76">
        <f t="shared" si="383"/>
        <v>0</v>
      </c>
      <c r="AP2433" s="63" t="str">
        <f t="shared" si="384"/>
        <v/>
      </c>
      <c r="AQ2433" s="63" t="str">
        <f t="shared" si="385"/>
        <v/>
      </c>
      <c r="AR2433" s="63" t="str">
        <f t="shared" si="386"/>
        <v/>
      </c>
      <c r="AS2433" s="63" t="str">
        <f t="shared" si="387"/>
        <v/>
      </c>
      <c r="AT2433" s="78" t="str">
        <f t="shared" si="388"/>
        <v/>
      </c>
      <c r="AU2433" s="78" t="str">
        <f t="shared" si="389"/>
        <v/>
      </c>
      <c r="AV2433" s="64" t="str">
        <f ca="1">IFERROR(__xludf.DUMMYFUNCTION("IF(TRIM(AU2433)="""","""",AU2433/INDEX(FILTER(AT$3:AT2433,TRIM(AT$3:AT2433)&lt;&gt;""""),ROWS(FILTER(AT$3:AT2433,TRIM(AT$3:AT2433)&lt;&gt;"""")))-1)"),"")</f>
        <v/>
      </c>
      <c r="AW2433" s="65" t="e">
        <f t="shared" ca="1" si="382"/>
        <v>#VALUE!</v>
      </c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</row>
    <row r="2434" spans="1:68" ht="19" x14ac:dyDescent="0.25">
      <c r="A2434" s="5"/>
      <c r="B2434" s="5"/>
      <c r="C2434" s="5"/>
      <c r="D2434" s="5"/>
      <c r="E2434" s="5"/>
      <c r="F2434" s="5"/>
      <c r="G2434" s="5"/>
      <c r="H2434" s="6"/>
      <c r="I2434" s="5"/>
      <c r="J2434" s="88"/>
      <c r="K2434" s="88"/>
      <c r="L2434" s="88"/>
      <c r="M2434" s="88"/>
      <c r="N2434" s="88"/>
      <c r="O2434" s="88"/>
      <c r="P2434" s="88"/>
      <c r="Q2434" s="89"/>
      <c r="R2434" s="88"/>
      <c r="S2434" s="88"/>
      <c r="T2434" s="90"/>
      <c r="U2434" s="6"/>
      <c r="V2434" s="92"/>
      <c r="W2434" s="77"/>
      <c r="X2434" s="91"/>
      <c r="Y2434" s="77"/>
      <c r="Z2434" s="5"/>
      <c r="AA2434" s="5"/>
      <c r="AB2434" s="5"/>
      <c r="AC2434" s="5"/>
      <c r="AD2434" s="5"/>
      <c r="AE2434" s="5"/>
      <c r="AF2434" s="5"/>
      <c r="AG2434" s="5"/>
      <c r="AH2434" s="6"/>
      <c r="AI2434" s="92"/>
      <c r="AJ2434" s="93"/>
      <c r="AK2434" s="94"/>
      <c r="AL2434" s="95"/>
      <c r="AM2434" s="56"/>
      <c r="AN2434" s="57">
        <f t="shared" si="381"/>
        <v>0</v>
      </c>
      <c r="AO2434" s="76">
        <f t="shared" si="383"/>
        <v>0</v>
      </c>
      <c r="AP2434" s="63" t="str">
        <f t="shared" si="384"/>
        <v/>
      </c>
      <c r="AQ2434" s="63" t="str">
        <f t="shared" si="385"/>
        <v/>
      </c>
      <c r="AR2434" s="63" t="str">
        <f t="shared" si="386"/>
        <v/>
      </c>
      <c r="AS2434" s="63" t="str">
        <f t="shared" si="387"/>
        <v/>
      </c>
      <c r="AT2434" s="78" t="str">
        <f t="shared" si="388"/>
        <v/>
      </c>
      <c r="AU2434" s="78" t="str">
        <f t="shared" si="389"/>
        <v/>
      </c>
      <c r="AV2434" s="64" t="str">
        <f ca="1">IFERROR(__xludf.DUMMYFUNCTION("IF(TRIM(AU2434)="""","""",AU2434/INDEX(FILTER(AT$3:AT2434,TRIM(AT$3:AT2434)&lt;&gt;""""),ROWS(FILTER(AT$3:AT2434,TRIM(AT$3:AT2434)&lt;&gt;"""")))-1)"),"")</f>
        <v/>
      </c>
      <c r="AW2434" s="65" t="e">
        <f t="shared" ca="1" si="382"/>
        <v>#VALUE!</v>
      </c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</row>
    <row r="2435" spans="1:68" ht="19" x14ac:dyDescent="0.25">
      <c r="A2435" s="5"/>
      <c r="B2435" s="5"/>
      <c r="C2435" s="5"/>
      <c r="D2435" s="5"/>
      <c r="E2435" s="5"/>
      <c r="F2435" s="5"/>
      <c r="G2435" s="5"/>
      <c r="H2435" s="6"/>
      <c r="I2435" s="5"/>
      <c r="J2435" s="88"/>
      <c r="K2435" s="88"/>
      <c r="L2435" s="88"/>
      <c r="M2435" s="88"/>
      <c r="N2435" s="88"/>
      <c r="O2435" s="88"/>
      <c r="P2435" s="88"/>
      <c r="Q2435" s="89"/>
      <c r="R2435" s="88"/>
      <c r="S2435" s="88"/>
      <c r="T2435" s="90"/>
      <c r="U2435" s="6"/>
      <c r="V2435" s="92"/>
      <c r="W2435" s="77"/>
      <c r="X2435" s="91"/>
      <c r="Y2435" s="77"/>
      <c r="Z2435" s="5"/>
      <c r="AA2435" s="5"/>
      <c r="AB2435" s="5"/>
      <c r="AC2435" s="5"/>
      <c r="AD2435" s="5"/>
      <c r="AE2435" s="5"/>
      <c r="AF2435" s="5"/>
      <c r="AG2435" s="5"/>
      <c r="AH2435" s="6"/>
      <c r="AI2435" s="92"/>
      <c r="AJ2435" s="93"/>
      <c r="AK2435" s="94"/>
      <c r="AL2435" s="95"/>
      <c r="AM2435" s="56"/>
      <c r="AN2435" s="57">
        <f t="shared" ref="AN2435:AN2498" si="390">AM2435-AL2435</f>
        <v>0</v>
      </c>
      <c r="AO2435" s="76">
        <f t="shared" si="383"/>
        <v>0</v>
      </c>
      <c r="AP2435" s="63" t="str">
        <f t="shared" si="384"/>
        <v/>
      </c>
      <c r="AQ2435" s="63" t="str">
        <f t="shared" si="385"/>
        <v/>
      </c>
      <c r="AR2435" s="63" t="str">
        <f t="shared" si="386"/>
        <v/>
      </c>
      <c r="AS2435" s="63" t="str">
        <f t="shared" si="387"/>
        <v/>
      </c>
      <c r="AT2435" s="78" t="str">
        <f t="shared" si="388"/>
        <v/>
      </c>
      <c r="AU2435" s="78" t="str">
        <f t="shared" si="389"/>
        <v/>
      </c>
      <c r="AV2435" s="64" t="str">
        <f ca="1">IFERROR(__xludf.DUMMYFUNCTION("IF(TRIM(AU2435)="""","""",AU2435/INDEX(FILTER(AT$3:AT2435,TRIM(AT$3:AT2435)&lt;&gt;""""),ROWS(FILTER(AT$3:AT2435,TRIM(AT$3:AT2435)&lt;&gt;"""")))-1)"),"")</f>
        <v/>
      </c>
      <c r="AW2435" s="65" t="e">
        <f t="shared" ref="AW2435:AW2498" ca="1" si="391">AW2434*(1+AV2435)</f>
        <v>#VALUE!</v>
      </c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</row>
    <row r="2436" spans="1:68" ht="19" x14ac:dyDescent="0.25">
      <c r="A2436" s="5"/>
      <c r="B2436" s="5"/>
      <c r="C2436" s="5"/>
      <c r="D2436" s="5"/>
      <c r="E2436" s="5"/>
      <c r="F2436" s="5"/>
      <c r="G2436" s="5"/>
      <c r="H2436" s="6"/>
      <c r="I2436" s="5"/>
      <c r="J2436" s="88"/>
      <c r="K2436" s="88"/>
      <c r="L2436" s="88"/>
      <c r="M2436" s="88"/>
      <c r="N2436" s="88"/>
      <c r="O2436" s="88"/>
      <c r="P2436" s="88"/>
      <c r="Q2436" s="89"/>
      <c r="R2436" s="88"/>
      <c r="S2436" s="88"/>
      <c r="T2436" s="90"/>
      <c r="U2436" s="6"/>
      <c r="V2436" s="92"/>
      <c r="W2436" s="77"/>
      <c r="X2436" s="91"/>
      <c r="Y2436" s="77"/>
      <c r="Z2436" s="5"/>
      <c r="AA2436" s="5"/>
      <c r="AB2436" s="5"/>
      <c r="AC2436" s="5"/>
      <c r="AD2436" s="5"/>
      <c r="AE2436" s="5"/>
      <c r="AF2436" s="5"/>
      <c r="AG2436" s="5"/>
      <c r="AH2436" s="6"/>
      <c r="AI2436" s="92"/>
      <c r="AJ2436" s="93"/>
      <c r="AK2436" s="94"/>
      <c r="AL2436" s="95"/>
      <c r="AM2436" s="56"/>
      <c r="AN2436" s="57">
        <f t="shared" si="390"/>
        <v>0</v>
      </c>
      <c r="AO2436" s="76">
        <f t="shared" si="383"/>
        <v>0</v>
      </c>
      <c r="AP2436" s="63" t="str">
        <f t="shared" si="384"/>
        <v/>
      </c>
      <c r="AQ2436" s="63" t="str">
        <f t="shared" si="385"/>
        <v/>
      </c>
      <c r="AR2436" s="63" t="str">
        <f t="shared" si="386"/>
        <v/>
      </c>
      <c r="AS2436" s="63" t="str">
        <f t="shared" si="387"/>
        <v/>
      </c>
      <c r="AT2436" s="78" t="str">
        <f t="shared" si="388"/>
        <v/>
      </c>
      <c r="AU2436" s="78" t="str">
        <f t="shared" si="389"/>
        <v/>
      </c>
      <c r="AV2436" s="64" t="str">
        <f ca="1">IFERROR(__xludf.DUMMYFUNCTION("IF(TRIM(AU2436)="""","""",AU2436/INDEX(FILTER(AT$3:AT2436,TRIM(AT$3:AT2436)&lt;&gt;""""),ROWS(FILTER(AT$3:AT2436,TRIM(AT$3:AT2436)&lt;&gt;"""")))-1)"),"")</f>
        <v/>
      </c>
      <c r="AW2436" s="65" t="e">
        <f t="shared" ca="1" si="391"/>
        <v>#VALUE!</v>
      </c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</row>
    <row r="2437" spans="1:68" ht="19" x14ac:dyDescent="0.25">
      <c r="A2437" s="5"/>
      <c r="B2437" s="5"/>
      <c r="C2437" s="5"/>
      <c r="D2437" s="5"/>
      <c r="E2437" s="5"/>
      <c r="F2437" s="5"/>
      <c r="G2437" s="5"/>
      <c r="H2437" s="6"/>
      <c r="I2437" s="5"/>
      <c r="J2437" s="88"/>
      <c r="K2437" s="88"/>
      <c r="L2437" s="88"/>
      <c r="M2437" s="88"/>
      <c r="N2437" s="88"/>
      <c r="O2437" s="88"/>
      <c r="P2437" s="88"/>
      <c r="Q2437" s="89"/>
      <c r="R2437" s="88"/>
      <c r="S2437" s="88"/>
      <c r="T2437" s="90"/>
      <c r="U2437" s="6"/>
      <c r="V2437" s="92"/>
      <c r="W2437" s="77"/>
      <c r="X2437" s="91"/>
      <c r="Y2437" s="77"/>
      <c r="Z2437" s="5"/>
      <c r="AA2437" s="5"/>
      <c r="AB2437" s="5"/>
      <c r="AC2437" s="5"/>
      <c r="AD2437" s="5"/>
      <c r="AE2437" s="5"/>
      <c r="AF2437" s="5"/>
      <c r="AG2437" s="5"/>
      <c r="AH2437" s="6"/>
      <c r="AI2437" s="92"/>
      <c r="AJ2437" s="93"/>
      <c r="AK2437" s="94"/>
      <c r="AL2437" s="95"/>
      <c r="AM2437" s="56"/>
      <c r="AN2437" s="57">
        <f t="shared" si="390"/>
        <v>0</v>
      </c>
      <c r="AO2437" s="76">
        <f t="shared" si="383"/>
        <v>0</v>
      </c>
      <c r="AP2437" s="63" t="str">
        <f t="shared" si="384"/>
        <v/>
      </c>
      <c r="AQ2437" s="63" t="str">
        <f t="shared" si="385"/>
        <v/>
      </c>
      <c r="AR2437" s="63" t="str">
        <f t="shared" si="386"/>
        <v/>
      </c>
      <c r="AS2437" s="63" t="str">
        <f t="shared" si="387"/>
        <v/>
      </c>
      <c r="AT2437" s="78" t="str">
        <f t="shared" si="388"/>
        <v/>
      </c>
      <c r="AU2437" s="78" t="str">
        <f t="shared" si="389"/>
        <v/>
      </c>
      <c r="AV2437" s="64" t="str">
        <f ca="1">IFERROR(__xludf.DUMMYFUNCTION("IF(TRIM(AU2437)="""","""",AU2437/INDEX(FILTER(AT$3:AT2437,TRIM(AT$3:AT2437)&lt;&gt;""""),ROWS(FILTER(AT$3:AT2437,TRIM(AT$3:AT2437)&lt;&gt;"""")))-1)"),"")</f>
        <v/>
      </c>
      <c r="AW2437" s="65" t="e">
        <f t="shared" ca="1" si="391"/>
        <v>#VALUE!</v>
      </c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</row>
    <row r="2438" spans="1:68" ht="19" x14ac:dyDescent="0.25">
      <c r="A2438" s="5"/>
      <c r="B2438" s="5"/>
      <c r="C2438" s="5"/>
      <c r="D2438" s="5"/>
      <c r="E2438" s="5"/>
      <c r="F2438" s="5"/>
      <c r="G2438" s="5"/>
      <c r="H2438" s="6"/>
      <c r="I2438" s="5"/>
      <c r="J2438" s="88"/>
      <c r="K2438" s="88"/>
      <c r="L2438" s="88"/>
      <c r="M2438" s="88"/>
      <c r="N2438" s="88"/>
      <c r="O2438" s="88"/>
      <c r="P2438" s="88"/>
      <c r="Q2438" s="89"/>
      <c r="R2438" s="88"/>
      <c r="S2438" s="88"/>
      <c r="T2438" s="90"/>
      <c r="U2438" s="6"/>
      <c r="V2438" s="92"/>
      <c r="W2438" s="77"/>
      <c r="X2438" s="91"/>
      <c r="Y2438" s="77"/>
      <c r="Z2438" s="5"/>
      <c r="AA2438" s="5"/>
      <c r="AB2438" s="5"/>
      <c r="AC2438" s="5"/>
      <c r="AD2438" s="5"/>
      <c r="AE2438" s="5"/>
      <c r="AF2438" s="5"/>
      <c r="AG2438" s="5"/>
      <c r="AH2438" s="6"/>
      <c r="AI2438" s="92"/>
      <c r="AJ2438" s="93"/>
      <c r="AK2438" s="94"/>
      <c r="AL2438" s="95"/>
      <c r="AM2438" s="56"/>
      <c r="AN2438" s="57">
        <f t="shared" si="390"/>
        <v>0</v>
      </c>
      <c r="AO2438" s="76">
        <f t="shared" si="383"/>
        <v>0</v>
      </c>
      <c r="AP2438" s="63" t="str">
        <f t="shared" si="384"/>
        <v/>
      </c>
      <c r="AQ2438" s="63" t="str">
        <f t="shared" si="385"/>
        <v/>
      </c>
      <c r="AR2438" s="63" t="str">
        <f t="shared" si="386"/>
        <v/>
      </c>
      <c r="AS2438" s="63" t="str">
        <f t="shared" si="387"/>
        <v/>
      </c>
      <c r="AT2438" s="78" t="str">
        <f t="shared" si="388"/>
        <v/>
      </c>
      <c r="AU2438" s="78" t="str">
        <f t="shared" si="389"/>
        <v/>
      </c>
      <c r="AV2438" s="64" t="str">
        <f ca="1">IFERROR(__xludf.DUMMYFUNCTION("IF(TRIM(AU2438)="""","""",AU2438/INDEX(FILTER(AT$3:AT2438,TRIM(AT$3:AT2438)&lt;&gt;""""),ROWS(FILTER(AT$3:AT2438,TRIM(AT$3:AT2438)&lt;&gt;"""")))-1)"),"")</f>
        <v/>
      </c>
      <c r="AW2438" s="65" t="e">
        <f t="shared" ca="1" si="391"/>
        <v>#VALUE!</v>
      </c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</row>
    <row r="2439" spans="1:68" ht="19" x14ac:dyDescent="0.25">
      <c r="A2439" s="5"/>
      <c r="B2439" s="5"/>
      <c r="C2439" s="5"/>
      <c r="D2439" s="5"/>
      <c r="E2439" s="5"/>
      <c r="F2439" s="5"/>
      <c r="G2439" s="5"/>
      <c r="H2439" s="6"/>
      <c r="I2439" s="5"/>
      <c r="J2439" s="88"/>
      <c r="K2439" s="88"/>
      <c r="L2439" s="88"/>
      <c r="M2439" s="88"/>
      <c r="N2439" s="88"/>
      <c r="O2439" s="88"/>
      <c r="P2439" s="88"/>
      <c r="Q2439" s="89"/>
      <c r="R2439" s="88"/>
      <c r="S2439" s="88"/>
      <c r="T2439" s="90"/>
      <c r="U2439" s="6"/>
      <c r="V2439" s="92"/>
      <c r="W2439" s="77"/>
      <c r="X2439" s="91"/>
      <c r="Y2439" s="77"/>
      <c r="Z2439" s="5"/>
      <c r="AA2439" s="5"/>
      <c r="AB2439" s="5"/>
      <c r="AC2439" s="5"/>
      <c r="AD2439" s="5"/>
      <c r="AE2439" s="5"/>
      <c r="AF2439" s="5"/>
      <c r="AG2439" s="5"/>
      <c r="AH2439" s="6"/>
      <c r="AI2439" s="92"/>
      <c r="AJ2439" s="93"/>
      <c r="AK2439" s="94"/>
      <c r="AL2439" s="95"/>
      <c r="AM2439" s="56"/>
      <c r="AN2439" s="57">
        <f t="shared" si="390"/>
        <v>0</v>
      </c>
      <c r="AO2439" s="76">
        <f t="shared" ref="AO2439:AO2502" si="392">AVERAGE(AN2435:AN2439)</f>
        <v>0</v>
      </c>
      <c r="AP2439" s="63" t="str">
        <f t="shared" ref="AP2439:AP2502" si="393">IF(AO2439&gt;0,"Buy Stocks","")</f>
        <v/>
      </c>
      <c r="AQ2439" s="63" t="str">
        <f t="shared" ref="AQ2439:AQ2502" si="394">IF(AO2439&lt;0,"Sell Stocks","")</f>
        <v/>
      </c>
      <c r="AR2439" s="63" t="str">
        <f t="shared" ref="AR2439:AR2502" si="395">IF(AND(AP2439="Buy Stocks",AP2438=""),"Buy Stocks","")</f>
        <v/>
      </c>
      <c r="AS2439" s="63" t="str">
        <f t="shared" ref="AS2439:AS2502" si="396">IF(AND(AQ2439="Sell Stocks",AQ2438=""),"Sell Stocks","")</f>
        <v/>
      </c>
      <c r="AT2439" s="78" t="str">
        <f t="shared" ref="AT2439:AT2502" si="397">IF(AR2439="Buy Stocks",AJ2439,"")</f>
        <v/>
      </c>
      <c r="AU2439" s="78" t="str">
        <f t="shared" ref="AU2439:AU2502" si="398">IF(AS2439="Sell Stocks",AJ2439,"")</f>
        <v/>
      </c>
      <c r="AV2439" s="64" t="str">
        <f ca="1">IFERROR(__xludf.DUMMYFUNCTION("IF(TRIM(AU2439)="""","""",AU2439/INDEX(FILTER(AT$3:AT2439,TRIM(AT$3:AT2439)&lt;&gt;""""),ROWS(FILTER(AT$3:AT2439,TRIM(AT$3:AT2439)&lt;&gt;"""")))-1)"),"")</f>
        <v/>
      </c>
      <c r="AW2439" s="65" t="e">
        <f t="shared" ca="1" si="391"/>
        <v>#VALUE!</v>
      </c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</row>
    <row r="2440" spans="1:68" ht="19" x14ac:dyDescent="0.25">
      <c r="A2440" s="5"/>
      <c r="B2440" s="5"/>
      <c r="C2440" s="5"/>
      <c r="D2440" s="5"/>
      <c r="E2440" s="5"/>
      <c r="F2440" s="5"/>
      <c r="G2440" s="5"/>
      <c r="H2440" s="6"/>
      <c r="I2440" s="5"/>
      <c r="J2440" s="88"/>
      <c r="K2440" s="88"/>
      <c r="L2440" s="88"/>
      <c r="M2440" s="88"/>
      <c r="N2440" s="88"/>
      <c r="O2440" s="88"/>
      <c r="P2440" s="88"/>
      <c r="Q2440" s="89"/>
      <c r="R2440" s="88"/>
      <c r="S2440" s="88"/>
      <c r="T2440" s="90"/>
      <c r="U2440" s="6"/>
      <c r="V2440" s="92"/>
      <c r="W2440" s="77"/>
      <c r="X2440" s="91"/>
      <c r="Y2440" s="77"/>
      <c r="Z2440" s="5"/>
      <c r="AA2440" s="5"/>
      <c r="AB2440" s="5"/>
      <c r="AC2440" s="5"/>
      <c r="AD2440" s="5"/>
      <c r="AE2440" s="5"/>
      <c r="AF2440" s="5"/>
      <c r="AG2440" s="5"/>
      <c r="AH2440" s="6"/>
      <c r="AI2440" s="92"/>
      <c r="AJ2440" s="93"/>
      <c r="AK2440" s="94"/>
      <c r="AL2440" s="95"/>
      <c r="AM2440" s="56"/>
      <c r="AN2440" s="57">
        <f t="shared" si="390"/>
        <v>0</v>
      </c>
      <c r="AO2440" s="76">
        <f t="shared" si="392"/>
        <v>0</v>
      </c>
      <c r="AP2440" s="63" t="str">
        <f t="shared" si="393"/>
        <v/>
      </c>
      <c r="AQ2440" s="63" t="str">
        <f t="shared" si="394"/>
        <v/>
      </c>
      <c r="AR2440" s="63" t="str">
        <f t="shared" si="395"/>
        <v/>
      </c>
      <c r="AS2440" s="63" t="str">
        <f t="shared" si="396"/>
        <v/>
      </c>
      <c r="AT2440" s="78" t="str">
        <f t="shared" si="397"/>
        <v/>
      </c>
      <c r="AU2440" s="78" t="str">
        <f t="shared" si="398"/>
        <v/>
      </c>
      <c r="AV2440" s="64" t="str">
        <f ca="1">IFERROR(__xludf.DUMMYFUNCTION("IF(TRIM(AU2440)="""","""",AU2440/INDEX(FILTER(AT$3:AT2440,TRIM(AT$3:AT2440)&lt;&gt;""""),ROWS(FILTER(AT$3:AT2440,TRIM(AT$3:AT2440)&lt;&gt;"""")))-1)"),"")</f>
        <v/>
      </c>
      <c r="AW2440" s="65" t="e">
        <f t="shared" ca="1" si="391"/>
        <v>#VALUE!</v>
      </c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</row>
    <row r="2441" spans="1:68" ht="19" x14ac:dyDescent="0.25">
      <c r="A2441" s="5"/>
      <c r="B2441" s="5"/>
      <c r="C2441" s="5"/>
      <c r="D2441" s="5"/>
      <c r="E2441" s="5"/>
      <c r="F2441" s="5"/>
      <c r="G2441" s="5"/>
      <c r="H2441" s="6"/>
      <c r="I2441" s="5"/>
      <c r="J2441" s="88"/>
      <c r="K2441" s="88"/>
      <c r="L2441" s="88"/>
      <c r="M2441" s="88"/>
      <c r="N2441" s="88"/>
      <c r="O2441" s="88"/>
      <c r="P2441" s="88"/>
      <c r="Q2441" s="89"/>
      <c r="R2441" s="88"/>
      <c r="S2441" s="88"/>
      <c r="T2441" s="90"/>
      <c r="U2441" s="6"/>
      <c r="V2441" s="92"/>
      <c r="W2441" s="77"/>
      <c r="X2441" s="91"/>
      <c r="Y2441" s="77"/>
      <c r="Z2441" s="5"/>
      <c r="AA2441" s="5"/>
      <c r="AB2441" s="5"/>
      <c r="AC2441" s="5"/>
      <c r="AD2441" s="5"/>
      <c r="AE2441" s="5"/>
      <c r="AF2441" s="5"/>
      <c r="AG2441" s="5"/>
      <c r="AH2441" s="6"/>
      <c r="AI2441" s="92"/>
      <c r="AJ2441" s="93"/>
      <c r="AK2441" s="94"/>
      <c r="AL2441" s="95"/>
      <c r="AM2441" s="56"/>
      <c r="AN2441" s="57">
        <f t="shared" si="390"/>
        <v>0</v>
      </c>
      <c r="AO2441" s="76">
        <f t="shared" si="392"/>
        <v>0</v>
      </c>
      <c r="AP2441" s="63" t="str">
        <f t="shared" si="393"/>
        <v/>
      </c>
      <c r="AQ2441" s="63" t="str">
        <f t="shared" si="394"/>
        <v/>
      </c>
      <c r="AR2441" s="63" t="str">
        <f t="shared" si="395"/>
        <v/>
      </c>
      <c r="AS2441" s="63" t="str">
        <f t="shared" si="396"/>
        <v/>
      </c>
      <c r="AT2441" s="78" t="str">
        <f t="shared" si="397"/>
        <v/>
      </c>
      <c r="AU2441" s="78" t="str">
        <f t="shared" si="398"/>
        <v/>
      </c>
      <c r="AV2441" s="64" t="str">
        <f ca="1">IFERROR(__xludf.DUMMYFUNCTION("IF(TRIM(AU2441)="""","""",AU2441/INDEX(FILTER(AT$3:AT2441,TRIM(AT$3:AT2441)&lt;&gt;""""),ROWS(FILTER(AT$3:AT2441,TRIM(AT$3:AT2441)&lt;&gt;"""")))-1)"),"")</f>
        <v/>
      </c>
      <c r="AW2441" s="65" t="e">
        <f t="shared" ca="1" si="391"/>
        <v>#VALUE!</v>
      </c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</row>
    <row r="2442" spans="1:68" ht="19" x14ac:dyDescent="0.25">
      <c r="A2442" s="5"/>
      <c r="B2442" s="5"/>
      <c r="C2442" s="5"/>
      <c r="D2442" s="5"/>
      <c r="E2442" s="5"/>
      <c r="F2442" s="5"/>
      <c r="G2442" s="5"/>
      <c r="H2442" s="6"/>
      <c r="I2442" s="5"/>
      <c r="J2442" s="88"/>
      <c r="K2442" s="88"/>
      <c r="L2442" s="88"/>
      <c r="M2442" s="88"/>
      <c r="N2442" s="88"/>
      <c r="O2442" s="88"/>
      <c r="P2442" s="88"/>
      <c r="Q2442" s="89"/>
      <c r="R2442" s="88"/>
      <c r="S2442" s="88"/>
      <c r="T2442" s="90"/>
      <c r="U2442" s="6"/>
      <c r="V2442" s="92"/>
      <c r="W2442" s="77"/>
      <c r="X2442" s="91"/>
      <c r="Y2442" s="77"/>
      <c r="Z2442" s="5"/>
      <c r="AA2442" s="5"/>
      <c r="AB2442" s="5"/>
      <c r="AC2442" s="5"/>
      <c r="AD2442" s="5"/>
      <c r="AE2442" s="5"/>
      <c r="AF2442" s="5"/>
      <c r="AG2442" s="5"/>
      <c r="AH2442" s="6"/>
      <c r="AI2442" s="92"/>
      <c r="AJ2442" s="93"/>
      <c r="AK2442" s="94"/>
      <c r="AL2442" s="95"/>
      <c r="AM2442" s="56"/>
      <c r="AN2442" s="57">
        <f t="shared" si="390"/>
        <v>0</v>
      </c>
      <c r="AO2442" s="76">
        <f t="shared" si="392"/>
        <v>0</v>
      </c>
      <c r="AP2442" s="63" t="str">
        <f t="shared" si="393"/>
        <v/>
      </c>
      <c r="AQ2442" s="63" t="str">
        <f t="shared" si="394"/>
        <v/>
      </c>
      <c r="AR2442" s="63" t="str">
        <f t="shared" si="395"/>
        <v/>
      </c>
      <c r="AS2442" s="63" t="str">
        <f t="shared" si="396"/>
        <v/>
      </c>
      <c r="AT2442" s="78" t="str">
        <f t="shared" si="397"/>
        <v/>
      </c>
      <c r="AU2442" s="78" t="str">
        <f t="shared" si="398"/>
        <v/>
      </c>
      <c r="AV2442" s="64" t="str">
        <f ca="1">IFERROR(__xludf.DUMMYFUNCTION("IF(TRIM(AU2442)="""","""",AU2442/INDEX(FILTER(AT$3:AT2442,TRIM(AT$3:AT2442)&lt;&gt;""""),ROWS(FILTER(AT$3:AT2442,TRIM(AT$3:AT2442)&lt;&gt;"""")))-1)"),"")</f>
        <v/>
      </c>
      <c r="AW2442" s="65" t="e">
        <f t="shared" ca="1" si="391"/>
        <v>#VALUE!</v>
      </c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</row>
    <row r="2443" spans="1:68" ht="19" x14ac:dyDescent="0.25">
      <c r="A2443" s="5"/>
      <c r="B2443" s="5"/>
      <c r="C2443" s="5"/>
      <c r="D2443" s="5"/>
      <c r="E2443" s="5"/>
      <c r="F2443" s="5"/>
      <c r="G2443" s="5"/>
      <c r="H2443" s="6"/>
      <c r="I2443" s="5"/>
      <c r="J2443" s="88"/>
      <c r="K2443" s="88"/>
      <c r="L2443" s="88"/>
      <c r="M2443" s="88"/>
      <c r="N2443" s="88"/>
      <c r="O2443" s="88"/>
      <c r="P2443" s="88"/>
      <c r="Q2443" s="89"/>
      <c r="R2443" s="88"/>
      <c r="S2443" s="88"/>
      <c r="T2443" s="90"/>
      <c r="U2443" s="6"/>
      <c r="V2443" s="92"/>
      <c r="W2443" s="77"/>
      <c r="X2443" s="91"/>
      <c r="Y2443" s="77"/>
      <c r="Z2443" s="5"/>
      <c r="AA2443" s="5"/>
      <c r="AB2443" s="5"/>
      <c r="AC2443" s="5"/>
      <c r="AD2443" s="5"/>
      <c r="AE2443" s="5"/>
      <c r="AF2443" s="5"/>
      <c r="AG2443" s="5"/>
      <c r="AH2443" s="6"/>
      <c r="AI2443" s="92"/>
      <c r="AJ2443" s="93"/>
      <c r="AK2443" s="94"/>
      <c r="AL2443" s="95"/>
      <c r="AM2443" s="56"/>
      <c r="AN2443" s="57">
        <f t="shared" si="390"/>
        <v>0</v>
      </c>
      <c r="AO2443" s="76">
        <f t="shared" si="392"/>
        <v>0</v>
      </c>
      <c r="AP2443" s="63" t="str">
        <f t="shared" si="393"/>
        <v/>
      </c>
      <c r="AQ2443" s="63" t="str">
        <f t="shared" si="394"/>
        <v/>
      </c>
      <c r="AR2443" s="63" t="str">
        <f t="shared" si="395"/>
        <v/>
      </c>
      <c r="AS2443" s="63" t="str">
        <f t="shared" si="396"/>
        <v/>
      </c>
      <c r="AT2443" s="78" t="str">
        <f t="shared" si="397"/>
        <v/>
      </c>
      <c r="AU2443" s="78" t="str">
        <f t="shared" si="398"/>
        <v/>
      </c>
      <c r="AV2443" s="64" t="str">
        <f ca="1">IFERROR(__xludf.DUMMYFUNCTION("IF(TRIM(AU2443)="""","""",AU2443/INDEX(FILTER(AT$3:AT2443,TRIM(AT$3:AT2443)&lt;&gt;""""),ROWS(FILTER(AT$3:AT2443,TRIM(AT$3:AT2443)&lt;&gt;"""")))-1)"),"")</f>
        <v/>
      </c>
      <c r="AW2443" s="65" t="e">
        <f t="shared" ca="1" si="391"/>
        <v>#VALUE!</v>
      </c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</row>
    <row r="2444" spans="1:68" ht="19" x14ac:dyDescent="0.25">
      <c r="A2444" s="5"/>
      <c r="B2444" s="5"/>
      <c r="C2444" s="5"/>
      <c r="D2444" s="5"/>
      <c r="E2444" s="5"/>
      <c r="F2444" s="5"/>
      <c r="G2444" s="5"/>
      <c r="H2444" s="6"/>
      <c r="I2444" s="5"/>
      <c r="J2444" s="88"/>
      <c r="K2444" s="88"/>
      <c r="L2444" s="88"/>
      <c r="M2444" s="88"/>
      <c r="N2444" s="88"/>
      <c r="O2444" s="88"/>
      <c r="P2444" s="88"/>
      <c r="Q2444" s="89"/>
      <c r="R2444" s="88"/>
      <c r="S2444" s="88"/>
      <c r="T2444" s="90"/>
      <c r="U2444" s="6"/>
      <c r="V2444" s="92"/>
      <c r="W2444" s="77"/>
      <c r="X2444" s="91"/>
      <c r="Y2444" s="77"/>
      <c r="Z2444" s="5"/>
      <c r="AA2444" s="5"/>
      <c r="AB2444" s="5"/>
      <c r="AC2444" s="5"/>
      <c r="AD2444" s="5"/>
      <c r="AE2444" s="5"/>
      <c r="AF2444" s="5"/>
      <c r="AG2444" s="5"/>
      <c r="AH2444" s="6"/>
      <c r="AI2444" s="92"/>
      <c r="AJ2444" s="93"/>
      <c r="AK2444" s="94"/>
      <c r="AL2444" s="95"/>
      <c r="AM2444" s="56"/>
      <c r="AN2444" s="57">
        <f t="shared" si="390"/>
        <v>0</v>
      </c>
      <c r="AO2444" s="76">
        <f t="shared" si="392"/>
        <v>0</v>
      </c>
      <c r="AP2444" s="63" t="str">
        <f t="shared" si="393"/>
        <v/>
      </c>
      <c r="AQ2444" s="63" t="str">
        <f t="shared" si="394"/>
        <v/>
      </c>
      <c r="AR2444" s="63" t="str">
        <f t="shared" si="395"/>
        <v/>
      </c>
      <c r="AS2444" s="63" t="str">
        <f t="shared" si="396"/>
        <v/>
      </c>
      <c r="AT2444" s="78" t="str">
        <f t="shared" si="397"/>
        <v/>
      </c>
      <c r="AU2444" s="78" t="str">
        <f t="shared" si="398"/>
        <v/>
      </c>
      <c r="AV2444" s="64" t="str">
        <f ca="1">IFERROR(__xludf.DUMMYFUNCTION("IF(TRIM(AU2444)="""","""",AU2444/INDEX(FILTER(AT$3:AT2444,TRIM(AT$3:AT2444)&lt;&gt;""""),ROWS(FILTER(AT$3:AT2444,TRIM(AT$3:AT2444)&lt;&gt;"""")))-1)"),"")</f>
        <v/>
      </c>
      <c r="AW2444" s="65" t="e">
        <f t="shared" ca="1" si="391"/>
        <v>#VALUE!</v>
      </c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</row>
    <row r="2445" spans="1:68" ht="19" x14ac:dyDescent="0.25">
      <c r="A2445" s="5"/>
      <c r="B2445" s="5"/>
      <c r="C2445" s="5"/>
      <c r="D2445" s="5"/>
      <c r="E2445" s="5"/>
      <c r="F2445" s="5"/>
      <c r="G2445" s="5"/>
      <c r="H2445" s="6"/>
      <c r="I2445" s="5"/>
      <c r="J2445" s="88"/>
      <c r="K2445" s="88"/>
      <c r="L2445" s="88"/>
      <c r="M2445" s="88"/>
      <c r="N2445" s="88"/>
      <c r="O2445" s="88"/>
      <c r="P2445" s="88"/>
      <c r="Q2445" s="89"/>
      <c r="R2445" s="88"/>
      <c r="S2445" s="88"/>
      <c r="T2445" s="90"/>
      <c r="U2445" s="6"/>
      <c r="V2445" s="92"/>
      <c r="W2445" s="77"/>
      <c r="X2445" s="91"/>
      <c r="Y2445" s="77"/>
      <c r="Z2445" s="5"/>
      <c r="AA2445" s="5"/>
      <c r="AB2445" s="5"/>
      <c r="AC2445" s="5"/>
      <c r="AD2445" s="5"/>
      <c r="AE2445" s="5"/>
      <c r="AF2445" s="5"/>
      <c r="AG2445" s="5"/>
      <c r="AH2445" s="6"/>
      <c r="AI2445" s="92"/>
      <c r="AJ2445" s="93"/>
      <c r="AK2445" s="94"/>
      <c r="AL2445" s="95"/>
      <c r="AM2445" s="56"/>
      <c r="AN2445" s="57">
        <f t="shared" si="390"/>
        <v>0</v>
      </c>
      <c r="AO2445" s="76">
        <f t="shared" si="392"/>
        <v>0</v>
      </c>
      <c r="AP2445" s="63" t="str">
        <f t="shared" si="393"/>
        <v/>
      </c>
      <c r="AQ2445" s="63" t="str">
        <f t="shared" si="394"/>
        <v/>
      </c>
      <c r="AR2445" s="63" t="str">
        <f t="shared" si="395"/>
        <v/>
      </c>
      <c r="AS2445" s="63" t="str">
        <f t="shared" si="396"/>
        <v/>
      </c>
      <c r="AT2445" s="78" t="str">
        <f t="shared" si="397"/>
        <v/>
      </c>
      <c r="AU2445" s="78" t="str">
        <f t="shared" si="398"/>
        <v/>
      </c>
      <c r="AV2445" s="64" t="str">
        <f ca="1">IFERROR(__xludf.DUMMYFUNCTION("IF(TRIM(AU2445)="""","""",AU2445/INDEX(FILTER(AT$3:AT2445,TRIM(AT$3:AT2445)&lt;&gt;""""),ROWS(FILTER(AT$3:AT2445,TRIM(AT$3:AT2445)&lt;&gt;"""")))-1)"),"")</f>
        <v/>
      </c>
      <c r="AW2445" s="65" t="e">
        <f t="shared" ca="1" si="391"/>
        <v>#VALUE!</v>
      </c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</row>
    <row r="2446" spans="1:68" ht="19" x14ac:dyDescent="0.25">
      <c r="A2446" s="5"/>
      <c r="B2446" s="5"/>
      <c r="C2446" s="5"/>
      <c r="D2446" s="5"/>
      <c r="E2446" s="5"/>
      <c r="F2446" s="5"/>
      <c r="G2446" s="5"/>
      <c r="H2446" s="6"/>
      <c r="I2446" s="5"/>
      <c r="J2446" s="88"/>
      <c r="K2446" s="88"/>
      <c r="L2446" s="88"/>
      <c r="M2446" s="88"/>
      <c r="N2446" s="88"/>
      <c r="O2446" s="88"/>
      <c r="P2446" s="88"/>
      <c r="Q2446" s="89"/>
      <c r="R2446" s="88"/>
      <c r="S2446" s="88"/>
      <c r="T2446" s="90"/>
      <c r="U2446" s="6"/>
      <c r="V2446" s="92"/>
      <c r="W2446" s="77"/>
      <c r="X2446" s="91"/>
      <c r="Y2446" s="77"/>
      <c r="Z2446" s="5"/>
      <c r="AA2446" s="5"/>
      <c r="AB2446" s="5"/>
      <c r="AC2446" s="5"/>
      <c r="AD2446" s="5"/>
      <c r="AE2446" s="5"/>
      <c r="AF2446" s="5"/>
      <c r="AG2446" s="5"/>
      <c r="AH2446" s="6"/>
      <c r="AI2446" s="92"/>
      <c r="AJ2446" s="93"/>
      <c r="AK2446" s="94"/>
      <c r="AL2446" s="95"/>
      <c r="AM2446" s="56"/>
      <c r="AN2446" s="57">
        <f t="shared" si="390"/>
        <v>0</v>
      </c>
      <c r="AO2446" s="76">
        <f t="shared" si="392"/>
        <v>0</v>
      </c>
      <c r="AP2446" s="63" t="str">
        <f t="shared" si="393"/>
        <v/>
      </c>
      <c r="AQ2446" s="63" t="str">
        <f t="shared" si="394"/>
        <v/>
      </c>
      <c r="AR2446" s="63" t="str">
        <f t="shared" si="395"/>
        <v/>
      </c>
      <c r="AS2446" s="63" t="str">
        <f t="shared" si="396"/>
        <v/>
      </c>
      <c r="AT2446" s="78" t="str">
        <f t="shared" si="397"/>
        <v/>
      </c>
      <c r="AU2446" s="78" t="str">
        <f t="shared" si="398"/>
        <v/>
      </c>
      <c r="AV2446" s="64" t="str">
        <f ca="1">IFERROR(__xludf.DUMMYFUNCTION("IF(TRIM(AU2446)="""","""",AU2446/INDEX(FILTER(AT$3:AT2446,TRIM(AT$3:AT2446)&lt;&gt;""""),ROWS(FILTER(AT$3:AT2446,TRIM(AT$3:AT2446)&lt;&gt;"""")))-1)"),"")</f>
        <v/>
      </c>
      <c r="AW2446" s="65" t="e">
        <f t="shared" ca="1" si="391"/>
        <v>#VALUE!</v>
      </c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</row>
    <row r="2447" spans="1:68" ht="19" x14ac:dyDescent="0.25">
      <c r="A2447" s="5"/>
      <c r="B2447" s="5"/>
      <c r="C2447" s="5"/>
      <c r="D2447" s="5"/>
      <c r="E2447" s="5"/>
      <c r="F2447" s="5"/>
      <c r="G2447" s="5"/>
      <c r="H2447" s="6"/>
      <c r="I2447" s="5"/>
      <c r="J2447" s="88"/>
      <c r="K2447" s="88"/>
      <c r="L2447" s="88"/>
      <c r="M2447" s="88"/>
      <c r="N2447" s="88"/>
      <c r="O2447" s="88"/>
      <c r="P2447" s="88"/>
      <c r="Q2447" s="89"/>
      <c r="R2447" s="88"/>
      <c r="S2447" s="88"/>
      <c r="T2447" s="90"/>
      <c r="U2447" s="6"/>
      <c r="V2447" s="92"/>
      <c r="W2447" s="77"/>
      <c r="X2447" s="91"/>
      <c r="Y2447" s="77"/>
      <c r="Z2447" s="5"/>
      <c r="AA2447" s="5"/>
      <c r="AB2447" s="5"/>
      <c r="AC2447" s="5"/>
      <c r="AD2447" s="5"/>
      <c r="AE2447" s="5"/>
      <c r="AF2447" s="5"/>
      <c r="AG2447" s="5"/>
      <c r="AH2447" s="6"/>
      <c r="AI2447" s="92"/>
      <c r="AJ2447" s="93"/>
      <c r="AK2447" s="94"/>
      <c r="AL2447" s="95"/>
      <c r="AM2447" s="56"/>
      <c r="AN2447" s="57">
        <f t="shared" si="390"/>
        <v>0</v>
      </c>
      <c r="AO2447" s="76">
        <f t="shared" si="392"/>
        <v>0</v>
      </c>
      <c r="AP2447" s="63" t="str">
        <f t="shared" si="393"/>
        <v/>
      </c>
      <c r="AQ2447" s="63" t="str">
        <f t="shared" si="394"/>
        <v/>
      </c>
      <c r="AR2447" s="63" t="str">
        <f t="shared" si="395"/>
        <v/>
      </c>
      <c r="AS2447" s="63" t="str">
        <f t="shared" si="396"/>
        <v/>
      </c>
      <c r="AT2447" s="78" t="str">
        <f t="shared" si="397"/>
        <v/>
      </c>
      <c r="AU2447" s="78" t="str">
        <f t="shared" si="398"/>
        <v/>
      </c>
      <c r="AV2447" s="64" t="str">
        <f ca="1">IFERROR(__xludf.DUMMYFUNCTION("IF(TRIM(AU2447)="""","""",AU2447/INDEX(FILTER(AT$3:AT2447,TRIM(AT$3:AT2447)&lt;&gt;""""),ROWS(FILTER(AT$3:AT2447,TRIM(AT$3:AT2447)&lt;&gt;"""")))-1)"),"")</f>
        <v/>
      </c>
      <c r="AW2447" s="65" t="e">
        <f t="shared" ca="1" si="391"/>
        <v>#VALUE!</v>
      </c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</row>
    <row r="2448" spans="1:68" ht="19" x14ac:dyDescent="0.25">
      <c r="A2448" s="5"/>
      <c r="B2448" s="5"/>
      <c r="C2448" s="5"/>
      <c r="D2448" s="5"/>
      <c r="E2448" s="5"/>
      <c r="F2448" s="5"/>
      <c r="G2448" s="5"/>
      <c r="H2448" s="6"/>
      <c r="I2448" s="5"/>
      <c r="J2448" s="88"/>
      <c r="K2448" s="88"/>
      <c r="L2448" s="88"/>
      <c r="M2448" s="88"/>
      <c r="N2448" s="88"/>
      <c r="O2448" s="88"/>
      <c r="P2448" s="88"/>
      <c r="Q2448" s="89"/>
      <c r="R2448" s="88"/>
      <c r="S2448" s="88"/>
      <c r="T2448" s="90"/>
      <c r="U2448" s="6"/>
      <c r="V2448" s="92"/>
      <c r="W2448" s="77"/>
      <c r="X2448" s="91"/>
      <c r="Y2448" s="77"/>
      <c r="Z2448" s="5"/>
      <c r="AA2448" s="5"/>
      <c r="AB2448" s="5"/>
      <c r="AC2448" s="5"/>
      <c r="AD2448" s="5"/>
      <c r="AE2448" s="5"/>
      <c r="AF2448" s="5"/>
      <c r="AG2448" s="5"/>
      <c r="AH2448" s="6"/>
      <c r="AI2448" s="92"/>
      <c r="AJ2448" s="93"/>
      <c r="AK2448" s="94"/>
      <c r="AL2448" s="95"/>
      <c r="AM2448" s="56"/>
      <c r="AN2448" s="57">
        <f t="shared" si="390"/>
        <v>0</v>
      </c>
      <c r="AO2448" s="76">
        <f t="shared" si="392"/>
        <v>0</v>
      </c>
      <c r="AP2448" s="63" t="str">
        <f t="shared" si="393"/>
        <v/>
      </c>
      <c r="AQ2448" s="63" t="str">
        <f t="shared" si="394"/>
        <v/>
      </c>
      <c r="AR2448" s="63" t="str">
        <f t="shared" si="395"/>
        <v/>
      </c>
      <c r="AS2448" s="63" t="str">
        <f t="shared" si="396"/>
        <v/>
      </c>
      <c r="AT2448" s="78" t="str">
        <f t="shared" si="397"/>
        <v/>
      </c>
      <c r="AU2448" s="78" t="str">
        <f t="shared" si="398"/>
        <v/>
      </c>
      <c r="AV2448" s="64" t="str">
        <f ca="1">IFERROR(__xludf.DUMMYFUNCTION("IF(TRIM(AU2448)="""","""",AU2448/INDEX(FILTER(AT$3:AT2448,TRIM(AT$3:AT2448)&lt;&gt;""""),ROWS(FILTER(AT$3:AT2448,TRIM(AT$3:AT2448)&lt;&gt;"""")))-1)"),"")</f>
        <v/>
      </c>
      <c r="AW2448" s="65" t="e">
        <f t="shared" ca="1" si="391"/>
        <v>#VALUE!</v>
      </c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</row>
    <row r="2449" spans="1:68" ht="19" x14ac:dyDescent="0.25">
      <c r="A2449" s="5"/>
      <c r="B2449" s="5"/>
      <c r="C2449" s="5"/>
      <c r="D2449" s="5"/>
      <c r="E2449" s="5"/>
      <c r="F2449" s="5"/>
      <c r="G2449" s="5"/>
      <c r="H2449" s="6"/>
      <c r="I2449" s="5"/>
      <c r="J2449" s="88"/>
      <c r="K2449" s="88"/>
      <c r="L2449" s="88"/>
      <c r="M2449" s="88"/>
      <c r="N2449" s="88"/>
      <c r="O2449" s="88"/>
      <c r="P2449" s="88"/>
      <c r="Q2449" s="89"/>
      <c r="R2449" s="88"/>
      <c r="S2449" s="88"/>
      <c r="T2449" s="90"/>
      <c r="U2449" s="6"/>
      <c r="V2449" s="92"/>
      <c r="W2449" s="77"/>
      <c r="X2449" s="91"/>
      <c r="Y2449" s="77"/>
      <c r="Z2449" s="5"/>
      <c r="AA2449" s="5"/>
      <c r="AB2449" s="5"/>
      <c r="AC2449" s="5"/>
      <c r="AD2449" s="5"/>
      <c r="AE2449" s="5"/>
      <c r="AF2449" s="5"/>
      <c r="AG2449" s="5"/>
      <c r="AH2449" s="6"/>
      <c r="AI2449" s="92"/>
      <c r="AJ2449" s="93"/>
      <c r="AK2449" s="94"/>
      <c r="AL2449" s="95"/>
      <c r="AM2449" s="56"/>
      <c r="AN2449" s="57">
        <f t="shared" si="390"/>
        <v>0</v>
      </c>
      <c r="AO2449" s="76">
        <f t="shared" si="392"/>
        <v>0</v>
      </c>
      <c r="AP2449" s="63" t="str">
        <f t="shared" si="393"/>
        <v/>
      </c>
      <c r="AQ2449" s="63" t="str">
        <f t="shared" si="394"/>
        <v/>
      </c>
      <c r="AR2449" s="63" t="str">
        <f t="shared" si="395"/>
        <v/>
      </c>
      <c r="AS2449" s="63" t="str">
        <f t="shared" si="396"/>
        <v/>
      </c>
      <c r="AT2449" s="78" t="str">
        <f t="shared" si="397"/>
        <v/>
      </c>
      <c r="AU2449" s="78" t="str">
        <f t="shared" si="398"/>
        <v/>
      </c>
      <c r="AV2449" s="64" t="str">
        <f ca="1">IFERROR(__xludf.DUMMYFUNCTION("IF(TRIM(AU2449)="""","""",AU2449/INDEX(FILTER(AT$3:AT2449,TRIM(AT$3:AT2449)&lt;&gt;""""),ROWS(FILTER(AT$3:AT2449,TRIM(AT$3:AT2449)&lt;&gt;"""")))-1)"),"")</f>
        <v/>
      </c>
      <c r="AW2449" s="65" t="e">
        <f t="shared" ca="1" si="391"/>
        <v>#VALUE!</v>
      </c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</row>
    <row r="2450" spans="1:68" ht="19" x14ac:dyDescent="0.25">
      <c r="A2450" s="5"/>
      <c r="B2450" s="5"/>
      <c r="C2450" s="5"/>
      <c r="D2450" s="5"/>
      <c r="E2450" s="5"/>
      <c r="F2450" s="5"/>
      <c r="G2450" s="5"/>
      <c r="H2450" s="6"/>
      <c r="I2450" s="5"/>
      <c r="J2450" s="88"/>
      <c r="K2450" s="88"/>
      <c r="L2450" s="88"/>
      <c r="M2450" s="88"/>
      <c r="N2450" s="88"/>
      <c r="O2450" s="88"/>
      <c r="P2450" s="88"/>
      <c r="Q2450" s="89"/>
      <c r="R2450" s="88"/>
      <c r="S2450" s="88"/>
      <c r="T2450" s="90"/>
      <c r="U2450" s="6"/>
      <c r="V2450" s="92"/>
      <c r="W2450" s="77"/>
      <c r="X2450" s="91"/>
      <c r="Y2450" s="77"/>
      <c r="Z2450" s="5"/>
      <c r="AA2450" s="5"/>
      <c r="AB2450" s="5"/>
      <c r="AC2450" s="5"/>
      <c r="AD2450" s="5"/>
      <c r="AE2450" s="5"/>
      <c r="AF2450" s="5"/>
      <c r="AG2450" s="5"/>
      <c r="AH2450" s="6"/>
      <c r="AI2450" s="92"/>
      <c r="AJ2450" s="93"/>
      <c r="AK2450" s="94"/>
      <c r="AL2450" s="95"/>
      <c r="AM2450" s="56"/>
      <c r="AN2450" s="57">
        <f t="shared" si="390"/>
        <v>0</v>
      </c>
      <c r="AO2450" s="76">
        <f t="shared" si="392"/>
        <v>0</v>
      </c>
      <c r="AP2450" s="63" t="str">
        <f t="shared" si="393"/>
        <v/>
      </c>
      <c r="AQ2450" s="63" t="str">
        <f t="shared" si="394"/>
        <v/>
      </c>
      <c r="AR2450" s="63" t="str">
        <f t="shared" si="395"/>
        <v/>
      </c>
      <c r="AS2450" s="63" t="str">
        <f t="shared" si="396"/>
        <v/>
      </c>
      <c r="AT2450" s="78" t="str">
        <f t="shared" si="397"/>
        <v/>
      </c>
      <c r="AU2450" s="78" t="str">
        <f t="shared" si="398"/>
        <v/>
      </c>
      <c r="AV2450" s="64" t="str">
        <f ca="1">IFERROR(__xludf.DUMMYFUNCTION("IF(TRIM(AU2450)="""","""",AU2450/INDEX(FILTER(AT$3:AT2450,TRIM(AT$3:AT2450)&lt;&gt;""""),ROWS(FILTER(AT$3:AT2450,TRIM(AT$3:AT2450)&lt;&gt;"""")))-1)"),"")</f>
        <v/>
      </c>
      <c r="AW2450" s="65" t="e">
        <f t="shared" ca="1" si="391"/>
        <v>#VALUE!</v>
      </c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</row>
    <row r="2451" spans="1:68" ht="19" x14ac:dyDescent="0.25">
      <c r="A2451" s="5"/>
      <c r="B2451" s="5"/>
      <c r="C2451" s="5"/>
      <c r="D2451" s="5"/>
      <c r="E2451" s="5"/>
      <c r="F2451" s="5"/>
      <c r="G2451" s="5"/>
      <c r="H2451" s="6"/>
      <c r="I2451" s="5"/>
      <c r="J2451" s="88"/>
      <c r="K2451" s="88"/>
      <c r="L2451" s="88"/>
      <c r="M2451" s="88"/>
      <c r="N2451" s="88"/>
      <c r="O2451" s="88"/>
      <c r="P2451" s="88"/>
      <c r="Q2451" s="89"/>
      <c r="R2451" s="88"/>
      <c r="S2451" s="88"/>
      <c r="T2451" s="90"/>
      <c r="U2451" s="6"/>
      <c r="V2451" s="92"/>
      <c r="W2451" s="77"/>
      <c r="X2451" s="91"/>
      <c r="Y2451" s="77"/>
      <c r="Z2451" s="5"/>
      <c r="AA2451" s="5"/>
      <c r="AB2451" s="5"/>
      <c r="AC2451" s="5"/>
      <c r="AD2451" s="5"/>
      <c r="AE2451" s="5"/>
      <c r="AF2451" s="5"/>
      <c r="AG2451" s="5"/>
      <c r="AH2451" s="6"/>
      <c r="AI2451" s="92"/>
      <c r="AJ2451" s="93"/>
      <c r="AK2451" s="94"/>
      <c r="AL2451" s="95"/>
      <c r="AM2451" s="56"/>
      <c r="AN2451" s="57">
        <f t="shared" si="390"/>
        <v>0</v>
      </c>
      <c r="AO2451" s="76">
        <f t="shared" si="392"/>
        <v>0</v>
      </c>
      <c r="AP2451" s="63" t="str">
        <f t="shared" si="393"/>
        <v/>
      </c>
      <c r="AQ2451" s="63" t="str">
        <f t="shared" si="394"/>
        <v/>
      </c>
      <c r="AR2451" s="63" t="str">
        <f t="shared" si="395"/>
        <v/>
      </c>
      <c r="AS2451" s="63" t="str">
        <f t="shared" si="396"/>
        <v/>
      </c>
      <c r="AT2451" s="78" t="str">
        <f t="shared" si="397"/>
        <v/>
      </c>
      <c r="AU2451" s="78" t="str">
        <f t="shared" si="398"/>
        <v/>
      </c>
      <c r="AV2451" s="64" t="str">
        <f ca="1">IFERROR(__xludf.DUMMYFUNCTION("IF(TRIM(AU2451)="""","""",AU2451/INDEX(FILTER(AT$3:AT2451,TRIM(AT$3:AT2451)&lt;&gt;""""),ROWS(FILTER(AT$3:AT2451,TRIM(AT$3:AT2451)&lt;&gt;"""")))-1)"),"")</f>
        <v/>
      </c>
      <c r="AW2451" s="65" t="e">
        <f t="shared" ca="1" si="391"/>
        <v>#VALUE!</v>
      </c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</row>
    <row r="2452" spans="1:68" ht="19" x14ac:dyDescent="0.25">
      <c r="A2452" s="5"/>
      <c r="B2452" s="5"/>
      <c r="C2452" s="5"/>
      <c r="D2452" s="5"/>
      <c r="E2452" s="5"/>
      <c r="F2452" s="5"/>
      <c r="G2452" s="5"/>
      <c r="H2452" s="6"/>
      <c r="I2452" s="5"/>
      <c r="J2452" s="88"/>
      <c r="K2452" s="88"/>
      <c r="L2452" s="88"/>
      <c r="M2452" s="88"/>
      <c r="N2452" s="88"/>
      <c r="O2452" s="88"/>
      <c r="P2452" s="88"/>
      <c r="Q2452" s="89"/>
      <c r="R2452" s="88"/>
      <c r="S2452" s="88"/>
      <c r="T2452" s="90"/>
      <c r="U2452" s="6"/>
      <c r="V2452" s="92"/>
      <c r="W2452" s="77"/>
      <c r="X2452" s="91"/>
      <c r="Y2452" s="77"/>
      <c r="Z2452" s="5"/>
      <c r="AA2452" s="5"/>
      <c r="AB2452" s="5"/>
      <c r="AC2452" s="5"/>
      <c r="AD2452" s="5"/>
      <c r="AE2452" s="5"/>
      <c r="AF2452" s="5"/>
      <c r="AG2452" s="5"/>
      <c r="AH2452" s="6"/>
      <c r="AI2452" s="92"/>
      <c r="AJ2452" s="93"/>
      <c r="AK2452" s="94"/>
      <c r="AL2452" s="95"/>
      <c r="AM2452" s="56"/>
      <c r="AN2452" s="57">
        <f t="shared" si="390"/>
        <v>0</v>
      </c>
      <c r="AO2452" s="76">
        <f t="shared" si="392"/>
        <v>0</v>
      </c>
      <c r="AP2452" s="63" t="str">
        <f t="shared" si="393"/>
        <v/>
      </c>
      <c r="AQ2452" s="63" t="str">
        <f t="shared" si="394"/>
        <v/>
      </c>
      <c r="AR2452" s="63" t="str">
        <f t="shared" si="395"/>
        <v/>
      </c>
      <c r="AS2452" s="63" t="str">
        <f t="shared" si="396"/>
        <v/>
      </c>
      <c r="AT2452" s="78" t="str">
        <f t="shared" si="397"/>
        <v/>
      </c>
      <c r="AU2452" s="78" t="str">
        <f t="shared" si="398"/>
        <v/>
      </c>
      <c r="AV2452" s="64" t="str">
        <f ca="1">IFERROR(__xludf.DUMMYFUNCTION("IF(TRIM(AU2452)="""","""",AU2452/INDEX(FILTER(AT$3:AT2452,TRIM(AT$3:AT2452)&lt;&gt;""""),ROWS(FILTER(AT$3:AT2452,TRIM(AT$3:AT2452)&lt;&gt;"""")))-1)"),"")</f>
        <v/>
      </c>
      <c r="AW2452" s="65" t="e">
        <f t="shared" ca="1" si="391"/>
        <v>#VALUE!</v>
      </c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</row>
    <row r="2453" spans="1:68" ht="19" x14ac:dyDescent="0.25">
      <c r="A2453" s="5"/>
      <c r="B2453" s="5"/>
      <c r="C2453" s="5"/>
      <c r="D2453" s="5"/>
      <c r="E2453" s="5"/>
      <c r="F2453" s="5"/>
      <c r="G2453" s="5"/>
      <c r="H2453" s="6"/>
      <c r="I2453" s="5"/>
      <c r="J2453" s="88"/>
      <c r="K2453" s="88"/>
      <c r="L2453" s="88"/>
      <c r="M2453" s="88"/>
      <c r="N2453" s="88"/>
      <c r="O2453" s="88"/>
      <c r="P2453" s="88"/>
      <c r="Q2453" s="89"/>
      <c r="R2453" s="88"/>
      <c r="S2453" s="88"/>
      <c r="T2453" s="90"/>
      <c r="U2453" s="6"/>
      <c r="V2453" s="92"/>
      <c r="W2453" s="77"/>
      <c r="X2453" s="91"/>
      <c r="Y2453" s="77"/>
      <c r="Z2453" s="5"/>
      <c r="AA2453" s="5"/>
      <c r="AB2453" s="5"/>
      <c r="AC2453" s="5"/>
      <c r="AD2453" s="5"/>
      <c r="AE2453" s="5"/>
      <c r="AF2453" s="5"/>
      <c r="AG2453" s="5"/>
      <c r="AH2453" s="6"/>
      <c r="AI2453" s="92"/>
      <c r="AJ2453" s="93"/>
      <c r="AK2453" s="94"/>
      <c r="AL2453" s="95"/>
      <c r="AM2453" s="56"/>
      <c r="AN2453" s="57">
        <f t="shared" si="390"/>
        <v>0</v>
      </c>
      <c r="AO2453" s="76">
        <f t="shared" si="392"/>
        <v>0</v>
      </c>
      <c r="AP2453" s="63" t="str">
        <f t="shared" si="393"/>
        <v/>
      </c>
      <c r="AQ2453" s="63" t="str">
        <f t="shared" si="394"/>
        <v/>
      </c>
      <c r="AR2453" s="63" t="str">
        <f t="shared" si="395"/>
        <v/>
      </c>
      <c r="AS2453" s="63" t="str">
        <f t="shared" si="396"/>
        <v/>
      </c>
      <c r="AT2453" s="78" t="str">
        <f t="shared" si="397"/>
        <v/>
      </c>
      <c r="AU2453" s="78" t="str">
        <f t="shared" si="398"/>
        <v/>
      </c>
      <c r="AV2453" s="64" t="str">
        <f ca="1">IFERROR(__xludf.DUMMYFUNCTION("IF(TRIM(AU2453)="""","""",AU2453/INDEX(FILTER(AT$3:AT2453,TRIM(AT$3:AT2453)&lt;&gt;""""),ROWS(FILTER(AT$3:AT2453,TRIM(AT$3:AT2453)&lt;&gt;"""")))-1)"),"")</f>
        <v/>
      </c>
      <c r="AW2453" s="65" t="e">
        <f t="shared" ca="1" si="391"/>
        <v>#VALUE!</v>
      </c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</row>
    <row r="2454" spans="1:68" ht="19" x14ac:dyDescent="0.25">
      <c r="A2454" s="5"/>
      <c r="B2454" s="5"/>
      <c r="C2454" s="5"/>
      <c r="D2454" s="5"/>
      <c r="E2454" s="5"/>
      <c r="F2454" s="5"/>
      <c r="G2454" s="5"/>
      <c r="H2454" s="6"/>
      <c r="I2454" s="5"/>
      <c r="J2454" s="88"/>
      <c r="K2454" s="88"/>
      <c r="L2454" s="88"/>
      <c r="M2454" s="88"/>
      <c r="N2454" s="88"/>
      <c r="O2454" s="88"/>
      <c r="P2454" s="88"/>
      <c r="Q2454" s="89"/>
      <c r="R2454" s="88"/>
      <c r="S2454" s="88"/>
      <c r="T2454" s="90"/>
      <c r="U2454" s="6"/>
      <c r="V2454" s="92"/>
      <c r="W2454" s="77"/>
      <c r="X2454" s="91"/>
      <c r="Y2454" s="77"/>
      <c r="Z2454" s="5"/>
      <c r="AA2454" s="5"/>
      <c r="AB2454" s="5"/>
      <c r="AC2454" s="5"/>
      <c r="AD2454" s="5"/>
      <c r="AE2454" s="5"/>
      <c r="AF2454" s="5"/>
      <c r="AG2454" s="5"/>
      <c r="AH2454" s="6"/>
      <c r="AI2454" s="92"/>
      <c r="AJ2454" s="93"/>
      <c r="AK2454" s="94"/>
      <c r="AL2454" s="95"/>
      <c r="AM2454" s="56"/>
      <c r="AN2454" s="57">
        <f t="shared" si="390"/>
        <v>0</v>
      </c>
      <c r="AO2454" s="76">
        <f t="shared" si="392"/>
        <v>0</v>
      </c>
      <c r="AP2454" s="63" t="str">
        <f t="shared" si="393"/>
        <v/>
      </c>
      <c r="AQ2454" s="63" t="str">
        <f t="shared" si="394"/>
        <v/>
      </c>
      <c r="AR2454" s="63" t="str">
        <f t="shared" si="395"/>
        <v/>
      </c>
      <c r="AS2454" s="63" t="str">
        <f t="shared" si="396"/>
        <v/>
      </c>
      <c r="AT2454" s="78" t="str">
        <f t="shared" si="397"/>
        <v/>
      </c>
      <c r="AU2454" s="78" t="str">
        <f t="shared" si="398"/>
        <v/>
      </c>
      <c r="AV2454" s="64" t="str">
        <f ca="1">IFERROR(__xludf.DUMMYFUNCTION("IF(TRIM(AU2454)="""","""",AU2454/INDEX(FILTER(AT$3:AT2454,TRIM(AT$3:AT2454)&lt;&gt;""""),ROWS(FILTER(AT$3:AT2454,TRIM(AT$3:AT2454)&lt;&gt;"""")))-1)"),"")</f>
        <v/>
      </c>
      <c r="AW2454" s="65" t="e">
        <f t="shared" ca="1" si="391"/>
        <v>#VALUE!</v>
      </c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</row>
    <row r="2455" spans="1:68" ht="19" x14ac:dyDescent="0.25">
      <c r="A2455" s="5"/>
      <c r="B2455" s="5"/>
      <c r="C2455" s="5"/>
      <c r="D2455" s="5"/>
      <c r="E2455" s="5"/>
      <c r="F2455" s="5"/>
      <c r="G2455" s="5"/>
      <c r="H2455" s="6"/>
      <c r="I2455" s="5"/>
      <c r="J2455" s="88"/>
      <c r="K2455" s="88"/>
      <c r="L2455" s="88"/>
      <c r="M2455" s="88"/>
      <c r="N2455" s="88"/>
      <c r="O2455" s="88"/>
      <c r="P2455" s="88"/>
      <c r="Q2455" s="89"/>
      <c r="R2455" s="88"/>
      <c r="S2455" s="88"/>
      <c r="T2455" s="90"/>
      <c r="U2455" s="6"/>
      <c r="V2455" s="92"/>
      <c r="W2455" s="77"/>
      <c r="X2455" s="91"/>
      <c r="Y2455" s="77"/>
      <c r="Z2455" s="5"/>
      <c r="AA2455" s="5"/>
      <c r="AB2455" s="5"/>
      <c r="AC2455" s="5"/>
      <c r="AD2455" s="5"/>
      <c r="AE2455" s="5"/>
      <c r="AF2455" s="5"/>
      <c r="AG2455" s="5"/>
      <c r="AH2455" s="6"/>
      <c r="AI2455" s="92"/>
      <c r="AJ2455" s="93"/>
      <c r="AK2455" s="94"/>
      <c r="AL2455" s="95"/>
      <c r="AM2455" s="56"/>
      <c r="AN2455" s="57">
        <f t="shared" si="390"/>
        <v>0</v>
      </c>
      <c r="AO2455" s="76">
        <f t="shared" si="392"/>
        <v>0</v>
      </c>
      <c r="AP2455" s="63" t="str">
        <f t="shared" si="393"/>
        <v/>
      </c>
      <c r="AQ2455" s="63" t="str">
        <f t="shared" si="394"/>
        <v/>
      </c>
      <c r="AR2455" s="63" t="str">
        <f t="shared" si="395"/>
        <v/>
      </c>
      <c r="AS2455" s="63" t="str">
        <f t="shared" si="396"/>
        <v/>
      </c>
      <c r="AT2455" s="78" t="str">
        <f t="shared" si="397"/>
        <v/>
      </c>
      <c r="AU2455" s="78" t="str">
        <f t="shared" si="398"/>
        <v/>
      </c>
      <c r="AV2455" s="64" t="str">
        <f ca="1">IFERROR(__xludf.DUMMYFUNCTION("IF(TRIM(AU2455)="""","""",AU2455/INDEX(FILTER(AT$3:AT2455,TRIM(AT$3:AT2455)&lt;&gt;""""),ROWS(FILTER(AT$3:AT2455,TRIM(AT$3:AT2455)&lt;&gt;"""")))-1)"),"")</f>
        <v/>
      </c>
      <c r="AW2455" s="65" t="e">
        <f t="shared" ca="1" si="391"/>
        <v>#VALUE!</v>
      </c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</row>
    <row r="2456" spans="1:68" ht="19" x14ac:dyDescent="0.25">
      <c r="A2456" s="5"/>
      <c r="B2456" s="5"/>
      <c r="C2456" s="5"/>
      <c r="D2456" s="5"/>
      <c r="E2456" s="5"/>
      <c r="F2456" s="5"/>
      <c r="G2456" s="5"/>
      <c r="H2456" s="6"/>
      <c r="I2456" s="5"/>
      <c r="J2456" s="88"/>
      <c r="K2456" s="88"/>
      <c r="L2456" s="88"/>
      <c r="M2456" s="88"/>
      <c r="N2456" s="88"/>
      <c r="O2456" s="88"/>
      <c r="P2456" s="88"/>
      <c r="Q2456" s="89"/>
      <c r="R2456" s="88"/>
      <c r="S2456" s="88"/>
      <c r="T2456" s="90"/>
      <c r="U2456" s="6"/>
      <c r="V2456" s="92"/>
      <c r="W2456" s="77"/>
      <c r="X2456" s="91"/>
      <c r="Y2456" s="77"/>
      <c r="Z2456" s="5"/>
      <c r="AA2456" s="5"/>
      <c r="AB2456" s="5"/>
      <c r="AC2456" s="5"/>
      <c r="AD2456" s="5"/>
      <c r="AE2456" s="5"/>
      <c r="AF2456" s="5"/>
      <c r="AG2456" s="5"/>
      <c r="AH2456" s="6"/>
      <c r="AI2456" s="92"/>
      <c r="AJ2456" s="93"/>
      <c r="AK2456" s="94"/>
      <c r="AL2456" s="95"/>
      <c r="AM2456" s="56"/>
      <c r="AN2456" s="57">
        <f t="shared" si="390"/>
        <v>0</v>
      </c>
      <c r="AO2456" s="76">
        <f t="shared" si="392"/>
        <v>0</v>
      </c>
      <c r="AP2456" s="63" t="str">
        <f t="shared" si="393"/>
        <v/>
      </c>
      <c r="AQ2456" s="63" t="str">
        <f t="shared" si="394"/>
        <v/>
      </c>
      <c r="AR2456" s="63" t="str">
        <f t="shared" si="395"/>
        <v/>
      </c>
      <c r="AS2456" s="63" t="str">
        <f t="shared" si="396"/>
        <v/>
      </c>
      <c r="AT2456" s="78" t="str">
        <f t="shared" si="397"/>
        <v/>
      </c>
      <c r="AU2456" s="78" t="str">
        <f t="shared" si="398"/>
        <v/>
      </c>
      <c r="AV2456" s="64" t="str">
        <f ca="1">IFERROR(__xludf.DUMMYFUNCTION("IF(TRIM(AU2456)="""","""",AU2456/INDEX(FILTER(AT$3:AT2456,TRIM(AT$3:AT2456)&lt;&gt;""""),ROWS(FILTER(AT$3:AT2456,TRIM(AT$3:AT2456)&lt;&gt;"""")))-1)"),"")</f>
        <v/>
      </c>
      <c r="AW2456" s="65" t="e">
        <f t="shared" ca="1" si="391"/>
        <v>#VALUE!</v>
      </c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</row>
    <row r="2457" spans="1:68" ht="19" x14ac:dyDescent="0.25">
      <c r="A2457" s="5"/>
      <c r="B2457" s="5"/>
      <c r="C2457" s="5"/>
      <c r="D2457" s="5"/>
      <c r="E2457" s="5"/>
      <c r="F2457" s="5"/>
      <c r="G2457" s="5"/>
      <c r="H2457" s="6"/>
      <c r="I2457" s="5"/>
      <c r="J2457" s="88"/>
      <c r="K2457" s="88"/>
      <c r="L2457" s="88"/>
      <c r="M2457" s="88"/>
      <c r="N2457" s="88"/>
      <c r="O2457" s="88"/>
      <c r="P2457" s="88"/>
      <c r="Q2457" s="89"/>
      <c r="R2457" s="88"/>
      <c r="S2457" s="88"/>
      <c r="T2457" s="90"/>
      <c r="U2457" s="6"/>
      <c r="V2457" s="92"/>
      <c r="W2457" s="77"/>
      <c r="X2457" s="91"/>
      <c r="Y2457" s="77"/>
      <c r="Z2457" s="5"/>
      <c r="AA2457" s="5"/>
      <c r="AB2457" s="5"/>
      <c r="AC2457" s="5"/>
      <c r="AD2457" s="5"/>
      <c r="AE2457" s="5"/>
      <c r="AF2457" s="5"/>
      <c r="AG2457" s="5"/>
      <c r="AH2457" s="6"/>
      <c r="AI2457" s="92"/>
      <c r="AJ2457" s="93"/>
      <c r="AK2457" s="94"/>
      <c r="AL2457" s="95"/>
      <c r="AM2457" s="56"/>
      <c r="AN2457" s="57">
        <f t="shared" si="390"/>
        <v>0</v>
      </c>
      <c r="AO2457" s="76">
        <f t="shared" si="392"/>
        <v>0</v>
      </c>
      <c r="AP2457" s="63" t="str">
        <f t="shared" si="393"/>
        <v/>
      </c>
      <c r="AQ2457" s="63" t="str">
        <f t="shared" si="394"/>
        <v/>
      </c>
      <c r="AR2457" s="63" t="str">
        <f t="shared" si="395"/>
        <v/>
      </c>
      <c r="AS2457" s="63" t="str">
        <f t="shared" si="396"/>
        <v/>
      </c>
      <c r="AT2457" s="78" t="str">
        <f t="shared" si="397"/>
        <v/>
      </c>
      <c r="AU2457" s="78" t="str">
        <f t="shared" si="398"/>
        <v/>
      </c>
      <c r="AV2457" s="64" t="str">
        <f ca="1">IFERROR(__xludf.DUMMYFUNCTION("IF(TRIM(AU2457)="""","""",AU2457/INDEX(FILTER(AT$3:AT2457,TRIM(AT$3:AT2457)&lt;&gt;""""),ROWS(FILTER(AT$3:AT2457,TRIM(AT$3:AT2457)&lt;&gt;"""")))-1)"),"")</f>
        <v/>
      </c>
      <c r="AW2457" s="65" t="e">
        <f t="shared" ca="1" si="391"/>
        <v>#VALUE!</v>
      </c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</row>
    <row r="2458" spans="1:68" ht="19" x14ac:dyDescent="0.25">
      <c r="A2458" s="5"/>
      <c r="B2458" s="5"/>
      <c r="C2458" s="5"/>
      <c r="D2458" s="5"/>
      <c r="E2458" s="5"/>
      <c r="F2458" s="5"/>
      <c r="G2458" s="5"/>
      <c r="H2458" s="6"/>
      <c r="I2458" s="5"/>
      <c r="J2458" s="88"/>
      <c r="K2458" s="88"/>
      <c r="L2458" s="88"/>
      <c r="M2458" s="88"/>
      <c r="N2458" s="88"/>
      <c r="O2458" s="88"/>
      <c r="P2458" s="88"/>
      <c r="Q2458" s="89"/>
      <c r="R2458" s="88"/>
      <c r="S2458" s="88"/>
      <c r="T2458" s="90"/>
      <c r="U2458" s="6"/>
      <c r="V2458" s="92"/>
      <c r="W2458" s="77"/>
      <c r="X2458" s="91"/>
      <c r="Y2458" s="77"/>
      <c r="Z2458" s="5"/>
      <c r="AA2458" s="5"/>
      <c r="AB2458" s="5"/>
      <c r="AC2458" s="5"/>
      <c r="AD2458" s="5"/>
      <c r="AE2458" s="5"/>
      <c r="AF2458" s="5"/>
      <c r="AG2458" s="5"/>
      <c r="AH2458" s="6"/>
      <c r="AI2458" s="92"/>
      <c r="AJ2458" s="93"/>
      <c r="AK2458" s="94"/>
      <c r="AL2458" s="95"/>
      <c r="AM2458" s="56"/>
      <c r="AN2458" s="57">
        <f t="shared" si="390"/>
        <v>0</v>
      </c>
      <c r="AO2458" s="76">
        <f t="shared" si="392"/>
        <v>0</v>
      </c>
      <c r="AP2458" s="63" t="str">
        <f t="shared" si="393"/>
        <v/>
      </c>
      <c r="AQ2458" s="63" t="str">
        <f t="shared" si="394"/>
        <v/>
      </c>
      <c r="AR2458" s="63" t="str">
        <f t="shared" si="395"/>
        <v/>
      </c>
      <c r="AS2458" s="63" t="str">
        <f t="shared" si="396"/>
        <v/>
      </c>
      <c r="AT2458" s="78" t="str">
        <f t="shared" si="397"/>
        <v/>
      </c>
      <c r="AU2458" s="78" t="str">
        <f t="shared" si="398"/>
        <v/>
      </c>
      <c r="AV2458" s="64" t="str">
        <f ca="1">IFERROR(__xludf.DUMMYFUNCTION("IF(TRIM(AU2458)="""","""",AU2458/INDEX(FILTER(AT$3:AT2458,TRIM(AT$3:AT2458)&lt;&gt;""""),ROWS(FILTER(AT$3:AT2458,TRIM(AT$3:AT2458)&lt;&gt;"""")))-1)"),"")</f>
        <v/>
      </c>
      <c r="AW2458" s="65" t="e">
        <f t="shared" ca="1" si="391"/>
        <v>#VALUE!</v>
      </c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</row>
    <row r="2459" spans="1:68" ht="19" x14ac:dyDescent="0.25">
      <c r="A2459" s="5"/>
      <c r="B2459" s="5"/>
      <c r="C2459" s="5"/>
      <c r="D2459" s="5"/>
      <c r="E2459" s="5"/>
      <c r="F2459" s="5"/>
      <c r="G2459" s="5"/>
      <c r="H2459" s="6"/>
      <c r="I2459" s="5"/>
      <c r="J2459" s="88"/>
      <c r="K2459" s="88"/>
      <c r="L2459" s="88"/>
      <c r="M2459" s="88"/>
      <c r="N2459" s="88"/>
      <c r="O2459" s="88"/>
      <c r="P2459" s="88"/>
      <c r="Q2459" s="89"/>
      <c r="R2459" s="88"/>
      <c r="S2459" s="88"/>
      <c r="T2459" s="90"/>
      <c r="U2459" s="6"/>
      <c r="V2459" s="92"/>
      <c r="W2459" s="77"/>
      <c r="X2459" s="91"/>
      <c r="Y2459" s="77"/>
      <c r="Z2459" s="5"/>
      <c r="AA2459" s="5"/>
      <c r="AB2459" s="5"/>
      <c r="AC2459" s="5"/>
      <c r="AD2459" s="5"/>
      <c r="AE2459" s="5"/>
      <c r="AF2459" s="5"/>
      <c r="AG2459" s="5"/>
      <c r="AH2459" s="6"/>
      <c r="AI2459" s="92"/>
      <c r="AJ2459" s="93"/>
      <c r="AK2459" s="94"/>
      <c r="AL2459" s="95"/>
      <c r="AM2459" s="56"/>
      <c r="AN2459" s="57">
        <f t="shared" si="390"/>
        <v>0</v>
      </c>
      <c r="AO2459" s="76">
        <f t="shared" si="392"/>
        <v>0</v>
      </c>
      <c r="AP2459" s="63" t="str">
        <f t="shared" si="393"/>
        <v/>
      </c>
      <c r="AQ2459" s="63" t="str">
        <f t="shared" si="394"/>
        <v/>
      </c>
      <c r="AR2459" s="63" t="str">
        <f t="shared" si="395"/>
        <v/>
      </c>
      <c r="AS2459" s="63" t="str">
        <f t="shared" si="396"/>
        <v/>
      </c>
      <c r="AT2459" s="78" t="str">
        <f t="shared" si="397"/>
        <v/>
      </c>
      <c r="AU2459" s="78" t="str">
        <f t="shared" si="398"/>
        <v/>
      </c>
      <c r="AV2459" s="64" t="str">
        <f ca="1">IFERROR(__xludf.DUMMYFUNCTION("IF(TRIM(AU2459)="""","""",AU2459/INDEX(FILTER(AT$3:AT2459,TRIM(AT$3:AT2459)&lt;&gt;""""),ROWS(FILTER(AT$3:AT2459,TRIM(AT$3:AT2459)&lt;&gt;"""")))-1)"),"")</f>
        <v/>
      </c>
      <c r="AW2459" s="65" t="e">
        <f t="shared" ca="1" si="391"/>
        <v>#VALUE!</v>
      </c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</row>
    <row r="2460" spans="1:68" ht="19" x14ac:dyDescent="0.25">
      <c r="A2460" s="5"/>
      <c r="B2460" s="5"/>
      <c r="C2460" s="5"/>
      <c r="D2460" s="5"/>
      <c r="E2460" s="5"/>
      <c r="F2460" s="5"/>
      <c r="G2460" s="5"/>
      <c r="H2460" s="6"/>
      <c r="I2460" s="5"/>
      <c r="J2460" s="88"/>
      <c r="K2460" s="88"/>
      <c r="L2460" s="88"/>
      <c r="M2460" s="88"/>
      <c r="N2460" s="88"/>
      <c r="O2460" s="88"/>
      <c r="P2460" s="88"/>
      <c r="Q2460" s="89"/>
      <c r="R2460" s="88"/>
      <c r="S2460" s="88"/>
      <c r="T2460" s="90"/>
      <c r="U2460" s="6"/>
      <c r="V2460" s="92"/>
      <c r="W2460" s="77"/>
      <c r="X2460" s="91"/>
      <c r="Y2460" s="77"/>
      <c r="Z2460" s="5"/>
      <c r="AA2460" s="5"/>
      <c r="AB2460" s="5"/>
      <c r="AC2460" s="5"/>
      <c r="AD2460" s="5"/>
      <c r="AE2460" s="5"/>
      <c r="AF2460" s="5"/>
      <c r="AG2460" s="5"/>
      <c r="AH2460" s="6"/>
      <c r="AI2460" s="92"/>
      <c r="AJ2460" s="93"/>
      <c r="AK2460" s="94"/>
      <c r="AL2460" s="95"/>
      <c r="AM2460" s="56"/>
      <c r="AN2460" s="57">
        <f t="shared" si="390"/>
        <v>0</v>
      </c>
      <c r="AO2460" s="76">
        <f t="shared" si="392"/>
        <v>0</v>
      </c>
      <c r="AP2460" s="63" t="str">
        <f t="shared" si="393"/>
        <v/>
      </c>
      <c r="AQ2460" s="63" t="str">
        <f t="shared" si="394"/>
        <v/>
      </c>
      <c r="AR2460" s="63" t="str">
        <f t="shared" si="395"/>
        <v/>
      </c>
      <c r="AS2460" s="63" t="str">
        <f t="shared" si="396"/>
        <v/>
      </c>
      <c r="AT2460" s="78" t="str">
        <f t="shared" si="397"/>
        <v/>
      </c>
      <c r="AU2460" s="78" t="str">
        <f t="shared" si="398"/>
        <v/>
      </c>
      <c r="AV2460" s="64" t="str">
        <f ca="1">IFERROR(__xludf.DUMMYFUNCTION("IF(TRIM(AU2460)="""","""",AU2460/INDEX(FILTER(AT$3:AT2460,TRIM(AT$3:AT2460)&lt;&gt;""""),ROWS(FILTER(AT$3:AT2460,TRIM(AT$3:AT2460)&lt;&gt;"""")))-1)"),"")</f>
        <v/>
      </c>
      <c r="AW2460" s="65" t="e">
        <f t="shared" ca="1" si="391"/>
        <v>#VALUE!</v>
      </c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</row>
    <row r="2461" spans="1:68" ht="19" x14ac:dyDescent="0.25">
      <c r="A2461" s="5"/>
      <c r="B2461" s="5"/>
      <c r="C2461" s="5"/>
      <c r="D2461" s="5"/>
      <c r="E2461" s="5"/>
      <c r="F2461" s="5"/>
      <c r="G2461" s="5"/>
      <c r="H2461" s="6"/>
      <c r="I2461" s="5"/>
      <c r="J2461" s="88"/>
      <c r="K2461" s="88"/>
      <c r="L2461" s="88"/>
      <c r="M2461" s="88"/>
      <c r="N2461" s="88"/>
      <c r="O2461" s="88"/>
      <c r="P2461" s="88"/>
      <c r="Q2461" s="89"/>
      <c r="R2461" s="88"/>
      <c r="S2461" s="88"/>
      <c r="T2461" s="90"/>
      <c r="U2461" s="6"/>
      <c r="V2461" s="92"/>
      <c r="W2461" s="77"/>
      <c r="X2461" s="91"/>
      <c r="Y2461" s="77"/>
      <c r="Z2461" s="5"/>
      <c r="AA2461" s="5"/>
      <c r="AB2461" s="5"/>
      <c r="AC2461" s="5"/>
      <c r="AD2461" s="5"/>
      <c r="AE2461" s="5"/>
      <c r="AF2461" s="5"/>
      <c r="AG2461" s="5"/>
      <c r="AH2461" s="6"/>
      <c r="AI2461" s="92"/>
      <c r="AJ2461" s="93"/>
      <c r="AK2461" s="94"/>
      <c r="AL2461" s="95"/>
      <c r="AM2461" s="56"/>
      <c r="AN2461" s="57">
        <f t="shared" si="390"/>
        <v>0</v>
      </c>
      <c r="AO2461" s="76">
        <f t="shared" si="392"/>
        <v>0</v>
      </c>
      <c r="AP2461" s="63" t="str">
        <f t="shared" si="393"/>
        <v/>
      </c>
      <c r="AQ2461" s="63" t="str">
        <f t="shared" si="394"/>
        <v/>
      </c>
      <c r="AR2461" s="63" t="str">
        <f t="shared" si="395"/>
        <v/>
      </c>
      <c r="AS2461" s="63" t="str">
        <f t="shared" si="396"/>
        <v/>
      </c>
      <c r="AT2461" s="78" t="str">
        <f t="shared" si="397"/>
        <v/>
      </c>
      <c r="AU2461" s="78" t="str">
        <f t="shared" si="398"/>
        <v/>
      </c>
      <c r="AV2461" s="64" t="str">
        <f ca="1">IFERROR(__xludf.DUMMYFUNCTION("IF(TRIM(AU2461)="""","""",AU2461/INDEX(FILTER(AT$3:AT2461,TRIM(AT$3:AT2461)&lt;&gt;""""),ROWS(FILTER(AT$3:AT2461,TRIM(AT$3:AT2461)&lt;&gt;"""")))-1)"),"")</f>
        <v/>
      </c>
      <c r="AW2461" s="65" t="e">
        <f t="shared" ca="1" si="391"/>
        <v>#VALUE!</v>
      </c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</row>
    <row r="2462" spans="1:68" ht="19" x14ac:dyDescent="0.25">
      <c r="A2462" s="5"/>
      <c r="B2462" s="5"/>
      <c r="C2462" s="5"/>
      <c r="D2462" s="5"/>
      <c r="E2462" s="5"/>
      <c r="F2462" s="5"/>
      <c r="G2462" s="5"/>
      <c r="H2462" s="6"/>
      <c r="I2462" s="5"/>
      <c r="J2462" s="88"/>
      <c r="K2462" s="88"/>
      <c r="L2462" s="88"/>
      <c r="M2462" s="88"/>
      <c r="N2462" s="88"/>
      <c r="O2462" s="88"/>
      <c r="P2462" s="88"/>
      <c r="Q2462" s="89"/>
      <c r="R2462" s="88"/>
      <c r="S2462" s="88"/>
      <c r="T2462" s="90"/>
      <c r="U2462" s="6"/>
      <c r="V2462" s="92"/>
      <c r="W2462" s="77"/>
      <c r="X2462" s="91"/>
      <c r="Y2462" s="77"/>
      <c r="Z2462" s="5"/>
      <c r="AA2462" s="5"/>
      <c r="AB2462" s="5"/>
      <c r="AC2462" s="5"/>
      <c r="AD2462" s="5"/>
      <c r="AE2462" s="5"/>
      <c r="AF2462" s="5"/>
      <c r="AG2462" s="5"/>
      <c r="AH2462" s="6"/>
      <c r="AI2462" s="92"/>
      <c r="AJ2462" s="93"/>
      <c r="AK2462" s="94"/>
      <c r="AL2462" s="95"/>
      <c r="AM2462" s="56"/>
      <c r="AN2462" s="57">
        <f t="shared" si="390"/>
        <v>0</v>
      </c>
      <c r="AO2462" s="76">
        <f t="shared" si="392"/>
        <v>0</v>
      </c>
      <c r="AP2462" s="63" t="str">
        <f t="shared" si="393"/>
        <v/>
      </c>
      <c r="AQ2462" s="63" t="str">
        <f t="shared" si="394"/>
        <v/>
      </c>
      <c r="AR2462" s="63" t="str">
        <f t="shared" si="395"/>
        <v/>
      </c>
      <c r="AS2462" s="63" t="str">
        <f t="shared" si="396"/>
        <v/>
      </c>
      <c r="AT2462" s="78" t="str">
        <f t="shared" si="397"/>
        <v/>
      </c>
      <c r="AU2462" s="78" t="str">
        <f t="shared" si="398"/>
        <v/>
      </c>
      <c r="AV2462" s="64" t="str">
        <f ca="1">IFERROR(__xludf.DUMMYFUNCTION("IF(TRIM(AU2462)="""","""",AU2462/INDEX(FILTER(AT$3:AT2462,TRIM(AT$3:AT2462)&lt;&gt;""""),ROWS(FILTER(AT$3:AT2462,TRIM(AT$3:AT2462)&lt;&gt;"""")))-1)"),"")</f>
        <v/>
      </c>
      <c r="AW2462" s="65" t="e">
        <f t="shared" ca="1" si="391"/>
        <v>#VALUE!</v>
      </c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</row>
    <row r="2463" spans="1:68" ht="19" x14ac:dyDescent="0.25">
      <c r="A2463" s="5"/>
      <c r="B2463" s="5"/>
      <c r="C2463" s="5"/>
      <c r="D2463" s="5"/>
      <c r="E2463" s="5"/>
      <c r="F2463" s="5"/>
      <c r="G2463" s="5"/>
      <c r="H2463" s="6"/>
      <c r="I2463" s="5"/>
      <c r="J2463" s="88"/>
      <c r="K2463" s="88"/>
      <c r="L2463" s="88"/>
      <c r="M2463" s="88"/>
      <c r="N2463" s="88"/>
      <c r="O2463" s="88"/>
      <c r="P2463" s="88"/>
      <c r="Q2463" s="89"/>
      <c r="R2463" s="88"/>
      <c r="S2463" s="88"/>
      <c r="T2463" s="90"/>
      <c r="U2463" s="6"/>
      <c r="V2463" s="92"/>
      <c r="W2463" s="77"/>
      <c r="X2463" s="91"/>
      <c r="Y2463" s="77"/>
      <c r="Z2463" s="5"/>
      <c r="AA2463" s="5"/>
      <c r="AB2463" s="5"/>
      <c r="AC2463" s="5"/>
      <c r="AD2463" s="5"/>
      <c r="AE2463" s="5"/>
      <c r="AF2463" s="5"/>
      <c r="AG2463" s="5"/>
      <c r="AH2463" s="6"/>
      <c r="AI2463" s="92"/>
      <c r="AJ2463" s="93"/>
      <c r="AK2463" s="94"/>
      <c r="AL2463" s="95"/>
      <c r="AM2463" s="56"/>
      <c r="AN2463" s="57">
        <f t="shared" si="390"/>
        <v>0</v>
      </c>
      <c r="AO2463" s="76">
        <f t="shared" si="392"/>
        <v>0</v>
      </c>
      <c r="AP2463" s="63" t="str">
        <f t="shared" si="393"/>
        <v/>
      </c>
      <c r="AQ2463" s="63" t="str">
        <f t="shared" si="394"/>
        <v/>
      </c>
      <c r="AR2463" s="63" t="str">
        <f t="shared" si="395"/>
        <v/>
      </c>
      <c r="AS2463" s="63" t="str">
        <f t="shared" si="396"/>
        <v/>
      </c>
      <c r="AT2463" s="78" t="str">
        <f t="shared" si="397"/>
        <v/>
      </c>
      <c r="AU2463" s="78" t="str">
        <f t="shared" si="398"/>
        <v/>
      </c>
      <c r="AV2463" s="64" t="str">
        <f ca="1">IFERROR(__xludf.DUMMYFUNCTION("IF(TRIM(AU2463)="""","""",AU2463/INDEX(FILTER(AT$3:AT2463,TRIM(AT$3:AT2463)&lt;&gt;""""),ROWS(FILTER(AT$3:AT2463,TRIM(AT$3:AT2463)&lt;&gt;"""")))-1)"),"")</f>
        <v/>
      </c>
      <c r="AW2463" s="65" t="e">
        <f t="shared" ca="1" si="391"/>
        <v>#VALUE!</v>
      </c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</row>
    <row r="2464" spans="1:68" ht="19" x14ac:dyDescent="0.25">
      <c r="A2464" s="5"/>
      <c r="B2464" s="5"/>
      <c r="C2464" s="5"/>
      <c r="D2464" s="5"/>
      <c r="E2464" s="5"/>
      <c r="F2464" s="5"/>
      <c r="G2464" s="5"/>
      <c r="H2464" s="6"/>
      <c r="I2464" s="5"/>
      <c r="J2464" s="88"/>
      <c r="K2464" s="88"/>
      <c r="L2464" s="88"/>
      <c r="M2464" s="88"/>
      <c r="N2464" s="88"/>
      <c r="O2464" s="88"/>
      <c r="P2464" s="88"/>
      <c r="Q2464" s="89"/>
      <c r="R2464" s="88"/>
      <c r="S2464" s="88"/>
      <c r="T2464" s="90"/>
      <c r="U2464" s="6"/>
      <c r="V2464" s="92"/>
      <c r="W2464" s="77"/>
      <c r="X2464" s="91"/>
      <c r="Y2464" s="77"/>
      <c r="Z2464" s="5"/>
      <c r="AA2464" s="5"/>
      <c r="AB2464" s="5"/>
      <c r="AC2464" s="5"/>
      <c r="AD2464" s="5"/>
      <c r="AE2464" s="5"/>
      <c r="AF2464" s="5"/>
      <c r="AG2464" s="5"/>
      <c r="AH2464" s="6"/>
      <c r="AI2464" s="92"/>
      <c r="AJ2464" s="93"/>
      <c r="AK2464" s="94"/>
      <c r="AL2464" s="95"/>
      <c r="AM2464" s="56"/>
      <c r="AN2464" s="57">
        <f t="shared" si="390"/>
        <v>0</v>
      </c>
      <c r="AO2464" s="76">
        <f t="shared" si="392"/>
        <v>0</v>
      </c>
      <c r="AP2464" s="63" t="str">
        <f t="shared" si="393"/>
        <v/>
      </c>
      <c r="AQ2464" s="63" t="str">
        <f t="shared" si="394"/>
        <v/>
      </c>
      <c r="AR2464" s="63" t="str">
        <f t="shared" si="395"/>
        <v/>
      </c>
      <c r="AS2464" s="63" t="str">
        <f t="shared" si="396"/>
        <v/>
      </c>
      <c r="AT2464" s="78" t="str">
        <f t="shared" si="397"/>
        <v/>
      </c>
      <c r="AU2464" s="78" t="str">
        <f t="shared" si="398"/>
        <v/>
      </c>
      <c r="AV2464" s="64" t="str">
        <f ca="1">IFERROR(__xludf.DUMMYFUNCTION("IF(TRIM(AU2464)="""","""",AU2464/INDEX(FILTER(AT$3:AT2464,TRIM(AT$3:AT2464)&lt;&gt;""""),ROWS(FILTER(AT$3:AT2464,TRIM(AT$3:AT2464)&lt;&gt;"""")))-1)"),"")</f>
        <v/>
      </c>
      <c r="AW2464" s="65" t="e">
        <f t="shared" ca="1" si="391"/>
        <v>#VALUE!</v>
      </c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</row>
    <row r="2465" spans="1:68" ht="19" x14ac:dyDescent="0.25">
      <c r="A2465" s="5"/>
      <c r="B2465" s="5"/>
      <c r="C2465" s="5"/>
      <c r="D2465" s="5"/>
      <c r="E2465" s="5"/>
      <c r="F2465" s="5"/>
      <c r="G2465" s="5"/>
      <c r="H2465" s="6"/>
      <c r="I2465" s="5"/>
      <c r="J2465" s="88"/>
      <c r="K2465" s="88"/>
      <c r="L2465" s="88"/>
      <c r="M2465" s="88"/>
      <c r="N2465" s="88"/>
      <c r="O2465" s="88"/>
      <c r="P2465" s="88"/>
      <c r="Q2465" s="89"/>
      <c r="R2465" s="88"/>
      <c r="S2465" s="88"/>
      <c r="T2465" s="90"/>
      <c r="U2465" s="6"/>
      <c r="V2465" s="92"/>
      <c r="W2465" s="77"/>
      <c r="X2465" s="91"/>
      <c r="Y2465" s="77"/>
      <c r="Z2465" s="5"/>
      <c r="AA2465" s="5"/>
      <c r="AB2465" s="5"/>
      <c r="AC2465" s="5"/>
      <c r="AD2465" s="5"/>
      <c r="AE2465" s="5"/>
      <c r="AF2465" s="5"/>
      <c r="AG2465" s="5"/>
      <c r="AH2465" s="6"/>
      <c r="AI2465" s="92"/>
      <c r="AJ2465" s="93"/>
      <c r="AK2465" s="94"/>
      <c r="AL2465" s="95"/>
      <c r="AM2465" s="56"/>
      <c r="AN2465" s="57">
        <f t="shared" si="390"/>
        <v>0</v>
      </c>
      <c r="AO2465" s="76">
        <f t="shared" si="392"/>
        <v>0</v>
      </c>
      <c r="AP2465" s="63" t="str">
        <f t="shared" si="393"/>
        <v/>
      </c>
      <c r="AQ2465" s="63" t="str">
        <f t="shared" si="394"/>
        <v/>
      </c>
      <c r="AR2465" s="63" t="str">
        <f t="shared" si="395"/>
        <v/>
      </c>
      <c r="AS2465" s="63" t="str">
        <f t="shared" si="396"/>
        <v/>
      </c>
      <c r="AT2465" s="78" t="str">
        <f t="shared" si="397"/>
        <v/>
      </c>
      <c r="AU2465" s="78" t="str">
        <f t="shared" si="398"/>
        <v/>
      </c>
      <c r="AV2465" s="64" t="str">
        <f ca="1">IFERROR(__xludf.DUMMYFUNCTION("IF(TRIM(AU2465)="""","""",AU2465/INDEX(FILTER(AT$3:AT2465,TRIM(AT$3:AT2465)&lt;&gt;""""),ROWS(FILTER(AT$3:AT2465,TRIM(AT$3:AT2465)&lt;&gt;"""")))-1)"),"")</f>
        <v/>
      </c>
      <c r="AW2465" s="65" t="e">
        <f t="shared" ca="1" si="391"/>
        <v>#VALUE!</v>
      </c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</row>
    <row r="2466" spans="1:68" ht="19" x14ac:dyDescent="0.25">
      <c r="A2466" s="5"/>
      <c r="B2466" s="5"/>
      <c r="C2466" s="5"/>
      <c r="D2466" s="5"/>
      <c r="E2466" s="5"/>
      <c r="F2466" s="5"/>
      <c r="G2466" s="5"/>
      <c r="H2466" s="6"/>
      <c r="I2466" s="5"/>
      <c r="J2466" s="88"/>
      <c r="K2466" s="88"/>
      <c r="L2466" s="88"/>
      <c r="M2466" s="88"/>
      <c r="N2466" s="88"/>
      <c r="O2466" s="88"/>
      <c r="P2466" s="88"/>
      <c r="Q2466" s="89"/>
      <c r="R2466" s="88"/>
      <c r="S2466" s="88"/>
      <c r="T2466" s="90"/>
      <c r="U2466" s="6"/>
      <c r="V2466" s="92"/>
      <c r="W2466" s="77"/>
      <c r="X2466" s="91"/>
      <c r="Y2466" s="77"/>
      <c r="Z2466" s="5"/>
      <c r="AA2466" s="5"/>
      <c r="AB2466" s="5"/>
      <c r="AC2466" s="5"/>
      <c r="AD2466" s="5"/>
      <c r="AE2466" s="5"/>
      <c r="AF2466" s="5"/>
      <c r="AG2466" s="5"/>
      <c r="AH2466" s="6"/>
      <c r="AI2466" s="92"/>
      <c r="AJ2466" s="93"/>
      <c r="AK2466" s="94"/>
      <c r="AL2466" s="95"/>
      <c r="AM2466" s="56"/>
      <c r="AN2466" s="57">
        <f t="shared" si="390"/>
        <v>0</v>
      </c>
      <c r="AO2466" s="76">
        <f t="shared" si="392"/>
        <v>0</v>
      </c>
      <c r="AP2466" s="63" t="str">
        <f t="shared" si="393"/>
        <v/>
      </c>
      <c r="AQ2466" s="63" t="str">
        <f t="shared" si="394"/>
        <v/>
      </c>
      <c r="AR2466" s="63" t="str">
        <f t="shared" si="395"/>
        <v/>
      </c>
      <c r="AS2466" s="63" t="str">
        <f t="shared" si="396"/>
        <v/>
      </c>
      <c r="AT2466" s="78" t="str">
        <f t="shared" si="397"/>
        <v/>
      </c>
      <c r="AU2466" s="78" t="str">
        <f t="shared" si="398"/>
        <v/>
      </c>
      <c r="AV2466" s="64" t="str">
        <f ca="1">IFERROR(__xludf.DUMMYFUNCTION("IF(TRIM(AU2466)="""","""",AU2466/INDEX(FILTER(AT$3:AT2466,TRIM(AT$3:AT2466)&lt;&gt;""""),ROWS(FILTER(AT$3:AT2466,TRIM(AT$3:AT2466)&lt;&gt;"""")))-1)"),"")</f>
        <v/>
      </c>
      <c r="AW2466" s="65" t="e">
        <f t="shared" ca="1" si="391"/>
        <v>#VALUE!</v>
      </c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</row>
    <row r="2467" spans="1:68" ht="19" x14ac:dyDescent="0.25">
      <c r="A2467" s="5"/>
      <c r="B2467" s="5"/>
      <c r="C2467" s="5"/>
      <c r="D2467" s="5"/>
      <c r="E2467" s="5"/>
      <c r="F2467" s="5"/>
      <c r="G2467" s="5"/>
      <c r="H2467" s="6"/>
      <c r="I2467" s="5"/>
      <c r="J2467" s="88"/>
      <c r="K2467" s="88"/>
      <c r="L2467" s="88"/>
      <c r="M2467" s="88"/>
      <c r="N2467" s="88"/>
      <c r="O2467" s="88"/>
      <c r="P2467" s="88"/>
      <c r="Q2467" s="89"/>
      <c r="R2467" s="88"/>
      <c r="S2467" s="88"/>
      <c r="T2467" s="90"/>
      <c r="U2467" s="6"/>
      <c r="V2467" s="92"/>
      <c r="W2467" s="77"/>
      <c r="X2467" s="91"/>
      <c r="Y2467" s="77"/>
      <c r="Z2467" s="5"/>
      <c r="AA2467" s="5"/>
      <c r="AB2467" s="5"/>
      <c r="AC2467" s="5"/>
      <c r="AD2467" s="5"/>
      <c r="AE2467" s="5"/>
      <c r="AF2467" s="5"/>
      <c r="AG2467" s="5"/>
      <c r="AH2467" s="6"/>
      <c r="AI2467" s="92"/>
      <c r="AJ2467" s="93"/>
      <c r="AK2467" s="94"/>
      <c r="AL2467" s="95"/>
      <c r="AM2467" s="56"/>
      <c r="AN2467" s="57">
        <f t="shared" si="390"/>
        <v>0</v>
      </c>
      <c r="AO2467" s="76">
        <f t="shared" si="392"/>
        <v>0</v>
      </c>
      <c r="AP2467" s="63" t="str">
        <f t="shared" si="393"/>
        <v/>
      </c>
      <c r="AQ2467" s="63" t="str">
        <f t="shared" si="394"/>
        <v/>
      </c>
      <c r="AR2467" s="63" t="str">
        <f t="shared" si="395"/>
        <v/>
      </c>
      <c r="AS2467" s="63" t="str">
        <f t="shared" si="396"/>
        <v/>
      </c>
      <c r="AT2467" s="78" t="str">
        <f t="shared" si="397"/>
        <v/>
      </c>
      <c r="AU2467" s="78" t="str">
        <f t="shared" si="398"/>
        <v/>
      </c>
      <c r="AV2467" s="64" t="str">
        <f ca="1">IFERROR(__xludf.DUMMYFUNCTION("IF(TRIM(AU2467)="""","""",AU2467/INDEX(FILTER(AT$3:AT2467,TRIM(AT$3:AT2467)&lt;&gt;""""),ROWS(FILTER(AT$3:AT2467,TRIM(AT$3:AT2467)&lt;&gt;"""")))-1)"),"")</f>
        <v/>
      </c>
      <c r="AW2467" s="65" t="e">
        <f t="shared" ca="1" si="391"/>
        <v>#VALUE!</v>
      </c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</row>
    <row r="2468" spans="1:68" ht="19" x14ac:dyDescent="0.25">
      <c r="A2468" s="5"/>
      <c r="B2468" s="5"/>
      <c r="C2468" s="5"/>
      <c r="D2468" s="5"/>
      <c r="E2468" s="5"/>
      <c r="F2468" s="5"/>
      <c r="G2468" s="5"/>
      <c r="H2468" s="6"/>
      <c r="I2468" s="5"/>
      <c r="J2468" s="88"/>
      <c r="K2468" s="88"/>
      <c r="L2468" s="88"/>
      <c r="M2468" s="88"/>
      <c r="N2468" s="88"/>
      <c r="O2468" s="88"/>
      <c r="P2468" s="88"/>
      <c r="Q2468" s="89"/>
      <c r="R2468" s="88"/>
      <c r="S2468" s="88"/>
      <c r="T2468" s="90"/>
      <c r="U2468" s="6"/>
      <c r="V2468" s="92"/>
      <c r="W2468" s="77"/>
      <c r="X2468" s="91"/>
      <c r="Y2468" s="77"/>
      <c r="Z2468" s="5"/>
      <c r="AA2468" s="5"/>
      <c r="AB2468" s="5"/>
      <c r="AC2468" s="5"/>
      <c r="AD2468" s="5"/>
      <c r="AE2468" s="5"/>
      <c r="AF2468" s="5"/>
      <c r="AG2468" s="5"/>
      <c r="AH2468" s="6"/>
      <c r="AI2468" s="92"/>
      <c r="AJ2468" s="93"/>
      <c r="AK2468" s="94"/>
      <c r="AL2468" s="95"/>
      <c r="AM2468" s="56"/>
      <c r="AN2468" s="57">
        <f t="shared" si="390"/>
        <v>0</v>
      </c>
      <c r="AO2468" s="76">
        <f t="shared" si="392"/>
        <v>0</v>
      </c>
      <c r="AP2468" s="63" t="str">
        <f t="shared" si="393"/>
        <v/>
      </c>
      <c r="AQ2468" s="63" t="str">
        <f t="shared" si="394"/>
        <v/>
      </c>
      <c r="AR2468" s="63" t="str">
        <f t="shared" si="395"/>
        <v/>
      </c>
      <c r="AS2468" s="63" t="str">
        <f t="shared" si="396"/>
        <v/>
      </c>
      <c r="AT2468" s="78" t="str">
        <f t="shared" si="397"/>
        <v/>
      </c>
      <c r="AU2468" s="78" t="str">
        <f t="shared" si="398"/>
        <v/>
      </c>
      <c r="AV2468" s="64" t="str">
        <f ca="1">IFERROR(__xludf.DUMMYFUNCTION("IF(TRIM(AU2468)="""","""",AU2468/INDEX(FILTER(AT$3:AT2468,TRIM(AT$3:AT2468)&lt;&gt;""""),ROWS(FILTER(AT$3:AT2468,TRIM(AT$3:AT2468)&lt;&gt;"""")))-1)"),"")</f>
        <v/>
      </c>
      <c r="AW2468" s="65" t="e">
        <f t="shared" ca="1" si="391"/>
        <v>#VALUE!</v>
      </c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</row>
    <row r="2469" spans="1:68" ht="19" x14ac:dyDescent="0.25">
      <c r="A2469" s="5"/>
      <c r="B2469" s="5"/>
      <c r="C2469" s="5"/>
      <c r="D2469" s="5"/>
      <c r="E2469" s="5"/>
      <c r="F2469" s="5"/>
      <c r="G2469" s="5"/>
      <c r="H2469" s="6"/>
      <c r="I2469" s="5"/>
      <c r="J2469" s="88"/>
      <c r="K2469" s="88"/>
      <c r="L2469" s="88"/>
      <c r="M2469" s="88"/>
      <c r="N2469" s="88"/>
      <c r="O2469" s="88"/>
      <c r="P2469" s="88"/>
      <c r="Q2469" s="89"/>
      <c r="R2469" s="88"/>
      <c r="S2469" s="88"/>
      <c r="T2469" s="90"/>
      <c r="U2469" s="6"/>
      <c r="V2469" s="92"/>
      <c r="W2469" s="77"/>
      <c r="X2469" s="91"/>
      <c r="Y2469" s="77"/>
      <c r="Z2469" s="5"/>
      <c r="AA2469" s="5"/>
      <c r="AB2469" s="5"/>
      <c r="AC2469" s="5"/>
      <c r="AD2469" s="5"/>
      <c r="AE2469" s="5"/>
      <c r="AF2469" s="5"/>
      <c r="AG2469" s="5"/>
      <c r="AH2469" s="6"/>
      <c r="AI2469" s="92"/>
      <c r="AJ2469" s="93"/>
      <c r="AK2469" s="94"/>
      <c r="AL2469" s="95"/>
      <c r="AM2469" s="56"/>
      <c r="AN2469" s="57">
        <f t="shared" si="390"/>
        <v>0</v>
      </c>
      <c r="AO2469" s="76">
        <f t="shared" si="392"/>
        <v>0</v>
      </c>
      <c r="AP2469" s="63" t="str">
        <f t="shared" si="393"/>
        <v/>
      </c>
      <c r="AQ2469" s="63" t="str">
        <f t="shared" si="394"/>
        <v/>
      </c>
      <c r="AR2469" s="63" t="str">
        <f t="shared" si="395"/>
        <v/>
      </c>
      <c r="AS2469" s="63" t="str">
        <f t="shared" si="396"/>
        <v/>
      </c>
      <c r="AT2469" s="78" t="str">
        <f t="shared" si="397"/>
        <v/>
      </c>
      <c r="AU2469" s="78" t="str">
        <f t="shared" si="398"/>
        <v/>
      </c>
      <c r="AV2469" s="64" t="str">
        <f ca="1">IFERROR(__xludf.DUMMYFUNCTION("IF(TRIM(AU2469)="""","""",AU2469/INDEX(FILTER(AT$3:AT2469,TRIM(AT$3:AT2469)&lt;&gt;""""),ROWS(FILTER(AT$3:AT2469,TRIM(AT$3:AT2469)&lt;&gt;"""")))-1)"),"")</f>
        <v/>
      </c>
      <c r="AW2469" s="65" t="e">
        <f t="shared" ca="1" si="391"/>
        <v>#VALUE!</v>
      </c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</row>
    <row r="2470" spans="1:68" ht="19" x14ac:dyDescent="0.25">
      <c r="A2470" s="5"/>
      <c r="B2470" s="5"/>
      <c r="C2470" s="5"/>
      <c r="D2470" s="5"/>
      <c r="E2470" s="5"/>
      <c r="F2470" s="5"/>
      <c r="G2470" s="5"/>
      <c r="H2470" s="6"/>
      <c r="I2470" s="5"/>
      <c r="J2470" s="88"/>
      <c r="K2470" s="88"/>
      <c r="L2470" s="88"/>
      <c r="M2470" s="88"/>
      <c r="N2470" s="88"/>
      <c r="O2470" s="88"/>
      <c r="P2470" s="88"/>
      <c r="Q2470" s="89"/>
      <c r="R2470" s="88"/>
      <c r="S2470" s="88"/>
      <c r="T2470" s="90"/>
      <c r="U2470" s="6"/>
      <c r="V2470" s="92"/>
      <c r="W2470" s="77"/>
      <c r="X2470" s="91"/>
      <c r="Y2470" s="77"/>
      <c r="Z2470" s="5"/>
      <c r="AA2470" s="5"/>
      <c r="AB2470" s="5"/>
      <c r="AC2470" s="5"/>
      <c r="AD2470" s="5"/>
      <c r="AE2470" s="5"/>
      <c r="AF2470" s="5"/>
      <c r="AG2470" s="5"/>
      <c r="AH2470" s="6"/>
      <c r="AI2470" s="92"/>
      <c r="AJ2470" s="93"/>
      <c r="AK2470" s="94"/>
      <c r="AL2470" s="95"/>
      <c r="AM2470" s="56"/>
      <c r="AN2470" s="57">
        <f t="shared" si="390"/>
        <v>0</v>
      </c>
      <c r="AO2470" s="76">
        <f t="shared" si="392"/>
        <v>0</v>
      </c>
      <c r="AP2470" s="63" t="str">
        <f t="shared" si="393"/>
        <v/>
      </c>
      <c r="AQ2470" s="63" t="str">
        <f t="shared" si="394"/>
        <v/>
      </c>
      <c r="AR2470" s="63" t="str">
        <f t="shared" si="395"/>
        <v/>
      </c>
      <c r="AS2470" s="63" t="str">
        <f t="shared" si="396"/>
        <v/>
      </c>
      <c r="AT2470" s="78" t="str">
        <f t="shared" si="397"/>
        <v/>
      </c>
      <c r="AU2470" s="78" t="str">
        <f t="shared" si="398"/>
        <v/>
      </c>
      <c r="AV2470" s="64" t="str">
        <f ca="1">IFERROR(__xludf.DUMMYFUNCTION("IF(TRIM(AU2470)="""","""",AU2470/INDEX(FILTER(AT$3:AT2470,TRIM(AT$3:AT2470)&lt;&gt;""""),ROWS(FILTER(AT$3:AT2470,TRIM(AT$3:AT2470)&lt;&gt;"""")))-1)"),"")</f>
        <v/>
      </c>
      <c r="AW2470" s="65" t="e">
        <f t="shared" ca="1" si="391"/>
        <v>#VALUE!</v>
      </c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</row>
    <row r="2471" spans="1:68" ht="19" x14ac:dyDescent="0.25">
      <c r="A2471" s="5"/>
      <c r="B2471" s="5"/>
      <c r="C2471" s="5"/>
      <c r="D2471" s="5"/>
      <c r="E2471" s="5"/>
      <c r="F2471" s="5"/>
      <c r="G2471" s="5"/>
      <c r="H2471" s="6"/>
      <c r="I2471" s="5"/>
      <c r="J2471" s="88"/>
      <c r="K2471" s="88"/>
      <c r="L2471" s="88"/>
      <c r="M2471" s="88"/>
      <c r="N2471" s="88"/>
      <c r="O2471" s="88"/>
      <c r="P2471" s="88"/>
      <c r="Q2471" s="89"/>
      <c r="R2471" s="88"/>
      <c r="S2471" s="88"/>
      <c r="T2471" s="90"/>
      <c r="U2471" s="6"/>
      <c r="V2471" s="92"/>
      <c r="W2471" s="77"/>
      <c r="X2471" s="91"/>
      <c r="Y2471" s="77"/>
      <c r="Z2471" s="5"/>
      <c r="AA2471" s="5"/>
      <c r="AB2471" s="5"/>
      <c r="AC2471" s="5"/>
      <c r="AD2471" s="5"/>
      <c r="AE2471" s="5"/>
      <c r="AF2471" s="5"/>
      <c r="AG2471" s="5"/>
      <c r="AH2471" s="6"/>
      <c r="AI2471" s="92"/>
      <c r="AJ2471" s="93"/>
      <c r="AK2471" s="94"/>
      <c r="AL2471" s="95"/>
      <c r="AM2471" s="56"/>
      <c r="AN2471" s="57">
        <f t="shared" si="390"/>
        <v>0</v>
      </c>
      <c r="AO2471" s="76">
        <f t="shared" si="392"/>
        <v>0</v>
      </c>
      <c r="AP2471" s="63" t="str">
        <f t="shared" si="393"/>
        <v/>
      </c>
      <c r="AQ2471" s="63" t="str">
        <f t="shared" si="394"/>
        <v/>
      </c>
      <c r="AR2471" s="63" t="str">
        <f t="shared" si="395"/>
        <v/>
      </c>
      <c r="AS2471" s="63" t="str">
        <f t="shared" si="396"/>
        <v/>
      </c>
      <c r="AT2471" s="78" t="str">
        <f t="shared" si="397"/>
        <v/>
      </c>
      <c r="AU2471" s="78" t="str">
        <f t="shared" si="398"/>
        <v/>
      </c>
      <c r="AV2471" s="64" t="str">
        <f ca="1">IFERROR(__xludf.DUMMYFUNCTION("IF(TRIM(AU2471)="""","""",AU2471/INDEX(FILTER(AT$3:AT2471,TRIM(AT$3:AT2471)&lt;&gt;""""),ROWS(FILTER(AT$3:AT2471,TRIM(AT$3:AT2471)&lt;&gt;"""")))-1)"),"")</f>
        <v/>
      </c>
      <c r="AW2471" s="65" t="e">
        <f t="shared" ca="1" si="391"/>
        <v>#VALUE!</v>
      </c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</row>
    <row r="2472" spans="1:68" ht="19" x14ac:dyDescent="0.25">
      <c r="A2472" s="5"/>
      <c r="B2472" s="5"/>
      <c r="C2472" s="5"/>
      <c r="D2472" s="5"/>
      <c r="E2472" s="5"/>
      <c r="F2472" s="5"/>
      <c r="G2472" s="5"/>
      <c r="H2472" s="6"/>
      <c r="I2472" s="5"/>
      <c r="J2472" s="88"/>
      <c r="K2472" s="88"/>
      <c r="L2472" s="88"/>
      <c r="M2472" s="88"/>
      <c r="N2472" s="88"/>
      <c r="O2472" s="88"/>
      <c r="P2472" s="88"/>
      <c r="Q2472" s="89"/>
      <c r="R2472" s="88"/>
      <c r="S2472" s="88"/>
      <c r="T2472" s="90"/>
      <c r="U2472" s="6"/>
      <c r="V2472" s="92"/>
      <c r="W2472" s="77"/>
      <c r="X2472" s="91"/>
      <c r="Y2472" s="77"/>
      <c r="Z2472" s="5"/>
      <c r="AA2472" s="5"/>
      <c r="AB2472" s="5"/>
      <c r="AC2472" s="5"/>
      <c r="AD2472" s="5"/>
      <c r="AE2472" s="5"/>
      <c r="AF2472" s="5"/>
      <c r="AG2472" s="5"/>
      <c r="AH2472" s="6"/>
      <c r="AI2472" s="92"/>
      <c r="AJ2472" s="93"/>
      <c r="AK2472" s="94"/>
      <c r="AL2472" s="95"/>
      <c r="AM2472" s="56"/>
      <c r="AN2472" s="57">
        <f t="shared" si="390"/>
        <v>0</v>
      </c>
      <c r="AO2472" s="76">
        <f t="shared" si="392"/>
        <v>0</v>
      </c>
      <c r="AP2472" s="63" t="str">
        <f t="shared" si="393"/>
        <v/>
      </c>
      <c r="AQ2472" s="63" t="str">
        <f t="shared" si="394"/>
        <v/>
      </c>
      <c r="AR2472" s="63" t="str">
        <f t="shared" si="395"/>
        <v/>
      </c>
      <c r="AS2472" s="63" t="str">
        <f t="shared" si="396"/>
        <v/>
      </c>
      <c r="AT2472" s="78" t="str">
        <f t="shared" si="397"/>
        <v/>
      </c>
      <c r="AU2472" s="78" t="str">
        <f t="shared" si="398"/>
        <v/>
      </c>
      <c r="AV2472" s="64" t="str">
        <f ca="1">IFERROR(__xludf.DUMMYFUNCTION("IF(TRIM(AU2472)="""","""",AU2472/INDEX(FILTER(AT$3:AT2472,TRIM(AT$3:AT2472)&lt;&gt;""""),ROWS(FILTER(AT$3:AT2472,TRIM(AT$3:AT2472)&lt;&gt;"""")))-1)"),"")</f>
        <v/>
      </c>
      <c r="AW2472" s="65" t="e">
        <f t="shared" ca="1" si="391"/>
        <v>#VALUE!</v>
      </c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</row>
    <row r="2473" spans="1:68" ht="19" x14ac:dyDescent="0.25">
      <c r="A2473" s="5"/>
      <c r="B2473" s="5"/>
      <c r="C2473" s="5"/>
      <c r="D2473" s="5"/>
      <c r="E2473" s="5"/>
      <c r="F2473" s="5"/>
      <c r="G2473" s="5"/>
      <c r="H2473" s="6"/>
      <c r="I2473" s="5"/>
      <c r="J2473" s="88"/>
      <c r="K2473" s="88"/>
      <c r="L2473" s="88"/>
      <c r="M2473" s="88"/>
      <c r="N2473" s="88"/>
      <c r="O2473" s="88"/>
      <c r="P2473" s="88"/>
      <c r="Q2473" s="89"/>
      <c r="R2473" s="88"/>
      <c r="S2473" s="88"/>
      <c r="T2473" s="90"/>
      <c r="U2473" s="6"/>
      <c r="V2473" s="92"/>
      <c r="W2473" s="77"/>
      <c r="X2473" s="91"/>
      <c r="Y2473" s="77"/>
      <c r="Z2473" s="5"/>
      <c r="AA2473" s="5"/>
      <c r="AB2473" s="5"/>
      <c r="AC2473" s="5"/>
      <c r="AD2473" s="5"/>
      <c r="AE2473" s="5"/>
      <c r="AF2473" s="5"/>
      <c r="AG2473" s="5"/>
      <c r="AH2473" s="6"/>
      <c r="AI2473" s="92"/>
      <c r="AJ2473" s="93"/>
      <c r="AK2473" s="94"/>
      <c r="AL2473" s="95"/>
      <c r="AM2473" s="56"/>
      <c r="AN2473" s="57">
        <f t="shared" si="390"/>
        <v>0</v>
      </c>
      <c r="AO2473" s="76">
        <f t="shared" si="392"/>
        <v>0</v>
      </c>
      <c r="AP2473" s="63" t="str">
        <f t="shared" si="393"/>
        <v/>
      </c>
      <c r="AQ2473" s="63" t="str">
        <f t="shared" si="394"/>
        <v/>
      </c>
      <c r="AR2473" s="63" t="str">
        <f t="shared" si="395"/>
        <v/>
      </c>
      <c r="AS2473" s="63" t="str">
        <f t="shared" si="396"/>
        <v/>
      </c>
      <c r="AT2473" s="78" t="str">
        <f t="shared" si="397"/>
        <v/>
      </c>
      <c r="AU2473" s="78" t="str">
        <f t="shared" si="398"/>
        <v/>
      </c>
      <c r="AV2473" s="64" t="str">
        <f ca="1">IFERROR(__xludf.DUMMYFUNCTION("IF(TRIM(AU2473)="""","""",AU2473/INDEX(FILTER(AT$3:AT2473,TRIM(AT$3:AT2473)&lt;&gt;""""),ROWS(FILTER(AT$3:AT2473,TRIM(AT$3:AT2473)&lt;&gt;"""")))-1)"),"")</f>
        <v/>
      </c>
      <c r="AW2473" s="65" t="e">
        <f t="shared" ca="1" si="391"/>
        <v>#VALUE!</v>
      </c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</row>
    <row r="2474" spans="1:68" ht="19" x14ac:dyDescent="0.25">
      <c r="A2474" s="5"/>
      <c r="B2474" s="5"/>
      <c r="C2474" s="5"/>
      <c r="D2474" s="5"/>
      <c r="E2474" s="5"/>
      <c r="F2474" s="5"/>
      <c r="G2474" s="5"/>
      <c r="H2474" s="6"/>
      <c r="I2474" s="5"/>
      <c r="J2474" s="88"/>
      <c r="K2474" s="88"/>
      <c r="L2474" s="88"/>
      <c r="M2474" s="88"/>
      <c r="N2474" s="88"/>
      <c r="O2474" s="88"/>
      <c r="P2474" s="88"/>
      <c r="Q2474" s="89"/>
      <c r="R2474" s="88"/>
      <c r="S2474" s="88"/>
      <c r="T2474" s="90"/>
      <c r="U2474" s="6"/>
      <c r="V2474" s="92"/>
      <c r="W2474" s="77"/>
      <c r="X2474" s="91"/>
      <c r="Y2474" s="77"/>
      <c r="Z2474" s="5"/>
      <c r="AA2474" s="5"/>
      <c r="AB2474" s="5"/>
      <c r="AC2474" s="5"/>
      <c r="AD2474" s="5"/>
      <c r="AE2474" s="5"/>
      <c r="AF2474" s="5"/>
      <c r="AG2474" s="5"/>
      <c r="AH2474" s="6"/>
      <c r="AI2474" s="92"/>
      <c r="AJ2474" s="93"/>
      <c r="AK2474" s="94"/>
      <c r="AL2474" s="95"/>
      <c r="AM2474" s="56"/>
      <c r="AN2474" s="57">
        <f t="shared" si="390"/>
        <v>0</v>
      </c>
      <c r="AO2474" s="76">
        <f t="shared" si="392"/>
        <v>0</v>
      </c>
      <c r="AP2474" s="63" t="str">
        <f t="shared" si="393"/>
        <v/>
      </c>
      <c r="AQ2474" s="63" t="str">
        <f t="shared" si="394"/>
        <v/>
      </c>
      <c r="AR2474" s="63" t="str">
        <f t="shared" si="395"/>
        <v/>
      </c>
      <c r="AS2474" s="63" t="str">
        <f t="shared" si="396"/>
        <v/>
      </c>
      <c r="AT2474" s="78" t="str">
        <f t="shared" si="397"/>
        <v/>
      </c>
      <c r="AU2474" s="78" t="str">
        <f t="shared" si="398"/>
        <v/>
      </c>
      <c r="AV2474" s="64" t="str">
        <f ca="1">IFERROR(__xludf.DUMMYFUNCTION("IF(TRIM(AU2474)="""","""",AU2474/INDEX(FILTER(AT$3:AT2474,TRIM(AT$3:AT2474)&lt;&gt;""""),ROWS(FILTER(AT$3:AT2474,TRIM(AT$3:AT2474)&lt;&gt;"""")))-1)"),"")</f>
        <v/>
      </c>
      <c r="AW2474" s="65" t="e">
        <f t="shared" ca="1" si="391"/>
        <v>#VALUE!</v>
      </c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</row>
    <row r="2475" spans="1:68" ht="19" x14ac:dyDescent="0.25">
      <c r="A2475" s="5"/>
      <c r="B2475" s="5"/>
      <c r="C2475" s="5"/>
      <c r="D2475" s="5"/>
      <c r="E2475" s="5"/>
      <c r="F2475" s="5"/>
      <c r="G2475" s="5"/>
      <c r="H2475" s="6"/>
      <c r="I2475" s="5"/>
      <c r="J2475" s="88"/>
      <c r="K2475" s="88"/>
      <c r="L2475" s="88"/>
      <c r="M2475" s="88"/>
      <c r="N2475" s="88"/>
      <c r="O2475" s="88"/>
      <c r="P2475" s="88"/>
      <c r="Q2475" s="89"/>
      <c r="R2475" s="88"/>
      <c r="S2475" s="88"/>
      <c r="T2475" s="90"/>
      <c r="U2475" s="6"/>
      <c r="V2475" s="92"/>
      <c r="W2475" s="77"/>
      <c r="X2475" s="91"/>
      <c r="Y2475" s="77"/>
      <c r="Z2475" s="5"/>
      <c r="AA2475" s="5"/>
      <c r="AB2475" s="5"/>
      <c r="AC2475" s="5"/>
      <c r="AD2475" s="5"/>
      <c r="AE2475" s="5"/>
      <c r="AF2475" s="5"/>
      <c r="AG2475" s="5"/>
      <c r="AH2475" s="6"/>
      <c r="AI2475" s="92"/>
      <c r="AJ2475" s="93"/>
      <c r="AK2475" s="94"/>
      <c r="AL2475" s="95"/>
      <c r="AM2475" s="56"/>
      <c r="AN2475" s="57">
        <f t="shared" si="390"/>
        <v>0</v>
      </c>
      <c r="AO2475" s="76">
        <f t="shared" si="392"/>
        <v>0</v>
      </c>
      <c r="AP2475" s="63" t="str">
        <f t="shared" si="393"/>
        <v/>
      </c>
      <c r="AQ2475" s="63" t="str">
        <f t="shared" si="394"/>
        <v/>
      </c>
      <c r="AR2475" s="63" t="str">
        <f t="shared" si="395"/>
        <v/>
      </c>
      <c r="AS2475" s="63" t="str">
        <f t="shared" si="396"/>
        <v/>
      </c>
      <c r="AT2475" s="78" t="str">
        <f t="shared" si="397"/>
        <v/>
      </c>
      <c r="AU2475" s="78" t="str">
        <f t="shared" si="398"/>
        <v/>
      </c>
      <c r="AV2475" s="64" t="str">
        <f ca="1">IFERROR(__xludf.DUMMYFUNCTION("IF(TRIM(AU2475)="""","""",AU2475/INDEX(FILTER(AT$3:AT2475,TRIM(AT$3:AT2475)&lt;&gt;""""),ROWS(FILTER(AT$3:AT2475,TRIM(AT$3:AT2475)&lt;&gt;"""")))-1)"),"")</f>
        <v/>
      </c>
      <c r="AW2475" s="65" t="e">
        <f t="shared" ca="1" si="391"/>
        <v>#VALUE!</v>
      </c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</row>
    <row r="2476" spans="1:68" ht="19" x14ac:dyDescent="0.25">
      <c r="A2476" s="5"/>
      <c r="B2476" s="5"/>
      <c r="C2476" s="5"/>
      <c r="D2476" s="5"/>
      <c r="E2476" s="5"/>
      <c r="F2476" s="5"/>
      <c r="G2476" s="5"/>
      <c r="H2476" s="6"/>
      <c r="I2476" s="5"/>
      <c r="J2476" s="88"/>
      <c r="K2476" s="88"/>
      <c r="L2476" s="88"/>
      <c r="M2476" s="88"/>
      <c r="N2476" s="88"/>
      <c r="O2476" s="88"/>
      <c r="P2476" s="88"/>
      <c r="Q2476" s="89"/>
      <c r="R2476" s="88"/>
      <c r="S2476" s="88"/>
      <c r="T2476" s="90"/>
      <c r="U2476" s="6"/>
      <c r="V2476" s="92"/>
      <c r="W2476" s="77"/>
      <c r="X2476" s="91"/>
      <c r="Y2476" s="77"/>
      <c r="Z2476" s="5"/>
      <c r="AA2476" s="5"/>
      <c r="AB2476" s="5"/>
      <c r="AC2476" s="5"/>
      <c r="AD2476" s="5"/>
      <c r="AE2476" s="5"/>
      <c r="AF2476" s="5"/>
      <c r="AG2476" s="5"/>
      <c r="AH2476" s="6"/>
      <c r="AI2476" s="92"/>
      <c r="AJ2476" s="93"/>
      <c r="AK2476" s="94"/>
      <c r="AL2476" s="95"/>
      <c r="AM2476" s="56"/>
      <c r="AN2476" s="57">
        <f t="shared" si="390"/>
        <v>0</v>
      </c>
      <c r="AO2476" s="76">
        <f t="shared" si="392"/>
        <v>0</v>
      </c>
      <c r="AP2476" s="63" t="str">
        <f t="shared" si="393"/>
        <v/>
      </c>
      <c r="AQ2476" s="63" t="str">
        <f t="shared" si="394"/>
        <v/>
      </c>
      <c r="AR2476" s="63" t="str">
        <f t="shared" si="395"/>
        <v/>
      </c>
      <c r="AS2476" s="63" t="str">
        <f t="shared" si="396"/>
        <v/>
      </c>
      <c r="AT2476" s="78" t="str">
        <f t="shared" si="397"/>
        <v/>
      </c>
      <c r="AU2476" s="78" t="str">
        <f t="shared" si="398"/>
        <v/>
      </c>
      <c r="AV2476" s="64" t="str">
        <f ca="1">IFERROR(__xludf.DUMMYFUNCTION("IF(TRIM(AU2476)="""","""",AU2476/INDEX(FILTER(AT$3:AT2476,TRIM(AT$3:AT2476)&lt;&gt;""""),ROWS(FILTER(AT$3:AT2476,TRIM(AT$3:AT2476)&lt;&gt;"""")))-1)"),"")</f>
        <v/>
      </c>
      <c r="AW2476" s="65" t="e">
        <f t="shared" ca="1" si="391"/>
        <v>#VALUE!</v>
      </c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</row>
    <row r="2477" spans="1:68" ht="19" x14ac:dyDescent="0.25">
      <c r="A2477" s="5"/>
      <c r="B2477" s="5"/>
      <c r="C2477" s="5"/>
      <c r="D2477" s="5"/>
      <c r="E2477" s="5"/>
      <c r="F2477" s="5"/>
      <c r="G2477" s="5"/>
      <c r="H2477" s="6"/>
      <c r="I2477" s="5"/>
      <c r="J2477" s="88"/>
      <c r="K2477" s="88"/>
      <c r="L2477" s="88"/>
      <c r="M2477" s="88"/>
      <c r="N2477" s="88"/>
      <c r="O2477" s="88"/>
      <c r="P2477" s="88"/>
      <c r="Q2477" s="89"/>
      <c r="R2477" s="88"/>
      <c r="S2477" s="88"/>
      <c r="T2477" s="90"/>
      <c r="U2477" s="6"/>
      <c r="V2477" s="92"/>
      <c r="W2477" s="77"/>
      <c r="X2477" s="91"/>
      <c r="Y2477" s="77"/>
      <c r="Z2477" s="5"/>
      <c r="AA2477" s="5"/>
      <c r="AB2477" s="5"/>
      <c r="AC2477" s="5"/>
      <c r="AD2477" s="5"/>
      <c r="AE2477" s="5"/>
      <c r="AF2477" s="5"/>
      <c r="AG2477" s="5"/>
      <c r="AH2477" s="6"/>
      <c r="AI2477" s="92"/>
      <c r="AJ2477" s="93"/>
      <c r="AK2477" s="94"/>
      <c r="AL2477" s="95"/>
      <c r="AM2477" s="56"/>
      <c r="AN2477" s="57">
        <f t="shared" si="390"/>
        <v>0</v>
      </c>
      <c r="AO2477" s="76">
        <f t="shared" si="392"/>
        <v>0</v>
      </c>
      <c r="AP2477" s="63" t="str">
        <f t="shared" si="393"/>
        <v/>
      </c>
      <c r="AQ2477" s="63" t="str">
        <f t="shared" si="394"/>
        <v/>
      </c>
      <c r="AR2477" s="63" t="str">
        <f t="shared" si="395"/>
        <v/>
      </c>
      <c r="AS2477" s="63" t="str">
        <f t="shared" si="396"/>
        <v/>
      </c>
      <c r="AT2477" s="78" t="str">
        <f t="shared" si="397"/>
        <v/>
      </c>
      <c r="AU2477" s="78" t="str">
        <f t="shared" si="398"/>
        <v/>
      </c>
      <c r="AV2477" s="64" t="str">
        <f ca="1">IFERROR(__xludf.DUMMYFUNCTION("IF(TRIM(AU2477)="""","""",AU2477/INDEX(FILTER(AT$3:AT2477,TRIM(AT$3:AT2477)&lt;&gt;""""),ROWS(FILTER(AT$3:AT2477,TRIM(AT$3:AT2477)&lt;&gt;"""")))-1)"),"")</f>
        <v/>
      </c>
      <c r="AW2477" s="65" t="e">
        <f t="shared" ca="1" si="391"/>
        <v>#VALUE!</v>
      </c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</row>
    <row r="2478" spans="1:68" ht="19" x14ac:dyDescent="0.25">
      <c r="A2478" s="5"/>
      <c r="B2478" s="5"/>
      <c r="C2478" s="5"/>
      <c r="D2478" s="5"/>
      <c r="E2478" s="5"/>
      <c r="F2478" s="5"/>
      <c r="G2478" s="5"/>
      <c r="H2478" s="6"/>
      <c r="I2478" s="5"/>
      <c r="J2478" s="88"/>
      <c r="K2478" s="88"/>
      <c r="L2478" s="88"/>
      <c r="M2478" s="88"/>
      <c r="N2478" s="88"/>
      <c r="O2478" s="88"/>
      <c r="P2478" s="88"/>
      <c r="Q2478" s="89"/>
      <c r="R2478" s="88"/>
      <c r="S2478" s="88"/>
      <c r="T2478" s="90"/>
      <c r="U2478" s="6"/>
      <c r="V2478" s="92"/>
      <c r="W2478" s="77"/>
      <c r="X2478" s="91"/>
      <c r="Y2478" s="77"/>
      <c r="Z2478" s="5"/>
      <c r="AA2478" s="5"/>
      <c r="AB2478" s="5"/>
      <c r="AC2478" s="5"/>
      <c r="AD2478" s="5"/>
      <c r="AE2478" s="5"/>
      <c r="AF2478" s="5"/>
      <c r="AG2478" s="5"/>
      <c r="AH2478" s="6"/>
      <c r="AI2478" s="92"/>
      <c r="AJ2478" s="93"/>
      <c r="AK2478" s="94"/>
      <c r="AL2478" s="95"/>
      <c r="AM2478" s="56"/>
      <c r="AN2478" s="57">
        <f t="shared" si="390"/>
        <v>0</v>
      </c>
      <c r="AO2478" s="76">
        <f t="shared" si="392"/>
        <v>0</v>
      </c>
      <c r="AP2478" s="63" t="str">
        <f t="shared" si="393"/>
        <v/>
      </c>
      <c r="AQ2478" s="63" t="str">
        <f t="shared" si="394"/>
        <v/>
      </c>
      <c r="AR2478" s="63" t="str">
        <f t="shared" si="395"/>
        <v/>
      </c>
      <c r="AS2478" s="63" t="str">
        <f t="shared" si="396"/>
        <v/>
      </c>
      <c r="AT2478" s="78" t="str">
        <f t="shared" si="397"/>
        <v/>
      </c>
      <c r="AU2478" s="78" t="str">
        <f t="shared" si="398"/>
        <v/>
      </c>
      <c r="AV2478" s="64" t="str">
        <f ca="1">IFERROR(__xludf.DUMMYFUNCTION("IF(TRIM(AU2478)="""","""",AU2478/INDEX(FILTER(AT$3:AT2478,TRIM(AT$3:AT2478)&lt;&gt;""""),ROWS(FILTER(AT$3:AT2478,TRIM(AT$3:AT2478)&lt;&gt;"""")))-1)"),"")</f>
        <v/>
      </c>
      <c r="AW2478" s="65" t="e">
        <f t="shared" ca="1" si="391"/>
        <v>#VALUE!</v>
      </c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</row>
    <row r="2479" spans="1:68" ht="19" x14ac:dyDescent="0.25">
      <c r="A2479" s="5"/>
      <c r="B2479" s="5"/>
      <c r="C2479" s="5"/>
      <c r="D2479" s="5"/>
      <c r="E2479" s="5"/>
      <c r="F2479" s="5"/>
      <c r="G2479" s="5"/>
      <c r="H2479" s="6"/>
      <c r="I2479" s="5"/>
      <c r="J2479" s="88"/>
      <c r="K2479" s="88"/>
      <c r="L2479" s="88"/>
      <c r="M2479" s="88"/>
      <c r="N2479" s="88"/>
      <c r="O2479" s="88"/>
      <c r="P2479" s="88"/>
      <c r="Q2479" s="89"/>
      <c r="R2479" s="88"/>
      <c r="S2479" s="88"/>
      <c r="T2479" s="90"/>
      <c r="U2479" s="6"/>
      <c r="V2479" s="92"/>
      <c r="W2479" s="77"/>
      <c r="X2479" s="91"/>
      <c r="Y2479" s="77"/>
      <c r="Z2479" s="5"/>
      <c r="AA2479" s="5"/>
      <c r="AB2479" s="5"/>
      <c r="AC2479" s="5"/>
      <c r="AD2479" s="5"/>
      <c r="AE2479" s="5"/>
      <c r="AF2479" s="5"/>
      <c r="AG2479" s="5"/>
      <c r="AH2479" s="6"/>
      <c r="AI2479" s="92"/>
      <c r="AJ2479" s="93"/>
      <c r="AK2479" s="94"/>
      <c r="AL2479" s="95"/>
      <c r="AM2479" s="56"/>
      <c r="AN2479" s="57">
        <f t="shared" si="390"/>
        <v>0</v>
      </c>
      <c r="AO2479" s="76">
        <f t="shared" si="392"/>
        <v>0</v>
      </c>
      <c r="AP2479" s="63" t="str">
        <f t="shared" si="393"/>
        <v/>
      </c>
      <c r="AQ2479" s="63" t="str">
        <f t="shared" si="394"/>
        <v/>
      </c>
      <c r="AR2479" s="63" t="str">
        <f t="shared" si="395"/>
        <v/>
      </c>
      <c r="AS2479" s="63" t="str">
        <f t="shared" si="396"/>
        <v/>
      </c>
      <c r="AT2479" s="78" t="str">
        <f t="shared" si="397"/>
        <v/>
      </c>
      <c r="AU2479" s="78" t="str">
        <f t="shared" si="398"/>
        <v/>
      </c>
      <c r="AV2479" s="64" t="str">
        <f ca="1">IFERROR(__xludf.DUMMYFUNCTION("IF(TRIM(AU2479)="""","""",AU2479/INDEX(FILTER(AT$3:AT2479,TRIM(AT$3:AT2479)&lt;&gt;""""),ROWS(FILTER(AT$3:AT2479,TRIM(AT$3:AT2479)&lt;&gt;"""")))-1)"),"")</f>
        <v/>
      </c>
      <c r="AW2479" s="65" t="e">
        <f t="shared" ca="1" si="391"/>
        <v>#VALUE!</v>
      </c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</row>
    <row r="2480" spans="1:68" ht="19" x14ac:dyDescent="0.25">
      <c r="A2480" s="5"/>
      <c r="B2480" s="5"/>
      <c r="C2480" s="5"/>
      <c r="D2480" s="5"/>
      <c r="E2480" s="5"/>
      <c r="F2480" s="5"/>
      <c r="G2480" s="5"/>
      <c r="H2480" s="6"/>
      <c r="I2480" s="5"/>
      <c r="J2480" s="88"/>
      <c r="K2480" s="88"/>
      <c r="L2480" s="88"/>
      <c r="M2480" s="88"/>
      <c r="N2480" s="88"/>
      <c r="O2480" s="88"/>
      <c r="P2480" s="88"/>
      <c r="Q2480" s="89"/>
      <c r="R2480" s="88"/>
      <c r="S2480" s="88"/>
      <c r="T2480" s="90"/>
      <c r="U2480" s="6"/>
      <c r="V2480" s="92"/>
      <c r="W2480" s="77"/>
      <c r="X2480" s="91"/>
      <c r="Y2480" s="77"/>
      <c r="Z2480" s="5"/>
      <c r="AA2480" s="5"/>
      <c r="AB2480" s="5"/>
      <c r="AC2480" s="5"/>
      <c r="AD2480" s="5"/>
      <c r="AE2480" s="5"/>
      <c r="AF2480" s="5"/>
      <c r="AG2480" s="5"/>
      <c r="AH2480" s="6"/>
      <c r="AI2480" s="92"/>
      <c r="AJ2480" s="93"/>
      <c r="AK2480" s="94"/>
      <c r="AL2480" s="95"/>
      <c r="AM2480" s="56"/>
      <c r="AN2480" s="57">
        <f t="shared" si="390"/>
        <v>0</v>
      </c>
      <c r="AO2480" s="76">
        <f t="shared" si="392"/>
        <v>0</v>
      </c>
      <c r="AP2480" s="63" t="str">
        <f t="shared" si="393"/>
        <v/>
      </c>
      <c r="AQ2480" s="63" t="str">
        <f t="shared" si="394"/>
        <v/>
      </c>
      <c r="AR2480" s="63" t="str">
        <f t="shared" si="395"/>
        <v/>
      </c>
      <c r="AS2480" s="63" t="str">
        <f t="shared" si="396"/>
        <v/>
      </c>
      <c r="AT2480" s="78" t="str">
        <f t="shared" si="397"/>
        <v/>
      </c>
      <c r="AU2480" s="78" t="str">
        <f t="shared" si="398"/>
        <v/>
      </c>
      <c r="AV2480" s="64" t="str">
        <f ca="1">IFERROR(__xludf.DUMMYFUNCTION("IF(TRIM(AU2480)="""","""",AU2480/INDEX(FILTER(AT$3:AT2480,TRIM(AT$3:AT2480)&lt;&gt;""""),ROWS(FILTER(AT$3:AT2480,TRIM(AT$3:AT2480)&lt;&gt;"""")))-1)"),"")</f>
        <v/>
      </c>
      <c r="AW2480" s="65" t="e">
        <f t="shared" ca="1" si="391"/>
        <v>#VALUE!</v>
      </c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</row>
    <row r="2481" spans="1:68" ht="19" x14ac:dyDescent="0.25">
      <c r="A2481" s="5"/>
      <c r="B2481" s="5"/>
      <c r="C2481" s="5"/>
      <c r="D2481" s="5"/>
      <c r="E2481" s="5"/>
      <c r="F2481" s="5"/>
      <c r="G2481" s="5"/>
      <c r="H2481" s="6"/>
      <c r="I2481" s="5"/>
      <c r="J2481" s="88"/>
      <c r="K2481" s="88"/>
      <c r="L2481" s="88"/>
      <c r="M2481" s="88"/>
      <c r="N2481" s="88"/>
      <c r="O2481" s="88"/>
      <c r="P2481" s="88"/>
      <c r="Q2481" s="89"/>
      <c r="R2481" s="88"/>
      <c r="S2481" s="88"/>
      <c r="T2481" s="90"/>
      <c r="U2481" s="6"/>
      <c r="V2481" s="92"/>
      <c r="W2481" s="77"/>
      <c r="X2481" s="91"/>
      <c r="Y2481" s="77"/>
      <c r="Z2481" s="5"/>
      <c r="AA2481" s="5"/>
      <c r="AB2481" s="5"/>
      <c r="AC2481" s="5"/>
      <c r="AD2481" s="5"/>
      <c r="AE2481" s="5"/>
      <c r="AF2481" s="5"/>
      <c r="AG2481" s="5"/>
      <c r="AH2481" s="6"/>
      <c r="AI2481" s="92"/>
      <c r="AJ2481" s="93"/>
      <c r="AK2481" s="94"/>
      <c r="AL2481" s="95"/>
      <c r="AM2481" s="56"/>
      <c r="AN2481" s="57">
        <f t="shared" si="390"/>
        <v>0</v>
      </c>
      <c r="AO2481" s="76">
        <f t="shared" si="392"/>
        <v>0</v>
      </c>
      <c r="AP2481" s="63" t="str">
        <f t="shared" si="393"/>
        <v/>
      </c>
      <c r="AQ2481" s="63" t="str">
        <f t="shared" si="394"/>
        <v/>
      </c>
      <c r="AR2481" s="63" t="str">
        <f t="shared" si="395"/>
        <v/>
      </c>
      <c r="AS2481" s="63" t="str">
        <f t="shared" si="396"/>
        <v/>
      </c>
      <c r="AT2481" s="78" t="str">
        <f t="shared" si="397"/>
        <v/>
      </c>
      <c r="AU2481" s="78" t="str">
        <f t="shared" si="398"/>
        <v/>
      </c>
      <c r="AV2481" s="64" t="str">
        <f ca="1">IFERROR(__xludf.DUMMYFUNCTION("IF(TRIM(AU2481)="""","""",AU2481/INDEX(FILTER(AT$3:AT2481,TRIM(AT$3:AT2481)&lt;&gt;""""),ROWS(FILTER(AT$3:AT2481,TRIM(AT$3:AT2481)&lt;&gt;"""")))-1)"),"")</f>
        <v/>
      </c>
      <c r="AW2481" s="65" t="e">
        <f t="shared" ca="1" si="391"/>
        <v>#VALUE!</v>
      </c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</row>
    <row r="2482" spans="1:68" ht="19" x14ac:dyDescent="0.25">
      <c r="A2482" s="5"/>
      <c r="B2482" s="5"/>
      <c r="C2482" s="5"/>
      <c r="D2482" s="5"/>
      <c r="E2482" s="5"/>
      <c r="F2482" s="5"/>
      <c r="G2482" s="5"/>
      <c r="H2482" s="6"/>
      <c r="I2482" s="5"/>
      <c r="J2482" s="88"/>
      <c r="K2482" s="88"/>
      <c r="L2482" s="88"/>
      <c r="M2482" s="88"/>
      <c r="N2482" s="88"/>
      <c r="O2482" s="88"/>
      <c r="P2482" s="88"/>
      <c r="Q2482" s="89"/>
      <c r="R2482" s="88"/>
      <c r="S2482" s="88"/>
      <c r="T2482" s="90"/>
      <c r="U2482" s="6"/>
      <c r="V2482" s="92"/>
      <c r="W2482" s="77"/>
      <c r="X2482" s="91"/>
      <c r="Y2482" s="77"/>
      <c r="Z2482" s="5"/>
      <c r="AA2482" s="5"/>
      <c r="AB2482" s="5"/>
      <c r="AC2482" s="5"/>
      <c r="AD2482" s="5"/>
      <c r="AE2482" s="5"/>
      <c r="AF2482" s="5"/>
      <c r="AG2482" s="5"/>
      <c r="AH2482" s="6"/>
      <c r="AI2482" s="92"/>
      <c r="AJ2482" s="93"/>
      <c r="AK2482" s="94"/>
      <c r="AL2482" s="95"/>
      <c r="AM2482" s="56"/>
      <c r="AN2482" s="57">
        <f t="shared" si="390"/>
        <v>0</v>
      </c>
      <c r="AO2482" s="76">
        <f t="shared" si="392"/>
        <v>0</v>
      </c>
      <c r="AP2482" s="63" t="str">
        <f t="shared" si="393"/>
        <v/>
      </c>
      <c r="AQ2482" s="63" t="str">
        <f t="shared" si="394"/>
        <v/>
      </c>
      <c r="AR2482" s="63" t="str">
        <f t="shared" si="395"/>
        <v/>
      </c>
      <c r="AS2482" s="63" t="str">
        <f t="shared" si="396"/>
        <v/>
      </c>
      <c r="AT2482" s="78" t="str">
        <f t="shared" si="397"/>
        <v/>
      </c>
      <c r="AU2482" s="78" t="str">
        <f t="shared" si="398"/>
        <v/>
      </c>
      <c r="AV2482" s="64" t="str">
        <f ca="1">IFERROR(__xludf.DUMMYFUNCTION("IF(TRIM(AU2482)="""","""",AU2482/INDEX(FILTER(AT$3:AT2482,TRIM(AT$3:AT2482)&lt;&gt;""""),ROWS(FILTER(AT$3:AT2482,TRIM(AT$3:AT2482)&lt;&gt;"""")))-1)"),"")</f>
        <v/>
      </c>
      <c r="AW2482" s="65" t="e">
        <f t="shared" ca="1" si="391"/>
        <v>#VALUE!</v>
      </c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</row>
    <row r="2483" spans="1:68" ht="19" x14ac:dyDescent="0.25">
      <c r="A2483" s="5"/>
      <c r="B2483" s="5"/>
      <c r="C2483" s="5"/>
      <c r="D2483" s="5"/>
      <c r="E2483" s="5"/>
      <c r="F2483" s="5"/>
      <c r="G2483" s="5"/>
      <c r="H2483" s="6"/>
      <c r="I2483" s="5"/>
      <c r="J2483" s="88"/>
      <c r="K2483" s="88"/>
      <c r="L2483" s="88"/>
      <c r="M2483" s="88"/>
      <c r="N2483" s="88"/>
      <c r="O2483" s="88"/>
      <c r="P2483" s="88"/>
      <c r="Q2483" s="89"/>
      <c r="R2483" s="88"/>
      <c r="S2483" s="88"/>
      <c r="T2483" s="90"/>
      <c r="U2483" s="6"/>
      <c r="V2483" s="92"/>
      <c r="W2483" s="77"/>
      <c r="X2483" s="91"/>
      <c r="Y2483" s="77"/>
      <c r="Z2483" s="5"/>
      <c r="AA2483" s="5"/>
      <c r="AB2483" s="5"/>
      <c r="AC2483" s="5"/>
      <c r="AD2483" s="5"/>
      <c r="AE2483" s="5"/>
      <c r="AF2483" s="5"/>
      <c r="AG2483" s="5"/>
      <c r="AH2483" s="6"/>
      <c r="AI2483" s="92"/>
      <c r="AJ2483" s="93"/>
      <c r="AK2483" s="94"/>
      <c r="AL2483" s="95"/>
      <c r="AM2483" s="56"/>
      <c r="AN2483" s="57">
        <f t="shared" si="390"/>
        <v>0</v>
      </c>
      <c r="AO2483" s="76">
        <f t="shared" si="392"/>
        <v>0</v>
      </c>
      <c r="AP2483" s="63" t="str">
        <f t="shared" si="393"/>
        <v/>
      </c>
      <c r="AQ2483" s="63" t="str">
        <f t="shared" si="394"/>
        <v/>
      </c>
      <c r="AR2483" s="63" t="str">
        <f t="shared" si="395"/>
        <v/>
      </c>
      <c r="AS2483" s="63" t="str">
        <f t="shared" si="396"/>
        <v/>
      </c>
      <c r="AT2483" s="78" t="str">
        <f t="shared" si="397"/>
        <v/>
      </c>
      <c r="AU2483" s="78" t="str">
        <f t="shared" si="398"/>
        <v/>
      </c>
      <c r="AV2483" s="64" t="str">
        <f ca="1">IFERROR(__xludf.DUMMYFUNCTION("IF(TRIM(AU2483)="""","""",AU2483/INDEX(FILTER(AT$3:AT2483,TRIM(AT$3:AT2483)&lt;&gt;""""),ROWS(FILTER(AT$3:AT2483,TRIM(AT$3:AT2483)&lt;&gt;"""")))-1)"),"")</f>
        <v/>
      </c>
      <c r="AW2483" s="65" t="e">
        <f t="shared" ca="1" si="391"/>
        <v>#VALUE!</v>
      </c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</row>
    <row r="2484" spans="1:68" ht="19" x14ac:dyDescent="0.25">
      <c r="A2484" s="5"/>
      <c r="B2484" s="5"/>
      <c r="C2484" s="5"/>
      <c r="D2484" s="5"/>
      <c r="E2484" s="5"/>
      <c r="F2484" s="5"/>
      <c r="G2484" s="5"/>
      <c r="H2484" s="6"/>
      <c r="I2484" s="5"/>
      <c r="J2484" s="88"/>
      <c r="K2484" s="88"/>
      <c r="L2484" s="88"/>
      <c r="M2484" s="88"/>
      <c r="N2484" s="88"/>
      <c r="O2484" s="88"/>
      <c r="P2484" s="88"/>
      <c r="Q2484" s="89"/>
      <c r="R2484" s="88"/>
      <c r="S2484" s="88"/>
      <c r="T2484" s="90"/>
      <c r="U2484" s="6"/>
      <c r="V2484" s="92"/>
      <c r="W2484" s="77"/>
      <c r="X2484" s="91"/>
      <c r="Y2484" s="77"/>
      <c r="Z2484" s="5"/>
      <c r="AA2484" s="5"/>
      <c r="AB2484" s="5"/>
      <c r="AC2484" s="5"/>
      <c r="AD2484" s="5"/>
      <c r="AE2484" s="5"/>
      <c r="AF2484" s="5"/>
      <c r="AG2484" s="5"/>
      <c r="AH2484" s="6"/>
      <c r="AI2484" s="92"/>
      <c r="AJ2484" s="93"/>
      <c r="AK2484" s="94"/>
      <c r="AL2484" s="95"/>
      <c r="AM2484" s="56"/>
      <c r="AN2484" s="57">
        <f t="shared" si="390"/>
        <v>0</v>
      </c>
      <c r="AO2484" s="76">
        <f t="shared" si="392"/>
        <v>0</v>
      </c>
      <c r="AP2484" s="63" t="str">
        <f t="shared" si="393"/>
        <v/>
      </c>
      <c r="AQ2484" s="63" t="str">
        <f t="shared" si="394"/>
        <v/>
      </c>
      <c r="AR2484" s="63" t="str">
        <f t="shared" si="395"/>
        <v/>
      </c>
      <c r="AS2484" s="63" t="str">
        <f t="shared" si="396"/>
        <v/>
      </c>
      <c r="AT2484" s="78" t="str">
        <f t="shared" si="397"/>
        <v/>
      </c>
      <c r="AU2484" s="78" t="str">
        <f t="shared" si="398"/>
        <v/>
      </c>
      <c r="AV2484" s="64" t="str">
        <f ca="1">IFERROR(__xludf.DUMMYFUNCTION("IF(TRIM(AU2484)="""","""",AU2484/INDEX(FILTER(AT$3:AT2484,TRIM(AT$3:AT2484)&lt;&gt;""""),ROWS(FILTER(AT$3:AT2484,TRIM(AT$3:AT2484)&lt;&gt;"""")))-1)"),"")</f>
        <v/>
      </c>
      <c r="AW2484" s="65" t="e">
        <f t="shared" ca="1" si="391"/>
        <v>#VALUE!</v>
      </c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</row>
    <row r="2485" spans="1:68" ht="19" x14ac:dyDescent="0.25">
      <c r="A2485" s="5"/>
      <c r="B2485" s="5"/>
      <c r="C2485" s="5"/>
      <c r="D2485" s="5"/>
      <c r="E2485" s="5"/>
      <c r="F2485" s="5"/>
      <c r="G2485" s="5"/>
      <c r="H2485" s="6"/>
      <c r="I2485" s="5"/>
      <c r="J2485" s="88"/>
      <c r="K2485" s="88"/>
      <c r="L2485" s="88"/>
      <c r="M2485" s="88"/>
      <c r="N2485" s="88"/>
      <c r="O2485" s="88"/>
      <c r="P2485" s="88"/>
      <c r="Q2485" s="89"/>
      <c r="R2485" s="88"/>
      <c r="S2485" s="88"/>
      <c r="T2485" s="90"/>
      <c r="U2485" s="6"/>
      <c r="V2485" s="92"/>
      <c r="W2485" s="77"/>
      <c r="X2485" s="91"/>
      <c r="Y2485" s="77"/>
      <c r="Z2485" s="5"/>
      <c r="AA2485" s="5"/>
      <c r="AB2485" s="5"/>
      <c r="AC2485" s="5"/>
      <c r="AD2485" s="5"/>
      <c r="AE2485" s="5"/>
      <c r="AF2485" s="5"/>
      <c r="AG2485" s="5"/>
      <c r="AH2485" s="6"/>
      <c r="AI2485" s="92"/>
      <c r="AJ2485" s="93"/>
      <c r="AK2485" s="94"/>
      <c r="AL2485" s="95"/>
      <c r="AM2485" s="56"/>
      <c r="AN2485" s="57">
        <f t="shared" si="390"/>
        <v>0</v>
      </c>
      <c r="AO2485" s="76">
        <f t="shared" si="392"/>
        <v>0</v>
      </c>
      <c r="AP2485" s="63" t="str">
        <f t="shared" si="393"/>
        <v/>
      </c>
      <c r="AQ2485" s="63" t="str">
        <f t="shared" si="394"/>
        <v/>
      </c>
      <c r="AR2485" s="63" t="str">
        <f t="shared" si="395"/>
        <v/>
      </c>
      <c r="AS2485" s="63" t="str">
        <f t="shared" si="396"/>
        <v/>
      </c>
      <c r="AT2485" s="78" t="str">
        <f t="shared" si="397"/>
        <v/>
      </c>
      <c r="AU2485" s="78" t="str">
        <f t="shared" si="398"/>
        <v/>
      </c>
      <c r="AV2485" s="64" t="str">
        <f ca="1">IFERROR(__xludf.DUMMYFUNCTION("IF(TRIM(AU2485)="""","""",AU2485/INDEX(FILTER(AT$3:AT2485,TRIM(AT$3:AT2485)&lt;&gt;""""),ROWS(FILTER(AT$3:AT2485,TRIM(AT$3:AT2485)&lt;&gt;"""")))-1)"),"")</f>
        <v/>
      </c>
      <c r="AW2485" s="65" t="e">
        <f t="shared" ca="1" si="391"/>
        <v>#VALUE!</v>
      </c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</row>
    <row r="2486" spans="1:68" ht="19" x14ac:dyDescent="0.25">
      <c r="A2486" s="5"/>
      <c r="B2486" s="5"/>
      <c r="C2486" s="5"/>
      <c r="D2486" s="5"/>
      <c r="E2486" s="5"/>
      <c r="F2486" s="5"/>
      <c r="G2486" s="5"/>
      <c r="H2486" s="6"/>
      <c r="I2486" s="5"/>
      <c r="J2486" s="88"/>
      <c r="K2486" s="88"/>
      <c r="L2486" s="88"/>
      <c r="M2486" s="88"/>
      <c r="N2486" s="88"/>
      <c r="O2486" s="88"/>
      <c r="P2486" s="88"/>
      <c r="Q2486" s="89"/>
      <c r="R2486" s="88"/>
      <c r="S2486" s="88"/>
      <c r="T2486" s="90"/>
      <c r="U2486" s="6"/>
      <c r="V2486" s="92"/>
      <c r="W2486" s="77"/>
      <c r="X2486" s="91"/>
      <c r="Y2486" s="77"/>
      <c r="Z2486" s="5"/>
      <c r="AA2486" s="5"/>
      <c r="AB2486" s="5"/>
      <c r="AC2486" s="5"/>
      <c r="AD2486" s="5"/>
      <c r="AE2486" s="5"/>
      <c r="AF2486" s="5"/>
      <c r="AG2486" s="5"/>
      <c r="AH2486" s="6"/>
      <c r="AI2486" s="92"/>
      <c r="AJ2486" s="93"/>
      <c r="AK2486" s="94"/>
      <c r="AL2486" s="95"/>
      <c r="AM2486" s="56"/>
      <c r="AN2486" s="57">
        <f t="shared" si="390"/>
        <v>0</v>
      </c>
      <c r="AO2486" s="76">
        <f t="shared" si="392"/>
        <v>0</v>
      </c>
      <c r="AP2486" s="63" t="str">
        <f t="shared" si="393"/>
        <v/>
      </c>
      <c r="AQ2486" s="63" t="str">
        <f t="shared" si="394"/>
        <v/>
      </c>
      <c r="AR2486" s="63" t="str">
        <f t="shared" si="395"/>
        <v/>
      </c>
      <c r="AS2486" s="63" t="str">
        <f t="shared" si="396"/>
        <v/>
      </c>
      <c r="AT2486" s="78" t="str">
        <f t="shared" si="397"/>
        <v/>
      </c>
      <c r="AU2486" s="78" t="str">
        <f t="shared" si="398"/>
        <v/>
      </c>
      <c r="AV2486" s="64" t="str">
        <f ca="1">IFERROR(__xludf.DUMMYFUNCTION("IF(TRIM(AU2486)="""","""",AU2486/INDEX(FILTER(AT$3:AT2486,TRIM(AT$3:AT2486)&lt;&gt;""""),ROWS(FILTER(AT$3:AT2486,TRIM(AT$3:AT2486)&lt;&gt;"""")))-1)"),"")</f>
        <v/>
      </c>
      <c r="AW2486" s="65" t="e">
        <f t="shared" ca="1" si="391"/>
        <v>#VALUE!</v>
      </c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</row>
    <row r="2487" spans="1:68" ht="19" x14ac:dyDescent="0.25">
      <c r="A2487" s="5"/>
      <c r="B2487" s="5"/>
      <c r="C2487" s="5"/>
      <c r="D2487" s="5"/>
      <c r="E2487" s="5"/>
      <c r="F2487" s="5"/>
      <c r="G2487" s="5"/>
      <c r="H2487" s="6"/>
      <c r="I2487" s="5"/>
      <c r="J2487" s="88"/>
      <c r="K2487" s="88"/>
      <c r="L2487" s="88"/>
      <c r="M2487" s="88"/>
      <c r="N2487" s="88"/>
      <c r="O2487" s="88"/>
      <c r="P2487" s="88"/>
      <c r="Q2487" s="89"/>
      <c r="R2487" s="88"/>
      <c r="S2487" s="88"/>
      <c r="T2487" s="90"/>
      <c r="U2487" s="6"/>
      <c r="V2487" s="92"/>
      <c r="W2487" s="77"/>
      <c r="X2487" s="91"/>
      <c r="Y2487" s="77"/>
      <c r="Z2487" s="5"/>
      <c r="AA2487" s="5"/>
      <c r="AB2487" s="5"/>
      <c r="AC2487" s="5"/>
      <c r="AD2487" s="5"/>
      <c r="AE2487" s="5"/>
      <c r="AF2487" s="5"/>
      <c r="AG2487" s="5"/>
      <c r="AH2487" s="6"/>
      <c r="AI2487" s="92"/>
      <c r="AJ2487" s="93"/>
      <c r="AK2487" s="94"/>
      <c r="AL2487" s="95"/>
      <c r="AM2487" s="56"/>
      <c r="AN2487" s="57">
        <f t="shared" si="390"/>
        <v>0</v>
      </c>
      <c r="AO2487" s="76">
        <f t="shared" si="392"/>
        <v>0</v>
      </c>
      <c r="AP2487" s="63" t="str">
        <f t="shared" si="393"/>
        <v/>
      </c>
      <c r="AQ2487" s="63" t="str">
        <f t="shared" si="394"/>
        <v/>
      </c>
      <c r="AR2487" s="63" t="str">
        <f t="shared" si="395"/>
        <v/>
      </c>
      <c r="AS2487" s="63" t="str">
        <f t="shared" si="396"/>
        <v/>
      </c>
      <c r="AT2487" s="78" t="str">
        <f t="shared" si="397"/>
        <v/>
      </c>
      <c r="AU2487" s="78" t="str">
        <f t="shared" si="398"/>
        <v/>
      </c>
      <c r="AV2487" s="64" t="str">
        <f ca="1">IFERROR(__xludf.DUMMYFUNCTION("IF(TRIM(AU2487)="""","""",AU2487/INDEX(FILTER(AT$3:AT2487,TRIM(AT$3:AT2487)&lt;&gt;""""),ROWS(FILTER(AT$3:AT2487,TRIM(AT$3:AT2487)&lt;&gt;"""")))-1)"),"")</f>
        <v/>
      </c>
      <c r="AW2487" s="65" t="e">
        <f t="shared" ca="1" si="391"/>
        <v>#VALUE!</v>
      </c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</row>
    <row r="2488" spans="1:68" ht="19" x14ac:dyDescent="0.25">
      <c r="A2488" s="5"/>
      <c r="B2488" s="5"/>
      <c r="C2488" s="5"/>
      <c r="D2488" s="5"/>
      <c r="E2488" s="5"/>
      <c r="F2488" s="5"/>
      <c r="G2488" s="5"/>
      <c r="H2488" s="6"/>
      <c r="I2488" s="5"/>
      <c r="J2488" s="88"/>
      <c r="K2488" s="88"/>
      <c r="L2488" s="88"/>
      <c r="M2488" s="88"/>
      <c r="N2488" s="88"/>
      <c r="O2488" s="88"/>
      <c r="P2488" s="88"/>
      <c r="Q2488" s="89"/>
      <c r="R2488" s="88"/>
      <c r="S2488" s="88"/>
      <c r="T2488" s="90"/>
      <c r="U2488" s="6"/>
      <c r="V2488" s="92"/>
      <c r="W2488" s="77"/>
      <c r="X2488" s="91"/>
      <c r="Y2488" s="77"/>
      <c r="Z2488" s="5"/>
      <c r="AA2488" s="5"/>
      <c r="AB2488" s="5"/>
      <c r="AC2488" s="5"/>
      <c r="AD2488" s="5"/>
      <c r="AE2488" s="5"/>
      <c r="AF2488" s="5"/>
      <c r="AG2488" s="5"/>
      <c r="AH2488" s="6"/>
      <c r="AI2488" s="92"/>
      <c r="AJ2488" s="93"/>
      <c r="AK2488" s="94"/>
      <c r="AL2488" s="95"/>
      <c r="AM2488" s="56"/>
      <c r="AN2488" s="57">
        <f t="shared" si="390"/>
        <v>0</v>
      </c>
      <c r="AO2488" s="76">
        <f t="shared" si="392"/>
        <v>0</v>
      </c>
      <c r="AP2488" s="63" t="str">
        <f t="shared" si="393"/>
        <v/>
      </c>
      <c r="AQ2488" s="63" t="str">
        <f t="shared" si="394"/>
        <v/>
      </c>
      <c r="AR2488" s="63" t="str">
        <f t="shared" si="395"/>
        <v/>
      </c>
      <c r="AS2488" s="63" t="str">
        <f t="shared" si="396"/>
        <v/>
      </c>
      <c r="AT2488" s="78" t="str">
        <f t="shared" si="397"/>
        <v/>
      </c>
      <c r="AU2488" s="78" t="str">
        <f t="shared" si="398"/>
        <v/>
      </c>
      <c r="AV2488" s="64" t="str">
        <f ca="1">IFERROR(__xludf.DUMMYFUNCTION("IF(TRIM(AU2488)="""","""",AU2488/INDEX(FILTER(AT$3:AT2488,TRIM(AT$3:AT2488)&lt;&gt;""""),ROWS(FILTER(AT$3:AT2488,TRIM(AT$3:AT2488)&lt;&gt;"""")))-1)"),"")</f>
        <v/>
      </c>
      <c r="AW2488" s="65" t="e">
        <f t="shared" ca="1" si="391"/>
        <v>#VALUE!</v>
      </c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</row>
    <row r="2489" spans="1:68" ht="19" x14ac:dyDescent="0.25">
      <c r="A2489" s="5"/>
      <c r="B2489" s="5"/>
      <c r="C2489" s="5"/>
      <c r="D2489" s="5"/>
      <c r="E2489" s="5"/>
      <c r="F2489" s="5"/>
      <c r="G2489" s="5"/>
      <c r="H2489" s="6"/>
      <c r="I2489" s="5"/>
      <c r="J2489" s="88"/>
      <c r="K2489" s="88"/>
      <c r="L2489" s="88"/>
      <c r="M2489" s="88"/>
      <c r="N2489" s="88"/>
      <c r="O2489" s="88"/>
      <c r="P2489" s="88"/>
      <c r="Q2489" s="89"/>
      <c r="R2489" s="88"/>
      <c r="S2489" s="88"/>
      <c r="T2489" s="90"/>
      <c r="U2489" s="6"/>
      <c r="V2489" s="92"/>
      <c r="W2489" s="77"/>
      <c r="X2489" s="91"/>
      <c r="Y2489" s="77"/>
      <c r="Z2489" s="5"/>
      <c r="AA2489" s="5"/>
      <c r="AB2489" s="5"/>
      <c r="AC2489" s="5"/>
      <c r="AD2489" s="5"/>
      <c r="AE2489" s="5"/>
      <c r="AF2489" s="5"/>
      <c r="AG2489" s="5"/>
      <c r="AH2489" s="6"/>
      <c r="AI2489" s="92"/>
      <c r="AJ2489" s="93"/>
      <c r="AK2489" s="94"/>
      <c r="AL2489" s="95"/>
      <c r="AM2489" s="56"/>
      <c r="AN2489" s="57">
        <f t="shared" si="390"/>
        <v>0</v>
      </c>
      <c r="AO2489" s="76">
        <f t="shared" si="392"/>
        <v>0</v>
      </c>
      <c r="AP2489" s="63" t="str">
        <f t="shared" si="393"/>
        <v/>
      </c>
      <c r="AQ2489" s="63" t="str">
        <f t="shared" si="394"/>
        <v/>
      </c>
      <c r="AR2489" s="63" t="str">
        <f t="shared" si="395"/>
        <v/>
      </c>
      <c r="AS2489" s="63" t="str">
        <f t="shared" si="396"/>
        <v/>
      </c>
      <c r="AT2489" s="78" t="str">
        <f t="shared" si="397"/>
        <v/>
      </c>
      <c r="AU2489" s="78" t="str">
        <f t="shared" si="398"/>
        <v/>
      </c>
      <c r="AV2489" s="64" t="str">
        <f ca="1">IFERROR(__xludf.DUMMYFUNCTION("IF(TRIM(AU2489)="""","""",AU2489/INDEX(FILTER(AT$3:AT2489,TRIM(AT$3:AT2489)&lt;&gt;""""),ROWS(FILTER(AT$3:AT2489,TRIM(AT$3:AT2489)&lt;&gt;"""")))-1)"),"")</f>
        <v/>
      </c>
      <c r="AW2489" s="65" t="e">
        <f t="shared" ca="1" si="391"/>
        <v>#VALUE!</v>
      </c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</row>
    <row r="2490" spans="1:68" ht="19" x14ac:dyDescent="0.25">
      <c r="A2490" s="5"/>
      <c r="B2490" s="5"/>
      <c r="C2490" s="5"/>
      <c r="D2490" s="5"/>
      <c r="E2490" s="5"/>
      <c r="F2490" s="5"/>
      <c r="G2490" s="5"/>
      <c r="H2490" s="6"/>
      <c r="I2490" s="5"/>
      <c r="J2490" s="88"/>
      <c r="K2490" s="88"/>
      <c r="L2490" s="88"/>
      <c r="M2490" s="88"/>
      <c r="N2490" s="88"/>
      <c r="O2490" s="88"/>
      <c r="P2490" s="88"/>
      <c r="Q2490" s="89"/>
      <c r="R2490" s="88"/>
      <c r="S2490" s="88"/>
      <c r="T2490" s="90"/>
      <c r="U2490" s="6"/>
      <c r="V2490" s="92"/>
      <c r="W2490" s="77"/>
      <c r="X2490" s="91"/>
      <c r="Y2490" s="77"/>
      <c r="Z2490" s="5"/>
      <c r="AA2490" s="5"/>
      <c r="AB2490" s="5"/>
      <c r="AC2490" s="5"/>
      <c r="AD2490" s="5"/>
      <c r="AE2490" s="5"/>
      <c r="AF2490" s="5"/>
      <c r="AG2490" s="5"/>
      <c r="AH2490" s="6"/>
      <c r="AI2490" s="92"/>
      <c r="AJ2490" s="93"/>
      <c r="AK2490" s="94"/>
      <c r="AL2490" s="95"/>
      <c r="AM2490" s="56"/>
      <c r="AN2490" s="57">
        <f t="shared" si="390"/>
        <v>0</v>
      </c>
      <c r="AO2490" s="76">
        <f t="shared" si="392"/>
        <v>0</v>
      </c>
      <c r="AP2490" s="63" t="str">
        <f t="shared" si="393"/>
        <v/>
      </c>
      <c r="AQ2490" s="63" t="str">
        <f t="shared" si="394"/>
        <v/>
      </c>
      <c r="AR2490" s="63" t="str">
        <f t="shared" si="395"/>
        <v/>
      </c>
      <c r="AS2490" s="63" t="str">
        <f t="shared" si="396"/>
        <v/>
      </c>
      <c r="AT2490" s="78" t="str">
        <f t="shared" si="397"/>
        <v/>
      </c>
      <c r="AU2490" s="78" t="str">
        <f t="shared" si="398"/>
        <v/>
      </c>
      <c r="AV2490" s="64" t="str">
        <f ca="1">IFERROR(__xludf.DUMMYFUNCTION("IF(TRIM(AU2490)="""","""",AU2490/INDEX(FILTER(AT$3:AT2490,TRIM(AT$3:AT2490)&lt;&gt;""""),ROWS(FILTER(AT$3:AT2490,TRIM(AT$3:AT2490)&lt;&gt;"""")))-1)"),"")</f>
        <v/>
      </c>
      <c r="AW2490" s="65" t="e">
        <f t="shared" ca="1" si="391"/>
        <v>#VALUE!</v>
      </c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</row>
    <row r="2491" spans="1:68" ht="19" x14ac:dyDescent="0.25">
      <c r="A2491" s="5"/>
      <c r="B2491" s="5"/>
      <c r="C2491" s="5"/>
      <c r="D2491" s="5"/>
      <c r="E2491" s="5"/>
      <c r="F2491" s="5"/>
      <c r="G2491" s="5"/>
      <c r="H2491" s="6"/>
      <c r="I2491" s="5"/>
      <c r="J2491" s="88"/>
      <c r="K2491" s="88"/>
      <c r="L2491" s="88"/>
      <c r="M2491" s="88"/>
      <c r="N2491" s="88"/>
      <c r="O2491" s="88"/>
      <c r="P2491" s="88"/>
      <c r="Q2491" s="89"/>
      <c r="R2491" s="88"/>
      <c r="S2491" s="88"/>
      <c r="T2491" s="90"/>
      <c r="U2491" s="6"/>
      <c r="V2491" s="92"/>
      <c r="W2491" s="77"/>
      <c r="X2491" s="91"/>
      <c r="Y2491" s="77"/>
      <c r="Z2491" s="5"/>
      <c r="AA2491" s="5"/>
      <c r="AB2491" s="5"/>
      <c r="AC2491" s="5"/>
      <c r="AD2491" s="5"/>
      <c r="AE2491" s="5"/>
      <c r="AF2491" s="5"/>
      <c r="AG2491" s="5"/>
      <c r="AH2491" s="6"/>
      <c r="AI2491" s="92"/>
      <c r="AJ2491" s="93"/>
      <c r="AK2491" s="94"/>
      <c r="AL2491" s="95"/>
      <c r="AM2491" s="56"/>
      <c r="AN2491" s="57">
        <f t="shared" si="390"/>
        <v>0</v>
      </c>
      <c r="AO2491" s="76">
        <f t="shared" si="392"/>
        <v>0</v>
      </c>
      <c r="AP2491" s="63" t="str">
        <f t="shared" si="393"/>
        <v/>
      </c>
      <c r="AQ2491" s="63" t="str">
        <f t="shared" si="394"/>
        <v/>
      </c>
      <c r="AR2491" s="63" t="str">
        <f t="shared" si="395"/>
        <v/>
      </c>
      <c r="AS2491" s="63" t="str">
        <f t="shared" si="396"/>
        <v/>
      </c>
      <c r="AT2491" s="78" t="str">
        <f t="shared" si="397"/>
        <v/>
      </c>
      <c r="AU2491" s="78" t="str">
        <f t="shared" si="398"/>
        <v/>
      </c>
      <c r="AV2491" s="64" t="str">
        <f ca="1">IFERROR(__xludf.DUMMYFUNCTION("IF(TRIM(AU2491)="""","""",AU2491/INDEX(FILTER(AT$3:AT2491,TRIM(AT$3:AT2491)&lt;&gt;""""),ROWS(FILTER(AT$3:AT2491,TRIM(AT$3:AT2491)&lt;&gt;"""")))-1)"),"")</f>
        <v/>
      </c>
      <c r="AW2491" s="65" t="e">
        <f t="shared" ca="1" si="391"/>
        <v>#VALUE!</v>
      </c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</row>
    <row r="2492" spans="1:68" ht="19" x14ac:dyDescent="0.25">
      <c r="A2492" s="5"/>
      <c r="B2492" s="5"/>
      <c r="C2492" s="5"/>
      <c r="D2492" s="5"/>
      <c r="E2492" s="5"/>
      <c r="F2492" s="5"/>
      <c r="G2492" s="5"/>
      <c r="H2492" s="6"/>
      <c r="I2492" s="5"/>
      <c r="J2492" s="88"/>
      <c r="K2492" s="88"/>
      <c r="L2492" s="88"/>
      <c r="M2492" s="88"/>
      <c r="N2492" s="88"/>
      <c r="O2492" s="88"/>
      <c r="P2492" s="88"/>
      <c r="Q2492" s="89"/>
      <c r="R2492" s="88"/>
      <c r="S2492" s="88"/>
      <c r="T2492" s="90"/>
      <c r="U2492" s="6"/>
      <c r="V2492" s="92"/>
      <c r="W2492" s="77"/>
      <c r="X2492" s="91"/>
      <c r="Y2492" s="77"/>
      <c r="Z2492" s="5"/>
      <c r="AA2492" s="5"/>
      <c r="AB2492" s="5"/>
      <c r="AC2492" s="5"/>
      <c r="AD2492" s="5"/>
      <c r="AE2492" s="5"/>
      <c r="AF2492" s="5"/>
      <c r="AG2492" s="5"/>
      <c r="AH2492" s="6"/>
      <c r="AI2492" s="92"/>
      <c r="AJ2492" s="93"/>
      <c r="AK2492" s="94"/>
      <c r="AL2492" s="95"/>
      <c r="AM2492" s="56"/>
      <c r="AN2492" s="57">
        <f t="shared" si="390"/>
        <v>0</v>
      </c>
      <c r="AO2492" s="76">
        <f t="shared" si="392"/>
        <v>0</v>
      </c>
      <c r="AP2492" s="63" t="str">
        <f t="shared" si="393"/>
        <v/>
      </c>
      <c r="AQ2492" s="63" t="str">
        <f t="shared" si="394"/>
        <v/>
      </c>
      <c r="AR2492" s="63" t="str">
        <f t="shared" si="395"/>
        <v/>
      </c>
      <c r="AS2492" s="63" t="str">
        <f t="shared" si="396"/>
        <v/>
      </c>
      <c r="AT2492" s="78" t="str">
        <f t="shared" si="397"/>
        <v/>
      </c>
      <c r="AU2492" s="78" t="str">
        <f t="shared" si="398"/>
        <v/>
      </c>
      <c r="AV2492" s="64" t="str">
        <f ca="1">IFERROR(__xludf.DUMMYFUNCTION("IF(TRIM(AU2492)="""","""",AU2492/INDEX(FILTER(AT$3:AT2492,TRIM(AT$3:AT2492)&lt;&gt;""""),ROWS(FILTER(AT$3:AT2492,TRIM(AT$3:AT2492)&lt;&gt;"""")))-1)"),"")</f>
        <v/>
      </c>
      <c r="AW2492" s="65" t="e">
        <f t="shared" ca="1" si="391"/>
        <v>#VALUE!</v>
      </c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</row>
    <row r="2493" spans="1:68" ht="19" x14ac:dyDescent="0.25">
      <c r="A2493" s="5"/>
      <c r="B2493" s="5"/>
      <c r="C2493" s="5"/>
      <c r="D2493" s="5"/>
      <c r="E2493" s="5"/>
      <c r="F2493" s="5"/>
      <c r="G2493" s="5"/>
      <c r="H2493" s="6"/>
      <c r="I2493" s="5"/>
      <c r="J2493" s="88"/>
      <c r="K2493" s="88"/>
      <c r="L2493" s="88"/>
      <c r="M2493" s="88"/>
      <c r="N2493" s="88"/>
      <c r="O2493" s="88"/>
      <c r="P2493" s="88"/>
      <c r="Q2493" s="89"/>
      <c r="R2493" s="88"/>
      <c r="S2493" s="88"/>
      <c r="T2493" s="90"/>
      <c r="U2493" s="6"/>
      <c r="V2493" s="92"/>
      <c r="W2493" s="77"/>
      <c r="X2493" s="91"/>
      <c r="Y2493" s="77"/>
      <c r="Z2493" s="5"/>
      <c r="AA2493" s="5"/>
      <c r="AB2493" s="5"/>
      <c r="AC2493" s="5"/>
      <c r="AD2493" s="5"/>
      <c r="AE2493" s="5"/>
      <c r="AF2493" s="5"/>
      <c r="AG2493" s="5"/>
      <c r="AH2493" s="6"/>
      <c r="AI2493" s="92"/>
      <c r="AJ2493" s="93"/>
      <c r="AK2493" s="94"/>
      <c r="AL2493" s="95"/>
      <c r="AM2493" s="56"/>
      <c r="AN2493" s="57">
        <f t="shared" si="390"/>
        <v>0</v>
      </c>
      <c r="AO2493" s="76">
        <f t="shared" si="392"/>
        <v>0</v>
      </c>
      <c r="AP2493" s="63" t="str">
        <f t="shared" si="393"/>
        <v/>
      </c>
      <c r="AQ2493" s="63" t="str">
        <f t="shared" si="394"/>
        <v/>
      </c>
      <c r="AR2493" s="63" t="str">
        <f t="shared" si="395"/>
        <v/>
      </c>
      <c r="AS2493" s="63" t="str">
        <f t="shared" si="396"/>
        <v/>
      </c>
      <c r="AT2493" s="78" t="str">
        <f t="shared" si="397"/>
        <v/>
      </c>
      <c r="AU2493" s="78" t="str">
        <f t="shared" si="398"/>
        <v/>
      </c>
      <c r="AV2493" s="64" t="str">
        <f ca="1">IFERROR(__xludf.DUMMYFUNCTION("IF(TRIM(AU2493)="""","""",AU2493/INDEX(FILTER(AT$3:AT2493,TRIM(AT$3:AT2493)&lt;&gt;""""),ROWS(FILTER(AT$3:AT2493,TRIM(AT$3:AT2493)&lt;&gt;"""")))-1)"),"")</f>
        <v/>
      </c>
      <c r="AW2493" s="65" t="e">
        <f t="shared" ca="1" si="391"/>
        <v>#VALUE!</v>
      </c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</row>
    <row r="2494" spans="1:68" ht="19" x14ac:dyDescent="0.25">
      <c r="A2494" s="5"/>
      <c r="B2494" s="5"/>
      <c r="C2494" s="5"/>
      <c r="D2494" s="5"/>
      <c r="E2494" s="5"/>
      <c r="F2494" s="5"/>
      <c r="G2494" s="5"/>
      <c r="H2494" s="6"/>
      <c r="I2494" s="5"/>
      <c r="J2494" s="88"/>
      <c r="K2494" s="88"/>
      <c r="L2494" s="88"/>
      <c r="M2494" s="88"/>
      <c r="N2494" s="88"/>
      <c r="O2494" s="88"/>
      <c r="P2494" s="88"/>
      <c r="Q2494" s="89"/>
      <c r="R2494" s="88"/>
      <c r="S2494" s="88"/>
      <c r="T2494" s="90"/>
      <c r="U2494" s="6"/>
      <c r="V2494" s="92"/>
      <c r="W2494" s="77"/>
      <c r="X2494" s="91"/>
      <c r="Y2494" s="77"/>
      <c r="Z2494" s="5"/>
      <c r="AA2494" s="5"/>
      <c r="AB2494" s="5"/>
      <c r="AC2494" s="5"/>
      <c r="AD2494" s="5"/>
      <c r="AE2494" s="5"/>
      <c r="AF2494" s="5"/>
      <c r="AG2494" s="5"/>
      <c r="AH2494" s="6"/>
      <c r="AI2494" s="92"/>
      <c r="AJ2494" s="93"/>
      <c r="AK2494" s="94"/>
      <c r="AL2494" s="95"/>
      <c r="AM2494" s="56"/>
      <c r="AN2494" s="57">
        <f t="shared" si="390"/>
        <v>0</v>
      </c>
      <c r="AO2494" s="76">
        <f t="shared" si="392"/>
        <v>0</v>
      </c>
      <c r="AP2494" s="63" t="str">
        <f t="shared" si="393"/>
        <v/>
      </c>
      <c r="AQ2494" s="63" t="str">
        <f t="shared" si="394"/>
        <v/>
      </c>
      <c r="AR2494" s="63" t="str">
        <f t="shared" si="395"/>
        <v/>
      </c>
      <c r="AS2494" s="63" t="str">
        <f t="shared" si="396"/>
        <v/>
      </c>
      <c r="AT2494" s="78" t="str">
        <f t="shared" si="397"/>
        <v/>
      </c>
      <c r="AU2494" s="78" t="str">
        <f t="shared" si="398"/>
        <v/>
      </c>
      <c r="AV2494" s="64" t="str">
        <f ca="1">IFERROR(__xludf.DUMMYFUNCTION("IF(TRIM(AU2494)="""","""",AU2494/INDEX(FILTER(AT$3:AT2494,TRIM(AT$3:AT2494)&lt;&gt;""""),ROWS(FILTER(AT$3:AT2494,TRIM(AT$3:AT2494)&lt;&gt;"""")))-1)"),"")</f>
        <v/>
      </c>
      <c r="AW2494" s="65" t="e">
        <f t="shared" ca="1" si="391"/>
        <v>#VALUE!</v>
      </c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</row>
    <row r="2495" spans="1:68" ht="19" x14ac:dyDescent="0.25">
      <c r="A2495" s="5"/>
      <c r="B2495" s="5"/>
      <c r="C2495" s="5"/>
      <c r="D2495" s="5"/>
      <c r="E2495" s="5"/>
      <c r="F2495" s="5"/>
      <c r="G2495" s="5"/>
      <c r="H2495" s="6"/>
      <c r="I2495" s="5"/>
      <c r="J2495" s="88"/>
      <c r="K2495" s="88"/>
      <c r="L2495" s="88"/>
      <c r="M2495" s="88"/>
      <c r="N2495" s="88"/>
      <c r="O2495" s="88"/>
      <c r="P2495" s="88"/>
      <c r="Q2495" s="89"/>
      <c r="R2495" s="88"/>
      <c r="S2495" s="88"/>
      <c r="T2495" s="90"/>
      <c r="U2495" s="6"/>
      <c r="V2495" s="92"/>
      <c r="W2495" s="77"/>
      <c r="X2495" s="91"/>
      <c r="Y2495" s="77"/>
      <c r="Z2495" s="5"/>
      <c r="AA2495" s="5"/>
      <c r="AB2495" s="5"/>
      <c r="AC2495" s="5"/>
      <c r="AD2495" s="5"/>
      <c r="AE2495" s="5"/>
      <c r="AF2495" s="5"/>
      <c r="AG2495" s="5"/>
      <c r="AH2495" s="6"/>
      <c r="AI2495" s="92"/>
      <c r="AJ2495" s="93"/>
      <c r="AK2495" s="94"/>
      <c r="AL2495" s="95"/>
      <c r="AM2495" s="56"/>
      <c r="AN2495" s="57">
        <f t="shared" si="390"/>
        <v>0</v>
      </c>
      <c r="AO2495" s="76">
        <f t="shared" si="392"/>
        <v>0</v>
      </c>
      <c r="AP2495" s="63" t="str">
        <f t="shared" si="393"/>
        <v/>
      </c>
      <c r="AQ2495" s="63" t="str">
        <f t="shared" si="394"/>
        <v/>
      </c>
      <c r="AR2495" s="63" t="str">
        <f t="shared" si="395"/>
        <v/>
      </c>
      <c r="AS2495" s="63" t="str">
        <f t="shared" si="396"/>
        <v/>
      </c>
      <c r="AT2495" s="78" t="str">
        <f t="shared" si="397"/>
        <v/>
      </c>
      <c r="AU2495" s="78" t="str">
        <f t="shared" si="398"/>
        <v/>
      </c>
      <c r="AV2495" s="64" t="str">
        <f ca="1">IFERROR(__xludf.DUMMYFUNCTION("IF(TRIM(AU2495)="""","""",AU2495/INDEX(FILTER(AT$3:AT2495,TRIM(AT$3:AT2495)&lt;&gt;""""),ROWS(FILTER(AT$3:AT2495,TRIM(AT$3:AT2495)&lt;&gt;"""")))-1)"),"")</f>
        <v/>
      </c>
      <c r="AW2495" s="65" t="e">
        <f t="shared" ca="1" si="391"/>
        <v>#VALUE!</v>
      </c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</row>
    <row r="2496" spans="1:68" ht="19" x14ac:dyDescent="0.25">
      <c r="A2496" s="5"/>
      <c r="B2496" s="5"/>
      <c r="C2496" s="5"/>
      <c r="D2496" s="5"/>
      <c r="E2496" s="5"/>
      <c r="F2496" s="5"/>
      <c r="G2496" s="5"/>
      <c r="H2496" s="6"/>
      <c r="I2496" s="5"/>
      <c r="J2496" s="88"/>
      <c r="K2496" s="88"/>
      <c r="L2496" s="88"/>
      <c r="M2496" s="88"/>
      <c r="N2496" s="88"/>
      <c r="O2496" s="88"/>
      <c r="P2496" s="88"/>
      <c r="Q2496" s="89"/>
      <c r="R2496" s="88"/>
      <c r="S2496" s="88"/>
      <c r="T2496" s="90"/>
      <c r="U2496" s="6"/>
      <c r="V2496" s="92"/>
      <c r="W2496" s="77"/>
      <c r="X2496" s="91"/>
      <c r="Y2496" s="77"/>
      <c r="Z2496" s="5"/>
      <c r="AA2496" s="5"/>
      <c r="AB2496" s="5"/>
      <c r="AC2496" s="5"/>
      <c r="AD2496" s="5"/>
      <c r="AE2496" s="5"/>
      <c r="AF2496" s="5"/>
      <c r="AG2496" s="5"/>
      <c r="AH2496" s="6"/>
      <c r="AI2496" s="92"/>
      <c r="AJ2496" s="93"/>
      <c r="AK2496" s="94"/>
      <c r="AL2496" s="95"/>
      <c r="AM2496" s="56"/>
      <c r="AN2496" s="57">
        <f t="shared" si="390"/>
        <v>0</v>
      </c>
      <c r="AO2496" s="76">
        <f t="shared" si="392"/>
        <v>0</v>
      </c>
      <c r="AP2496" s="63" t="str">
        <f t="shared" si="393"/>
        <v/>
      </c>
      <c r="AQ2496" s="63" t="str">
        <f t="shared" si="394"/>
        <v/>
      </c>
      <c r="AR2496" s="63" t="str">
        <f t="shared" si="395"/>
        <v/>
      </c>
      <c r="AS2496" s="63" t="str">
        <f t="shared" si="396"/>
        <v/>
      </c>
      <c r="AT2496" s="78" t="str">
        <f t="shared" si="397"/>
        <v/>
      </c>
      <c r="AU2496" s="78" t="str">
        <f t="shared" si="398"/>
        <v/>
      </c>
      <c r="AV2496" s="64" t="str">
        <f ca="1">IFERROR(__xludf.DUMMYFUNCTION("IF(TRIM(AU2496)="""","""",AU2496/INDEX(FILTER(AT$3:AT2496,TRIM(AT$3:AT2496)&lt;&gt;""""),ROWS(FILTER(AT$3:AT2496,TRIM(AT$3:AT2496)&lt;&gt;"""")))-1)"),"")</f>
        <v/>
      </c>
      <c r="AW2496" s="65" t="e">
        <f t="shared" ca="1" si="391"/>
        <v>#VALUE!</v>
      </c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</row>
    <row r="2497" spans="1:68" ht="19" x14ac:dyDescent="0.25">
      <c r="A2497" s="5"/>
      <c r="B2497" s="5"/>
      <c r="C2497" s="5"/>
      <c r="D2497" s="5"/>
      <c r="E2497" s="5"/>
      <c r="F2497" s="5"/>
      <c r="G2497" s="5"/>
      <c r="H2497" s="6"/>
      <c r="I2497" s="5"/>
      <c r="J2497" s="88"/>
      <c r="K2497" s="88"/>
      <c r="L2497" s="88"/>
      <c r="M2497" s="88"/>
      <c r="N2497" s="88"/>
      <c r="O2497" s="88"/>
      <c r="P2497" s="88"/>
      <c r="Q2497" s="89"/>
      <c r="R2497" s="88"/>
      <c r="S2497" s="88"/>
      <c r="T2497" s="90"/>
      <c r="U2497" s="6"/>
      <c r="V2497" s="92"/>
      <c r="W2497" s="77"/>
      <c r="X2497" s="91"/>
      <c r="Y2497" s="77"/>
      <c r="Z2497" s="5"/>
      <c r="AA2497" s="5"/>
      <c r="AB2497" s="5"/>
      <c r="AC2497" s="5"/>
      <c r="AD2497" s="5"/>
      <c r="AE2497" s="5"/>
      <c r="AF2497" s="5"/>
      <c r="AG2497" s="5"/>
      <c r="AH2497" s="6"/>
      <c r="AI2497" s="92"/>
      <c r="AJ2497" s="93"/>
      <c r="AK2497" s="94"/>
      <c r="AL2497" s="95"/>
      <c r="AM2497" s="56"/>
      <c r="AN2497" s="57">
        <f t="shared" si="390"/>
        <v>0</v>
      </c>
      <c r="AO2497" s="76">
        <f t="shared" si="392"/>
        <v>0</v>
      </c>
      <c r="AP2497" s="63" t="str">
        <f t="shared" si="393"/>
        <v/>
      </c>
      <c r="AQ2497" s="63" t="str">
        <f t="shared" si="394"/>
        <v/>
      </c>
      <c r="AR2497" s="63" t="str">
        <f t="shared" si="395"/>
        <v/>
      </c>
      <c r="AS2497" s="63" t="str">
        <f t="shared" si="396"/>
        <v/>
      </c>
      <c r="AT2497" s="78" t="str">
        <f t="shared" si="397"/>
        <v/>
      </c>
      <c r="AU2497" s="78" t="str">
        <f t="shared" si="398"/>
        <v/>
      </c>
      <c r="AV2497" s="64" t="str">
        <f ca="1">IFERROR(__xludf.DUMMYFUNCTION("IF(TRIM(AU2497)="""","""",AU2497/INDEX(FILTER(AT$3:AT2497,TRIM(AT$3:AT2497)&lt;&gt;""""),ROWS(FILTER(AT$3:AT2497,TRIM(AT$3:AT2497)&lt;&gt;"""")))-1)"),"")</f>
        <v/>
      </c>
      <c r="AW2497" s="65" t="e">
        <f t="shared" ca="1" si="391"/>
        <v>#VALUE!</v>
      </c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</row>
    <row r="2498" spans="1:68" ht="19" x14ac:dyDescent="0.25">
      <c r="A2498" s="5"/>
      <c r="B2498" s="5"/>
      <c r="C2498" s="5"/>
      <c r="D2498" s="5"/>
      <c r="E2498" s="5"/>
      <c r="F2498" s="5"/>
      <c r="G2498" s="5"/>
      <c r="H2498" s="6"/>
      <c r="I2498" s="5"/>
      <c r="J2498" s="88"/>
      <c r="K2498" s="88"/>
      <c r="L2498" s="88"/>
      <c r="M2498" s="88"/>
      <c r="N2498" s="88"/>
      <c r="O2498" s="88"/>
      <c r="P2498" s="88"/>
      <c r="Q2498" s="89"/>
      <c r="R2498" s="88"/>
      <c r="S2498" s="88"/>
      <c r="T2498" s="90"/>
      <c r="U2498" s="6"/>
      <c r="V2498" s="92"/>
      <c r="W2498" s="77"/>
      <c r="X2498" s="91"/>
      <c r="Y2498" s="77"/>
      <c r="Z2498" s="5"/>
      <c r="AA2498" s="5"/>
      <c r="AB2498" s="5"/>
      <c r="AC2498" s="5"/>
      <c r="AD2498" s="5"/>
      <c r="AE2498" s="5"/>
      <c r="AF2498" s="5"/>
      <c r="AG2498" s="5"/>
      <c r="AH2498" s="6"/>
      <c r="AI2498" s="92"/>
      <c r="AJ2498" s="93"/>
      <c r="AK2498" s="94"/>
      <c r="AL2498" s="95"/>
      <c r="AM2498" s="56"/>
      <c r="AN2498" s="57">
        <f t="shared" si="390"/>
        <v>0</v>
      </c>
      <c r="AO2498" s="76">
        <f t="shared" si="392"/>
        <v>0</v>
      </c>
      <c r="AP2498" s="63" t="str">
        <f t="shared" si="393"/>
        <v/>
      </c>
      <c r="AQ2498" s="63" t="str">
        <f t="shared" si="394"/>
        <v/>
      </c>
      <c r="AR2498" s="63" t="str">
        <f t="shared" si="395"/>
        <v/>
      </c>
      <c r="AS2498" s="63" t="str">
        <f t="shared" si="396"/>
        <v/>
      </c>
      <c r="AT2498" s="78" t="str">
        <f t="shared" si="397"/>
        <v/>
      </c>
      <c r="AU2498" s="78" t="str">
        <f t="shared" si="398"/>
        <v/>
      </c>
      <c r="AV2498" s="64" t="str">
        <f ca="1">IFERROR(__xludf.DUMMYFUNCTION("IF(TRIM(AU2498)="""","""",AU2498/INDEX(FILTER(AT$3:AT2498,TRIM(AT$3:AT2498)&lt;&gt;""""),ROWS(FILTER(AT$3:AT2498,TRIM(AT$3:AT2498)&lt;&gt;"""")))-1)"),"")</f>
        <v/>
      </c>
      <c r="AW2498" s="65" t="e">
        <f t="shared" ca="1" si="391"/>
        <v>#VALUE!</v>
      </c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</row>
    <row r="2499" spans="1:68" ht="19" x14ac:dyDescent="0.25">
      <c r="A2499" s="5"/>
      <c r="B2499" s="5"/>
      <c r="C2499" s="5"/>
      <c r="D2499" s="5"/>
      <c r="E2499" s="5"/>
      <c r="F2499" s="5"/>
      <c r="G2499" s="5"/>
      <c r="H2499" s="6"/>
      <c r="I2499" s="5"/>
      <c r="J2499" s="88"/>
      <c r="K2499" s="88"/>
      <c r="L2499" s="88"/>
      <c r="M2499" s="88"/>
      <c r="N2499" s="88"/>
      <c r="O2499" s="88"/>
      <c r="P2499" s="88"/>
      <c r="Q2499" s="89"/>
      <c r="R2499" s="88"/>
      <c r="S2499" s="88"/>
      <c r="T2499" s="90"/>
      <c r="U2499" s="6"/>
      <c r="V2499" s="92"/>
      <c r="W2499" s="77"/>
      <c r="X2499" s="91"/>
      <c r="Y2499" s="77"/>
      <c r="Z2499" s="5"/>
      <c r="AA2499" s="5"/>
      <c r="AB2499" s="5"/>
      <c r="AC2499" s="5"/>
      <c r="AD2499" s="5"/>
      <c r="AE2499" s="5"/>
      <c r="AF2499" s="5"/>
      <c r="AG2499" s="5"/>
      <c r="AH2499" s="6"/>
      <c r="AI2499" s="92"/>
      <c r="AJ2499" s="93"/>
      <c r="AK2499" s="94"/>
      <c r="AL2499" s="95"/>
      <c r="AM2499" s="56"/>
      <c r="AN2499" s="57">
        <f t="shared" ref="AN2499:AN2562" si="399">AM2499-AL2499</f>
        <v>0</v>
      </c>
      <c r="AO2499" s="76">
        <f t="shared" si="392"/>
        <v>0</v>
      </c>
      <c r="AP2499" s="63" t="str">
        <f t="shared" si="393"/>
        <v/>
      </c>
      <c r="AQ2499" s="63" t="str">
        <f t="shared" si="394"/>
        <v/>
      </c>
      <c r="AR2499" s="63" t="str">
        <f t="shared" si="395"/>
        <v/>
      </c>
      <c r="AS2499" s="63" t="str">
        <f t="shared" si="396"/>
        <v/>
      </c>
      <c r="AT2499" s="78" t="str">
        <f t="shared" si="397"/>
        <v/>
      </c>
      <c r="AU2499" s="78" t="str">
        <f t="shared" si="398"/>
        <v/>
      </c>
      <c r="AV2499" s="64" t="str">
        <f ca="1">IFERROR(__xludf.DUMMYFUNCTION("IF(TRIM(AU2499)="""","""",AU2499/INDEX(FILTER(AT$3:AT2499,TRIM(AT$3:AT2499)&lt;&gt;""""),ROWS(FILTER(AT$3:AT2499,TRIM(AT$3:AT2499)&lt;&gt;"""")))-1)"),"")</f>
        <v/>
      </c>
      <c r="AW2499" s="65" t="e">
        <f t="shared" ref="AW2499:AW2562" ca="1" si="400">AW2498*(1+AV2499)</f>
        <v>#VALUE!</v>
      </c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</row>
    <row r="2500" spans="1:68" ht="19" x14ac:dyDescent="0.25">
      <c r="A2500" s="5"/>
      <c r="B2500" s="5"/>
      <c r="C2500" s="5"/>
      <c r="D2500" s="5"/>
      <c r="E2500" s="5"/>
      <c r="F2500" s="5"/>
      <c r="G2500" s="5"/>
      <c r="H2500" s="6"/>
      <c r="I2500" s="5"/>
      <c r="J2500" s="88"/>
      <c r="K2500" s="88"/>
      <c r="L2500" s="88"/>
      <c r="M2500" s="88"/>
      <c r="N2500" s="88"/>
      <c r="O2500" s="88"/>
      <c r="P2500" s="88"/>
      <c r="Q2500" s="89"/>
      <c r="R2500" s="88"/>
      <c r="S2500" s="88"/>
      <c r="T2500" s="90"/>
      <c r="U2500" s="6"/>
      <c r="V2500" s="92"/>
      <c r="W2500" s="77"/>
      <c r="X2500" s="91"/>
      <c r="Y2500" s="77"/>
      <c r="Z2500" s="5"/>
      <c r="AA2500" s="5"/>
      <c r="AB2500" s="5"/>
      <c r="AC2500" s="5"/>
      <c r="AD2500" s="5"/>
      <c r="AE2500" s="5"/>
      <c r="AF2500" s="5"/>
      <c r="AG2500" s="5"/>
      <c r="AH2500" s="6"/>
      <c r="AI2500" s="92"/>
      <c r="AJ2500" s="93"/>
      <c r="AK2500" s="94"/>
      <c r="AL2500" s="95"/>
      <c r="AM2500" s="56"/>
      <c r="AN2500" s="57">
        <f t="shared" si="399"/>
        <v>0</v>
      </c>
      <c r="AO2500" s="76">
        <f t="shared" si="392"/>
        <v>0</v>
      </c>
      <c r="AP2500" s="63" t="str">
        <f t="shared" si="393"/>
        <v/>
      </c>
      <c r="AQ2500" s="63" t="str">
        <f t="shared" si="394"/>
        <v/>
      </c>
      <c r="AR2500" s="63" t="str">
        <f t="shared" si="395"/>
        <v/>
      </c>
      <c r="AS2500" s="63" t="str">
        <f t="shared" si="396"/>
        <v/>
      </c>
      <c r="AT2500" s="78" t="str">
        <f t="shared" si="397"/>
        <v/>
      </c>
      <c r="AU2500" s="78" t="str">
        <f t="shared" si="398"/>
        <v/>
      </c>
      <c r="AV2500" s="64" t="str">
        <f ca="1">IFERROR(__xludf.DUMMYFUNCTION("IF(TRIM(AU2500)="""","""",AU2500/INDEX(FILTER(AT$3:AT2500,TRIM(AT$3:AT2500)&lt;&gt;""""),ROWS(FILTER(AT$3:AT2500,TRIM(AT$3:AT2500)&lt;&gt;"""")))-1)"),"")</f>
        <v/>
      </c>
      <c r="AW2500" s="65" t="e">
        <f t="shared" ca="1" si="400"/>
        <v>#VALUE!</v>
      </c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</row>
    <row r="2501" spans="1:68" ht="19" x14ac:dyDescent="0.25">
      <c r="A2501" s="5"/>
      <c r="B2501" s="5"/>
      <c r="C2501" s="5"/>
      <c r="D2501" s="5"/>
      <c r="E2501" s="5"/>
      <c r="F2501" s="5"/>
      <c r="G2501" s="5"/>
      <c r="H2501" s="6"/>
      <c r="I2501" s="5"/>
      <c r="J2501" s="88"/>
      <c r="K2501" s="88"/>
      <c r="L2501" s="88"/>
      <c r="M2501" s="88"/>
      <c r="N2501" s="88"/>
      <c r="O2501" s="88"/>
      <c r="P2501" s="88"/>
      <c r="Q2501" s="89"/>
      <c r="R2501" s="88"/>
      <c r="S2501" s="88"/>
      <c r="T2501" s="90"/>
      <c r="U2501" s="6"/>
      <c r="V2501" s="92"/>
      <c r="W2501" s="77"/>
      <c r="X2501" s="91"/>
      <c r="Y2501" s="77"/>
      <c r="Z2501" s="5"/>
      <c r="AA2501" s="5"/>
      <c r="AB2501" s="5"/>
      <c r="AC2501" s="5"/>
      <c r="AD2501" s="5"/>
      <c r="AE2501" s="5"/>
      <c r="AF2501" s="5"/>
      <c r="AG2501" s="5"/>
      <c r="AH2501" s="6"/>
      <c r="AI2501" s="92"/>
      <c r="AJ2501" s="93"/>
      <c r="AK2501" s="94"/>
      <c r="AL2501" s="95"/>
      <c r="AM2501" s="56"/>
      <c r="AN2501" s="57">
        <f t="shared" si="399"/>
        <v>0</v>
      </c>
      <c r="AO2501" s="76">
        <f t="shared" si="392"/>
        <v>0</v>
      </c>
      <c r="AP2501" s="63" t="str">
        <f t="shared" si="393"/>
        <v/>
      </c>
      <c r="AQ2501" s="63" t="str">
        <f t="shared" si="394"/>
        <v/>
      </c>
      <c r="AR2501" s="63" t="str">
        <f t="shared" si="395"/>
        <v/>
      </c>
      <c r="AS2501" s="63" t="str">
        <f t="shared" si="396"/>
        <v/>
      </c>
      <c r="AT2501" s="78" t="str">
        <f t="shared" si="397"/>
        <v/>
      </c>
      <c r="AU2501" s="78" t="str">
        <f t="shared" si="398"/>
        <v/>
      </c>
      <c r="AV2501" s="64" t="str">
        <f ca="1">IFERROR(__xludf.DUMMYFUNCTION("IF(TRIM(AU2501)="""","""",AU2501/INDEX(FILTER(AT$3:AT2501,TRIM(AT$3:AT2501)&lt;&gt;""""),ROWS(FILTER(AT$3:AT2501,TRIM(AT$3:AT2501)&lt;&gt;"""")))-1)"),"")</f>
        <v/>
      </c>
      <c r="AW2501" s="65" t="e">
        <f t="shared" ca="1" si="400"/>
        <v>#VALUE!</v>
      </c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</row>
    <row r="2502" spans="1:68" ht="19" x14ac:dyDescent="0.25">
      <c r="A2502" s="5"/>
      <c r="B2502" s="5"/>
      <c r="C2502" s="5"/>
      <c r="D2502" s="5"/>
      <c r="E2502" s="5"/>
      <c r="F2502" s="5"/>
      <c r="G2502" s="5"/>
      <c r="H2502" s="6"/>
      <c r="I2502" s="5"/>
      <c r="J2502" s="88"/>
      <c r="K2502" s="88"/>
      <c r="L2502" s="88"/>
      <c r="M2502" s="88"/>
      <c r="N2502" s="88"/>
      <c r="O2502" s="88"/>
      <c r="P2502" s="88"/>
      <c r="Q2502" s="89"/>
      <c r="R2502" s="88"/>
      <c r="S2502" s="88"/>
      <c r="T2502" s="90"/>
      <c r="U2502" s="6"/>
      <c r="V2502" s="92"/>
      <c r="W2502" s="77"/>
      <c r="X2502" s="91"/>
      <c r="Y2502" s="77"/>
      <c r="Z2502" s="5"/>
      <c r="AA2502" s="5"/>
      <c r="AB2502" s="5"/>
      <c r="AC2502" s="5"/>
      <c r="AD2502" s="5"/>
      <c r="AE2502" s="5"/>
      <c r="AF2502" s="5"/>
      <c r="AG2502" s="5"/>
      <c r="AH2502" s="6"/>
      <c r="AI2502" s="92"/>
      <c r="AJ2502" s="93"/>
      <c r="AK2502" s="94"/>
      <c r="AL2502" s="95"/>
      <c r="AM2502" s="56"/>
      <c r="AN2502" s="57">
        <f t="shared" si="399"/>
        <v>0</v>
      </c>
      <c r="AO2502" s="76">
        <f t="shared" si="392"/>
        <v>0</v>
      </c>
      <c r="AP2502" s="63" t="str">
        <f t="shared" si="393"/>
        <v/>
      </c>
      <c r="AQ2502" s="63" t="str">
        <f t="shared" si="394"/>
        <v/>
      </c>
      <c r="AR2502" s="63" t="str">
        <f t="shared" si="395"/>
        <v/>
      </c>
      <c r="AS2502" s="63" t="str">
        <f t="shared" si="396"/>
        <v/>
      </c>
      <c r="AT2502" s="78" t="str">
        <f t="shared" si="397"/>
        <v/>
      </c>
      <c r="AU2502" s="78" t="str">
        <f t="shared" si="398"/>
        <v/>
      </c>
      <c r="AV2502" s="64" t="str">
        <f ca="1">IFERROR(__xludf.DUMMYFUNCTION("IF(TRIM(AU2502)="""","""",AU2502/INDEX(FILTER(AT$3:AT2502,TRIM(AT$3:AT2502)&lt;&gt;""""),ROWS(FILTER(AT$3:AT2502,TRIM(AT$3:AT2502)&lt;&gt;"""")))-1)"),"")</f>
        <v/>
      </c>
      <c r="AW2502" s="65" t="e">
        <f t="shared" ca="1" si="400"/>
        <v>#VALUE!</v>
      </c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</row>
    <row r="2503" spans="1:68" ht="19" x14ac:dyDescent="0.25">
      <c r="A2503" s="5"/>
      <c r="B2503" s="5"/>
      <c r="C2503" s="5"/>
      <c r="D2503" s="5"/>
      <c r="E2503" s="5"/>
      <c r="F2503" s="5"/>
      <c r="G2503" s="5"/>
      <c r="H2503" s="6"/>
      <c r="I2503" s="5"/>
      <c r="J2503" s="88"/>
      <c r="K2503" s="88"/>
      <c r="L2503" s="88"/>
      <c r="M2503" s="88"/>
      <c r="N2503" s="88"/>
      <c r="O2503" s="88"/>
      <c r="P2503" s="88"/>
      <c r="Q2503" s="89"/>
      <c r="R2503" s="88"/>
      <c r="S2503" s="88"/>
      <c r="T2503" s="90"/>
      <c r="U2503" s="6"/>
      <c r="V2503" s="92"/>
      <c r="W2503" s="77"/>
      <c r="X2503" s="91"/>
      <c r="Y2503" s="77"/>
      <c r="Z2503" s="5"/>
      <c r="AA2503" s="5"/>
      <c r="AB2503" s="5"/>
      <c r="AC2503" s="5"/>
      <c r="AD2503" s="5"/>
      <c r="AE2503" s="5"/>
      <c r="AF2503" s="5"/>
      <c r="AG2503" s="5"/>
      <c r="AH2503" s="6"/>
      <c r="AI2503" s="92"/>
      <c r="AJ2503" s="93"/>
      <c r="AK2503" s="94"/>
      <c r="AL2503" s="95"/>
      <c r="AM2503" s="56"/>
      <c r="AN2503" s="57">
        <f t="shared" si="399"/>
        <v>0</v>
      </c>
      <c r="AO2503" s="76">
        <f t="shared" ref="AO2503:AO2566" si="401">AVERAGE(AN2499:AN2503)</f>
        <v>0</v>
      </c>
      <c r="AP2503" s="63" t="str">
        <f t="shared" ref="AP2503:AP2566" si="402">IF(AO2503&gt;0,"Buy Stocks","")</f>
        <v/>
      </c>
      <c r="AQ2503" s="63" t="str">
        <f t="shared" ref="AQ2503:AQ2562" si="403">IF(AO2503&lt;0,"Sell Stocks","")</f>
        <v/>
      </c>
      <c r="AR2503" s="63" t="str">
        <f t="shared" ref="AR2503:AR2562" si="404">IF(AND(AP2503="Buy Stocks",AP2502=""),"Buy Stocks","")</f>
        <v/>
      </c>
      <c r="AS2503" s="63" t="str">
        <f t="shared" ref="AS2503:AS2562" si="405">IF(AND(AQ2503="Sell Stocks",AQ2502=""),"Sell Stocks","")</f>
        <v/>
      </c>
      <c r="AT2503" s="78" t="str">
        <f t="shared" ref="AT2503:AT2562" si="406">IF(AR2503="Buy Stocks",AJ2503,"")</f>
        <v/>
      </c>
      <c r="AU2503" s="78" t="str">
        <f t="shared" ref="AU2503:AU2562" si="407">IF(AS2503="Sell Stocks",AJ2503,"")</f>
        <v/>
      </c>
      <c r="AV2503" s="64" t="str">
        <f ca="1">IFERROR(__xludf.DUMMYFUNCTION("IF(TRIM(AU2503)="""","""",AU2503/INDEX(FILTER(AT$3:AT2503,TRIM(AT$3:AT2503)&lt;&gt;""""),ROWS(FILTER(AT$3:AT2503,TRIM(AT$3:AT2503)&lt;&gt;"""")))-1)"),"")</f>
        <v/>
      </c>
      <c r="AW2503" s="65" t="e">
        <f t="shared" ca="1" si="400"/>
        <v>#VALUE!</v>
      </c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</row>
    <row r="2504" spans="1:68" ht="19" x14ac:dyDescent="0.25">
      <c r="A2504" s="5"/>
      <c r="B2504" s="5"/>
      <c r="C2504" s="5"/>
      <c r="D2504" s="5"/>
      <c r="E2504" s="5"/>
      <c r="F2504" s="5"/>
      <c r="G2504" s="5"/>
      <c r="H2504" s="6"/>
      <c r="I2504" s="5"/>
      <c r="J2504" s="88"/>
      <c r="K2504" s="88"/>
      <c r="L2504" s="88"/>
      <c r="M2504" s="88"/>
      <c r="N2504" s="88"/>
      <c r="O2504" s="88"/>
      <c r="P2504" s="88"/>
      <c r="Q2504" s="89"/>
      <c r="R2504" s="88"/>
      <c r="S2504" s="88"/>
      <c r="T2504" s="90"/>
      <c r="U2504" s="6"/>
      <c r="V2504" s="92"/>
      <c r="W2504" s="77"/>
      <c r="X2504" s="91"/>
      <c r="Y2504" s="77"/>
      <c r="Z2504" s="5"/>
      <c r="AA2504" s="5"/>
      <c r="AB2504" s="5"/>
      <c r="AC2504" s="5"/>
      <c r="AD2504" s="5"/>
      <c r="AE2504" s="5"/>
      <c r="AF2504" s="5"/>
      <c r="AG2504" s="5"/>
      <c r="AH2504" s="6"/>
      <c r="AI2504" s="92"/>
      <c r="AJ2504" s="93"/>
      <c r="AK2504" s="94"/>
      <c r="AL2504" s="95"/>
      <c r="AM2504" s="56"/>
      <c r="AN2504" s="57">
        <f t="shared" si="399"/>
        <v>0</v>
      </c>
      <c r="AO2504" s="76">
        <f t="shared" si="401"/>
        <v>0</v>
      </c>
      <c r="AP2504" s="63" t="str">
        <f t="shared" si="402"/>
        <v/>
      </c>
      <c r="AQ2504" s="63" t="str">
        <f t="shared" si="403"/>
        <v/>
      </c>
      <c r="AR2504" s="63" t="str">
        <f t="shared" si="404"/>
        <v/>
      </c>
      <c r="AS2504" s="63" t="str">
        <f t="shared" si="405"/>
        <v/>
      </c>
      <c r="AT2504" s="78" t="str">
        <f t="shared" si="406"/>
        <v/>
      </c>
      <c r="AU2504" s="78" t="str">
        <f t="shared" si="407"/>
        <v/>
      </c>
      <c r="AV2504" s="64" t="str">
        <f ca="1">IFERROR(__xludf.DUMMYFUNCTION("IF(TRIM(AU2504)="""","""",AU2504/INDEX(FILTER(AT$3:AT2504,TRIM(AT$3:AT2504)&lt;&gt;""""),ROWS(FILTER(AT$3:AT2504,TRIM(AT$3:AT2504)&lt;&gt;"""")))-1)"),"")</f>
        <v/>
      </c>
      <c r="AW2504" s="65" t="e">
        <f t="shared" ca="1" si="400"/>
        <v>#VALUE!</v>
      </c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</row>
    <row r="2505" spans="1:68" ht="19" x14ac:dyDescent="0.25">
      <c r="A2505" s="5"/>
      <c r="B2505" s="5"/>
      <c r="C2505" s="5"/>
      <c r="D2505" s="5"/>
      <c r="E2505" s="5"/>
      <c r="F2505" s="5"/>
      <c r="G2505" s="5"/>
      <c r="H2505" s="6"/>
      <c r="I2505" s="5"/>
      <c r="J2505" s="88"/>
      <c r="K2505" s="88"/>
      <c r="L2505" s="88"/>
      <c r="M2505" s="88"/>
      <c r="N2505" s="88"/>
      <c r="O2505" s="88"/>
      <c r="P2505" s="88"/>
      <c r="Q2505" s="89"/>
      <c r="R2505" s="88"/>
      <c r="S2505" s="88"/>
      <c r="T2505" s="90"/>
      <c r="U2505" s="6"/>
      <c r="V2505" s="92"/>
      <c r="W2505" s="77"/>
      <c r="X2505" s="91"/>
      <c r="Y2505" s="77"/>
      <c r="Z2505" s="5"/>
      <c r="AA2505" s="5"/>
      <c r="AB2505" s="5"/>
      <c r="AC2505" s="5"/>
      <c r="AD2505" s="5"/>
      <c r="AE2505" s="5"/>
      <c r="AF2505" s="5"/>
      <c r="AG2505" s="5"/>
      <c r="AH2505" s="6"/>
      <c r="AI2505" s="92"/>
      <c r="AJ2505" s="93"/>
      <c r="AK2505" s="94"/>
      <c r="AL2505" s="95"/>
      <c r="AM2505" s="56"/>
      <c r="AN2505" s="57">
        <f t="shared" si="399"/>
        <v>0</v>
      </c>
      <c r="AO2505" s="76">
        <f t="shared" si="401"/>
        <v>0</v>
      </c>
      <c r="AP2505" s="63" t="str">
        <f t="shared" si="402"/>
        <v/>
      </c>
      <c r="AQ2505" s="63" t="str">
        <f t="shared" si="403"/>
        <v/>
      </c>
      <c r="AR2505" s="63" t="str">
        <f t="shared" si="404"/>
        <v/>
      </c>
      <c r="AS2505" s="63" t="str">
        <f t="shared" si="405"/>
        <v/>
      </c>
      <c r="AT2505" s="78" t="str">
        <f t="shared" si="406"/>
        <v/>
      </c>
      <c r="AU2505" s="78" t="str">
        <f t="shared" si="407"/>
        <v/>
      </c>
      <c r="AV2505" s="64" t="str">
        <f ca="1">IFERROR(__xludf.DUMMYFUNCTION("IF(TRIM(AU2505)="""","""",AU2505/INDEX(FILTER(AT$3:AT2505,TRIM(AT$3:AT2505)&lt;&gt;""""),ROWS(FILTER(AT$3:AT2505,TRIM(AT$3:AT2505)&lt;&gt;"""")))-1)"),"")</f>
        <v/>
      </c>
      <c r="AW2505" s="65" t="e">
        <f t="shared" ca="1" si="400"/>
        <v>#VALUE!</v>
      </c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</row>
    <row r="2506" spans="1:68" ht="19" x14ac:dyDescent="0.25">
      <c r="A2506" s="5"/>
      <c r="B2506" s="5"/>
      <c r="C2506" s="5"/>
      <c r="D2506" s="5"/>
      <c r="E2506" s="5"/>
      <c r="F2506" s="5"/>
      <c r="G2506" s="5"/>
      <c r="H2506" s="6"/>
      <c r="I2506" s="5"/>
      <c r="J2506" s="88"/>
      <c r="K2506" s="88"/>
      <c r="L2506" s="88"/>
      <c r="M2506" s="88"/>
      <c r="N2506" s="88"/>
      <c r="O2506" s="88"/>
      <c r="P2506" s="88"/>
      <c r="Q2506" s="89"/>
      <c r="R2506" s="88"/>
      <c r="S2506" s="88"/>
      <c r="T2506" s="90"/>
      <c r="U2506" s="6"/>
      <c r="V2506" s="92"/>
      <c r="W2506" s="77"/>
      <c r="X2506" s="91"/>
      <c r="Y2506" s="77"/>
      <c r="Z2506" s="5"/>
      <c r="AA2506" s="5"/>
      <c r="AB2506" s="5"/>
      <c r="AC2506" s="5"/>
      <c r="AD2506" s="5"/>
      <c r="AE2506" s="5"/>
      <c r="AF2506" s="5"/>
      <c r="AG2506" s="5"/>
      <c r="AH2506" s="6"/>
      <c r="AI2506" s="92"/>
      <c r="AJ2506" s="93"/>
      <c r="AK2506" s="94"/>
      <c r="AL2506" s="95"/>
      <c r="AM2506" s="56"/>
      <c r="AN2506" s="57">
        <f t="shared" si="399"/>
        <v>0</v>
      </c>
      <c r="AO2506" s="76">
        <f t="shared" si="401"/>
        <v>0</v>
      </c>
      <c r="AP2506" s="63" t="str">
        <f t="shared" si="402"/>
        <v/>
      </c>
      <c r="AQ2506" s="63" t="str">
        <f t="shared" si="403"/>
        <v/>
      </c>
      <c r="AR2506" s="63" t="str">
        <f t="shared" si="404"/>
        <v/>
      </c>
      <c r="AS2506" s="63" t="str">
        <f t="shared" si="405"/>
        <v/>
      </c>
      <c r="AT2506" s="78" t="str">
        <f t="shared" si="406"/>
        <v/>
      </c>
      <c r="AU2506" s="78" t="str">
        <f t="shared" si="407"/>
        <v/>
      </c>
      <c r="AV2506" s="64" t="str">
        <f ca="1">IFERROR(__xludf.DUMMYFUNCTION("IF(TRIM(AU2506)="""","""",AU2506/INDEX(FILTER(AT$3:AT2506,TRIM(AT$3:AT2506)&lt;&gt;""""),ROWS(FILTER(AT$3:AT2506,TRIM(AT$3:AT2506)&lt;&gt;"""")))-1)"),"")</f>
        <v/>
      </c>
      <c r="AW2506" s="65" t="e">
        <f t="shared" ca="1" si="400"/>
        <v>#VALUE!</v>
      </c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</row>
    <row r="2507" spans="1:68" ht="19" x14ac:dyDescent="0.25">
      <c r="A2507" s="5"/>
      <c r="B2507" s="5"/>
      <c r="C2507" s="5"/>
      <c r="D2507" s="5"/>
      <c r="E2507" s="5"/>
      <c r="F2507" s="5"/>
      <c r="G2507" s="5"/>
      <c r="H2507" s="6"/>
      <c r="I2507" s="5"/>
      <c r="J2507" s="88"/>
      <c r="K2507" s="88"/>
      <c r="L2507" s="88"/>
      <c r="M2507" s="88"/>
      <c r="N2507" s="88"/>
      <c r="O2507" s="88"/>
      <c r="P2507" s="88"/>
      <c r="Q2507" s="89"/>
      <c r="R2507" s="88"/>
      <c r="S2507" s="88"/>
      <c r="T2507" s="90"/>
      <c r="U2507" s="6"/>
      <c r="V2507" s="92"/>
      <c r="W2507" s="77"/>
      <c r="X2507" s="91"/>
      <c r="Y2507" s="77"/>
      <c r="Z2507" s="5"/>
      <c r="AA2507" s="5"/>
      <c r="AB2507" s="5"/>
      <c r="AC2507" s="5"/>
      <c r="AD2507" s="5"/>
      <c r="AE2507" s="5"/>
      <c r="AF2507" s="5"/>
      <c r="AG2507" s="5"/>
      <c r="AH2507" s="6"/>
      <c r="AI2507" s="92"/>
      <c r="AJ2507" s="93"/>
      <c r="AK2507" s="94"/>
      <c r="AL2507" s="95"/>
      <c r="AM2507" s="56"/>
      <c r="AN2507" s="57">
        <f t="shared" si="399"/>
        <v>0</v>
      </c>
      <c r="AO2507" s="76">
        <f t="shared" si="401"/>
        <v>0</v>
      </c>
      <c r="AP2507" s="63" t="str">
        <f t="shared" si="402"/>
        <v/>
      </c>
      <c r="AQ2507" s="63" t="str">
        <f t="shared" si="403"/>
        <v/>
      </c>
      <c r="AR2507" s="63" t="str">
        <f t="shared" si="404"/>
        <v/>
      </c>
      <c r="AS2507" s="63" t="str">
        <f t="shared" si="405"/>
        <v/>
      </c>
      <c r="AT2507" s="78" t="str">
        <f t="shared" si="406"/>
        <v/>
      </c>
      <c r="AU2507" s="78" t="str">
        <f t="shared" si="407"/>
        <v/>
      </c>
      <c r="AV2507" s="64" t="str">
        <f ca="1">IFERROR(__xludf.DUMMYFUNCTION("IF(TRIM(AU2507)="""","""",AU2507/INDEX(FILTER(AT$3:AT2507,TRIM(AT$3:AT2507)&lt;&gt;""""),ROWS(FILTER(AT$3:AT2507,TRIM(AT$3:AT2507)&lt;&gt;"""")))-1)"),"")</f>
        <v/>
      </c>
      <c r="AW2507" s="65" t="e">
        <f t="shared" ca="1" si="400"/>
        <v>#VALUE!</v>
      </c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</row>
    <row r="2508" spans="1:68" ht="19" x14ac:dyDescent="0.25">
      <c r="A2508" s="5"/>
      <c r="B2508" s="5"/>
      <c r="C2508" s="5"/>
      <c r="D2508" s="5"/>
      <c r="E2508" s="5"/>
      <c r="F2508" s="5"/>
      <c r="G2508" s="5"/>
      <c r="H2508" s="6"/>
      <c r="I2508" s="5"/>
      <c r="J2508" s="88"/>
      <c r="K2508" s="88"/>
      <c r="L2508" s="88"/>
      <c r="M2508" s="88"/>
      <c r="N2508" s="88"/>
      <c r="O2508" s="88"/>
      <c r="P2508" s="88"/>
      <c r="Q2508" s="89"/>
      <c r="R2508" s="88"/>
      <c r="S2508" s="88"/>
      <c r="T2508" s="90"/>
      <c r="U2508" s="6"/>
      <c r="V2508" s="92"/>
      <c r="W2508" s="77"/>
      <c r="X2508" s="91"/>
      <c r="Y2508" s="77"/>
      <c r="Z2508" s="5"/>
      <c r="AA2508" s="5"/>
      <c r="AB2508" s="5"/>
      <c r="AC2508" s="5"/>
      <c r="AD2508" s="5"/>
      <c r="AE2508" s="5"/>
      <c r="AF2508" s="5"/>
      <c r="AG2508" s="5"/>
      <c r="AH2508" s="6"/>
      <c r="AI2508" s="92"/>
      <c r="AJ2508" s="93"/>
      <c r="AK2508" s="94"/>
      <c r="AL2508" s="95"/>
      <c r="AM2508" s="56"/>
      <c r="AN2508" s="57">
        <f t="shared" si="399"/>
        <v>0</v>
      </c>
      <c r="AO2508" s="76">
        <f t="shared" si="401"/>
        <v>0</v>
      </c>
      <c r="AP2508" s="63" t="str">
        <f t="shared" si="402"/>
        <v/>
      </c>
      <c r="AQ2508" s="63" t="str">
        <f t="shared" si="403"/>
        <v/>
      </c>
      <c r="AR2508" s="63" t="str">
        <f t="shared" si="404"/>
        <v/>
      </c>
      <c r="AS2508" s="63" t="str">
        <f t="shared" si="405"/>
        <v/>
      </c>
      <c r="AT2508" s="78" t="str">
        <f t="shared" si="406"/>
        <v/>
      </c>
      <c r="AU2508" s="78" t="str">
        <f t="shared" si="407"/>
        <v/>
      </c>
      <c r="AV2508" s="64" t="str">
        <f ca="1">IFERROR(__xludf.DUMMYFUNCTION("IF(TRIM(AU2508)="""","""",AU2508/INDEX(FILTER(AT$3:AT2508,TRIM(AT$3:AT2508)&lt;&gt;""""),ROWS(FILTER(AT$3:AT2508,TRIM(AT$3:AT2508)&lt;&gt;"""")))-1)"),"")</f>
        <v/>
      </c>
      <c r="AW2508" s="65" t="e">
        <f t="shared" ca="1" si="400"/>
        <v>#VALUE!</v>
      </c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</row>
    <row r="2509" spans="1:68" ht="19" x14ac:dyDescent="0.25">
      <c r="A2509" s="5"/>
      <c r="B2509" s="5"/>
      <c r="C2509" s="5"/>
      <c r="D2509" s="5"/>
      <c r="E2509" s="5"/>
      <c r="F2509" s="5"/>
      <c r="G2509" s="5"/>
      <c r="H2509" s="6"/>
      <c r="I2509" s="5"/>
      <c r="J2509" s="88"/>
      <c r="K2509" s="88"/>
      <c r="L2509" s="88"/>
      <c r="M2509" s="88"/>
      <c r="N2509" s="88"/>
      <c r="O2509" s="88"/>
      <c r="P2509" s="88"/>
      <c r="Q2509" s="89"/>
      <c r="R2509" s="88"/>
      <c r="S2509" s="88"/>
      <c r="T2509" s="90"/>
      <c r="U2509" s="6"/>
      <c r="V2509" s="92"/>
      <c r="W2509" s="77"/>
      <c r="X2509" s="91"/>
      <c r="Y2509" s="77"/>
      <c r="Z2509" s="5"/>
      <c r="AA2509" s="5"/>
      <c r="AB2509" s="5"/>
      <c r="AC2509" s="5"/>
      <c r="AD2509" s="5"/>
      <c r="AE2509" s="5"/>
      <c r="AF2509" s="5"/>
      <c r="AG2509" s="5"/>
      <c r="AH2509" s="6"/>
      <c r="AI2509" s="92"/>
      <c r="AJ2509" s="93"/>
      <c r="AK2509" s="94"/>
      <c r="AL2509" s="95"/>
      <c r="AM2509" s="56"/>
      <c r="AN2509" s="57">
        <f t="shared" si="399"/>
        <v>0</v>
      </c>
      <c r="AO2509" s="76">
        <f t="shared" si="401"/>
        <v>0</v>
      </c>
      <c r="AP2509" s="63" t="str">
        <f t="shared" si="402"/>
        <v/>
      </c>
      <c r="AQ2509" s="63" t="str">
        <f t="shared" si="403"/>
        <v/>
      </c>
      <c r="AR2509" s="63" t="str">
        <f t="shared" si="404"/>
        <v/>
      </c>
      <c r="AS2509" s="63" t="str">
        <f t="shared" si="405"/>
        <v/>
      </c>
      <c r="AT2509" s="78" t="str">
        <f t="shared" si="406"/>
        <v/>
      </c>
      <c r="AU2509" s="78" t="str">
        <f t="shared" si="407"/>
        <v/>
      </c>
      <c r="AV2509" s="64" t="str">
        <f ca="1">IFERROR(__xludf.DUMMYFUNCTION("IF(TRIM(AU2509)="""","""",AU2509/INDEX(FILTER(AT$3:AT2509,TRIM(AT$3:AT2509)&lt;&gt;""""),ROWS(FILTER(AT$3:AT2509,TRIM(AT$3:AT2509)&lt;&gt;"""")))-1)"),"")</f>
        <v/>
      </c>
      <c r="AW2509" s="65" t="e">
        <f t="shared" ca="1" si="400"/>
        <v>#VALUE!</v>
      </c>
      <c r="AX2509" s="5"/>
      <c r="AY2509" s="5"/>
      <c r="AZ2509" s="5"/>
      <c r="BA2509" s="5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</row>
    <row r="2510" spans="1:68" ht="19" x14ac:dyDescent="0.25">
      <c r="A2510" s="5"/>
      <c r="B2510" s="5"/>
      <c r="C2510" s="5"/>
      <c r="D2510" s="5"/>
      <c r="E2510" s="5"/>
      <c r="F2510" s="5"/>
      <c r="G2510" s="5"/>
      <c r="H2510" s="6"/>
      <c r="I2510" s="5"/>
      <c r="J2510" s="88"/>
      <c r="K2510" s="88"/>
      <c r="L2510" s="88"/>
      <c r="M2510" s="88"/>
      <c r="N2510" s="88"/>
      <c r="O2510" s="88"/>
      <c r="P2510" s="88"/>
      <c r="Q2510" s="89"/>
      <c r="R2510" s="88"/>
      <c r="S2510" s="88"/>
      <c r="T2510" s="90"/>
      <c r="U2510" s="6"/>
      <c r="V2510" s="92"/>
      <c r="W2510" s="77"/>
      <c r="X2510" s="91"/>
      <c r="Y2510" s="77"/>
      <c r="Z2510" s="5"/>
      <c r="AA2510" s="5"/>
      <c r="AB2510" s="5"/>
      <c r="AC2510" s="5"/>
      <c r="AD2510" s="5"/>
      <c r="AE2510" s="5"/>
      <c r="AF2510" s="5"/>
      <c r="AG2510" s="5"/>
      <c r="AH2510" s="6"/>
      <c r="AI2510" s="92"/>
      <c r="AJ2510" s="93"/>
      <c r="AK2510" s="94"/>
      <c r="AL2510" s="95"/>
      <c r="AM2510" s="56"/>
      <c r="AN2510" s="57">
        <f t="shared" si="399"/>
        <v>0</v>
      </c>
      <c r="AO2510" s="76">
        <f t="shared" si="401"/>
        <v>0</v>
      </c>
      <c r="AP2510" s="63" t="str">
        <f t="shared" si="402"/>
        <v/>
      </c>
      <c r="AQ2510" s="63" t="str">
        <f t="shared" si="403"/>
        <v/>
      </c>
      <c r="AR2510" s="63" t="str">
        <f t="shared" si="404"/>
        <v/>
      </c>
      <c r="AS2510" s="63" t="str">
        <f t="shared" si="405"/>
        <v/>
      </c>
      <c r="AT2510" s="78" t="str">
        <f t="shared" si="406"/>
        <v/>
      </c>
      <c r="AU2510" s="78" t="str">
        <f t="shared" si="407"/>
        <v/>
      </c>
      <c r="AV2510" s="64" t="str">
        <f ca="1">IFERROR(__xludf.DUMMYFUNCTION("IF(TRIM(AU2510)="""","""",AU2510/INDEX(FILTER(AT$3:AT2510,TRIM(AT$3:AT2510)&lt;&gt;""""),ROWS(FILTER(AT$3:AT2510,TRIM(AT$3:AT2510)&lt;&gt;"""")))-1)"),"")</f>
        <v/>
      </c>
      <c r="AW2510" s="65" t="e">
        <f t="shared" ca="1" si="400"/>
        <v>#VALUE!</v>
      </c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</row>
    <row r="2511" spans="1:68" ht="19" x14ac:dyDescent="0.25">
      <c r="A2511" s="5"/>
      <c r="B2511" s="5"/>
      <c r="C2511" s="5"/>
      <c r="D2511" s="5"/>
      <c r="E2511" s="5"/>
      <c r="F2511" s="5"/>
      <c r="G2511" s="5"/>
      <c r="H2511" s="6"/>
      <c r="I2511" s="5"/>
      <c r="J2511" s="88"/>
      <c r="K2511" s="88"/>
      <c r="L2511" s="88"/>
      <c r="M2511" s="88"/>
      <c r="N2511" s="88"/>
      <c r="O2511" s="88"/>
      <c r="P2511" s="88"/>
      <c r="Q2511" s="89"/>
      <c r="R2511" s="88"/>
      <c r="S2511" s="88"/>
      <c r="T2511" s="90"/>
      <c r="U2511" s="6"/>
      <c r="V2511" s="92"/>
      <c r="W2511" s="77"/>
      <c r="X2511" s="91"/>
      <c r="Y2511" s="77"/>
      <c r="Z2511" s="5"/>
      <c r="AA2511" s="5"/>
      <c r="AB2511" s="5"/>
      <c r="AC2511" s="5"/>
      <c r="AD2511" s="5"/>
      <c r="AE2511" s="5"/>
      <c r="AF2511" s="5"/>
      <c r="AG2511" s="5"/>
      <c r="AH2511" s="6"/>
      <c r="AI2511" s="92"/>
      <c r="AJ2511" s="93"/>
      <c r="AK2511" s="94"/>
      <c r="AL2511" s="95"/>
      <c r="AM2511" s="56"/>
      <c r="AN2511" s="57">
        <f t="shared" si="399"/>
        <v>0</v>
      </c>
      <c r="AO2511" s="76">
        <f t="shared" si="401"/>
        <v>0</v>
      </c>
      <c r="AP2511" s="63" t="str">
        <f t="shared" si="402"/>
        <v/>
      </c>
      <c r="AQ2511" s="63" t="str">
        <f t="shared" si="403"/>
        <v/>
      </c>
      <c r="AR2511" s="63" t="str">
        <f t="shared" si="404"/>
        <v/>
      </c>
      <c r="AS2511" s="63" t="str">
        <f t="shared" si="405"/>
        <v/>
      </c>
      <c r="AT2511" s="78" t="str">
        <f t="shared" si="406"/>
        <v/>
      </c>
      <c r="AU2511" s="78" t="str">
        <f t="shared" si="407"/>
        <v/>
      </c>
      <c r="AV2511" s="64" t="str">
        <f ca="1">IFERROR(__xludf.DUMMYFUNCTION("IF(TRIM(AU2511)="""","""",AU2511/INDEX(FILTER(AT$3:AT2511,TRIM(AT$3:AT2511)&lt;&gt;""""),ROWS(FILTER(AT$3:AT2511,TRIM(AT$3:AT2511)&lt;&gt;"""")))-1)"),"")</f>
        <v/>
      </c>
      <c r="AW2511" s="65" t="e">
        <f t="shared" ca="1" si="400"/>
        <v>#VALUE!</v>
      </c>
      <c r="AX2511" s="5"/>
      <c r="AY2511" s="5"/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</row>
    <row r="2512" spans="1:68" ht="19" x14ac:dyDescent="0.25">
      <c r="A2512" s="5"/>
      <c r="B2512" s="5"/>
      <c r="C2512" s="5"/>
      <c r="D2512" s="5"/>
      <c r="E2512" s="5"/>
      <c r="F2512" s="5"/>
      <c r="G2512" s="5"/>
      <c r="H2512" s="6"/>
      <c r="I2512" s="5"/>
      <c r="J2512" s="88"/>
      <c r="K2512" s="88"/>
      <c r="L2512" s="88"/>
      <c r="M2512" s="88"/>
      <c r="N2512" s="88"/>
      <c r="O2512" s="88"/>
      <c r="P2512" s="88"/>
      <c r="Q2512" s="89"/>
      <c r="R2512" s="88"/>
      <c r="S2512" s="88"/>
      <c r="T2512" s="90"/>
      <c r="U2512" s="6"/>
      <c r="V2512" s="92"/>
      <c r="W2512" s="77"/>
      <c r="X2512" s="91"/>
      <c r="Y2512" s="77"/>
      <c r="Z2512" s="5"/>
      <c r="AA2512" s="5"/>
      <c r="AB2512" s="5"/>
      <c r="AC2512" s="5"/>
      <c r="AD2512" s="5"/>
      <c r="AE2512" s="5"/>
      <c r="AF2512" s="5"/>
      <c r="AG2512" s="5"/>
      <c r="AH2512" s="6"/>
      <c r="AI2512" s="92"/>
      <c r="AJ2512" s="93"/>
      <c r="AK2512" s="94"/>
      <c r="AL2512" s="95"/>
      <c r="AM2512" s="56"/>
      <c r="AN2512" s="57">
        <f t="shared" si="399"/>
        <v>0</v>
      </c>
      <c r="AO2512" s="76">
        <f t="shared" si="401"/>
        <v>0</v>
      </c>
      <c r="AP2512" s="63" t="str">
        <f t="shared" si="402"/>
        <v/>
      </c>
      <c r="AQ2512" s="63" t="str">
        <f t="shared" si="403"/>
        <v/>
      </c>
      <c r="AR2512" s="63" t="str">
        <f t="shared" si="404"/>
        <v/>
      </c>
      <c r="AS2512" s="63" t="str">
        <f t="shared" si="405"/>
        <v/>
      </c>
      <c r="AT2512" s="78" t="str">
        <f t="shared" si="406"/>
        <v/>
      </c>
      <c r="AU2512" s="78" t="str">
        <f t="shared" si="407"/>
        <v/>
      </c>
      <c r="AV2512" s="64" t="str">
        <f ca="1">IFERROR(__xludf.DUMMYFUNCTION("IF(TRIM(AU2512)="""","""",AU2512/INDEX(FILTER(AT$3:AT2512,TRIM(AT$3:AT2512)&lt;&gt;""""),ROWS(FILTER(AT$3:AT2512,TRIM(AT$3:AT2512)&lt;&gt;"""")))-1)"),"")</f>
        <v/>
      </c>
      <c r="AW2512" s="65" t="e">
        <f t="shared" ca="1" si="400"/>
        <v>#VALUE!</v>
      </c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</row>
    <row r="2513" spans="1:68" ht="19" x14ac:dyDescent="0.25">
      <c r="A2513" s="5"/>
      <c r="B2513" s="5"/>
      <c r="C2513" s="5"/>
      <c r="D2513" s="5"/>
      <c r="E2513" s="5"/>
      <c r="F2513" s="5"/>
      <c r="G2513" s="5"/>
      <c r="H2513" s="6"/>
      <c r="I2513" s="5"/>
      <c r="J2513" s="88"/>
      <c r="K2513" s="88"/>
      <c r="L2513" s="88"/>
      <c r="M2513" s="88"/>
      <c r="N2513" s="88"/>
      <c r="O2513" s="88"/>
      <c r="P2513" s="88"/>
      <c r="Q2513" s="89"/>
      <c r="R2513" s="88"/>
      <c r="S2513" s="88"/>
      <c r="T2513" s="90"/>
      <c r="U2513" s="6"/>
      <c r="V2513" s="92"/>
      <c r="W2513" s="77"/>
      <c r="X2513" s="91"/>
      <c r="Y2513" s="77"/>
      <c r="Z2513" s="5"/>
      <c r="AA2513" s="5"/>
      <c r="AB2513" s="5"/>
      <c r="AC2513" s="5"/>
      <c r="AD2513" s="5"/>
      <c r="AE2513" s="5"/>
      <c r="AF2513" s="5"/>
      <c r="AG2513" s="5"/>
      <c r="AH2513" s="6"/>
      <c r="AI2513" s="92"/>
      <c r="AJ2513" s="93"/>
      <c r="AK2513" s="94"/>
      <c r="AL2513" s="95"/>
      <c r="AM2513" s="56"/>
      <c r="AN2513" s="57">
        <f t="shared" si="399"/>
        <v>0</v>
      </c>
      <c r="AO2513" s="76">
        <f t="shared" si="401"/>
        <v>0</v>
      </c>
      <c r="AP2513" s="63" t="str">
        <f t="shared" si="402"/>
        <v/>
      </c>
      <c r="AQ2513" s="63" t="str">
        <f t="shared" si="403"/>
        <v/>
      </c>
      <c r="AR2513" s="63" t="str">
        <f t="shared" si="404"/>
        <v/>
      </c>
      <c r="AS2513" s="63" t="str">
        <f t="shared" si="405"/>
        <v/>
      </c>
      <c r="AT2513" s="78" t="str">
        <f t="shared" si="406"/>
        <v/>
      </c>
      <c r="AU2513" s="78" t="str">
        <f t="shared" si="407"/>
        <v/>
      </c>
      <c r="AV2513" s="64" t="str">
        <f ca="1">IFERROR(__xludf.DUMMYFUNCTION("IF(TRIM(AU2513)="""","""",AU2513/INDEX(FILTER(AT$3:AT2513,TRIM(AT$3:AT2513)&lt;&gt;""""),ROWS(FILTER(AT$3:AT2513,TRIM(AT$3:AT2513)&lt;&gt;"""")))-1)"),"")</f>
        <v/>
      </c>
      <c r="AW2513" s="65" t="e">
        <f t="shared" ca="1" si="400"/>
        <v>#VALUE!</v>
      </c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</row>
    <row r="2514" spans="1:68" ht="19" x14ac:dyDescent="0.25">
      <c r="A2514" s="5"/>
      <c r="B2514" s="5"/>
      <c r="C2514" s="5"/>
      <c r="D2514" s="5"/>
      <c r="E2514" s="5"/>
      <c r="F2514" s="5"/>
      <c r="G2514" s="5"/>
      <c r="H2514" s="6"/>
      <c r="I2514" s="5"/>
      <c r="J2514" s="88"/>
      <c r="K2514" s="88"/>
      <c r="L2514" s="88"/>
      <c r="M2514" s="88"/>
      <c r="N2514" s="88"/>
      <c r="O2514" s="88"/>
      <c r="P2514" s="88"/>
      <c r="Q2514" s="89"/>
      <c r="R2514" s="88"/>
      <c r="S2514" s="88"/>
      <c r="T2514" s="90"/>
      <c r="U2514" s="6"/>
      <c r="V2514" s="92"/>
      <c r="W2514" s="77"/>
      <c r="X2514" s="91"/>
      <c r="Y2514" s="77"/>
      <c r="Z2514" s="5"/>
      <c r="AA2514" s="5"/>
      <c r="AB2514" s="5"/>
      <c r="AC2514" s="5"/>
      <c r="AD2514" s="5"/>
      <c r="AE2514" s="5"/>
      <c r="AF2514" s="5"/>
      <c r="AG2514" s="5"/>
      <c r="AH2514" s="6"/>
      <c r="AI2514" s="92"/>
      <c r="AJ2514" s="93"/>
      <c r="AK2514" s="94"/>
      <c r="AL2514" s="95"/>
      <c r="AM2514" s="56"/>
      <c r="AN2514" s="57">
        <f t="shared" si="399"/>
        <v>0</v>
      </c>
      <c r="AO2514" s="76">
        <f t="shared" si="401"/>
        <v>0</v>
      </c>
      <c r="AP2514" s="63" t="str">
        <f t="shared" si="402"/>
        <v/>
      </c>
      <c r="AQ2514" s="63" t="str">
        <f t="shared" si="403"/>
        <v/>
      </c>
      <c r="AR2514" s="63" t="str">
        <f t="shared" si="404"/>
        <v/>
      </c>
      <c r="AS2514" s="63" t="str">
        <f t="shared" si="405"/>
        <v/>
      </c>
      <c r="AT2514" s="78" t="str">
        <f t="shared" si="406"/>
        <v/>
      </c>
      <c r="AU2514" s="78" t="str">
        <f t="shared" si="407"/>
        <v/>
      </c>
      <c r="AV2514" s="64" t="str">
        <f ca="1">IFERROR(__xludf.DUMMYFUNCTION("IF(TRIM(AU2514)="""","""",AU2514/INDEX(FILTER(AT$3:AT2514,TRIM(AT$3:AT2514)&lt;&gt;""""),ROWS(FILTER(AT$3:AT2514,TRIM(AT$3:AT2514)&lt;&gt;"""")))-1)"),"")</f>
        <v/>
      </c>
      <c r="AW2514" s="65" t="e">
        <f t="shared" ca="1" si="400"/>
        <v>#VALUE!</v>
      </c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</row>
    <row r="2515" spans="1:68" ht="19" x14ac:dyDescent="0.25">
      <c r="A2515" s="5"/>
      <c r="B2515" s="5"/>
      <c r="C2515" s="5"/>
      <c r="D2515" s="5"/>
      <c r="E2515" s="5"/>
      <c r="F2515" s="5"/>
      <c r="G2515" s="5"/>
      <c r="H2515" s="6"/>
      <c r="I2515" s="5"/>
      <c r="J2515" s="88"/>
      <c r="K2515" s="88"/>
      <c r="L2515" s="88"/>
      <c r="M2515" s="88"/>
      <c r="N2515" s="88"/>
      <c r="O2515" s="88"/>
      <c r="P2515" s="88"/>
      <c r="Q2515" s="89"/>
      <c r="R2515" s="88"/>
      <c r="S2515" s="88"/>
      <c r="T2515" s="90"/>
      <c r="U2515" s="6"/>
      <c r="V2515" s="92"/>
      <c r="W2515" s="77"/>
      <c r="X2515" s="91"/>
      <c r="Y2515" s="77"/>
      <c r="Z2515" s="5"/>
      <c r="AA2515" s="5"/>
      <c r="AB2515" s="5"/>
      <c r="AC2515" s="5"/>
      <c r="AD2515" s="5"/>
      <c r="AE2515" s="5"/>
      <c r="AF2515" s="5"/>
      <c r="AG2515" s="5"/>
      <c r="AH2515" s="6"/>
      <c r="AI2515" s="92"/>
      <c r="AJ2515" s="93"/>
      <c r="AK2515" s="94"/>
      <c r="AL2515" s="95"/>
      <c r="AM2515" s="56"/>
      <c r="AN2515" s="57">
        <f t="shared" si="399"/>
        <v>0</v>
      </c>
      <c r="AO2515" s="76">
        <f t="shared" si="401"/>
        <v>0</v>
      </c>
      <c r="AP2515" s="63" t="str">
        <f t="shared" si="402"/>
        <v/>
      </c>
      <c r="AQ2515" s="63" t="str">
        <f t="shared" si="403"/>
        <v/>
      </c>
      <c r="AR2515" s="63" t="str">
        <f t="shared" si="404"/>
        <v/>
      </c>
      <c r="AS2515" s="63" t="str">
        <f t="shared" si="405"/>
        <v/>
      </c>
      <c r="AT2515" s="78" t="str">
        <f t="shared" si="406"/>
        <v/>
      </c>
      <c r="AU2515" s="78" t="str">
        <f t="shared" si="407"/>
        <v/>
      </c>
      <c r="AV2515" s="64" t="str">
        <f ca="1">IFERROR(__xludf.DUMMYFUNCTION("IF(TRIM(AU2515)="""","""",AU2515/INDEX(FILTER(AT$3:AT2515,TRIM(AT$3:AT2515)&lt;&gt;""""),ROWS(FILTER(AT$3:AT2515,TRIM(AT$3:AT2515)&lt;&gt;"""")))-1)"),"")</f>
        <v/>
      </c>
      <c r="AW2515" s="65" t="e">
        <f t="shared" ca="1" si="400"/>
        <v>#VALUE!</v>
      </c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</row>
    <row r="2516" spans="1:68" ht="19" x14ac:dyDescent="0.25">
      <c r="A2516" s="5"/>
      <c r="B2516" s="5"/>
      <c r="C2516" s="5"/>
      <c r="D2516" s="5"/>
      <c r="E2516" s="5"/>
      <c r="F2516" s="5"/>
      <c r="G2516" s="5"/>
      <c r="H2516" s="6"/>
      <c r="I2516" s="5"/>
      <c r="J2516" s="88"/>
      <c r="K2516" s="88"/>
      <c r="L2516" s="88"/>
      <c r="M2516" s="88"/>
      <c r="N2516" s="88"/>
      <c r="O2516" s="88"/>
      <c r="P2516" s="88"/>
      <c r="Q2516" s="89"/>
      <c r="R2516" s="88"/>
      <c r="S2516" s="88"/>
      <c r="T2516" s="90"/>
      <c r="U2516" s="6"/>
      <c r="V2516" s="92"/>
      <c r="W2516" s="77"/>
      <c r="X2516" s="91"/>
      <c r="Y2516" s="77"/>
      <c r="Z2516" s="5"/>
      <c r="AA2516" s="5"/>
      <c r="AB2516" s="5"/>
      <c r="AC2516" s="5"/>
      <c r="AD2516" s="5"/>
      <c r="AE2516" s="5"/>
      <c r="AF2516" s="5"/>
      <c r="AG2516" s="5"/>
      <c r="AH2516" s="6"/>
      <c r="AI2516" s="92"/>
      <c r="AJ2516" s="93"/>
      <c r="AK2516" s="94"/>
      <c r="AL2516" s="95"/>
      <c r="AM2516" s="56"/>
      <c r="AN2516" s="57">
        <f t="shared" si="399"/>
        <v>0</v>
      </c>
      <c r="AO2516" s="76">
        <f t="shared" si="401"/>
        <v>0</v>
      </c>
      <c r="AP2516" s="63" t="str">
        <f t="shared" si="402"/>
        <v/>
      </c>
      <c r="AQ2516" s="63" t="str">
        <f t="shared" si="403"/>
        <v/>
      </c>
      <c r="AR2516" s="63" t="str">
        <f t="shared" si="404"/>
        <v/>
      </c>
      <c r="AS2516" s="63" t="str">
        <f t="shared" si="405"/>
        <v/>
      </c>
      <c r="AT2516" s="78" t="str">
        <f t="shared" si="406"/>
        <v/>
      </c>
      <c r="AU2516" s="78" t="str">
        <f t="shared" si="407"/>
        <v/>
      </c>
      <c r="AV2516" s="64" t="str">
        <f ca="1">IFERROR(__xludf.DUMMYFUNCTION("IF(TRIM(AU2516)="""","""",AU2516/INDEX(FILTER(AT$3:AT2516,TRIM(AT$3:AT2516)&lt;&gt;""""),ROWS(FILTER(AT$3:AT2516,TRIM(AT$3:AT2516)&lt;&gt;"""")))-1)"),"")</f>
        <v/>
      </c>
      <c r="AW2516" s="65" t="e">
        <f t="shared" ca="1" si="400"/>
        <v>#VALUE!</v>
      </c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</row>
    <row r="2517" spans="1:68" ht="19" x14ac:dyDescent="0.25">
      <c r="A2517" s="5"/>
      <c r="B2517" s="5"/>
      <c r="C2517" s="5"/>
      <c r="D2517" s="5"/>
      <c r="E2517" s="5"/>
      <c r="F2517" s="5"/>
      <c r="G2517" s="5"/>
      <c r="H2517" s="6"/>
      <c r="I2517" s="5"/>
      <c r="J2517" s="88"/>
      <c r="K2517" s="88"/>
      <c r="L2517" s="88"/>
      <c r="M2517" s="88"/>
      <c r="N2517" s="88"/>
      <c r="O2517" s="88"/>
      <c r="P2517" s="88"/>
      <c r="Q2517" s="89"/>
      <c r="R2517" s="88"/>
      <c r="S2517" s="88"/>
      <c r="T2517" s="90"/>
      <c r="U2517" s="6"/>
      <c r="V2517" s="92"/>
      <c r="W2517" s="77"/>
      <c r="X2517" s="91"/>
      <c r="Y2517" s="77"/>
      <c r="Z2517" s="5"/>
      <c r="AA2517" s="5"/>
      <c r="AB2517" s="5"/>
      <c r="AC2517" s="5"/>
      <c r="AD2517" s="5"/>
      <c r="AE2517" s="5"/>
      <c r="AF2517" s="5"/>
      <c r="AG2517" s="5"/>
      <c r="AH2517" s="6"/>
      <c r="AI2517" s="92"/>
      <c r="AJ2517" s="93"/>
      <c r="AK2517" s="94"/>
      <c r="AL2517" s="95"/>
      <c r="AM2517" s="56"/>
      <c r="AN2517" s="57">
        <f t="shared" si="399"/>
        <v>0</v>
      </c>
      <c r="AO2517" s="76">
        <f t="shared" si="401"/>
        <v>0</v>
      </c>
      <c r="AP2517" s="63" t="str">
        <f t="shared" si="402"/>
        <v/>
      </c>
      <c r="AQ2517" s="63" t="str">
        <f t="shared" si="403"/>
        <v/>
      </c>
      <c r="AR2517" s="63" t="str">
        <f t="shared" si="404"/>
        <v/>
      </c>
      <c r="AS2517" s="63" t="str">
        <f t="shared" si="405"/>
        <v/>
      </c>
      <c r="AT2517" s="78" t="str">
        <f t="shared" si="406"/>
        <v/>
      </c>
      <c r="AU2517" s="78" t="str">
        <f t="shared" si="407"/>
        <v/>
      </c>
      <c r="AV2517" s="64" t="str">
        <f ca="1">IFERROR(__xludf.DUMMYFUNCTION("IF(TRIM(AU2517)="""","""",AU2517/INDEX(FILTER(AT$3:AT2517,TRIM(AT$3:AT2517)&lt;&gt;""""),ROWS(FILTER(AT$3:AT2517,TRIM(AT$3:AT2517)&lt;&gt;"""")))-1)"),"")</f>
        <v/>
      </c>
      <c r="AW2517" s="65" t="e">
        <f t="shared" ca="1" si="400"/>
        <v>#VALUE!</v>
      </c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</row>
    <row r="2518" spans="1:68" ht="19" x14ac:dyDescent="0.25">
      <c r="A2518" s="5"/>
      <c r="B2518" s="5"/>
      <c r="C2518" s="5"/>
      <c r="D2518" s="5"/>
      <c r="E2518" s="5"/>
      <c r="F2518" s="5"/>
      <c r="G2518" s="5"/>
      <c r="H2518" s="6"/>
      <c r="I2518" s="5"/>
      <c r="J2518" s="88"/>
      <c r="K2518" s="88"/>
      <c r="L2518" s="88"/>
      <c r="M2518" s="88"/>
      <c r="N2518" s="88"/>
      <c r="O2518" s="88"/>
      <c r="P2518" s="88"/>
      <c r="Q2518" s="89"/>
      <c r="R2518" s="88"/>
      <c r="S2518" s="88"/>
      <c r="T2518" s="90"/>
      <c r="U2518" s="6"/>
      <c r="V2518" s="92"/>
      <c r="W2518" s="77"/>
      <c r="X2518" s="91"/>
      <c r="Y2518" s="77"/>
      <c r="Z2518" s="5"/>
      <c r="AA2518" s="5"/>
      <c r="AB2518" s="5"/>
      <c r="AC2518" s="5"/>
      <c r="AD2518" s="5"/>
      <c r="AE2518" s="5"/>
      <c r="AF2518" s="5"/>
      <c r="AG2518" s="5"/>
      <c r="AH2518" s="6"/>
      <c r="AI2518" s="92"/>
      <c r="AJ2518" s="93"/>
      <c r="AK2518" s="94"/>
      <c r="AL2518" s="95"/>
      <c r="AM2518" s="56"/>
      <c r="AN2518" s="57">
        <f t="shared" si="399"/>
        <v>0</v>
      </c>
      <c r="AO2518" s="76">
        <f t="shared" si="401"/>
        <v>0</v>
      </c>
      <c r="AP2518" s="63" t="str">
        <f t="shared" si="402"/>
        <v/>
      </c>
      <c r="AQ2518" s="63" t="str">
        <f t="shared" si="403"/>
        <v/>
      </c>
      <c r="AR2518" s="63" t="str">
        <f t="shared" si="404"/>
        <v/>
      </c>
      <c r="AS2518" s="63" t="str">
        <f t="shared" si="405"/>
        <v/>
      </c>
      <c r="AT2518" s="78" t="str">
        <f t="shared" si="406"/>
        <v/>
      </c>
      <c r="AU2518" s="78" t="str">
        <f t="shared" si="407"/>
        <v/>
      </c>
      <c r="AV2518" s="64" t="str">
        <f ca="1">IFERROR(__xludf.DUMMYFUNCTION("IF(TRIM(AU2518)="""","""",AU2518/INDEX(FILTER(AT$3:AT2518,TRIM(AT$3:AT2518)&lt;&gt;""""),ROWS(FILTER(AT$3:AT2518,TRIM(AT$3:AT2518)&lt;&gt;"""")))-1)"),"")</f>
        <v/>
      </c>
      <c r="AW2518" s="65" t="e">
        <f t="shared" ca="1" si="400"/>
        <v>#VALUE!</v>
      </c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</row>
    <row r="2519" spans="1:68" ht="19" x14ac:dyDescent="0.25">
      <c r="A2519" s="5"/>
      <c r="B2519" s="5"/>
      <c r="C2519" s="5"/>
      <c r="D2519" s="5"/>
      <c r="E2519" s="5"/>
      <c r="F2519" s="5"/>
      <c r="G2519" s="5"/>
      <c r="H2519" s="6"/>
      <c r="I2519" s="5"/>
      <c r="J2519" s="88"/>
      <c r="K2519" s="88"/>
      <c r="L2519" s="88"/>
      <c r="M2519" s="88"/>
      <c r="N2519" s="88"/>
      <c r="O2519" s="88"/>
      <c r="P2519" s="88"/>
      <c r="Q2519" s="89"/>
      <c r="R2519" s="88"/>
      <c r="S2519" s="88"/>
      <c r="T2519" s="90"/>
      <c r="U2519" s="6"/>
      <c r="V2519" s="92"/>
      <c r="W2519" s="77"/>
      <c r="X2519" s="91"/>
      <c r="Y2519" s="77"/>
      <c r="Z2519" s="5"/>
      <c r="AA2519" s="5"/>
      <c r="AB2519" s="5"/>
      <c r="AC2519" s="5"/>
      <c r="AD2519" s="5"/>
      <c r="AE2519" s="5"/>
      <c r="AF2519" s="5"/>
      <c r="AG2519" s="5"/>
      <c r="AH2519" s="6"/>
      <c r="AI2519" s="92"/>
      <c r="AJ2519" s="93"/>
      <c r="AK2519" s="94"/>
      <c r="AL2519" s="95"/>
      <c r="AM2519" s="56"/>
      <c r="AN2519" s="57">
        <f t="shared" si="399"/>
        <v>0</v>
      </c>
      <c r="AO2519" s="76">
        <f t="shared" si="401"/>
        <v>0</v>
      </c>
      <c r="AP2519" s="63" t="str">
        <f t="shared" si="402"/>
        <v/>
      </c>
      <c r="AQ2519" s="63" t="str">
        <f t="shared" si="403"/>
        <v/>
      </c>
      <c r="AR2519" s="63" t="str">
        <f t="shared" si="404"/>
        <v/>
      </c>
      <c r="AS2519" s="63" t="str">
        <f t="shared" si="405"/>
        <v/>
      </c>
      <c r="AT2519" s="78" t="str">
        <f t="shared" si="406"/>
        <v/>
      </c>
      <c r="AU2519" s="78" t="str">
        <f t="shared" si="407"/>
        <v/>
      </c>
      <c r="AV2519" s="64" t="str">
        <f ca="1">IFERROR(__xludf.DUMMYFUNCTION("IF(TRIM(AU2519)="""","""",AU2519/INDEX(FILTER(AT$3:AT2519,TRIM(AT$3:AT2519)&lt;&gt;""""),ROWS(FILTER(AT$3:AT2519,TRIM(AT$3:AT2519)&lt;&gt;"""")))-1)"),"")</f>
        <v/>
      </c>
      <c r="AW2519" s="65" t="e">
        <f t="shared" ca="1" si="400"/>
        <v>#VALUE!</v>
      </c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</row>
    <row r="2520" spans="1:68" ht="19" x14ac:dyDescent="0.25">
      <c r="A2520" s="5"/>
      <c r="B2520" s="5"/>
      <c r="C2520" s="5"/>
      <c r="D2520" s="5"/>
      <c r="E2520" s="5"/>
      <c r="F2520" s="5"/>
      <c r="G2520" s="5"/>
      <c r="H2520" s="6"/>
      <c r="I2520" s="5"/>
      <c r="J2520" s="88"/>
      <c r="K2520" s="88"/>
      <c r="L2520" s="88"/>
      <c r="M2520" s="88"/>
      <c r="N2520" s="88"/>
      <c r="O2520" s="88"/>
      <c r="P2520" s="88"/>
      <c r="Q2520" s="89"/>
      <c r="R2520" s="88"/>
      <c r="S2520" s="88"/>
      <c r="T2520" s="90"/>
      <c r="U2520" s="6"/>
      <c r="V2520" s="92"/>
      <c r="W2520" s="77"/>
      <c r="X2520" s="91"/>
      <c r="Y2520" s="77"/>
      <c r="Z2520" s="5"/>
      <c r="AA2520" s="5"/>
      <c r="AB2520" s="5"/>
      <c r="AC2520" s="5"/>
      <c r="AD2520" s="5"/>
      <c r="AE2520" s="5"/>
      <c r="AF2520" s="5"/>
      <c r="AG2520" s="5"/>
      <c r="AH2520" s="6"/>
      <c r="AI2520" s="92"/>
      <c r="AJ2520" s="93"/>
      <c r="AK2520" s="94"/>
      <c r="AL2520" s="95"/>
      <c r="AM2520" s="56"/>
      <c r="AN2520" s="57">
        <f t="shared" si="399"/>
        <v>0</v>
      </c>
      <c r="AO2520" s="76">
        <f t="shared" si="401"/>
        <v>0</v>
      </c>
      <c r="AP2520" s="63" t="str">
        <f t="shared" si="402"/>
        <v/>
      </c>
      <c r="AQ2520" s="63" t="str">
        <f t="shared" si="403"/>
        <v/>
      </c>
      <c r="AR2520" s="63" t="str">
        <f t="shared" si="404"/>
        <v/>
      </c>
      <c r="AS2520" s="63" t="str">
        <f t="shared" si="405"/>
        <v/>
      </c>
      <c r="AT2520" s="78" t="str">
        <f t="shared" si="406"/>
        <v/>
      </c>
      <c r="AU2520" s="78" t="str">
        <f t="shared" si="407"/>
        <v/>
      </c>
      <c r="AV2520" s="64" t="str">
        <f ca="1">IFERROR(__xludf.DUMMYFUNCTION("IF(TRIM(AU2520)="""","""",AU2520/INDEX(FILTER(AT$3:AT2520,TRIM(AT$3:AT2520)&lt;&gt;""""),ROWS(FILTER(AT$3:AT2520,TRIM(AT$3:AT2520)&lt;&gt;"""")))-1)"),"")</f>
        <v/>
      </c>
      <c r="AW2520" s="65" t="e">
        <f t="shared" ca="1" si="400"/>
        <v>#VALUE!</v>
      </c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</row>
    <row r="2521" spans="1:68" ht="19" x14ac:dyDescent="0.25">
      <c r="A2521" s="5"/>
      <c r="B2521" s="5"/>
      <c r="C2521" s="5"/>
      <c r="D2521" s="5"/>
      <c r="E2521" s="5"/>
      <c r="F2521" s="5"/>
      <c r="G2521" s="5"/>
      <c r="H2521" s="6"/>
      <c r="I2521" s="5"/>
      <c r="J2521" s="88"/>
      <c r="K2521" s="88"/>
      <c r="L2521" s="88"/>
      <c r="M2521" s="88"/>
      <c r="N2521" s="88"/>
      <c r="O2521" s="88"/>
      <c r="P2521" s="88"/>
      <c r="Q2521" s="89"/>
      <c r="R2521" s="88"/>
      <c r="S2521" s="88"/>
      <c r="T2521" s="90"/>
      <c r="U2521" s="6"/>
      <c r="V2521" s="92"/>
      <c r="W2521" s="77"/>
      <c r="X2521" s="91"/>
      <c r="Y2521" s="77"/>
      <c r="Z2521" s="5"/>
      <c r="AA2521" s="5"/>
      <c r="AB2521" s="5"/>
      <c r="AC2521" s="5"/>
      <c r="AD2521" s="5"/>
      <c r="AE2521" s="5"/>
      <c r="AF2521" s="5"/>
      <c r="AG2521" s="5"/>
      <c r="AH2521" s="6"/>
      <c r="AI2521" s="92"/>
      <c r="AJ2521" s="93"/>
      <c r="AK2521" s="94"/>
      <c r="AL2521" s="95"/>
      <c r="AM2521" s="56"/>
      <c r="AN2521" s="57">
        <f t="shared" si="399"/>
        <v>0</v>
      </c>
      <c r="AO2521" s="76">
        <f t="shared" si="401"/>
        <v>0</v>
      </c>
      <c r="AP2521" s="63" t="str">
        <f t="shared" si="402"/>
        <v/>
      </c>
      <c r="AQ2521" s="63" t="str">
        <f t="shared" si="403"/>
        <v/>
      </c>
      <c r="AR2521" s="63" t="str">
        <f t="shared" si="404"/>
        <v/>
      </c>
      <c r="AS2521" s="63" t="str">
        <f t="shared" si="405"/>
        <v/>
      </c>
      <c r="AT2521" s="78" t="str">
        <f t="shared" si="406"/>
        <v/>
      </c>
      <c r="AU2521" s="78" t="str">
        <f t="shared" si="407"/>
        <v/>
      </c>
      <c r="AV2521" s="64" t="str">
        <f ca="1">IFERROR(__xludf.DUMMYFUNCTION("IF(TRIM(AU2521)="""","""",AU2521/INDEX(FILTER(AT$3:AT2521,TRIM(AT$3:AT2521)&lt;&gt;""""),ROWS(FILTER(AT$3:AT2521,TRIM(AT$3:AT2521)&lt;&gt;"""")))-1)"),"")</f>
        <v/>
      </c>
      <c r="AW2521" s="65" t="e">
        <f t="shared" ca="1" si="400"/>
        <v>#VALUE!</v>
      </c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</row>
    <row r="2522" spans="1:68" ht="19" x14ac:dyDescent="0.25">
      <c r="A2522" s="5"/>
      <c r="B2522" s="5"/>
      <c r="C2522" s="5"/>
      <c r="D2522" s="5"/>
      <c r="E2522" s="5"/>
      <c r="F2522" s="5"/>
      <c r="G2522" s="5"/>
      <c r="H2522" s="6"/>
      <c r="I2522" s="5"/>
      <c r="J2522" s="88"/>
      <c r="K2522" s="88"/>
      <c r="L2522" s="88"/>
      <c r="M2522" s="88"/>
      <c r="N2522" s="88"/>
      <c r="O2522" s="88"/>
      <c r="P2522" s="88"/>
      <c r="Q2522" s="89"/>
      <c r="R2522" s="88"/>
      <c r="S2522" s="88"/>
      <c r="T2522" s="90"/>
      <c r="U2522" s="6"/>
      <c r="V2522" s="92"/>
      <c r="W2522" s="77"/>
      <c r="X2522" s="91"/>
      <c r="Y2522" s="77"/>
      <c r="Z2522" s="5"/>
      <c r="AA2522" s="5"/>
      <c r="AB2522" s="5"/>
      <c r="AC2522" s="5"/>
      <c r="AD2522" s="5"/>
      <c r="AE2522" s="5"/>
      <c r="AF2522" s="5"/>
      <c r="AG2522" s="5"/>
      <c r="AH2522" s="6"/>
      <c r="AI2522" s="92"/>
      <c r="AJ2522" s="93"/>
      <c r="AK2522" s="94"/>
      <c r="AL2522" s="95"/>
      <c r="AM2522" s="56"/>
      <c r="AN2522" s="57">
        <f t="shared" si="399"/>
        <v>0</v>
      </c>
      <c r="AO2522" s="76">
        <f t="shared" si="401"/>
        <v>0</v>
      </c>
      <c r="AP2522" s="63" t="str">
        <f t="shared" si="402"/>
        <v/>
      </c>
      <c r="AQ2522" s="63" t="str">
        <f t="shared" si="403"/>
        <v/>
      </c>
      <c r="AR2522" s="63" t="str">
        <f t="shared" si="404"/>
        <v/>
      </c>
      <c r="AS2522" s="63" t="str">
        <f t="shared" si="405"/>
        <v/>
      </c>
      <c r="AT2522" s="78" t="str">
        <f t="shared" si="406"/>
        <v/>
      </c>
      <c r="AU2522" s="78" t="str">
        <f t="shared" si="407"/>
        <v/>
      </c>
      <c r="AV2522" s="64" t="str">
        <f ca="1">IFERROR(__xludf.DUMMYFUNCTION("IF(TRIM(AU2522)="""","""",AU2522/INDEX(FILTER(AT$3:AT2522,TRIM(AT$3:AT2522)&lt;&gt;""""),ROWS(FILTER(AT$3:AT2522,TRIM(AT$3:AT2522)&lt;&gt;"""")))-1)"),"")</f>
        <v/>
      </c>
      <c r="AW2522" s="65" t="e">
        <f t="shared" ca="1" si="400"/>
        <v>#VALUE!</v>
      </c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</row>
    <row r="2523" spans="1:68" ht="19" x14ac:dyDescent="0.25">
      <c r="A2523" s="5"/>
      <c r="B2523" s="5"/>
      <c r="C2523" s="5"/>
      <c r="D2523" s="5"/>
      <c r="E2523" s="5"/>
      <c r="F2523" s="5"/>
      <c r="G2523" s="5"/>
      <c r="H2523" s="6"/>
      <c r="I2523" s="5"/>
      <c r="J2523" s="88"/>
      <c r="K2523" s="88"/>
      <c r="L2523" s="88"/>
      <c r="M2523" s="88"/>
      <c r="N2523" s="88"/>
      <c r="O2523" s="88"/>
      <c r="P2523" s="88"/>
      <c r="Q2523" s="89"/>
      <c r="R2523" s="88"/>
      <c r="S2523" s="88"/>
      <c r="T2523" s="90"/>
      <c r="U2523" s="6"/>
      <c r="V2523" s="92"/>
      <c r="W2523" s="77"/>
      <c r="X2523" s="91"/>
      <c r="Y2523" s="77"/>
      <c r="Z2523" s="5"/>
      <c r="AA2523" s="5"/>
      <c r="AB2523" s="5"/>
      <c r="AC2523" s="5"/>
      <c r="AD2523" s="5"/>
      <c r="AE2523" s="5"/>
      <c r="AF2523" s="5"/>
      <c r="AG2523" s="5"/>
      <c r="AH2523" s="6"/>
      <c r="AI2523" s="92"/>
      <c r="AJ2523" s="93"/>
      <c r="AK2523" s="94"/>
      <c r="AL2523" s="95"/>
      <c r="AM2523" s="56"/>
      <c r="AN2523" s="57">
        <f t="shared" si="399"/>
        <v>0</v>
      </c>
      <c r="AO2523" s="76">
        <f t="shared" si="401"/>
        <v>0</v>
      </c>
      <c r="AP2523" s="63" t="str">
        <f t="shared" si="402"/>
        <v/>
      </c>
      <c r="AQ2523" s="63" t="str">
        <f t="shared" si="403"/>
        <v/>
      </c>
      <c r="AR2523" s="63" t="str">
        <f t="shared" si="404"/>
        <v/>
      </c>
      <c r="AS2523" s="63" t="str">
        <f t="shared" si="405"/>
        <v/>
      </c>
      <c r="AT2523" s="78" t="str">
        <f t="shared" si="406"/>
        <v/>
      </c>
      <c r="AU2523" s="78" t="str">
        <f t="shared" si="407"/>
        <v/>
      </c>
      <c r="AV2523" s="64" t="str">
        <f ca="1">IFERROR(__xludf.DUMMYFUNCTION("IF(TRIM(AU2523)="""","""",AU2523/INDEX(FILTER(AT$3:AT2523,TRIM(AT$3:AT2523)&lt;&gt;""""),ROWS(FILTER(AT$3:AT2523,TRIM(AT$3:AT2523)&lt;&gt;"""")))-1)"),"")</f>
        <v/>
      </c>
      <c r="AW2523" s="65" t="e">
        <f t="shared" ca="1" si="400"/>
        <v>#VALUE!</v>
      </c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</row>
    <row r="2524" spans="1:68" ht="19" x14ac:dyDescent="0.25">
      <c r="A2524" s="5"/>
      <c r="B2524" s="5"/>
      <c r="C2524" s="5"/>
      <c r="D2524" s="5"/>
      <c r="E2524" s="5"/>
      <c r="F2524" s="5"/>
      <c r="G2524" s="5"/>
      <c r="H2524" s="6"/>
      <c r="I2524" s="5"/>
      <c r="J2524" s="88"/>
      <c r="K2524" s="88"/>
      <c r="L2524" s="88"/>
      <c r="M2524" s="88"/>
      <c r="N2524" s="88"/>
      <c r="O2524" s="88"/>
      <c r="P2524" s="88"/>
      <c r="Q2524" s="89"/>
      <c r="R2524" s="88"/>
      <c r="S2524" s="88"/>
      <c r="T2524" s="90"/>
      <c r="U2524" s="6"/>
      <c r="V2524" s="92"/>
      <c r="W2524" s="77"/>
      <c r="X2524" s="91"/>
      <c r="Y2524" s="77"/>
      <c r="Z2524" s="5"/>
      <c r="AA2524" s="5"/>
      <c r="AB2524" s="5"/>
      <c r="AC2524" s="5"/>
      <c r="AD2524" s="5"/>
      <c r="AE2524" s="5"/>
      <c r="AF2524" s="5"/>
      <c r="AG2524" s="5"/>
      <c r="AH2524" s="6"/>
      <c r="AI2524" s="92"/>
      <c r="AJ2524" s="93"/>
      <c r="AK2524" s="94"/>
      <c r="AL2524" s="95"/>
      <c r="AM2524" s="56"/>
      <c r="AN2524" s="57">
        <f t="shared" si="399"/>
        <v>0</v>
      </c>
      <c r="AO2524" s="76">
        <f t="shared" si="401"/>
        <v>0</v>
      </c>
      <c r="AP2524" s="63" t="str">
        <f t="shared" si="402"/>
        <v/>
      </c>
      <c r="AQ2524" s="63" t="str">
        <f t="shared" si="403"/>
        <v/>
      </c>
      <c r="AR2524" s="63" t="str">
        <f t="shared" si="404"/>
        <v/>
      </c>
      <c r="AS2524" s="63" t="str">
        <f t="shared" si="405"/>
        <v/>
      </c>
      <c r="AT2524" s="78" t="str">
        <f t="shared" si="406"/>
        <v/>
      </c>
      <c r="AU2524" s="78" t="str">
        <f t="shared" si="407"/>
        <v/>
      </c>
      <c r="AV2524" s="64" t="str">
        <f ca="1">IFERROR(__xludf.DUMMYFUNCTION("IF(TRIM(AU2524)="""","""",AU2524/INDEX(FILTER(AT$3:AT2524,TRIM(AT$3:AT2524)&lt;&gt;""""),ROWS(FILTER(AT$3:AT2524,TRIM(AT$3:AT2524)&lt;&gt;"""")))-1)"),"")</f>
        <v/>
      </c>
      <c r="AW2524" s="65" t="e">
        <f t="shared" ca="1" si="400"/>
        <v>#VALUE!</v>
      </c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</row>
    <row r="2525" spans="1:68" ht="19" x14ac:dyDescent="0.25">
      <c r="A2525" s="5"/>
      <c r="B2525" s="5"/>
      <c r="C2525" s="5"/>
      <c r="D2525" s="5"/>
      <c r="E2525" s="5"/>
      <c r="F2525" s="5"/>
      <c r="G2525" s="5"/>
      <c r="H2525" s="6"/>
      <c r="I2525" s="5"/>
      <c r="J2525" s="88"/>
      <c r="K2525" s="88"/>
      <c r="L2525" s="88"/>
      <c r="M2525" s="88"/>
      <c r="N2525" s="88"/>
      <c r="O2525" s="88"/>
      <c r="P2525" s="88"/>
      <c r="Q2525" s="89"/>
      <c r="R2525" s="88"/>
      <c r="S2525" s="88"/>
      <c r="T2525" s="90"/>
      <c r="U2525" s="6"/>
      <c r="V2525" s="92"/>
      <c r="W2525" s="77"/>
      <c r="X2525" s="91"/>
      <c r="Y2525" s="77"/>
      <c r="Z2525" s="5"/>
      <c r="AA2525" s="5"/>
      <c r="AB2525" s="5"/>
      <c r="AC2525" s="5"/>
      <c r="AD2525" s="5"/>
      <c r="AE2525" s="5"/>
      <c r="AF2525" s="5"/>
      <c r="AG2525" s="5"/>
      <c r="AH2525" s="6"/>
      <c r="AI2525" s="92"/>
      <c r="AJ2525" s="93"/>
      <c r="AK2525" s="94"/>
      <c r="AL2525" s="95"/>
      <c r="AM2525" s="56"/>
      <c r="AN2525" s="57">
        <f t="shared" si="399"/>
        <v>0</v>
      </c>
      <c r="AO2525" s="76">
        <f t="shared" si="401"/>
        <v>0</v>
      </c>
      <c r="AP2525" s="63" t="str">
        <f t="shared" si="402"/>
        <v/>
      </c>
      <c r="AQ2525" s="63" t="str">
        <f t="shared" si="403"/>
        <v/>
      </c>
      <c r="AR2525" s="63" t="str">
        <f t="shared" si="404"/>
        <v/>
      </c>
      <c r="AS2525" s="63" t="str">
        <f t="shared" si="405"/>
        <v/>
      </c>
      <c r="AT2525" s="78" t="str">
        <f t="shared" si="406"/>
        <v/>
      </c>
      <c r="AU2525" s="78" t="str">
        <f t="shared" si="407"/>
        <v/>
      </c>
      <c r="AV2525" s="64" t="str">
        <f ca="1">IFERROR(__xludf.DUMMYFUNCTION("IF(TRIM(AU2525)="""","""",AU2525/INDEX(FILTER(AT$3:AT2525,TRIM(AT$3:AT2525)&lt;&gt;""""),ROWS(FILTER(AT$3:AT2525,TRIM(AT$3:AT2525)&lt;&gt;"""")))-1)"),"")</f>
        <v/>
      </c>
      <c r="AW2525" s="65" t="e">
        <f t="shared" ca="1" si="400"/>
        <v>#VALUE!</v>
      </c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</row>
    <row r="2526" spans="1:68" ht="19" x14ac:dyDescent="0.25">
      <c r="A2526" s="5"/>
      <c r="B2526" s="5"/>
      <c r="C2526" s="5"/>
      <c r="D2526" s="5"/>
      <c r="E2526" s="5"/>
      <c r="F2526" s="5"/>
      <c r="G2526" s="5"/>
      <c r="H2526" s="6"/>
      <c r="I2526" s="5"/>
      <c r="J2526" s="88"/>
      <c r="K2526" s="88"/>
      <c r="L2526" s="88"/>
      <c r="M2526" s="88"/>
      <c r="N2526" s="88"/>
      <c r="O2526" s="88"/>
      <c r="P2526" s="88"/>
      <c r="Q2526" s="89"/>
      <c r="R2526" s="88"/>
      <c r="S2526" s="88"/>
      <c r="T2526" s="90"/>
      <c r="U2526" s="6"/>
      <c r="V2526" s="92"/>
      <c r="W2526" s="77"/>
      <c r="X2526" s="91"/>
      <c r="Y2526" s="77"/>
      <c r="Z2526" s="5"/>
      <c r="AA2526" s="5"/>
      <c r="AB2526" s="5"/>
      <c r="AC2526" s="5"/>
      <c r="AD2526" s="5"/>
      <c r="AE2526" s="5"/>
      <c r="AF2526" s="5"/>
      <c r="AG2526" s="5"/>
      <c r="AH2526" s="6"/>
      <c r="AI2526" s="92"/>
      <c r="AJ2526" s="93"/>
      <c r="AK2526" s="94"/>
      <c r="AL2526" s="95"/>
      <c r="AM2526" s="56"/>
      <c r="AN2526" s="57">
        <f t="shared" si="399"/>
        <v>0</v>
      </c>
      <c r="AO2526" s="76">
        <f t="shared" si="401"/>
        <v>0</v>
      </c>
      <c r="AP2526" s="63" t="str">
        <f t="shared" si="402"/>
        <v/>
      </c>
      <c r="AQ2526" s="63" t="str">
        <f t="shared" si="403"/>
        <v/>
      </c>
      <c r="AR2526" s="63" t="str">
        <f t="shared" si="404"/>
        <v/>
      </c>
      <c r="AS2526" s="63" t="str">
        <f t="shared" si="405"/>
        <v/>
      </c>
      <c r="AT2526" s="78" t="str">
        <f t="shared" si="406"/>
        <v/>
      </c>
      <c r="AU2526" s="78" t="str">
        <f t="shared" si="407"/>
        <v/>
      </c>
      <c r="AV2526" s="64" t="str">
        <f ca="1">IFERROR(__xludf.DUMMYFUNCTION("IF(TRIM(AU2526)="""","""",AU2526/INDEX(FILTER(AT$3:AT2526,TRIM(AT$3:AT2526)&lt;&gt;""""),ROWS(FILTER(AT$3:AT2526,TRIM(AT$3:AT2526)&lt;&gt;"""")))-1)"),"")</f>
        <v/>
      </c>
      <c r="AW2526" s="65" t="e">
        <f t="shared" ca="1" si="400"/>
        <v>#VALUE!</v>
      </c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</row>
    <row r="2527" spans="1:68" ht="19" x14ac:dyDescent="0.25">
      <c r="A2527" s="5"/>
      <c r="B2527" s="5"/>
      <c r="C2527" s="5"/>
      <c r="D2527" s="5"/>
      <c r="E2527" s="5"/>
      <c r="F2527" s="5"/>
      <c r="G2527" s="5"/>
      <c r="H2527" s="6"/>
      <c r="I2527" s="5"/>
      <c r="J2527" s="88"/>
      <c r="K2527" s="88"/>
      <c r="L2527" s="88"/>
      <c r="M2527" s="88"/>
      <c r="N2527" s="88"/>
      <c r="O2527" s="88"/>
      <c r="P2527" s="88"/>
      <c r="Q2527" s="89"/>
      <c r="R2527" s="88"/>
      <c r="S2527" s="88"/>
      <c r="T2527" s="90"/>
      <c r="U2527" s="6"/>
      <c r="V2527" s="92"/>
      <c r="W2527" s="77"/>
      <c r="X2527" s="91"/>
      <c r="Y2527" s="77"/>
      <c r="Z2527" s="5"/>
      <c r="AA2527" s="5"/>
      <c r="AB2527" s="5"/>
      <c r="AC2527" s="5"/>
      <c r="AD2527" s="5"/>
      <c r="AE2527" s="5"/>
      <c r="AF2527" s="5"/>
      <c r="AG2527" s="5"/>
      <c r="AH2527" s="6"/>
      <c r="AI2527" s="92"/>
      <c r="AJ2527" s="93"/>
      <c r="AK2527" s="94"/>
      <c r="AL2527" s="95"/>
      <c r="AM2527" s="56"/>
      <c r="AN2527" s="57">
        <f t="shared" si="399"/>
        <v>0</v>
      </c>
      <c r="AO2527" s="76">
        <f t="shared" si="401"/>
        <v>0</v>
      </c>
      <c r="AP2527" s="63" t="str">
        <f t="shared" si="402"/>
        <v/>
      </c>
      <c r="AQ2527" s="63" t="str">
        <f t="shared" si="403"/>
        <v/>
      </c>
      <c r="AR2527" s="63" t="str">
        <f t="shared" si="404"/>
        <v/>
      </c>
      <c r="AS2527" s="63" t="str">
        <f t="shared" si="405"/>
        <v/>
      </c>
      <c r="AT2527" s="78" t="str">
        <f t="shared" si="406"/>
        <v/>
      </c>
      <c r="AU2527" s="78" t="str">
        <f t="shared" si="407"/>
        <v/>
      </c>
      <c r="AV2527" s="64" t="str">
        <f ca="1">IFERROR(__xludf.DUMMYFUNCTION("IF(TRIM(AU2527)="""","""",AU2527/INDEX(FILTER(AT$3:AT2527,TRIM(AT$3:AT2527)&lt;&gt;""""),ROWS(FILTER(AT$3:AT2527,TRIM(AT$3:AT2527)&lt;&gt;"""")))-1)"),"")</f>
        <v/>
      </c>
      <c r="AW2527" s="65" t="e">
        <f t="shared" ca="1" si="400"/>
        <v>#VALUE!</v>
      </c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</row>
    <row r="2528" spans="1:68" ht="19" x14ac:dyDescent="0.25">
      <c r="A2528" s="5"/>
      <c r="B2528" s="5"/>
      <c r="C2528" s="5"/>
      <c r="D2528" s="5"/>
      <c r="E2528" s="5"/>
      <c r="F2528" s="5"/>
      <c r="G2528" s="5"/>
      <c r="H2528" s="6"/>
      <c r="I2528" s="5"/>
      <c r="J2528" s="88"/>
      <c r="K2528" s="88"/>
      <c r="L2528" s="88"/>
      <c r="M2528" s="88"/>
      <c r="N2528" s="88"/>
      <c r="O2528" s="88"/>
      <c r="P2528" s="88"/>
      <c r="Q2528" s="89"/>
      <c r="R2528" s="88"/>
      <c r="S2528" s="88"/>
      <c r="T2528" s="90"/>
      <c r="U2528" s="6"/>
      <c r="V2528" s="92"/>
      <c r="W2528" s="77"/>
      <c r="X2528" s="91"/>
      <c r="Y2528" s="77"/>
      <c r="Z2528" s="5"/>
      <c r="AA2528" s="5"/>
      <c r="AB2528" s="5"/>
      <c r="AC2528" s="5"/>
      <c r="AD2528" s="5"/>
      <c r="AE2528" s="5"/>
      <c r="AF2528" s="5"/>
      <c r="AG2528" s="5"/>
      <c r="AH2528" s="6"/>
      <c r="AI2528" s="92"/>
      <c r="AJ2528" s="93"/>
      <c r="AK2528" s="94"/>
      <c r="AL2528" s="95"/>
      <c r="AM2528" s="56"/>
      <c r="AN2528" s="57">
        <f t="shared" si="399"/>
        <v>0</v>
      </c>
      <c r="AO2528" s="76">
        <f t="shared" si="401"/>
        <v>0</v>
      </c>
      <c r="AP2528" s="63" t="str">
        <f t="shared" si="402"/>
        <v/>
      </c>
      <c r="AQ2528" s="63" t="str">
        <f t="shared" si="403"/>
        <v/>
      </c>
      <c r="AR2528" s="63" t="str">
        <f t="shared" si="404"/>
        <v/>
      </c>
      <c r="AS2528" s="63" t="str">
        <f t="shared" si="405"/>
        <v/>
      </c>
      <c r="AT2528" s="78" t="str">
        <f t="shared" si="406"/>
        <v/>
      </c>
      <c r="AU2528" s="78" t="str">
        <f t="shared" si="407"/>
        <v/>
      </c>
      <c r="AV2528" s="64" t="str">
        <f ca="1">IFERROR(__xludf.DUMMYFUNCTION("IF(TRIM(AU2528)="""","""",AU2528/INDEX(FILTER(AT$3:AT2528,TRIM(AT$3:AT2528)&lt;&gt;""""),ROWS(FILTER(AT$3:AT2528,TRIM(AT$3:AT2528)&lt;&gt;"""")))-1)"),"")</f>
        <v/>
      </c>
      <c r="AW2528" s="65" t="e">
        <f t="shared" ca="1" si="400"/>
        <v>#VALUE!</v>
      </c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</row>
    <row r="2529" spans="1:68" ht="19" x14ac:dyDescent="0.25">
      <c r="A2529" s="5"/>
      <c r="B2529" s="5"/>
      <c r="C2529" s="5"/>
      <c r="D2529" s="5"/>
      <c r="E2529" s="5"/>
      <c r="F2529" s="5"/>
      <c r="G2529" s="5"/>
      <c r="H2529" s="6"/>
      <c r="I2529" s="5"/>
      <c r="J2529" s="88"/>
      <c r="K2529" s="88"/>
      <c r="L2529" s="88"/>
      <c r="M2529" s="88"/>
      <c r="N2529" s="88"/>
      <c r="O2529" s="88"/>
      <c r="P2529" s="88"/>
      <c r="Q2529" s="89"/>
      <c r="R2529" s="88"/>
      <c r="S2529" s="88"/>
      <c r="T2529" s="90"/>
      <c r="U2529" s="6"/>
      <c r="V2529" s="92"/>
      <c r="W2529" s="77"/>
      <c r="X2529" s="91"/>
      <c r="Y2529" s="77"/>
      <c r="Z2529" s="5"/>
      <c r="AA2529" s="5"/>
      <c r="AB2529" s="5"/>
      <c r="AC2529" s="5"/>
      <c r="AD2529" s="5"/>
      <c r="AE2529" s="5"/>
      <c r="AF2529" s="5"/>
      <c r="AG2529" s="5"/>
      <c r="AH2529" s="6"/>
      <c r="AI2529" s="92"/>
      <c r="AJ2529" s="93"/>
      <c r="AK2529" s="94"/>
      <c r="AL2529" s="95"/>
      <c r="AM2529" s="56"/>
      <c r="AN2529" s="57">
        <f t="shared" si="399"/>
        <v>0</v>
      </c>
      <c r="AO2529" s="76">
        <f t="shared" si="401"/>
        <v>0</v>
      </c>
      <c r="AP2529" s="63" t="str">
        <f t="shared" si="402"/>
        <v/>
      </c>
      <c r="AQ2529" s="63" t="str">
        <f t="shared" si="403"/>
        <v/>
      </c>
      <c r="AR2529" s="63" t="str">
        <f t="shared" si="404"/>
        <v/>
      </c>
      <c r="AS2529" s="63" t="str">
        <f t="shared" si="405"/>
        <v/>
      </c>
      <c r="AT2529" s="78" t="str">
        <f t="shared" si="406"/>
        <v/>
      </c>
      <c r="AU2529" s="78" t="str">
        <f t="shared" si="407"/>
        <v/>
      </c>
      <c r="AV2529" s="64" t="str">
        <f ca="1">IFERROR(__xludf.DUMMYFUNCTION("IF(TRIM(AU2529)="""","""",AU2529/INDEX(FILTER(AT$3:AT2529,TRIM(AT$3:AT2529)&lt;&gt;""""),ROWS(FILTER(AT$3:AT2529,TRIM(AT$3:AT2529)&lt;&gt;"""")))-1)"),"")</f>
        <v/>
      </c>
      <c r="AW2529" s="65" t="e">
        <f t="shared" ca="1" si="400"/>
        <v>#VALUE!</v>
      </c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</row>
    <row r="2530" spans="1:68" ht="19" x14ac:dyDescent="0.25">
      <c r="A2530" s="5"/>
      <c r="B2530" s="5"/>
      <c r="C2530" s="5"/>
      <c r="D2530" s="5"/>
      <c r="E2530" s="5"/>
      <c r="F2530" s="5"/>
      <c r="G2530" s="5"/>
      <c r="H2530" s="6"/>
      <c r="I2530" s="5"/>
      <c r="J2530" s="88"/>
      <c r="K2530" s="88"/>
      <c r="L2530" s="88"/>
      <c r="M2530" s="88"/>
      <c r="N2530" s="88"/>
      <c r="O2530" s="88"/>
      <c r="P2530" s="88"/>
      <c r="Q2530" s="89"/>
      <c r="R2530" s="88"/>
      <c r="S2530" s="88"/>
      <c r="T2530" s="90"/>
      <c r="U2530" s="6"/>
      <c r="V2530" s="92"/>
      <c r="W2530" s="77"/>
      <c r="X2530" s="91"/>
      <c r="Y2530" s="77"/>
      <c r="Z2530" s="5"/>
      <c r="AA2530" s="5"/>
      <c r="AB2530" s="5"/>
      <c r="AC2530" s="5"/>
      <c r="AD2530" s="5"/>
      <c r="AE2530" s="5"/>
      <c r="AF2530" s="5"/>
      <c r="AG2530" s="5"/>
      <c r="AH2530" s="6"/>
      <c r="AI2530" s="92"/>
      <c r="AJ2530" s="93"/>
      <c r="AK2530" s="94"/>
      <c r="AL2530" s="95"/>
      <c r="AM2530" s="56"/>
      <c r="AN2530" s="57">
        <f t="shared" si="399"/>
        <v>0</v>
      </c>
      <c r="AO2530" s="76">
        <f t="shared" si="401"/>
        <v>0</v>
      </c>
      <c r="AP2530" s="63" t="str">
        <f t="shared" si="402"/>
        <v/>
      </c>
      <c r="AQ2530" s="63" t="str">
        <f t="shared" si="403"/>
        <v/>
      </c>
      <c r="AR2530" s="63" t="str">
        <f t="shared" si="404"/>
        <v/>
      </c>
      <c r="AS2530" s="63" t="str">
        <f t="shared" si="405"/>
        <v/>
      </c>
      <c r="AT2530" s="78" t="str">
        <f t="shared" si="406"/>
        <v/>
      </c>
      <c r="AU2530" s="78" t="str">
        <f t="shared" si="407"/>
        <v/>
      </c>
      <c r="AV2530" s="64" t="str">
        <f ca="1">IFERROR(__xludf.DUMMYFUNCTION("IF(TRIM(AU2530)="""","""",AU2530/INDEX(FILTER(AT$3:AT2530,TRIM(AT$3:AT2530)&lt;&gt;""""),ROWS(FILTER(AT$3:AT2530,TRIM(AT$3:AT2530)&lt;&gt;"""")))-1)"),"")</f>
        <v/>
      </c>
      <c r="AW2530" s="65" t="e">
        <f t="shared" ca="1" si="400"/>
        <v>#VALUE!</v>
      </c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</row>
    <row r="2531" spans="1:68" ht="19" x14ac:dyDescent="0.25">
      <c r="A2531" s="5"/>
      <c r="B2531" s="5"/>
      <c r="C2531" s="5"/>
      <c r="D2531" s="5"/>
      <c r="E2531" s="5"/>
      <c r="F2531" s="5"/>
      <c r="G2531" s="5"/>
      <c r="H2531" s="6"/>
      <c r="I2531" s="5"/>
      <c r="J2531" s="88"/>
      <c r="K2531" s="88"/>
      <c r="L2531" s="88"/>
      <c r="M2531" s="88"/>
      <c r="N2531" s="88"/>
      <c r="O2531" s="88"/>
      <c r="P2531" s="88"/>
      <c r="Q2531" s="89"/>
      <c r="R2531" s="88"/>
      <c r="S2531" s="88"/>
      <c r="T2531" s="90"/>
      <c r="U2531" s="6"/>
      <c r="V2531" s="92"/>
      <c r="W2531" s="77"/>
      <c r="X2531" s="91"/>
      <c r="Y2531" s="77"/>
      <c r="Z2531" s="5"/>
      <c r="AA2531" s="5"/>
      <c r="AB2531" s="5"/>
      <c r="AC2531" s="5"/>
      <c r="AD2531" s="5"/>
      <c r="AE2531" s="5"/>
      <c r="AF2531" s="5"/>
      <c r="AG2531" s="5"/>
      <c r="AH2531" s="6"/>
      <c r="AI2531" s="92"/>
      <c r="AJ2531" s="93"/>
      <c r="AK2531" s="94"/>
      <c r="AL2531" s="95"/>
      <c r="AM2531" s="56"/>
      <c r="AN2531" s="57">
        <f t="shared" si="399"/>
        <v>0</v>
      </c>
      <c r="AO2531" s="76">
        <f t="shared" si="401"/>
        <v>0</v>
      </c>
      <c r="AP2531" s="63" t="str">
        <f t="shared" si="402"/>
        <v/>
      </c>
      <c r="AQ2531" s="63" t="str">
        <f t="shared" si="403"/>
        <v/>
      </c>
      <c r="AR2531" s="63" t="str">
        <f t="shared" si="404"/>
        <v/>
      </c>
      <c r="AS2531" s="63" t="str">
        <f t="shared" si="405"/>
        <v/>
      </c>
      <c r="AT2531" s="78" t="str">
        <f t="shared" si="406"/>
        <v/>
      </c>
      <c r="AU2531" s="78" t="str">
        <f t="shared" si="407"/>
        <v/>
      </c>
      <c r="AV2531" s="64" t="str">
        <f ca="1">IFERROR(__xludf.DUMMYFUNCTION("IF(TRIM(AU2531)="""","""",AU2531/INDEX(FILTER(AT$3:AT2531,TRIM(AT$3:AT2531)&lt;&gt;""""),ROWS(FILTER(AT$3:AT2531,TRIM(AT$3:AT2531)&lt;&gt;"""")))-1)"),"")</f>
        <v/>
      </c>
      <c r="AW2531" s="65" t="e">
        <f t="shared" ca="1" si="400"/>
        <v>#VALUE!</v>
      </c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</row>
    <row r="2532" spans="1:68" ht="19" x14ac:dyDescent="0.25">
      <c r="A2532" s="5"/>
      <c r="B2532" s="5"/>
      <c r="C2532" s="5"/>
      <c r="D2532" s="5"/>
      <c r="E2532" s="5"/>
      <c r="F2532" s="5"/>
      <c r="G2532" s="5"/>
      <c r="H2532" s="6"/>
      <c r="I2532" s="5"/>
      <c r="J2532" s="88"/>
      <c r="K2532" s="88"/>
      <c r="L2532" s="88"/>
      <c r="M2532" s="88"/>
      <c r="N2532" s="88"/>
      <c r="O2532" s="88"/>
      <c r="P2532" s="88"/>
      <c r="Q2532" s="89"/>
      <c r="R2532" s="88"/>
      <c r="S2532" s="88"/>
      <c r="T2532" s="90"/>
      <c r="U2532" s="6"/>
      <c r="V2532" s="92"/>
      <c r="W2532" s="77"/>
      <c r="X2532" s="91"/>
      <c r="Y2532" s="77"/>
      <c r="Z2532" s="5"/>
      <c r="AA2532" s="5"/>
      <c r="AB2532" s="5"/>
      <c r="AC2532" s="5"/>
      <c r="AD2532" s="5"/>
      <c r="AE2532" s="5"/>
      <c r="AF2532" s="5"/>
      <c r="AG2532" s="5"/>
      <c r="AH2532" s="6"/>
      <c r="AI2532" s="92"/>
      <c r="AJ2532" s="93"/>
      <c r="AK2532" s="94"/>
      <c r="AL2532" s="95"/>
      <c r="AM2532" s="56"/>
      <c r="AN2532" s="57">
        <f t="shared" si="399"/>
        <v>0</v>
      </c>
      <c r="AO2532" s="76">
        <f t="shared" si="401"/>
        <v>0</v>
      </c>
      <c r="AP2532" s="63" t="str">
        <f t="shared" si="402"/>
        <v/>
      </c>
      <c r="AQ2532" s="63" t="str">
        <f t="shared" si="403"/>
        <v/>
      </c>
      <c r="AR2532" s="63" t="str">
        <f t="shared" si="404"/>
        <v/>
      </c>
      <c r="AS2532" s="63" t="str">
        <f t="shared" si="405"/>
        <v/>
      </c>
      <c r="AT2532" s="78" t="str">
        <f t="shared" si="406"/>
        <v/>
      </c>
      <c r="AU2532" s="78" t="str">
        <f t="shared" si="407"/>
        <v/>
      </c>
      <c r="AV2532" s="64" t="str">
        <f ca="1">IFERROR(__xludf.DUMMYFUNCTION("IF(TRIM(AU2532)="""","""",AU2532/INDEX(FILTER(AT$3:AT2532,TRIM(AT$3:AT2532)&lt;&gt;""""),ROWS(FILTER(AT$3:AT2532,TRIM(AT$3:AT2532)&lt;&gt;"""")))-1)"),"")</f>
        <v/>
      </c>
      <c r="AW2532" s="65" t="e">
        <f t="shared" ca="1" si="400"/>
        <v>#VALUE!</v>
      </c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</row>
    <row r="2533" spans="1:68" ht="19" x14ac:dyDescent="0.25">
      <c r="A2533" s="5"/>
      <c r="B2533" s="5"/>
      <c r="C2533" s="5"/>
      <c r="D2533" s="5"/>
      <c r="E2533" s="5"/>
      <c r="F2533" s="5"/>
      <c r="G2533" s="5"/>
      <c r="H2533" s="6"/>
      <c r="I2533" s="5"/>
      <c r="J2533" s="88"/>
      <c r="K2533" s="88"/>
      <c r="L2533" s="88"/>
      <c r="M2533" s="88"/>
      <c r="N2533" s="88"/>
      <c r="O2533" s="88"/>
      <c r="P2533" s="88"/>
      <c r="Q2533" s="89"/>
      <c r="R2533" s="88"/>
      <c r="S2533" s="88"/>
      <c r="T2533" s="90"/>
      <c r="U2533" s="6"/>
      <c r="V2533" s="92"/>
      <c r="W2533" s="77"/>
      <c r="X2533" s="91"/>
      <c r="Y2533" s="77"/>
      <c r="Z2533" s="5"/>
      <c r="AA2533" s="5"/>
      <c r="AB2533" s="5"/>
      <c r="AC2533" s="5"/>
      <c r="AD2533" s="5"/>
      <c r="AE2533" s="5"/>
      <c r="AF2533" s="5"/>
      <c r="AG2533" s="5"/>
      <c r="AH2533" s="6"/>
      <c r="AI2533" s="92"/>
      <c r="AJ2533" s="93"/>
      <c r="AK2533" s="94"/>
      <c r="AL2533" s="95"/>
      <c r="AM2533" s="56"/>
      <c r="AN2533" s="57">
        <f t="shared" si="399"/>
        <v>0</v>
      </c>
      <c r="AO2533" s="76">
        <f t="shared" si="401"/>
        <v>0</v>
      </c>
      <c r="AP2533" s="63" t="str">
        <f t="shared" si="402"/>
        <v/>
      </c>
      <c r="AQ2533" s="63" t="str">
        <f t="shared" si="403"/>
        <v/>
      </c>
      <c r="AR2533" s="63" t="str">
        <f t="shared" si="404"/>
        <v/>
      </c>
      <c r="AS2533" s="63" t="str">
        <f t="shared" si="405"/>
        <v/>
      </c>
      <c r="AT2533" s="78" t="str">
        <f t="shared" si="406"/>
        <v/>
      </c>
      <c r="AU2533" s="78" t="str">
        <f t="shared" si="407"/>
        <v/>
      </c>
      <c r="AV2533" s="64" t="str">
        <f ca="1">IFERROR(__xludf.DUMMYFUNCTION("IF(TRIM(AU2533)="""","""",AU2533/INDEX(FILTER(AT$3:AT2533,TRIM(AT$3:AT2533)&lt;&gt;""""),ROWS(FILTER(AT$3:AT2533,TRIM(AT$3:AT2533)&lt;&gt;"""")))-1)"),"")</f>
        <v/>
      </c>
      <c r="AW2533" s="65" t="e">
        <f t="shared" ca="1" si="400"/>
        <v>#VALUE!</v>
      </c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</row>
    <row r="2534" spans="1:68" ht="19" x14ac:dyDescent="0.25">
      <c r="A2534" s="5"/>
      <c r="B2534" s="5"/>
      <c r="C2534" s="5"/>
      <c r="D2534" s="5"/>
      <c r="E2534" s="5"/>
      <c r="F2534" s="5"/>
      <c r="G2534" s="5"/>
      <c r="H2534" s="6"/>
      <c r="I2534" s="5"/>
      <c r="J2534" s="88"/>
      <c r="K2534" s="88"/>
      <c r="L2534" s="88"/>
      <c r="M2534" s="88"/>
      <c r="N2534" s="88"/>
      <c r="O2534" s="88"/>
      <c r="P2534" s="88"/>
      <c r="Q2534" s="89"/>
      <c r="R2534" s="88"/>
      <c r="S2534" s="88"/>
      <c r="T2534" s="90"/>
      <c r="U2534" s="6"/>
      <c r="V2534" s="92"/>
      <c r="W2534" s="77"/>
      <c r="X2534" s="91"/>
      <c r="Y2534" s="77"/>
      <c r="Z2534" s="5"/>
      <c r="AA2534" s="5"/>
      <c r="AB2534" s="5"/>
      <c r="AC2534" s="5"/>
      <c r="AD2534" s="5"/>
      <c r="AE2534" s="5"/>
      <c r="AF2534" s="5"/>
      <c r="AG2534" s="5"/>
      <c r="AH2534" s="6"/>
      <c r="AI2534" s="92"/>
      <c r="AJ2534" s="93"/>
      <c r="AK2534" s="94"/>
      <c r="AL2534" s="95"/>
      <c r="AM2534" s="56"/>
      <c r="AN2534" s="57">
        <f t="shared" si="399"/>
        <v>0</v>
      </c>
      <c r="AO2534" s="76">
        <f t="shared" si="401"/>
        <v>0</v>
      </c>
      <c r="AP2534" s="63" t="str">
        <f t="shared" si="402"/>
        <v/>
      </c>
      <c r="AQ2534" s="63" t="str">
        <f t="shared" si="403"/>
        <v/>
      </c>
      <c r="AR2534" s="63" t="str">
        <f t="shared" si="404"/>
        <v/>
      </c>
      <c r="AS2534" s="63" t="str">
        <f t="shared" si="405"/>
        <v/>
      </c>
      <c r="AT2534" s="78" t="str">
        <f t="shared" si="406"/>
        <v/>
      </c>
      <c r="AU2534" s="78" t="str">
        <f t="shared" si="407"/>
        <v/>
      </c>
      <c r="AV2534" s="64" t="str">
        <f ca="1">IFERROR(__xludf.DUMMYFUNCTION("IF(TRIM(AU2534)="""","""",AU2534/INDEX(FILTER(AT$3:AT2534,TRIM(AT$3:AT2534)&lt;&gt;""""),ROWS(FILTER(AT$3:AT2534,TRIM(AT$3:AT2534)&lt;&gt;"""")))-1)"),"")</f>
        <v/>
      </c>
      <c r="AW2534" s="65" t="e">
        <f t="shared" ca="1" si="400"/>
        <v>#VALUE!</v>
      </c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</row>
    <row r="2535" spans="1:68" ht="19" x14ac:dyDescent="0.25">
      <c r="A2535" s="5"/>
      <c r="B2535" s="5"/>
      <c r="C2535" s="5"/>
      <c r="D2535" s="5"/>
      <c r="E2535" s="5"/>
      <c r="F2535" s="5"/>
      <c r="G2535" s="5"/>
      <c r="H2535" s="6"/>
      <c r="I2535" s="5"/>
      <c r="J2535" s="88"/>
      <c r="K2535" s="88"/>
      <c r="L2535" s="88"/>
      <c r="M2535" s="88"/>
      <c r="N2535" s="88"/>
      <c r="O2535" s="88"/>
      <c r="P2535" s="88"/>
      <c r="Q2535" s="89"/>
      <c r="R2535" s="88"/>
      <c r="S2535" s="88"/>
      <c r="T2535" s="90"/>
      <c r="U2535" s="6"/>
      <c r="V2535" s="92"/>
      <c r="W2535" s="77"/>
      <c r="X2535" s="91"/>
      <c r="Y2535" s="77"/>
      <c r="Z2535" s="5"/>
      <c r="AA2535" s="5"/>
      <c r="AB2535" s="5"/>
      <c r="AC2535" s="5"/>
      <c r="AD2535" s="5"/>
      <c r="AE2535" s="5"/>
      <c r="AF2535" s="5"/>
      <c r="AG2535" s="5"/>
      <c r="AH2535" s="6"/>
      <c r="AI2535" s="92"/>
      <c r="AJ2535" s="93"/>
      <c r="AK2535" s="94"/>
      <c r="AL2535" s="95"/>
      <c r="AM2535" s="56"/>
      <c r="AN2535" s="57">
        <f t="shared" si="399"/>
        <v>0</v>
      </c>
      <c r="AO2535" s="76">
        <f t="shared" si="401"/>
        <v>0</v>
      </c>
      <c r="AP2535" s="63" t="str">
        <f t="shared" si="402"/>
        <v/>
      </c>
      <c r="AQ2535" s="63" t="str">
        <f t="shared" si="403"/>
        <v/>
      </c>
      <c r="AR2535" s="63" t="str">
        <f t="shared" si="404"/>
        <v/>
      </c>
      <c r="AS2535" s="63" t="str">
        <f t="shared" si="405"/>
        <v/>
      </c>
      <c r="AT2535" s="78" t="str">
        <f t="shared" si="406"/>
        <v/>
      </c>
      <c r="AU2535" s="78" t="str">
        <f t="shared" si="407"/>
        <v/>
      </c>
      <c r="AV2535" s="64" t="str">
        <f ca="1">IFERROR(__xludf.DUMMYFUNCTION("IF(TRIM(AU2535)="""","""",AU2535/INDEX(FILTER(AT$3:AT2535,TRIM(AT$3:AT2535)&lt;&gt;""""),ROWS(FILTER(AT$3:AT2535,TRIM(AT$3:AT2535)&lt;&gt;"""")))-1)"),"")</f>
        <v/>
      </c>
      <c r="AW2535" s="65" t="e">
        <f t="shared" ca="1" si="400"/>
        <v>#VALUE!</v>
      </c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</row>
    <row r="2536" spans="1:68" ht="19" x14ac:dyDescent="0.25">
      <c r="A2536" s="5"/>
      <c r="B2536" s="5"/>
      <c r="C2536" s="5"/>
      <c r="D2536" s="5"/>
      <c r="E2536" s="5"/>
      <c r="F2536" s="5"/>
      <c r="G2536" s="5"/>
      <c r="H2536" s="6"/>
      <c r="I2536" s="5"/>
      <c r="J2536" s="88"/>
      <c r="K2536" s="88"/>
      <c r="L2536" s="88"/>
      <c r="M2536" s="88"/>
      <c r="N2536" s="88"/>
      <c r="O2536" s="88"/>
      <c r="P2536" s="88"/>
      <c r="Q2536" s="89"/>
      <c r="R2536" s="88"/>
      <c r="S2536" s="88"/>
      <c r="T2536" s="90"/>
      <c r="U2536" s="6"/>
      <c r="V2536" s="92"/>
      <c r="W2536" s="77"/>
      <c r="X2536" s="91"/>
      <c r="Y2536" s="77"/>
      <c r="Z2536" s="5"/>
      <c r="AA2536" s="5"/>
      <c r="AB2536" s="5"/>
      <c r="AC2536" s="5"/>
      <c r="AD2536" s="5"/>
      <c r="AE2536" s="5"/>
      <c r="AF2536" s="5"/>
      <c r="AG2536" s="5"/>
      <c r="AH2536" s="6"/>
      <c r="AI2536" s="92"/>
      <c r="AJ2536" s="93"/>
      <c r="AK2536" s="94"/>
      <c r="AL2536" s="95"/>
      <c r="AM2536" s="56"/>
      <c r="AN2536" s="57">
        <f t="shared" si="399"/>
        <v>0</v>
      </c>
      <c r="AO2536" s="76">
        <f t="shared" si="401"/>
        <v>0</v>
      </c>
      <c r="AP2536" s="63" t="str">
        <f t="shared" si="402"/>
        <v/>
      </c>
      <c r="AQ2536" s="63" t="str">
        <f t="shared" si="403"/>
        <v/>
      </c>
      <c r="AR2536" s="63" t="str">
        <f t="shared" si="404"/>
        <v/>
      </c>
      <c r="AS2536" s="63" t="str">
        <f t="shared" si="405"/>
        <v/>
      </c>
      <c r="AT2536" s="78" t="str">
        <f t="shared" si="406"/>
        <v/>
      </c>
      <c r="AU2536" s="78" t="str">
        <f t="shared" si="407"/>
        <v/>
      </c>
      <c r="AV2536" s="64" t="str">
        <f ca="1">IFERROR(__xludf.DUMMYFUNCTION("IF(TRIM(AU2536)="""","""",AU2536/INDEX(FILTER(AT$3:AT2536,TRIM(AT$3:AT2536)&lt;&gt;""""),ROWS(FILTER(AT$3:AT2536,TRIM(AT$3:AT2536)&lt;&gt;"""")))-1)"),"")</f>
        <v/>
      </c>
      <c r="AW2536" s="65" t="e">
        <f t="shared" ca="1" si="400"/>
        <v>#VALUE!</v>
      </c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</row>
    <row r="2537" spans="1:68" ht="19" x14ac:dyDescent="0.25">
      <c r="A2537" s="5"/>
      <c r="B2537" s="5"/>
      <c r="C2537" s="5"/>
      <c r="D2537" s="5"/>
      <c r="E2537" s="5"/>
      <c r="F2537" s="5"/>
      <c r="G2537" s="5"/>
      <c r="H2537" s="6"/>
      <c r="I2537" s="5"/>
      <c r="J2537" s="88"/>
      <c r="K2537" s="88"/>
      <c r="L2537" s="88"/>
      <c r="M2537" s="88"/>
      <c r="N2537" s="88"/>
      <c r="O2537" s="88"/>
      <c r="P2537" s="88"/>
      <c r="Q2537" s="89"/>
      <c r="R2537" s="88"/>
      <c r="S2537" s="88"/>
      <c r="T2537" s="90"/>
      <c r="U2537" s="6"/>
      <c r="V2537" s="92"/>
      <c r="W2537" s="77"/>
      <c r="X2537" s="91"/>
      <c r="Y2537" s="77"/>
      <c r="Z2537" s="5"/>
      <c r="AA2537" s="5"/>
      <c r="AB2537" s="5"/>
      <c r="AC2537" s="5"/>
      <c r="AD2537" s="5"/>
      <c r="AE2537" s="5"/>
      <c r="AF2537" s="5"/>
      <c r="AG2537" s="5"/>
      <c r="AH2537" s="6"/>
      <c r="AI2537" s="92"/>
      <c r="AJ2537" s="93"/>
      <c r="AK2537" s="94"/>
      <c r="AL2537" s="95"/>
      <c r="AM2537" s="56"/>
      <c r="AN2537" s="57">
        <f t="shared" si="399"/>
        <v>0</v>
      </c>
      <c r="AO2537" s="76">
        <f t="shared" si="401"/>
        <v>0</v>
      </c>
      <c r="AP2537" s="63" t="str">
        <f t="shared" si="402"/>
        <v/>
      </c>
      <c r="AQ2537" s="63" t="str">
        <f t="shared" si="403"/>
        <v/>
      </c>
      <c r="AR2537" s="63" t="str">
        <f t="shared" si="404"/>
        <v/>
      </c>
      <c r="AS2537" s="63" t="str">
        <f t="shared" si="405"/>
        <v/>
      </c>
      <c r="AT2537" s="78" t="str">
        <f t="shared" si="406"/>
        <v/>
      </c>
      <c r="AU2537" s="78" t="str">
        <f t="shared" si="407"/>
        <v/>
      </c>
      <c r="AV2537" s="64" t="str">
        <f ca="1">IFERROR(__xludf.DUMMYFUNCTION("IF(TRIM(AU2537)="""","""",AU2537/INDEX(FILTER(AT$3:AT2537,TRIM(AT$3:AT2537)&lt;&gt;""""),ROWS(FILTER(AT$3:AT2537,TRIM(AT$3:AT2537)&lt;&gt;"""")))-1)"),"")</f>
        <v/>
      </c>
      <c r="AW2537" s="65" t="e">
        <f t="shared" ca="1" si="400"/>
        <v>#VALUE!</v>
      </c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</row>
    <row r="2538" spans="1:68" ht="19" x14ac:dyDescent="0.25">
      <c r="A2538" s="5"/>
      <c r="B2538" s="5"/>
      <c r="C2538" s="5"/>
      <c r="D2538" s="5"/>
      <c r="E2538" s="5"/>
      <c r="F2538" s="5"/>
      <c r="G2538" s="5"/>
      <c r="H2538" s="6"/>
      <c r="I2538" s="5"/>
      <c r="J2538" s="88"/>
      <c r="K2538" s="88"/>
      <c r="L2538" s="88"/>
      <c r="M2538" s="88"/>
      <c r="N2538" s="88"/>
      <c r="O2538" s="88"/>
      <c r="P2538" s="88"/>
      <c r="Q2538" s="89"/>
      <c r="R2538" s="88"/>
      <c r="S2538" s="88"/>
      <c r="T2538" s="90"/>
      <c r="U2538" s="6"/>
      <c r="V2538" s="92"/>
      <c r="W2538" s="77"/>
      <c r="X2538" s="91"/>
      <c r="Y2538" s="77"/>
      <c r="Z2538" s="5"/>
      <c r="AA2538" s="5"/>
      <c r="AB2538" s="5"/>
      <c r="AC2538" s="5"/>
      <c r="AD2538" s="5"/>
      <c r="AE2538" s="5"/>
      <c r="AF2538" s="5"/>
      <c r="AG2538" s="5"/>
      <c r="AH2538" s="6"/>
      <c r="AI2538" s="92"/>
      <c r="AJ2538" s="93"/>
      <c r="AK2538" s="94"/>
      <c r="AL2538" s="95"/>
      <c r="AM2538" s="56"/>
      <c r="AN2538" s="57">
        <f t="shared" si="399"/>
        <v>0</v>
      </c>
      <c r="AO2538" s="76">
        <f t="shared" si="401"/>
        <v>0</v>
      </c>
      <c r="AP2538" s="63" t="str">
        <f t="shared" si="402"/>
        <v/>
      </c>
      <c r="AQ2538" s="63" t="str">
        <f t="shared" si="403"/>
        <v/>
      </c>
      <c r="AR2538" s="63" t="str">
        <f t="shared" si="404"/>
        <v/>
      </c>
      <c r="AS2538" s="63" t="str">
        <f t="shared" si="405"/>
        <v/>
      </c>
      <c r="AT2538" s="78" t="str">
        <f t="shared" si="406"/>
        <v/>
      </c>
      <c r="AU2538" s="78" t="str">
        <f t="shared" si="407"/>
        <v/>
      </c>
      <c r="AV2538" s="64" t="str">
        <f ca="1">IFERROR(__xludf.DUMMYFUNCTION("IF(TRIM(AU2538)="""","""",AU2538/INDEX(FILTER(AT$3:AT2538,TRIM(AT$3:AT2538)&lt;&gt;""""),ROWS(FILTER(AT$3:AT2538,TRIM(AT$3:AT2538)&lt;&gt;"""")))-1)"),"")</f>
        <v/>
      </c>
      <c r="AW2538" s="65" t="e">
        <f t="shared" ca="1" si="400"/>
        <v>#VALUE!</v>
      </c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</row>
    <row r="2539" spans="1:68" ht="19" x14ac:dyDescent="0.25">
      <c r="A2539" s="5"/>
      <c r="B2539" s="5"/>
      <c r="C2539" s="5"/>
      <c r="D2539" s="5"/>
      <c r="E2539" s="5"/>
      <c r="F2539" s="5"/>
      <c r="G2539" s="5"/>
      <c r="H2539" s="6"/>
      <c r="I2539" s="5"/>
      <c r="J2539" s="88"/>
      <c r="K2539" s="88"/>
      <c r="L2539" s="88"/>
      <c r="M2539" s="88"/>
      <c r="N2539" s="88"/>
      <c r="O2539" s="88"/>
      <c r="P2539" s="88"/>
      <c r="Q2539" s="89"/>
      <c r="R2539" s="88"/>
      <c r="S2539" s="88"/>
      <c r="T2539" s="90"/>
      <c r="U2539" s="6"/>
      <c r="V2539" s="92"/>
      <c r="W2539" s="77"/>
      <c r="X2539" s="91"/>
      <c r="Y2539" s="77"/>
      <c r="Z2539" s="5"/>
      <c r="AA2539" s="5"/>
      <c r="AB2539" s="5"/>
      <c r="AC2539" s="5"/>
      <c r="AD2539" s="5"/>
      <c r="AE2539" s="5"/>
      <c r="AF2539" s="5"/>
      <c r="AG2539" s="5"/>
      <c r="AH2539" s="6"/>
      <c r="AI2539" s="92"/>
      <c r="AJ2539" s="93"/>
      <c r="AK2539" s="94"/>
      <c r="AL2539" s="95"/>
      <c r="AM2539" s="56"/>
      <c r="AN2539" s="57">
        <f t="shared" si="399"/>
        <v>0</v>
      </c>
      <c r="AO2539" s="76">
        <f t="shared" si="401"/>
        <v>0</v>
      </c>
      <c r="AP2539" s="63" t="str">
        <f t="shared" si="402"/>
        <v/>
      </c>
      <c r="AQ2539" s="63" t="str">
        <f t="shared" si="403"/>
        <v/>
      </c>
      <c r="AR2539" s="63" t="str">
        <f t="shared" si="404"/>
        <v/>
      </c>
      <c r="AS2539" s="63" t="str">
        <f t="shared" si="405"/>
        <v/>
      </c>
      <c r="AT2539" s="78" t="str">
        <f t="shared" si="406"/>
        <v/>
      </c>
      <c r="AU2539" s="78" t="str">
        <f t="shared" si="407"/>
        <v/>
      </c>
      <c r="AV2539" s="64" t="str">
        <f ca="1">IFERROR(__xludf.DUMMYFUNCTION("IF(TRIM(AU2539)="""","""",AU2539/INDEX(FILTER(AT$3:AT2539,TRIM(AT$3:AT2539)&lt;&gt;""""),ROWS(FILTER(AT$3:AT2539,TRIM(AT$3:AT2539)&lt;&gt;"""")))-1)"),"")</f>
        <v/>
      </c>
      <c r="AW2539" s="65" t="e">
        <f t="shared" ca="1" si="400"/>
        <v>#VALUE!</v>
      </c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</row>
    <row r="2540" spans="1:68" ht="19" x14ac:dyDescent="0.25">
      <c r="A2540" s="5"/>
      <c r="B2540" s="5"/>
      <c r="C2540" s="5"/>
      <c r="D2540" s="5"/>
      <c r="E2540" s="5"/>
      <c r="F2540" s="5"/>
      <c r="G2540" s="5"/>
      <c r="H2540" s="6"/>
      <c r="I2540" s="5"/>
      <c r="J2540" s="88"/>
      <c r="K2540" s="88"/>
      <c r="L2540" s="88"/>
      <c r="M2540" s="88"/>
      <c r="N2540" s="88"/>
      <c r="O2540" s="88"/>
      <c r="P2540" s="88"/>
      <c r="Q2540" s="89"/>
      <c r="R2540" s="88"/>
      <c r="S2540" s="88"/>
      <c r="T2540" s="90"/>
      <c r="U2540" s="6"/>
      <c r="V2540" s="92"/>
      <c r="W2540" s="77"/>
      <c r="X2540" s="91"/>
      <c r="Y2540" s="77"/>
      <c r="Z2540" s="5"/>
      <c r="AA2540" s="5"/>
      <c r="AB2540" s="5"/>
      <c r="AC2540" s="5"/>
      <c r="AD2540" s="5"/>
      <c r="AE2540" s="5"/>
      <c r="AF2540" s="5"/>
      <c r="AG2540" s="5"/>
      <c r="AH2540" s="6"/>
      <c r="AI2540" s="92"/>
      <c r="AJ2540" s="93"/>
      <c r="AK2540" s="94"/>
      <c r="AL2540" s="95"/>
      <c r="AM2540" s="56"/>
      <c r="AN2540" s="57">
        <f t="shared" si="399"/>
        <v>0</v>
      </c>
      <c r="AO2540" s="76">
        <f t="shared" si="401"/>
        <v>0</v>
      </c>
      <c r="AP2540" s="63" t="str">
        <f t="shared" si="402"/>
        <v/>
      </c>
      <c r="AQ2540" s="63" t="str">
        <f t="shared" si="403"/>
        <v/>
      </c>
      <c r="AR2540" s="63" t="str">
        <f t="shared" si="404"/>
        <v/>
      </c>
      <c r="AS2540" s="63" t="str">
        <f t="shared" si="405"/>
        <v/>
      </c>
      <c r="AT2540" s="78" t="str">
        <f t="shared" si="406"/>
        <v/>
      </c>
      <c r="AU2540" s="78" t="str">
        <f t="shared" si="407"/>
        <v/>
      </c>
      <c r="AV2540" s="64" t="str">
        <f ca="1">IFERROR(__xludf.DUMMYFUNCTION("IF(TRIM(AU2540)="""","""",AU2540/INDEX(FILTER(AT$3:AT2540,TRIM(AT$3:AT2540)&lt;&gt;""""),ROWS(FILTER(AT$3:AT2540,TRIM(AT$3:AT2540)&lt;&gt;"""")))-1)"),"")</f>
        <v/>
      </c>
      <c r="AW2540" s="65" t="e">
        <f t="shared" ca="1" si="400"/>
        <v>#VALUE!</v>
      </c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</row>
    <row r="2541" spans="1:68" ht="19" x14ac:dyDescent="0.25">
      <c r="A2541" s="5"/>
      <c r="B2541" s="5"/>
      <c r="C2541" s="5"/>
      <c r="D2541" s="5"/>
      <c r="E2541" s="5"/>
      <c r="F2541" s="5"/>
      <c r="G2541" s="5"/>
      <c r="H2541" s="6"/>
      <c r="I2541" s="5"/>
      <c r="J2541" s="88"/>
      <c r="K2541" s="88"/>
      <c r="L2541" s="88"/>
      <c r="M2541" s="88"/>
      <c r="N2541" s="88"/>
      <c r="O2541" s="88"/>
      <c r="P2541" s="88"/>
      <c r="Q2541" s="89"/>
      <c r="R2541" s="88"/>
      <c r="S2541" s="88"/>
      <c r="T2541" s="90"/>
      <c r="U2541" s="6"/>
      <c r="V2541" s="92"/>
      <c r="W2541" s="77"/>
      <c r="X2541" s="91"/>
      <c r="Y2541" s="77"/>
      <c r="Z2541" s="5"/>
      <c r="AA2541" s="5"/>
      <c r="AB2541" s="5"/>
      <c r="AC2541" s="5"/>
      <c r="AD2541" s="5"/>
      <c r="AE2541" s="5"/>
      <c r="AF2541" s="5"/>
      <c r="AG2541" s="5"/>
      <c r="AH2541" s="6"/>
      <c r="AI2541" s="92"/>
      <c r="AJ2541" s="93"/>
      <c r="AK2541" s="94"/>
      <c r="AL2541" s="95"/>
      <c r="AM2541" s="56"/>
      <c r="AN2541" s="57">
        <f t="shared" si="399"/>
        <v>0</v>
      </c>
      <c r="AO2541" s="76">
        <f t="shared" si="401"/>
        <v>0</v>
      </c>
      <c r="AP2541" s="63" t="str">
        <f t="shared" si="402"/>
        <v/>
      </c>
      <c r="AQ2541" s="63" t="str">
        <f t="shared" si="403"/>
        <v/>
      </c>
      <c r="AR2541" s="63" t="str">
        <f t="shared" si="404"/>
        <v/>
      </c>
      <c r="AS2541" s="63" t="str">
        <f t="shared" si="405"/>
        <v/>
      </c>
      <c r="AT2541" s="78" t="str">
        <f t="shared" si="406"/>
        <v/>
      </c>
      <c r="AU2541" s="78" t="str">
        <f t="shared" si="407"/>
        <v/>
      </c>
      <c r="AV2541" s="64" t="str">
        <f ca="1">IFERROR(__xludf.DUMMYFUNCTION("IF(TRIM(AU2541)="""","""",AU2541/INDEX(FILTER(AT$3:AT2541,TRIM(AT$3:AT2541)&lt;&gt;""""),ROWS(FILTER(AT$3:AT2541,TRIM(AT$3:AT2541)&lt;&gt;"""")))-1)"),"")</f>
        <v/>
      </c>
      <c r="AW2541" s="65" t="e">
        <f t="shared" ca="1" si="400"/>
        <v>#VALUE!</v>
      </c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</row>
    <row r="2542" spans="1:68" ht="19" x14ac:dyDescent="0.25">
      <c r="A2542" s="5"/>
      <c r="B2542" s="5"/>
      <c r="C2542" s="5"/>
      <c r="D2542" s="5"/>
      <c r="E2542" s="5"/>
      <c r="F2542" s="5"/>
      <c r="G2542" s="5"/>
      <c r="H2542" s="6"/>
      <c r="I2542" s="5"/>
      <c r="J2542" s="88"/>
      <c r="K2542" s="88"/>
      <c r="L2542" s="88"/>
      <c r="M2542" s="88"/>
      <c r="N2542" s="88"/>
      <c r="O2542" s="88"/>
      <c r="P2542" s="88"/>
      <c r="Q2542" s="89"/>
      <c r="R2542" s="88"/>
      <c r="S2542" s="88"/>
      <c r="T2542" s="90"/>
      <c r="U2542" s="6"/>
      <c r="V2542" s="92"/>
      <c r="W2542" s="77"/>
      <c r="X2542" s="91"/>
      <c r="Y2542" s="77"/>
      <c r="Z2542" s="5"/>
      <c r="AA2542" s="5"/>
      <c r="AB2542" s="5"/>
      <c r="AC2542" s="5"/>
      <c r="AD2542" s="5"/>
      <c r="AE2542" s="5"/>
      <c r="AF2542" s="5"/>
      <c r="AG2542" s="5"/>
      <c r="AH2542" s="6"/>
      <c r="AI2542" s="92"/>
      <c r="AJ2542" s="93"/>
      <c r="AK2542" s="94"/>
      <c r="AL2542" s="95"/>
      <c r="AM2542" s="56"/>
      <c r="AN2542" s="57">
        <f t="shared" si="399"/>
        <v>0</v>
      </c>
      <c r="AO2542" s="76">
        <f t="shared" si="401"/>
        <v>0</v>
      </c>
      <c r="AP2542" s="63" t="str">
        <f t="shared" si="402"/>
        <v/>
      </c>
      <c r="AQ2542" s="63" t="str">
        <f t="shared" si="403"/>
        <v/>
      </c>
      <c r="AR2542" s="63" t="str">
        <f t="shared" si="404"/>
        <v/>
      </c>
      <c r="AS2542" s="63" t="str">
        <f t="shared" si="405"/>
        <v/>
      </c>
      <c r="AT2542" s="78" t="str">
        <f t="shared" si="406"/>
        <v/>
      </c>
      <c r="AU2542" s="78" t="str">
        <f t="shared" si="407"/>
        <v/>
      </c>
      <c r="AV2542" s="64" t="str">
        <f ca="1">IFERROR(__xludf.DUMMYFUNCTION("IF(TRIM(AU2542)="""","""",AU2542/INDEX(FILTER(AT$3:AT2542,TRIM(AT$3:AT2542)&lt;&gt;""""),ROWS(FILTER(AT$3:AT2542,TRIM(AT$3:AT2542)&lt;&gt;"""")))-1)"),"")</f>
        <v/>
      </c>
      <c r="AW2542" s="65" t="e">
        <f t="shared" ca="1" si="400"/>
        <v>#VALUE!</v>
      </c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</row>
    <row r="2543" spans="1:68" ht="19" x14ac:dyDescent="0.25">
      <c r="A2543" s="5"/>
      <c r="B2543" s="5"/>
      <c r="C2543" s="5"/>
      <c r="D2543" s="5"/>
      <c r="E2543" s="5"/>
      <c r="F2543" s="5"/>
      <c r="G2543" s="5"/>
      <c r="H2543" s="6"/>
      <c r="I2543" s="5"/>
      <c r="J2543" s="88"/>
      <c r="K2543" s="88"/>
      <c r="L2543" s="88"/>
      <c r="M2543" s="88"/>
      <c r="N2543" s="88"/>
      <c r="O2543" s="88"/>
      <c r="P2543" s="88"/>
      <c r="Q2543" s="89"/>
      <c r="R2543" s="88"/>
      <c r="S2543" s="88"/>
      <c r="T2543" s="90"/>
      <c r="U2543" s="6"/>
      <c r="V2543" s="92"/>
      <c r="W2543" s="77"/>
      <c r="X2543" s="91"/>
      <c r="Y2543" s="77"/>
      <c r="Z2543" s="5"/>
      <c r="AA2543" s="5"/>
      <c r="AB2543" s="5"/>
      <c r="AC2543" s="5"/>
      <c r="AD2543" s="5"/>
      <c r="AE2543" s="5"/>
      <c r="AF2543" s="5"/>
      <c r="AG2543" s="5"/>
      <c r="AH2543" s="6"/>
      <c r="AI2543" s="92"/>
      <c r="AJ2543" s="93"/>
      <c r="AK2543" s="94"/>
      <c r="AL2543" s="95"/>
      <c r="AM2543" s="56"/>
      <c r="AN2543" s="57">
        <f t="shared" si="399"/>
        <v>0</v>
      </c>
      <c r="AO2543" s="76">
        <f t="shared" si="401"/>
        <v>0</v>
      </c>
      <c r="AP2543" s="63" t="str">
        <f t="shared" si="402"/>
        <v/>
      </c>
      <c r="AQ2543" s="63" t="str">
        <f t="shared" si="403"/>
        <v/>
      </c>
      <c r="AR2543" s="63" t="str">
        <f t="shared" si="404"/>
        <v/>
      </c>
      <c r="AS2543" s="63" t="str">
        <f t="shared" si="405"/>
        <v/>
      </c>
      <c r="AT2543" s="78" t="str">
        <f t="shared" si="406"/>
        <v/>
      </c>
      <c r="AU2543" s="78" t="str">
        <f t="shared" si="407"/>
        <v/>
      </c>
      <c r="AV2543" s="64" t="str">
        <f ca="1">IFERROR(__xludf.DUMMYFUNCTION("IF(TRIM(AU2543)="""","""",AU2543/INDEX(FILTER(AT$3:AT2543,TRIM(AT$3:AT2543)&lt;&gt;""""),ROWS(FILTER(AT$3:AT2543,TRIM(AT$3:AT2543)&lt;&gt;"""")))-1)"),"")</f>
        <v/>
      </c>
      <c r="AW2543" s="65" t="e">
        <f t="shared" ca="1" si="400"/>
        <v>#VALUE!</v>
      </c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</row>
    <row r="2544" spans="1:68" ht="19" x14ac:dyDescent="0.25">
      <c r="A2544" s="5"/>
      <c r="B2544" s="5"/>
      <c r="C2544" s="5"/>
      <c r="D2544" s="5"/>
      <c r="E2544" s="5"/>
      <c r="F2544" s="5"/>
      <c r="G2544" s="5"/>
      <c r="H2544" s="6"/>
      <c r="I2544" s="5"/>
      <c r="J2544" s="88"/>
      <c r="K2544" s="88"/>
      <c r="L2544" s="88"/>
      <c r="M2544" s="88"/>
      <c r="N2544" s="88"/>
      <c r="O2544" s="88"/>
      <c r="P2544" s="88"/>
      <c r="Q2544" s="89"/>
      <c r="R2544" s="88"/>
      <c r="S2544" s="88"/>
      <c r="T2544" s="90"/>
      <c r="U2544" s="6"/>
      <c r="V2544" s="92"/>
      <c r="W2544" s="77"/>
      <c r="X2544" s="91"/>
      <c r="Y2544" s="77"/>
      <c r="Z2544" s="5"/>
      <c r="AA2544" s="5"/>
      <c r="AB2544" s="5"/>
      <c r="AC2544" s="5"/>
      <c r="AD2544" s="5"/>
      <c r="AE2544" s="5"/>
      <c r="AF2544" s="5"/>
      <c r="AG2544" s="5"/>
      <c r="AH2544" s="6"/>
      <c r="AI2544" s="92"/>
      <c r="AJ2544" s="93"/>
      <c r="AK2544" s="94"/>
      <c r="AL2544" s="95"/>
      <c r="AM2544" s="56"/>
      <c r="AN2544" s="57">
        <f t="shared" si="399"/>
        <v>0</v>
      </c>
      <c r="AO2544" s="76">
        <f t="shared" si="401"/>
        <v>0</v>
      </c>
      <c r="AP2544" s="63" t="str">
        <f t="shared" si="402"/>
        <v/>
      </c>
      <c r="AQ2544" s="63" t="str">
        <f t="shared" si="403"/>
        <v/>
      </c>
      <c r="AR2544" s="63" t="str">
        <f t="shared" si="404"/>
        <v/>
      </c>
      <c r="AS2544" s="63" t="str">
        <f t="shared" si="405"/>
        <v/>
      </c>
      <c r="AT2544" s="78" t="str">
        <f t="shared" si="406"/>
        <v/>
      </c>
      <c r="AU2544" s="78" t="str">
        <f t="shared" si="407"/>
        <v/>
      </c>
      <c r="AV2544" s="64" t="str">
        <f ca="1">IFERROR(__xludf.DUMMYFUNCTION("IF(TRIM(AU2544)="""","""",AU2544/INDEX(FILTER(AT$3:AT2544,TRIM(AT$3:AT2544)&lt;&gt;""""),ROWS(FILTER(AT$3:AT2544,TRIM(AT$3:AT2544)&lt;&gt;"""")))-1)"),"")</f>
        <v/>
      </c>
      <c r="AW2544" s="65" t="e">
        <f t="shared" ca="1" si="400"/>
        <v>#VALUE!</v>
      </c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</row>
    <row r="2545" spans="1:68" ht="19" x14ac:dyDescent="0.25">
      <c r="A2545" s="5"/>
      <c r="B2545" s="5"/>
      <c r="C2545" s="5"/>
      <c r="D2545" s="5"/>
      <c r="E2545" s="5"/>
      <c r="F2545" s="5"/>
      <c r="G2545" s="5"/>
      <c r="H2545" s="6"/>
      <c r="I2545" s="5"/>
      <c r="J2545" s="88"/>
      <c r="K2545" s="88"/>
      <c r="L2545" s="88"/>
      <c r="M2545" s="88"/>
      <c r="N2545" s="88"/>
      <c r="O2545" s="88"/>
      <c r="P2545" s="88"/>
      <c r="Q2545" s="89"/>
      <c r="R2545" s="88"/>
      <c r="S2545" s="88"/>
      <c r="T2545" s="90"/>
      <c r="U2545" s="6"/>
      <c r="V2545" s="92"/>
      <c r="W2545" s="77"/>
      <c r="X2545" s="91"/>
      <c r="Y2545" s="77"/>
      <c r="Z2545" s="5"/>
      <c r="AA2545" s="5"/>
      <c r="AB2545" s="5"/>
      <c r="AC2545" s="5"/>
      <c r="AD2545" s="5"/>
      <c r="AE2545" s="5"/>
      <c r="AF2545" s="5"/>
      <c r="AG2545" s="5"/>
      <c r="AH2545" s="6"/>
      <c r="AI2545" s="92"/>
      <c r="AJ2545" s="93"/>
      <c r="AK2545" s="94"/>
      <c r="AL2545" s="95"/>
      <c r="AM2545" s="56"/>
      <c r="AN2545" s="57">
        <f t="shared" si="399"/>
        <v>0</v>
      </c>
      <c r="AO2545" s="76">
        <f t="shared" si="401"/>
        <v>0</v>
      </c>
      <c r="AP2545" s="63" t="str">
        <f t="shared" si="402"/>
        <v/>
      </c>
      <c r="AQ2545" s="63" t="str">
        <f t="shared" si="403"/>
        <v/>
      </c>
      <c r="AR2545" s="63" t="str">
        <f t="shared" si="404"/>
        <v/>
      </c>
      <c r="AS2545" s="63" t="str">
        <f t="shared" si="405"/>
        <v/>
      </c>
      <c r="AT2545" s="78" t="str">
        <f t="shared" si="406"/>
        <v/>
      </c>
      <c r="AU2545" s="78" t="str">
        <f t="shared" si="407"/>
        <v/>
      </c>
      <c r="AV2545" s="64" t="str">
        <f ca="1">IFERROR(__xludf.DUMMYFUNCTION("IF(TRIM(AU2545)="""","""",AU2545/INDEX(FILTER(AT$3:AT2545,TRIM(AT$3:AT2545)&lt;&gt;""""),ROWS(FILTER(AT$3:AT2545,TRIM(AT$3:AT2545)&lt;&gt;"""")))-1)"),"")</f>
        <v/>
      </c>
      <c r="AW2545" s="65" t="e">
        <f t="shared" ca="1" si="400"/>
        <v>#VALUE!</v>
      </c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</row>
    <row r="2546" spans="1:68" ht="19" x14ac:dyDescent="0.25">
      <c r="A2546" s="5"/>
      <c r="B2546" s="5"/>
      <c r="C2546" s="5"/>
      <c r="D2546" s="5"/>
      <c r="E2546" s="5"/>
      <c r="F2546" s="5"/>
      <c r="G2546" s="5"/>
      <c r="H2546" s="6"/>
      <c r="I2546" s="5"/>
      <c r="J2546" s="88"/>
      <c r="K2546" s="88"/>
      <c r="L2546" s="88"/>
      <c r="M2546" s="88"/>
      <c r="N2546" s="88"/>
      <c r="O2546" s="88"/>
      <c r="P2546" s="88"/>
      <c r="Q2546" s="89"/>
      <c r="R2546" s="88"/>
      <c r="S2546" s="88"/>
      <c r="T2546" s="90"/>
      <c r="U2546" s="6"/>
      <c r="V2546" s="92"/>
      <c r="W2546" s="77"/>
      <c r="X2546" s="91"/>
      <c r="Y2546" s="77"/>
      <c r="Z2546" s="5"/>
      <c r="AA2546" s="5"/>
      <c r="AB2546" s="5"/>
      <c r="AC2546" s="5"/>
      <c r="AD2546" s="5"/>
      <c r="AE2546" s="5"/>
      <c r="AF2546" s="5"/>
      <c r="AG2546" s="5"/>
      <c r="AH2546" s="6"/>
      <c r="AI2546" s="92"/>
      <c r="AJ2546" s="93"/>
      <c r="AK2546" s="94"/>
      <c r="AL2546" s="95"/>
      <c r="AM2546" s="56"/>
      <c r="AN2546" s="57">
        <f t="shared" si="399"/>
        <v>0</v>
      </c>
      <c r="AO2546" s="76">
        <f t="shared" si="401"/>
        <v>0</v>
      </c>
      <c r="AP2546" s="63" t="str">
        <f t="shared" si="402"/>
        <v/>
      </c>
      <c r="AQ2546" s="63" t="str">
        <f t="shared" si="403"/>
        <v/>
      </c>
      <c r="AR2546" s="63" t="str">
        <f t="shared" si="404"/>
        <v/>
      </c>
      <c r="AS2546" s="63" t="str">
        <f t="shared" si="405"/>
        <v/>
      </c>
      <c r="AT2546" s="78" t="str">
        <f t="shared" si="406"/>
        <v/>
      </c>
      <c r="AU2546" s="78" t="str">
        <f t="shared" si="407"/>
        <v/>
      </c>
      <c r="AV2546" s="64" t="str">
        <f ca="1">IFERROR(__xludf.DUMMYFUNCTION("IF(TRIM(AU2546)="""","""",AU2546/INDEX(FILTER(AT$3:AT2546,TRIM(AT$3:AT2546)&lt;&gt;""""),ROWS(FILTER(AT$3:AT2546,TRIM(AT$3:AT2546)&lt;&gt;"""")))-1)"),"")</f>
        <v/>
      </c>
      <c r="AW2546" s="65" t="e">
        <f t="shared" ca="1" si="400"/>
        <v>#VALUE!</v>
      </c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</row>
    <row r="2547" spans="1:68" ht="19" x14ac:dyDescent="0.25">
      <c r="A2547" s="5"/>
      <c r="B2547" s="5"/>
      <c r="C2547" s="5"/>
      <c r="D2547" s="5"/>
      <c r="E2547" s="5"/>
      <c r="F2547" s="5"/>
      <c r="G2547" s="5"/>
      <c r="H2547" s="6"/>
      <c r="I2547" s="5"/>
      <c r="J2547" s="88"/>
      <c r="K2547" s="88"/>
      <c r="L2547" s="88"/>
      <c r="M2547" s="88"/>
      <c r="N2547" s="88"/>
      <c r="O2547" s="88"/>
      <c r="P2547" s="88"/>
      <c r="Q2547" s="89"/>
      <c r="R2547" s="88"/>
      <c r="S2547" s="88"/>
      <c r="T2547" s="90"/>
      <c r="U2547" s="6"/>
      <c r="V2547" s="92"/>
      <c r="W2547" s="77"/>
      <c r="X2547" s="91"/>
      <c r="Y2547" s="77"/>
      <c r="Z2547" s="5"/>
      <c r="AA2547" s="5"/>
      <c r="AB2547" s="5"/>
      <c r="AC2547" s="5"/>
      <c r="AD2547" s="5"/>
      <c r="AE2547" s="5"/>
      <c r="AF2547" s="5"/>
      <c r="AG2547" s="5"/>
      <c r="AH2547" s="6"/>
      <c r="AI2547" s="92"/>
      <c r="AJ2547" s="93"/>
      <c r="AK2547" s="94"/>
      <c r="AL2547" s="95"/>
      <c r="AM2547" s="56"/>
      <c r="AN2547" s="57">
        <f t="shared" si="399"/>
        <v>0</v>
      </c>
      <c r="AO2547" s="76">
        <f t="shared" si="401"/>
        <v>0</v>
      </c>
      <c r="AP2547" s="63" t="str">
        <f t="shared" si="402"/>
        <v/>
      </c>
      <c r="AQ2547" s="63" t="str">
        <f t="shared" si="403"/>
        <v/>
      </c>
      <c r="AR2547" s="63" t="str">
        <f t="shared" si="404"/>
        <v/>
      </c>
      <c r="AS2547" s="63" t="str">
        <f t="shared" si="405"/>
        <v/>
      </c>
      <c r="AT2547" s="78" t="str">
        <f t="shared" si="406"/>
        <v/>
      </c>
      <c r="AU2547" s="78" t="str">
        <f t="shared" si="407"/>
        <v/>
      </c>
      <c r="AV2547" s="64" t="str">
        <f ca="1">IFERROR(__xludf.DUMMYFUNCTION("IF(TRIM(AU2547)="""","""",AU2547/INDEX(FILTER(AT$3:AT2547,TRIM(AT$3:AT2547)&lt;&gt;""""),ROWS(FILTER(AT$3:AT2547,TRIM(AT$3:AT2547)&lt;&gt;"""")))-1)"),"")</f>
        <v/>
      </c>
      <c r="AW2547" s="65" t="e">
        <f t="shared" ca="1" si="400"/>
        <v>#VALUE!</v>
      </c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</row>
    <row r="2548" spans="1:68" ht="19" x14ac:dyDescent="0.25">
      <c r="A2548" s="5"/>
      <c r="B2548" s="5"/>
      <c r="C2548" s="5"/>
      <c r="D2548" s="5"/>
      <c r="E2548" s="5"/>
      <c r="F2548" s="5"/>
      <c r="G2548" s="5"/>
      <c r="H2548" s="6"/>
      <c r="I2548" s="5"/>
      <c r="J2548" s="88"/>
      <c r="K2548" s="88"/>
      <c r="L2548" s="88"/>
      <c r="M2548" s="88"/>
      <c r="N2548" s="88"/>
      <c r="O2548" s="88"/>
      <c r="P2548" s="88"/>
      <c r="Q2548" s="89"/>
      <c r="R2548" s="88"/>
      <c r="S2548" s="88"/>
      <c r="T2548" s="90"/>
      <c r="U2548" s="6"/>
      <c r="V2548" s="92"/>
      <c r="W2548" s="77"/>
      <c r="X2548" s="91"/>
      <c r="Y2548" s="77"/>
      <c r="Z2548" s="5"/>
      <c r="AA2548" s="5"/>
      <c r="AB2548" s="5"/>
      <c r="AC2548" s="5"/>
      <c r="AD2548" s="5"/>
      <c r="AE2548" s="5"/>
      <c r="AF2548" s="5"/>
      <c r="AG2548" s="5"/>
      <c r="AH2548" s="6"/>
      <c r="AI2548" s="92"/>
      <c r="AJ2548" s="93"/>
      <c r="AK2548" s="94"/>
      <c r="AL2548" s="95"/>
      <c r="AM2548" s="56"/>
      <c r="AN2548" s="57">
        <f t="shared" si="399"/>
        <v>0</v>
      </c>
      <c r="AO2548" s="76">
        <f t="shared" si="401"/>
        <v>0</v>
      </c>
      <c r="AP2548" s="63" t="str">
        <f t="shared" si="402"/>
        <v/>
      </c>
      <c r="AQ2548" s="63" t="str">
        <f t="shared" si="403"/>
        <v/>
      </c>
      <c r="AR2548" s="63" t="str">
        <f t="shared" si="404"/>
        <v/>
      </c>
      <c r="AS2548" s="63" t="str">
        <f t="shared" si="405"/>
        <v/>
      </c>
      <c r="AT2548" s="78" t="str">
        <f t="shared" si="406"/>
        <v/>
      </c>
      <c r="AU2548" s="78" t="str">
        <f t="shared" si="407"/>
        <v/>
      </c>
      <c r="AV2548" s="64" t="str">
        <f ca="1">IFERROR(__xludf.DUMMYFUNCTION("IF(TRIM(AU2548)="""","""",AU2548/INDEX(FILTER(AT$3:AT2548,TRIM(AT$3:AT2548)&lt;&gt;""""),ROWS(FILTER(AT$3:AT2548,TRIM(AT$3:AT2548)&lt;&gt;"""")))-1)"),"")</f>
        <v/>
      </c>
      <c r="AW2548" s="65" t="e">
        <f t="shared" ca="1" si="400"/>
        <v>#VALUE!</v>
      </c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</row>
    <row r="2549" spans="1:68" ht="19" x14ac:dyDescent="0.25">
      <c r="A2549" s="5"/>
      <c r="B2549" s="5"/>
      <c r="C2549" s="5"/>
      <c r="D2549" s="5"/>
      <c r="E2549" s="5"/>
      <c r="F2549" s="5"/>
      <c r="G2549" s="5"/>
      <c r="H2549" s="6"/>
      <c r="I2549" s="5"/>
      <c r="J2549" s="88"/>
      <c r="K2549" s="88"/>
      <c r="L2549" s="88"/>
      <c r="M2549" s="88"/>
      <c r="N2549" s="88"/>
      <c r="O2549" s="88"/>
      <c r="P2549" s="88"/>
      <c r="Q2549" s="89"/>
      <c r="R2549" s="88"/>
      <c r="S2549" s="88"/>
      <c r="T2549" s="90"/>
      <c r="U2549" s="6"/>
      <c r="V2549" s="92"/>
      <c r="W2549" s="77"/>
      <c r="X2549" s="91"/>
      <c r="Y2549" s="77"/>
      <c r="Z2549" s="5"/>
      <c r="AA2549" s="5"/>
      <c r="AB2549" s="5"/>
      <c r="AC2549" s="5"/>
      <c r="AD2549" s="5"/>
      <c r="AE2549" s="5"/>
      <c r="AF2549" s="5"/>
      <c r="AG2549" s="5"/>
      <c r="AH2549" s="6"/>
      <c r="AI2549" s="92"/>
      <c r="AJ2549" s="93"/>
      <c r="AK2549" s="94"/>
      <c r="AL2549" s="95"/>
      <c r="AM2549" s="56"/>
      <c r="AN2549" s="57">
        <f t="shared" si="399"/>
        <v>0</v>
      </c>
      <c r="AO2549" s="76">
        <f t="shared" si="401"/>
        <v>0</v>
      </c>
      <c r="AP2549" s="63" t="str">
        <f t="shared" si="402"/>
        <v/>
      </c>
      <c r="AQ2549" s="63" t="str">
        <f t="shared" si="403"/>
        <v/>
      </c>
      <c r="AR2549" s="63" t="str">
        <f t="shared" si="404"/>
        <v/>
      </c>
      <c r="AS2549" s="63" t="str">
        <f t="shared" si="405"/>
        <v/>
      </c>
      <c r="AT2549" s="78" t="str">
        <f t="shared" si="406"/>
        <v/>
      </c>
      <c r="AU2549" s="78" t="str">
        <f t="shared" si="407"/>
        <v/>
      </c>
      <c r="AV2549" s="64" t="str">
        <f ca="1">IFERROR(__xludf.DUMMYFUNCTION("IF(TRIM(AU2549)="""","""",AU2549/INDEX(FILTER(AT$3:AT2549,TRIM(AT$3:AT2549)&lt;&gt;""""),ROWS(FILTER(AT$3:AT2549,TRIM(AT$3:AT2549)&lt;&gt;"""")))-1)"),"")</f>
        <v/>
      </c>
      <c r="AW2549" s="65" t="e">
        <f t="shared" ca="1" si="400"/>
        <v>#VALUE!</v>
      </c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</row>
    <row r="2550" spans="1:68" ht="19" x14ac:dyDescent="0.25">
      <c r="A2550" s="5"/>
      <c r="B2550" s="5"/>
      <c r="C2550" s="5"/>
      <c r="D2550" s="5"/>
      <c r="E2550" s="5"/>
      <c r="F2550" s="5"/>
      <c r="G2550" s="5"/>
      <c r="H2550" s="6"/>
      <c r="I2550" s="5"/>
      <c r="J2550" s="88"/>
      <c r="K2550" s="88"/>
      <c r="L2550" s="88"/>
      <c r="M2550" s="88"/>
      <c r="N2550" s="88"/>
      <c r="O2550" s="88"/>
      <c r="P2550" s="88"/>
      <c r="Q2550" s="89"/>
      <c r="R2550" s="88"/>
      <c r="S2550" s="88"/>
      <c r="T2550" s="90"/>
      <c r="U2550" s="6"/>
      <c r="V2550" s="92"/>
      <c r="W2550" s="77"/>
      <c r="X2550" s="91"/>
      <c r="Y2550" s="77"/>
      <c r="Z2550" s="5"/>
      <c r="AA2550" s="5"/>
      <c r="AB2550" s="5"/>
      <c r="AC2550" s="5"/>
      <c r="AD2550" s="5"/>
      <c r="AE2550" s="5"/>
      <c r="AF2550" s="5"/>
      <c r="AG2550" s="5"/>
      <c r="AH2550" s="6"/>
      <c r="AI2550" s="92"/>
      <c r="AJ2550" s="93"/>
      <c r="AK2550" s="94"/>
      <c r="AL2550" s="95"/>
      <c r="AM2550" s="56"/>
      <c r="AN2550" s="57">
        <f t="shared" si="399"/>
        <v>0</v>
      </c>
      <c r="AO2550" s="76">
        <f t="shared" si="401"/>
        <v>0</v>
      </c>
      <c r="AP2550" s="63" t="str">
        <f t="shared" si="402"/>
        <v/>
      </c>
      <c r="AQ2550" s="63" t="str">
        <f t="shared" si="403"/>
        <v/>
      </c>
      <c r="AR2550" s="63" t="str">
        <f t="shared" si="404"/>
        <v/>
      </c>
      <c r="AS2550" s="63" t="str">
        <f t="shared" si="405"/>
        <v/>
      </c>
      <c r="AT2550" s="78" t="str">
        <f t="shared" si="406"/>
        <v/>
      </c>
      <c r="AU2550" s="78" t="str">
        <f t="shared" si="407"/>
        <v/>
      </c>
      <c r="AV2550" s="64" t="str">
        <f ca="1">IFERROR(__xludf.DUMMYFUNCTION("IF(TRIM(AU2550)="""","""",AU2550/INDEX(FILTER(AT$3:AT2550,TRIM(AT$3:AT2550)&lt;&gt;""""),ROWS(FILTER(AT$3:AT2550,TRIM(AT$3:AT2550)&lt;&gt;"""")))-1)"),"")</f>
        <v/>
      </c>
      <c r="AW2550" s="65" t="e">
        <f t="shared" ca="1" si="400"/>
        <v>#VALUE!</v>
      </c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</row>
    <row r="2551" spans="1:68" ht="19" x14ac:dyDescent="0.25">
      <c r="A2551" s="5"/>
      <c r="B2551" s="5"/>
      <c r="C2551" s="5"/>
      <c r="D2551" s="5"/>
      <c r="E2551" s="5"/>
      <c r="F2551" s="5"/>
      <c r="G2551" s="5"/>
      <c r="H2551" s="6"/>
      <c r="I2551" s="5"/>
      <c r="J2551" s="88"/>
      <c r="K2551" s="88"/>
      <c r="L2551" s="88"/>
      <c r="M2551" s="88"/>
      <c r="N2551" s="88"/>
      <c r="O2551" s="88"/>
      <c r="P2551" s="88"/>
      <c r="Q2551" s="89"/>
      <c r="R2551" s="88"/>
      <c r="S2551" s="88"/>
      <c r="T2551" s="90"/>
      <c r="U2551" s="6"/>
      <c r="V2551" s="92"/>
      <c r="W2551" s="77"/>
      <c r="X2551" s="91"/>
      <c r="Y2551" s="77"/>
      <c r="Z2551" s="5"/>
      <c r="AA2551" s="5"/>
      <c r="AB2551" s="5"/>
      <c r="AC2551" s="5"/>
      <c r="AD2551" s="5"/>
      <c r="AE2551" s="5"/>
      <c r="AF2551" s="5"/>
      <c r="AG2551" s="5"/>
      <c r="AH2551" s="6"/>
      <c r="AI2551" s="92"/>
      <c r="AJ2551" s="93"/>
      <c r="AK2551" s="94"/>
      <c r="AL2551" s="95"/>
      <c r="AM2551" s="56"/>
      <c r="AN2551" s="57">
        <f t="shared" si="399"/>
        <v>0</v>
      </c>
      <c r="AO2551" s="76">
        <f t="shared" si="401"/>
        <v>0</v>
      </c>
      <c r="AP2551" s="63" t="str">
        <f t="shared" si="402"/>
        <v/>
      </c>
      <c r="AQ2551" s="63" t="str">
        <f t="shared" si="403"/>
        <v/>
      </c>
      <c r="AR2551" s="63" t="str">
        <f t="shared" si="404"/>
        <v/>
      </c>
      <c r="AS2551" s="63" t="str">
        <f t="shared" si="405"/>
        <v/>
      </c>
      <c r="AT2551" s="78" t="str">
        <f t="shared" si="406"/>
        <v/>
      </c>
      <c r="AU2551" s="78" t="str">
        <f t="shared" si="407"/>
        <v/>
      </c>
      <c r="AV2551" s="64" t="str">
        <f ca="1">IFERROR(__xludf.DUMMYFUNCTION("IF(TRIM(AU2551)="""","""",AU2551/INDEX(FILTER(AT$3:AT2551,TRIM(AT$3:AT2551)&lt;&gt;""""),ROWS(FILTER(AT$3:AT2551,TRIM(AT$3:AT2551)&lt;&gt;"""")))-1)"),"")</f>
        <v/>
      </c>
      <c r="AW2551" s="65" t="e">
        <f t="shared" ca="1" si="400"/>
        <v>#VALUE!</v>
      </c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</row>
    <row r="2552" spans="1:68" ht="19" x14ac:dyDescent="0.25">
      <c r="A2552" s="5"/>
      <c r="B2552" s="5"/>
      <c r="C2552" s="5"/>
      <c r="D2552" s="5"/>
      <c r="E2552" s="5"/>
      <c r="F2552" s="5"/>
      <c r="G2552" s="5"/>
      <c r="H2552" s="6"/>
      <c r="I2552" s="5"/>
      <c r="J2552" s="88"/>
      <c r="K2552" s="88"/>
      <c r="L2552" s="88"/>
      <c r="M2552" s="88"/>
      <c r="N2552" s="88"/>
      <c r="O2552" s="88"/>
      <c r="P2552" s="88"/>
      <c r="Q2552" s="89"/>
      <c r="R2552" s="88"/>
      <c r="S2552" s="88"/>
      <c r="T2552" s="90"/>
      <c r="U2552" s="6"/>
      <c r="V2552" s="92"/>
      <c r="W2552" s="77"/>
      <c r="X2552" s="91"/>
      <c r="Y2552" s="77"/>
      <c r="Z2552" s="5"/>
      <c r="AA2552" s="5"/>
      <c r="AB2552" s="5"/>
      <c r="AC2552" s="5"/>
      <c r="AD2552" s="5"/>
      <c r="AE2552" s="5"/>
      <c r="AF2552" s="5"/>
      <c r="AG2552" s="5"/>
      <c r="AH2552" s="6"/>
      <c r="AI2552" s="92"/>
      <c r="AJ2552" s="93"/>
      <c r="AK2552" s="94"/>
      <c r="AL2552" s="95"/>
      <c r="AM2552" s="56"/>
      <c r="AN2552" s="57">
        <f t="shared" si="399"/>
        <v>0</v>
      </c>
      <c r="AO2552" s="76">
        <f t="shared" si="401"/>
        <v>0</v>
      </c>
      <c r="AP2552" s="63" t="str">
        <f t="shared" si="402"/>
        <v/>
      </c>
      <c r="AQ2552" s="63" t="str">
        <f t="shared" si="403"/>
        <v/>
      </c>
      <c r="AR2552" s="63" t="str">
        <f t="shared" si="404"/>
        <v/>
      </c>
      <c r="AS2552" s="63" t="str">
        <f t="shared" si="405"/>
        <v/>
      </c>
      <c r="AT2552" s="78" t="str">
        <f t="shared" si="406"/>
        <v/>
      </c>
      <c r="AU2552" s="78" t="str">
        <f t="shared" si="407"/>
        <v/>
      </c>
      <c r="AV2552" s="64" t="str">
        <f ca="1">IFERROR(__xludf.DUMMYFUNCTION("IF(TRIM(AU2552)="""","""",AU2552/INDEX(FILTER(AT$3:AT2552,TRIM(AT$3:AT2552)&lt;&gt;""""),ROWS(FILTER(AT$3:AT2552,TRIM(AT$3:AT2552)&lt;&gt;"""")))-1)"),"")</f>
        <v/>
      </c>
      <c r="AW2552" s="65" t="e">
        <f t="shared" ca="1" si="400"/>
        <v>#VALUE!</v>
      </c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</row>
    <row r="2553" spans="1:68" ht="19" x14ac:dyDescent="0.25">
      <c r="A2553" s="5"/>
      <c r="B2553" s="5"/>
      <c r="C2553" s="5"/>
      <c r="D2553" s="5"/>
      <c r="E2553" s="5"/>
      <c r="F2553" s="5"/>
      <c r="G2553" s="5"/>
      <c r="H2553" s="6"/>
      <c r="I2553" s="5"/>
      <c r="J2553" s="88"/>
      <c r="K2553" s="88"/>
      <c r="L2553" s="88"/>
      <c r="M2553" s="88"/>
      <c r="N2553" s="88"/>
      <c r="O2553" s="88"/>
      <c r="P2553" s="88"/>
      <c r="Q2553" s="89"/>
      <c r="R2553" s="88"/>
      <c r="S2553" s="88"/>
      <c r="T2553" s="90"/>
      <c r="U2553" s="6"/>
      <c r="V2553" s="92"/>
      <c r="W2553" s="77"/>
      <c r="X2553" s="91"/>
      <c r="Y2553" s="77"/>
      <c r="Z2553" s="5"/>
      <c r="AA2553" s="5"/>
      <c r="AB2553" s="5"/>
      <c r="AC2553" s="5"/>
      <c r="AD2553" s="5"/>
      <c r="AE2553" s="5"/>
      <c r="AF2553" s="5"/>
      <c r="AG2553" s="5"/>
      <c r="AH2553" s="6"/>
      <c r="AI2553" s="92"/>
      <c r="AJ2553" s="93"/>
      <c r="AK2553" s="94"/>
      <c r="AL2553" s="95"/>
      <c r="AM2553" s="56"/>
      <c r="AN2553" s="57">
        <f t="shared" si="399"/>
        <v>0</v>
      </c>
      <c r="AO2553" s="76">
        <f t="shared" si="401"/>
        <v>0</v>
      </c>
      <c r="AP2553" s="63" t="str">
        <f t="shared" si="402"/>
        <v/>
      </c>
      <c r="AQ2553" s="63" t="str">
        <f t="shared" si="403"/>
        <v/>
      </c>
      <c r="AR2553" s="63" t="str">
        <f t="shared" si="404"/>
        <v/>
      </c>
      <c r="AS2553" s="63" t="str">
        <f t="shared" si="405"/>
        <v/>
      </c>
      <c r="AT2553" s="78" t="str">
        <f t="shared" si="406"/>
        <v/>
      </c>
      <c r="AU2553" s="78" t="str">
        <f t="shared" si="407"/>
        <v/>
      </c>
      <c r="AV2553" s="64" t="str">
        <f ca="1">IFERROR(__xludf.DUMMYFUNCTION("IF(TRIM(AU2553)="""","""",AU2553/INDEX(FILTER(AT$3:AT2553,TRIM(AT$3:AT2553)&lt;&gt;""""),ROWS(FILTER(AT$3:AT2553,TRIM(AT$3:AT2553)&lt;&gt;"""")))-1)"),"")</f>
        <v/>
      </c>
      <c r="AW2553" s="65" t="e">
        <f t="shared" ca="1" si="400"/>
        <v>#VALUE!</v>
      </c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</row>
    <row r="2554" spans="1:68" ht="19" x14ac:dyDescent="0.25">
      <c r="A2554" s="5"/>
      <c r="B2554" s="5"/>
      <c r="C2554" s="5"/>
      <c r="D2554" s="5"/>
      <c r="E2554" s="5"/>
      <c r="F2554" s="5"/>
      <c r="G2554" s="5"/>
      <c r="H2554" s="6"/>
      <c r="I2554" s="5"/>
      <c r="J2554" s="88"/>
      <c r="K2554" s="88"/>
      <c r="L2554" s="88"/>
      <c r="M2554" s="88"/>
      <c r="N2554" s="88"/>
      <c r="O2554" s="88"/>
      <c r="P2554" s="88"/>
      <c r="Q2554" s="89"/>
      <c r="R2554" s="88"/>
      <c r="S2554" s="88"/>
      <c r="T2554" s="90"/>
      <c r="U2554" s="6"/>
      <c r="V2554" s="92"/>
      <c r="W2554" s="77"/>
      <c r="X2554" s="91"/>
      <c r="Y2554" s="77"/>
      <c r="Z2554" s="5"/>
      <c r="AA2554" s="5"/>
      <c r="AB2554" s="5"/>
      <c r="AC2554" s="5"/>
      <c r="AD2554" s="5"/>
      <c r="AE2554" s="5"/>
      <c r="AF2554" s="5"/>
      <c r="AG2554" s="5"/>
      <c r="AH2554" s="6"/>
      <c r="AI2554" s="92"/>
      <c r="AJ2554" s="93"/>
      <c r="AK2554" s="94"/>
      <c r="AL2554" s="95"/>
      <c r="AM2554" s="56"/>
      <c r="AN2554" s="57">
        <f t="shared" si="399"/>
        <v>0</v>
      </c>
      <c r="AO2554" s="76">
        <f t="shared" si="401"/>
        <v>0</v>
      </c>
      <c r="AP2554" s="63" t="str">
        <f t="shared" si="402"/>
        <v/>
      </c>
      <c r="AQ2554" s="63" t="str">
        <f t="shared" si="403"/>
        <v/>
      </c>
      <c r="AR2554" s="63" t="str">
        <f t="shared" si="404"/>
        <v/>
      </c>
      <c r="AS2554" s="63" t="str">
        <f t="shared" si="405"/>
        <v/>
      </c>
      <c r="AT2554" s="78" t="str">
        <f t="shared" si="406"/>
        <v/>
      </c>
      <c r="AU2554" s="78" t="str">
        <f t="shared" si="407"/>
        <v/>
      </c>
      <c r="AV2554" s="64" t="str">
        <f ca="1">IFERROR(__xludf.DUMMYFUNCTION("IF(TRIM(AU2554)="""","""",AU2554/INDEX(FILTER(AT$3:AT2554,TRIM(AT$3:AT2554)&lt;&gt;""""),ROWS(FILTER(AT$3:AT2554,TRIM(AT$3:AT2554)&lt;&gt;"""")))-1)"),"")</f>
        <v/>
      </c>
      <c r="AW2554" s="65" t="e">
        <f t="shared" ca="1" si="400"/>
        <v>#VALUE!</v>
      </c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</row>
    <row r="2555" spans="1:68" ht="19" x14ac:dyDescent="0.25">
      <c r="A2555" s="5"/>
      <c r="B2555" s="5"/>
      <c r="C2555" s="5"/>
      <c r="D2555" s="5"/>
      <c r="E2555" s="5"/>
      <c r="F2555" s="5"/>
      <c r="G2555" s="5"/>
      <c r="H2555" s="6"/>
      <c r="I2555" s="5"/>
      <c r="J2555" s="88"/>
      <c r="K2555" s="88"/>
      <c r="L2555" s="88"/>
      <c r="M2555" s="88"/>
      <c r="N2555" s="88"/>
      <c r="O2555" s="88"/>
      <c r="P2555" s="88"/>
      <c r="Q2555" s="89"/>
      <c r="R2555" s="88"/>
      <c r="S2555" s="88"/>
      <c r="T2555" s="90"/>
      <c r="U2555" s="6"/>
      <c r="V2555" s="92"/>
      <c r="W2555" s="77"/>
      <c r="X2555" s="91"/>
      <c r="Y2555" s="77"/>
      <c r="Z2555" s="5"/>
      <c r="AA2555" s="5"/>
      <c r="AB2555" s="5"/>
      <c r="AC2555" s="5"/>
      <c r="AD2555" s="5"/>
      <c r="AE2555" s="5"/>
      <c r="AF2555" s="5"/>
      <c r="AG2555" s="5"/>
      <c r="AH2555" s="6"/>
      <c r="AI2555" s="92"/>
      <c r="AJ2555" s="93"/>
      <c r="AK2555" s="94"/>
      <c r="AL2555" s="95"/>
      <c r="AM2555" s="56"/>
      <c r="AN2555" s="57">
        <f t="shared" si="399"/>
        <v>0</v>
      </c>
      <c r="AO2555" s="76">
        <f t="shared" si="401"/>
        <v>0</v>
      </c>
      <c r="AP2555" s="63" t="str">
        <f t="shared" si="402"/>
        <v/>
      </c>
      <c r="AQ2555" s="63" t="str">
        <f t="shared" si="403"/>
        <v/>
      </c>
      <c r="AR2555" s="63" t="str">
        <f t="shared" si="404"/>
        <v/>
      </c>
      <c r="AS2555" s="63" t="str">
        <f t="shared" si="405"/>
        <v/>
      </c>
      <c r="AT2555" s="78" t="str">
        <f t="shared" si="406"/>
        <v/>
      </c>
      <c r="AU2555" s="78" t="str">
        <f t="shared" si="407"/>
        <v/>
      </c>
      <c r="AV2555" s="64" t="str">
        <f ca="1">IFERROR(__xludf.DUMMYFUNCTION("IF(TRIM(AU2555)="""","""",AU2555/INDEX(FILTER(AT$3:AT2555,TRIM(AT$3:AT2555)&lt;&gt;""""),ROWS(FILTER(AT$3:AT2555,TRIM(AT$3:AT2555)&lt;&gt;"""")))-1)"),"")</f>
        <v/>
      </c>
      <c r="AW2555" s="65" t="e">
        <f t="shared" ca="1" si="400"/>
        <v>#VALUE!</v>
      </c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</row>
    <row r="2556" spans="1:68" ht="19" x14ac:dyDescent="0.25">
      <c r="A2556" s="5"/>
      <c r="B2556" s="5"/>
      <c r="C2556" s="5"/>
      <c r="D2556" s="5"/>
      <c r="E2556" s="5"/>
      <c r="F2556" s="5"/>
      <c r="G2556" s="5"/>
      <c r="H2556" s="6"/>
      <c r="I2556" s="5"/>
      <c r="J2556" s="88"/>
      <c r="K2556" s="88"/>
      <c r="L2556" s="88"/>
      <c r="M2556" s="88"/>
      <c r="N2556" s="88"/>
      <c r="O2556" s="88"/>
      <c r="P2556" s="88"/>
      <c r="Q2556" s="89"/>
      <c r="R2556" s="88"/>
      <c r="S2556" s="88"/>
      <c r="T2556" s="90"/>
      <c r="U2556" s="6"/>
      <c r="V2556" s="92"/>
      <c r="W2556" s="77"/>
      <c r="X2556" s="91"/>
      <c r="Y2556" s="77"/>
      <c r="Z2556" s="5"/>
      <c r="AA2556" s="5"/>
      <c r="AB2556" s="5"/>
      <c r="AC2556" s="5"/>
      <c r="AD2556" s="5"/>
      <c r="AE2556" s="5"/>
      <c r="AF2556" s="5"/>
      <c r="AG2556" s="5"/>
      <c r="AH2556" s="6"/>
      <c r="AI2556" s="92"/>
      <c r="AJ2556" s="93"/>
      <c r="AK2556" s="94"/>
      <c r="AL2556" s="95"/>
      <c r="AM2556" s="56"/>
      <c r="AN2556" s="57">
        <f t="shared" si="399"/>
        <v>0</v>
      </c>
      <c r="AO2556" s="76">
        <f t="shared" si="401"/>
        <v>0</v>
      </c>
      <c r="AP2556" s="63" t="str">
        <f t="shared" si="402"/>
        <v/>
      </c>
      <c r="AQ2556" s="63" t="str">
        <f t="shared" si="403"/>
        <v/>
      </c>
      <c r="AR2556" s="63" t="str">
        <f t="shared" si="404"/>
        <v/>
      </c>
      <c r="AS2556" s="63" t="str">
        <f t="shared" si="405"/>
        <v/>
      </c>
      <c r="AT2556" s="78" t="str">
        <f t="shared" si="406"/>
        <v/>
      </c>
      <c r="AU2556" s="78" t="str">
        <f t="shared" si="407"/>
        <v/>
      </c>
      <c r="AV2556" s="64" t="str">
        <f ca="1">IFERROR(__xludf.DUMMYFUNCTION("IF(TRIM(AU2556)="""","""",AU2556/INDEX(FILTER(AT$3:AT2556,TRIM(AT$3:AT2556)&lt;&gt;""""),ROWS(FILTER(AT$3:AT2556,TRIM(AT$3:AT2556)&lt;&gt;"""")))-1)"),"")</f>
        <v/>
      </c>
      <c r="AW2556" s="65" t="e">
        <f t="shared" ca="1" si="400"/>
        <v>#VALUE!</v>
      </c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</row>
    <row r="2557" spans="1:68" ht="19" x14ac:dyDescent="0.25">
      <c r="A2557" s="5"/>
      <c r="B2557" s="5"/>
      <c r="C2557" s="5"/>
      <c r="D2557" s="5"/>
      <c r="E2557" s="5"/>
      <c r="F2557" s="5"/>
      <c r="G2557" s="5"/>
      <c r="H2557" s="6"/>
      <c r="I2557" s="5"/>
      <c r="J2557" s="88"/>
      <c r="K2557" s="88"/>
      <c r="L2557" s="88"/>
      <c r="M2557" s="88"/>
      <c r="N2557" s="88"/>
      <c r="O2557" s="88"/>
      <c r="P2557" s="88"/>
      <c r="Q2557" s="89"/>
      <c r="R2557" s="88"/>
      <c r="S2557" s="88"/>
      <c r="T2557" s="90"/>
      <c r="U2557" s="6"/>
      <c r="V2557" s="92"/>
      <c r="W2557" s="77"/>
      <c r="X2557" s="91"/>
      <c r="Y2557" s="77"/>
      <c r="Z2557" s="5"/>
      <c r="AA2557" s="5"/>
      <c r="AB2557" s="5"/>
      <c r="AC2557" s="5"/>
      <c r="AD2557" s="5"/>
      <c r="AE2557" s="5"/>
      <c r="AF2557" s="5"/>
      <c r="AG2557" s="5"/>
      <c r="AH2557" s="6"/>
      <c r="AI2557" s="92"/>
      <c r="AJ2557" s="93"/>
      <c r="AK2557" s="94"/>
      <c r="AL2557" s="95"/>
      <c r="AM2557" s="56"/>
      <c r="AN2557" s="57">
        <f t="shared" si="399"/>
        <v>0</v>
      </c>
      <c r="AO2557" s="76">
        <f t="shared" si="401"/>
        <v>0</v>
      </c>
      <c r="AP2557" s="63" t="str">
        <f t="shared" si="402"/>
        <v/>
      </c>
      <c r="AQ2557" s="63" t="str">
        <f t="shared" si="403"/>
        <v/>
      </c>
      <c r="AR2557" s="63" t="str">
        <f t="shared" si="404"/>
        <v/>
      </c>
      <c r="AS2557" s="63" t="str">
        <f t="shared" si="405"/>
        <v/>
      </c>
      <c r="AT2557" s="78" t="str">
        <f t="shared" si="406"/>
        <v/>
      </c>
      <c r="AU2557" s="78" t="str">
        <f t="shared" si="407"/>
        <v/>
      </c>
      <c r="AV2557" s="64" t="str">
        <f ca="1">IFERROR(__xludf.DUMMYFUNCTION("IF(TRIM(AU2557)="""","""",AU2557/INDEX(FILTER(AT$3:AT2557,TRIM(AT$3:AT2557)&lt;&gt;""""),ROWS(FILTER(AT$3:AT2557,TRIM(AT$3:AT2557)&lt;&gt;"""")))-1)"),"")</f>
        <v/>
      </c>
      <c r="AW2557" s="65" t="e">
        <f t="shared" ca="1" si="400"/>
        <v>#VALUE!</v>
      </c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</row>
    <row r="2558" spans="1:68" ht="19" x14ac:dyDescent="0.25">
      <c r="A2558" s="5"/>
      <c r="B2558" s="5"/>
      <c r="C2558" s="5"/>
      <c r="D2558" s="5"/>
      <c r="E2558" s="5"/>
      <c r="F2558" s="5"/>
      <c r="G2558" s="5"/>
      <c r="H2558" s="6"/>
      <c r="I2558" s="5"/>
      <c r="J2558" s="88"/>
      <c r="K2558" s="88"/>
      <c r="L2558" s="88"/>
      <c r="M2558" s="88"/>
      <c r="N2558" s="88"/>
      <c r="O2558" s="88"/>
      <c r="P2558" s="88"/>
      <c r="Q2558" s="89"/>
      <c r="R2558" s="88"/>
      <c r="S2558" s="88"/>
      <c r="T2558" s="90"/>
      <c r="U2558" s="6"/>
      <c r="V2558" s="92"/>
      <c r="W2558" s="77"/>
      <c r="X2558" s="91"/>
      <c r="Y2558" s="77"/>
      <c r="Z2558" s="5"/>
      <c r="AA2558" s="5"/>
      <c r="AB2558" s="5"/>
      <c r="AC2558" s="5"/>
      <c r="AD2558" s="5"/>
      <c r="AE2558" s="5"/>
      <c r="AF2558" s="5"/>
      <c r="AG2558" s="5"/>
      <c r="AH2558" s="6"/>
      <c r="AI2558" s="92"/>
      <c r="AJ2558" s="93"/>
      <c r="AK2558" s="94"/>
      <c r="AL2558" s="95"/>
      <c r="AM2558" s="56"/>
      <c r="AN2558" s="57">
        <f t="shared" si="399"/>
        <v>0</v>
      </c>
      <c r="AO2558" s="76">
        <f t="shared" si="401"/>
        <v>0</v>
      </c>
      <c r="AP2558" s="63" t="str">
        <f t="shared" si="402"/>
        <v/>
      </c>
      <c r="AQ2558" s="63" t="str">
        <f t="shared" si="403"/>
        <v/>
      </c>
      <c r="AR2558" s="63" t="str">
        <f t="shared" si="404"/>
        <v/>
      </c>
      <c r="AS2558" s="63" t="str">
        <f t="shared" si="405"/>
        <v/>
      </c>
      <c r="AT2558" s="78" t="str">
        <f t="shared" si="406"/>
        <v/>
      </c>
      <c r="AU2558" s="78" t="str">
        <f t="shared" si="407"/>
        <v/>
      </c>
      <c r="AV2558" s="64" t="str">
        <f ca="1">IFERROR(__xludf.DUMMYFUNCTION("IF(TRIM(AU2558)="""","""",AU2558/INDEX(FILTER(AT$3:AT2558,TRIM(AT$3:AT2558)&lt;&gt;""""),ROWS(FILTER(AT$3:AT2558,TRIM(AT$3:AT2558)&lt;&gt;"""")))-1)"),"")</f>
        <v/>
      </c>
      <c r="AW2558" s="65" t="e">
        <f t="shared" ca="1" si="400"/>
        <v>#VALUE!</v>
      </c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</row>
    <row r="2559" spans="1:68" ht="19" x14ac:dyDescent="0.25">
      <c r="A2559" s="5"/>
      <c r="B2559" s="5"/>
      <c r="C2559" s="5"/>
      <c r="D2559" s="5"/>
      <c r="E2559" s="5"/>
      <c r="F2559" s="5"/>
      <c r="G2559" s="5"/>
      <c r="H2559" s="6"/>
      <c r="I2559" s="5"/>
      <c r="J2559" s="88"/>
      <c r="K2559" s="88"/>
      <c r="L2559" s="88"/>
      <c r="M2559" s="88"/>
      <c r="N2559" s="88"/>
      <c r="O2559" s="88"/>
      <c r="P2559" s="88"/>
      <c r="Q2559" s="89"/>
      <c r="R2559" s="88"/>
      <c r="S2559" s="88"/>
      <c r="T2559" s="90"/>
      <c r="U2559" s="6"/>
      <c r="V2559" s="92"/>
      <c r="W2559" s="77"/>
      <c r="X2559" s="91"/>
      <c r="Y2559" s="77"/>
      <c r="Z2559" s="5"/>
      <c r="AA2559" s="5"/>
      <c r="AB2559" s="5"/>
      <c r="AC2559" s="5"/>
      <c r="AD2559" s="5"/>
      <c r="AE2559" s="5"/>
      <c r="AF2559" s="5"/>
      <c r="AG2559" s="5"/>
      <c r="AH2559" s="6"/>
      <c r="AI2559" s="92"/>
      <c r="AJ2559" s="93"/>
      <c r="AK2559" s="94"/>
      <c r="AL2559" s="95"/>
      <c r="AM2559" s="56"/>
      <c r="AN2559" s="57">
        <f t="shared" si="399"/>
        <v>0</v>
      </c>
      <c r="AO2559" s="76">
        <f t="shared" si="401"/>
        <v>0</v>
      </c>
      <c r="AP2559" s="63" t="str">
        <f t="shared" si="402"/>
        <v/>
      </c>
      <c r="AQ2559" s="63" t="str">
        <f t="shared" si="403"/>
        <v/>
      </c>
      <c r="AR2559" s="63" t="str">
        <f t="shared" si="404"/>
        <v/>
      </c>
      <c r="AS2559" s="63" t="str">
        <f t="shared" si="405"/>
        <v/>
      </c>
      <c r="AT2559" s="78" t="str">
        <f t="shared" si="406"/>
        <v/>
      </c>
      <c r="AU2559" s="78" t="str">
        <f t="shared" si="407"/>
        <v/>
      </c>
      <c r="AV2559" s="64" t="str">
        <f ca="1">IFERROR(__xludf.DUMMYFUNCTION("IF(TRIM(AU2559)="""","""",AU2559/INDEX(FILTER(AT$3:AT2559,TRIM(AT$3:AT2559)&lt;&gt;""""),ROWS(FILTER(AT$3:AT2559,TRIM(AT$3:AT2559)&lt;&gt;"""")))-1)"),"")</f>
        <v/>
      </c>
      <c r="AW2559" s="65" t="e">
        <f t="shared" ca="1" si="400"/>
        <v>#VALUE!</v>
      </c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</row>
    <row r="2560" spans="1:68" ht="19" x14ac:dyDescent="0.25">
      <c r="A2560" s="5"/>
      <c r="B2560" s="5"/>
      <c r="C2560" s="5"/>
      <c r="D2560" s="5"/>
      <c r="E2560" s="5"/>
      <c r="F2560" s="5"/>
      <c r="G2560" s="5"/>
      <c r="H2560" s="6"/>
      <c r="I2560" s="5"/>
      <c r="J2560" s="88"/>
      <c r="K2560" s="88"/>
      <c r="L2560" s="88"/>
      <c r="M2560" s="88"/>
      <c r="N2560" s="88"/>
      <c r="O2560" s="88"/>
      <c r="P2560" s="88"/>
      <c r="Q2560" s="89"/>
      <c r="R2560" s="88"/>
      <c r="S2560" s="88"/>
      <c r="T2560" s="90"/>
      <c r="U2560" s="6"/>
      <c r="V2560" s="92"/>
      <c r="W2560" s="77"/>
      <c r="X2560" s="91"/>
      <c r="Y2560" s="77"/>
      <c r="Z2560" s="5"/>
      <c r="AA2560" s="5"/>
      <c r="AB2560" s="5"/>
      <c r="AC2560" s="5"/>
      <c r="AD2560" s="5"/>
      <c r="AE2560" s="5"/>
      <c r="AF2560" s="5"/>
      <c r="AG2560" s="5"/>
      <c r="AH2560" s="6"/>
      <c r="AI2560" s="92"/>
      <c r="AJ2560" s="93"/>
      <c r="AK2560" s="94"/>
      <c r="AL2560" s="95"/>
      <c r="AM2560" s="56"/>
      <c r="AN2560" s="57">
        <f t="shared" si="399"/>
        <v>0</v>
      </c>
      <c r="AO2560" s="76">
        <f t="shared" si="401"/>
        <v>0</v>
      </c>
      <c r="AP2560" s="63" t="str">
        <f t="shared" si="402"/>
        <v/>
      </c>
      <c r="AQ2560" s="63" t="str">
        <f t="shared" si="403"/>
        <v/>
      </c>
      <c r="AR2560" s="63" t="str">
        <f t="shared" si="404"/>
        <v/>
      </c>
      <c r="AS2560" s="63" t="str">
        <f t="shared" si="405"/>
        <v/>
      </c>
      <c r="AT2560" s="78" t="str">
        <f t="shared" si="406"/>
        <v/>
      </c>
      <c r="AU2560" s="78" t="str">
        <f t="shared" si="407"/>
        <v/>
      </c>
      <c r="AV2560" s="64" t="str">
        <f ca="1">IFERROR(__xludf.DUMMYFUNCTION("IF(TRIM(AU2560)="""","""",AU2560/INDEX(FILTER(AT$3:AT2560,TRIM(AT$3:AT2560)&lt;&gt;""""),ROWS(FILTER(AT$3:AT2560,TRIM(AT$3:AT2560)&lt;&gt;"""")))-1)"),"")</f>
        <v/>
      </c>
      <c r="AW2560" s="65" t="e">
        <f t="shared" ca="1" si="400"/>
        <v>#VALUE!</v>
      </c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</row>
    <row r="2561" spans="1:68" ht="19" x14ac:dyDescent="0.25">
      <c r="A2561" s="5"/>
      <c r="B2561" s="5"/>
      <c r="C2561" s="5"/>
      <c r="D2561" s="5"/>
      <c r="E2561" s="5"/>
      <c r="F2561" s="5"/>
      <c r="G2561" s="5"/>
      <c r="H2561" s="6"/>
      <c r="I2561" s="5"/>
      <c r="J2561" s="88"/>
      <c r="K2561" s="88"/>
      <c r="L2561" s="88"/>
      <c r="M2561" s="88"/>
      <c r="N2561" s="88"/>
      <c r="O2561" s="88"/>
      <c r="P2561" s="88"/>
      <c r="Q2561" s="89"/>
      <c r="R2561" s="88"/>
      <c r="S2561" s="88"/>
      <c r="T2561" s="90"/>
      <c r="U2561" s="6"/>
      <c r="V2561" s="92"/>
      <c r="W2561" s="77"/>
      <c r="X2561" s="91"/>
      <c r="Y2561" s="77"/>
      <c r="Z2561" s="5"/>
      <c r="AA2561" s="5"/>
      <c r="AB2561" s="5"/>
      <c r="AC2561" s="5"/>
      <c r="AD2561" s="5"/>
      <c r="AE2561" s="5"/>
      <c r="AF2561" s="5"/>
      <c r="AG2561" s="5"/>
      <c r="AH2561" s="6"/>
      <c r="AI2561" s="92"/>
      <c r="AJ2561" s="93"/>
      <c r="AK2561" s="94"/>
      <c r="AL2561" s="95"/>
      <c r="AM2561" s="56"/>
      <c r="AN2561" s="57">
        <f t="shared" si="399"/>
        <v>0</v>
      </c>
      <c r="AO2561" s="76">
        <f t="shared" si="401"/>
        <v>0</v>
      </c>
      <c r="AP2561" s="63" t="str">
        <f t="shared" si="402"/>
        <v/>
      </c>
      <c r="AQ2561" s="63" t="str">
        <f t="shared" si="403"/>
        <v/>
      </c>
      <c r="AR2561" s="63" t="str">
        <f t="shared" si="404"/>
        <v/>
      </c>
      <c r="AS2561" s="63" t="str">
        <f t="shared" si="405"/>
        <v/>
      </c>
      <c r="AT2561" s="78" t="str">
        <f t="shared" si="406"/>
        <v/>
      </c>
      <c r="AU2561" s="78" t="str">
        <f t="shared" si="407"/>
        <v/>
      </c>
      <c r="AV2561" s="64" t="str">
        <f ca="1">IFERROR(__xludf.DUMMYFUNCTION("IF(TRIM(AU2561)="""","""",AU2561/INDEX(FILTER(AT$3:AT2561,TRIM(AT$3:AT2561)&lt;&gt;""""),ROWS(FILTER(AT$3:AT2561,TRIM(AT$3:AT2561)&lt;&gt;"""")))-1)"),"")</f>
        <v/>
      </c>
      <c r="AW2561" s="65" t="e">
        <f t="shared" ca="1" si="400"/>
        <v>#VALUE!</v>
      </c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</row>
    <row r="2562" spans="1:68" ht="19" x14ac:dyDescent="0.25">
      <c r="A2562" s="5"/>
      <c r="B2562" s="5"/>
      <c r="C2562" s="5"/>
      <c r="D2562" s="5"/>
      <c r="E2562" s="5"/>
      <c r="F2562" s="5"/>
      <c r="G2562" s="5"/>
      <c r="H2562" s="6"/>
      <c r="I2562" s="5"/>
      <c r="J2562" s="88"/>
      <c r="K2562" s="88"/>
      <c r="L2562" s="88"/>
      <c r="M2562" s="88"/>
      <c r="N2562" s="88"/>
      <c r="O2562" s="88"/>
      <c r="P2562" s="88"/>
      <c r="Q2562" s="89"/>
      <c r="R2562" s="88"/>
      <c r="S2562" s="88"/>
      <c r="T2562" s="90"/>
      <c r="U2562" s="6"/>
      <c r="V2562" s="92"/>
      <c r="W2562" s="77"/>
      <c r="X2562" s="91"/>
      <c r="Y2562" s="77"/>
      <c r="Z2562" s="5"/>
      <c r="AA2562" s="5"/>
      <c r="AB2562" s="5"/>
      <c r="AC2562" s="5"/>
      <c r="AD2562" s="5"/>
      <c r="AE2562" s="5"/>
      <c r="AF2562" s="5"/>
      <c r="AG2562" s="5"/>
      <c r="AH2562" s="6"/>
      <c r="AI2562" s="92"/>
      <c r="AJ2562" s="93"/>
      <c r="AK2562" s="94"/>
      <c r="AL2562" s="95"/>
      <c r="AM2562" s="56"/>
      <c r="AN2562" s="57">
        <f t="shared" si="399"/>
        <v>0</v>
      </c>
      <c r="AO2562" s="76">
        <f t="shared" si="401"/>
        <v>0</v>
      </c>
      <c r="AP2562" s="63" t="str">
        <f t="shared" si="402"/>
        <v/>
      </c>
      <c r="AQ2562" s="63" t="str">
        <f t="shared" si="403"/>
        <v/>
      </c>
      <c r="AR2562" s="63" t="str">
        <f t="shared" si="404"/>
        <v/>
      </c>
      <c r="AS2562" s="63" t="str">
        <f t="shared" si="405"/>
        <v/>
      </c>
      <c r="AT2562" s="78" t="str">
        <f t="shared" si="406"/>
        <v/>
      </c>
      <c r="AU2562" s="78" t="str">
        <f t="shared" si="407"/>
        <v/>
      </c>
      <c r="AV2562" s="64" t="str">
        <f ca="1">IFERROR(__xludf.DUMMYFUNCTION("IF(TRIM(AU2562)="""","""",AU2562/INDEX(FILTER(AT$3:AT2562,TRIM(AT$3:AT2562)&lt;&gt;""""),ROWS(FILTER(AT$3:AT2562,TRIM(AT$3:AT2562)&lt;&gt;"""")))-1)"),"")</f>
        <v/>
      </c>
      <c r="AW2562" s="65" t="e">
        <f t="shared" ca="1" si="400"/>
        <v>#VALUE!</v>
      </c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</row>
    <row r="2563" spans="1:68" ht="19" x14ac:dyDescent="0.25">
      <c r="A2563" s="5"/>
      <c r="B2563" s="5"/>
      <c r="C2563" s="5"/>
      <c r="D2563" s="5"/>
      <c r="E2563" s="5"/>
      <c r="F2563" s="5"/>
      <c r="G2563" s="5"/>
      <c r="H2563" s="6"/>
      <c r="I2563" s="5"/>
      <c r="J2563" s="88"/>
      <c r="K2563" s="88"/>
      <c r="L2563" s="88"/>
      <c r="M2563" s="88"/>
      <c r="N2563" s="88"/>
      <c r="O2563" s="88"/>
      <c r="P2563" s="88"/>
      <c r="Q2563" s="89"/>
      <c r="R2563" s="88"/>
      <c r="S2563" s="88"/>
      <c r="T2563" s="90"/>
      <c r="U2563" s="6"/>
      <c r="V2563" s="92"/>
      <c r="W2563" s="77"/>
      <c r="X2563" s="91"/>
      <c r="Y2563" s="77"/>
      <c r="Z2563" s="5"/>
      <c r="AA2563" s="5"/>
      <c r="AB2563" s="5"/>
      <c r="AC2563" s="5"/>
      <c r="AD2563" s="5"/>
      <c r="AE2563" s="5"/>
      <c r="AF2563" s="5"/>
      <c r="AG2563" s="5"/>
      <c r="AH2563" s="6"/>
      <c r="AI2563" s="92"/>
      <c r="AJ2563" s="93"/>
      <c r="AK2563" s="94"/>
      <c r="AL2563" s="95"/>
      <c r="AM2563" s="97"/>
      <c r="AN2563" s="98"/>
      <c r="AO2563" s="62"/>
      <c r="AP2563" s="5"/>
      <c r="AQ2563" s="5"/>
      <c r="AR2563" s="5"/>
      <c r="AS2563" s="5"/>
      <c r="AT2563" s="5"/>
      <c r="AU2563" s="5"/>
      <c r="AV2563" s="64" t="str">
        <f ca="1">IFERROR(__xludf.DUMMYFUNCTION("IF(TRIM(AU2563)="""","""",AU2563/INDEX(FILTER(AT$3:AT2563,TRIM(AT$3:AT2563)&lt;&gt;""""),ROWS(FILTER(AT$3:AT2563,TRIM(AT$3:AT2563)&lt;&gt;"""")))-1)"),"")</f>
        <v/>
      </c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</row>
    <row r="2564" spans="1:68" ht="19" x14ac:dyDescent="0.25">
      <c r="A2564" s="5"/>
      <c r="B2564" s="5"/>
      <c r="C2564" s="5"/>
      <c r="D2564" s="5"/>
      <c r="E2564" s="5"/>
      <c r="F2564" s="5"/>
      <c r="G2564" s="5"/>
      <c r="H2564" s="6"/>
      <c r="I2564" s="5"/>
      <c r="J2564" s="88"/>
      <c r="K2564" s="88"/>
      <c r="L2564" s="88"/>
      <c r="M2564" s="88"/>
      <c r="N2564" s="88"/>
      <c r="O2564" s="88"/>
      <c r="P2564" s="88"/>
      <c r="Q2564" s="89"/>
      <c r="R2564" s="88"/>
      <c r="S2564" s="88"/>
      <c r="T2564" s="90"/>
      <c r="U2564" s="6"/>
      <c r="V2564" s="92"/>
      <c r="W2564" s="77"/>
      <c r="X2564" s="91"/>
      <c r="Y2564" s="77"/>
      <c r="Z2564" s="5"/>
      <c r="AA2564" s="5"/>
      <c r="AB2564" s="5"/>
      <c r="AC2564" s="5"/>
      <c r="AD2564" s="5"/>
      <c r="AE2564" s="5"/>
      <c r="AF2564" s="5"/>
      <c r="AG2564" s="5"/>
      <c r="AH2564" s="6"/>
      <c r="AI2564" s="92"/>
      <c r="AJ2564" s="93"/>
      <c r="AK2564" s="94"/>
      <c r="AL2564" s="95"/>
      <c r="AM2564" s="97"/>
      <c r="AN2564" s="98"/>
      <c r="AO2564" s="62"/>
      <c r="AP2564" s="5"/>
      <c r="AQ2564" s="5"/>
      <c r="AR2564" s="5"/>
      <c r="AS2564" s="5"/>
      <c r="AT2564" s="5"/>
      <c r="AU2564" s="5"/>
      <c r="AV2564" s="64" t="str">
        <f ca="1">IFERROR(__xludf.DUMMYFUNCTION("IF(TRIM(AU2564)="""","""",AU2564/INDEX(FILTER(AT$3:AT2564,TRIM(AT$3:AT2564)&lt;&gt;""""),ROWS(FILTER(AT$3:AT2564,TRIM(AT$3:AT2564)&lt;&gt;"""")))-1)"),"")</f>
        <v/>
      </c>
      <c r="AW2564" s="5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</row>
    <row r="2565" spans="1:68" ht="19" x14ac:dyDescent="0.25">
      <c r="A2565" s="5"/>
      <c r="B2565" s="5"/>
      <c r="C2565" s="5"/>
      <c r="D2565" s="5"/>
      <c r="E2565" s="5"/>
      <c r="F2565" s="5"/>
      <c r="G2565" s="5"/>
      <c r="H2565" s="6"/>
      <c r="I2565" s="5"/>
      <c r="J2565" s="88"/>
      <c r="K2565" s="88"/>
      <c r="L2565" s="88"/>
      <c r="M2565" s="88"/>
      <c r="N2565" s="88"/>
      <c r="O2565" s="88"/>
      <c r="P2565" s="88"/>
      <c r="Q2565" s="89"/>
      <c r="R2565" s="88"/>
      <c r="S2565" s="88"/>
      <c r="T2565" s="90"/>
      <c r="U2565" s="6"/>
      <c r="V2565" s="92"/>
      <c r="W2565" s="77"/>
      <c r="X2565" s="91"/>
      <c r="Y2565" s="77"/>
      <c r="Z2565" s="5"/>
      <c r="AA2565" s="5"/>
      <c r="AB2565" s="5"/>
      <c r="AC2565" s="5"/>
      <c r="AD2565" s="5"/>
      <c r="AE2565" s="5"/>
      <c r="AF2565" s="5"/>
      <c r="AG2565" s="5"/>
      <c r="AH2565" s="6"/>
      <c r="AI2565" s="92"/>
      <c r="AJ2565" s="93"/>
      <c r="AK2565" s="94"/>
      <c r="AL2565" s="95"/>
      <c r="AM2565" s="97"/>
      <c r="AN2565" s="98"/>
      <c r="AO2565" s="62"/>
      <c r="AP2565" s="5"/>
      <c r="AQ2565" s="5"/>
      <c r="AR2565" s="5"/>
      <c r="AS2565" s="5"/>
      <c r="AT2565" s="5"/>
      <c r="AU2565" s="5"/>
      <c r="AV2565" s="64" t="str">
        <f ca="1">IFERROR(__xludf.DUMMYFUNCTION("IF(TRIM(AU2565)="""","""",AU2565/INDEX(FILTER(AT$3:AT2565,TRIM(AT$3:AT2565)&lt;&gt;""""),ROWS(FILTER(AT$3:AT2565,TRIM(AT$3:AT2565)&lt;&gt;"""")))-1)"),"")</f>
        <v/>
      </c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</row>
    <row r="2566" spans="1:68" ht="19" x14ac:dyDescent="0.25">
      <c r="A2566" s="5"/>
      <c r="B2566" s="5"/>
      <c r="C2566" s="5"/>
      <c r="D2566" s="5"/>
      <c r="E2566" s="5"/>
      <c r="F2566" s="5"/>
      <c r="G2566" s="5"/>
      <c r="H2566" s="6"/>
      <c r="I2566" s="5"/>
      <c r="J2566" s="88"/>
      <c r="K2566" s="88"/>
      <c r="L2566" s="88"/>
      <c r="M2566" s="88"/>
      <c r="N2566" s="88"/>
      <c r="O2566" s="88"/>
      <c r="P2566" s="88"/>
      <c r="Q2566" s="89"/>
      <c r="R2566" s="88"/>
      <c r="S2566" s="88"/>
      <c r="T2566" s="90"/>
      <c r="U2566" s="6"/>
      <c r="V2566" s="92"/>
      <c r="W2566" s="77"/>
      <c r="X2566" s="91"/>
      <c r="Y2566" s="77"/>
      <c r="Z2566" s="5"/>
      <c r="AA2566" s="5"/>
      <c r="AB2566" s="5"/>
      <c r="AC2566" s="5"/>
      <c r="AD2566" s="5"/>
      <c r="AE2566" s="5"/>
      <c r="AF2566" s="5"/>
      <c r="AG2566" s="5"/>
      <c r="AH2566" s="6"/>
      <c r="AI2566" s="92"/>
      <c r="AJ2566" s="93"/>
      <c r="AK2566" s="94"/>
      <c r="AL2566" s="95"/>
      <c r="AM2566" s="97"/>
      <c r="AN2566" s="98"/>
      <c r="AO2566" s="62"/>
      <c r="AP2566" s="5"/>
      <c r="AQ2566" s="5"/>
      <c r="AR2566" s="5"/>
      <c r="AS2566" s="5"/>
      <c r="AT2566" s="5"/>
      <c r="AU2566" s="5"/>
      <c r="AV2566" s="64" t="str">
        <f ca="1">IFERROR(__xludf.DUMMYFUNCTION("IF(TRIM(AU2566)="""","""",AU2566/INDEX(FILTER(AT$3:AT2566,TRIM(AT$3:AT2566)&lt;&gt;""""),ROWS(FILTER(AT$3:AT2566,TRIM(AT$3:AT2566)&lt;&gt;"""")))-1)"),"")</f>
        <v/>
      </c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</row>
    <row r="2567" spans="1:68" ht="19" x14ac:dyDescent="0.25">
      <c r="A2567" s="5"/>
      <c r="B2567" s="5"/>
      <c r="C2567" s="5"/>
      <c r="D2567" s="5"/>
      <c r="E2567" s="5"/>
      <c r="F2567" s="5"/>
      <c r="G2567" s="5"/>
      <c r="H2567" s="6"/>
      <c r="I2567" s="5"/>
      <c r="J2567" s="88"/>
      <c r="K2567" s="88"/>
      <c r="L2567" s="88"/>
      <c r="M2567" s="88"/>
      <c r="N2567" s="88"/>
      <c r="O2567" s="88"/>
      <c r="P2567" s="88"/>
      <c r="Q2567" s="89"/>
      <c r="R2567" s="88"/>
      <c r="S2567" s="88"/>
      <c r="T2567" s="90"/>
      <c r="U2567" s="6"/>
      <c r="V2567" s="92"/>
      <c r="W2567" s="77"/>
      <c r="X2567" s="91"/>
      <c r="Y2567" s="77"/>
      <c r="Z2567" s="5"/>
      <c r="AA2567" s="5"/>
      <c r="AB2567" s="5"/>
      <c r="AC2567" s="5"/>
      <c r="AD2567" s="5"/>
      <c r="AE2567" s="5"/>
      <c r="AF2567" s="5"/>
      <c r="AG2567" s="5"/>
      <c r="AH2567" s="6"/>
      <c r="AI2567" s="92"/>
      <c r="AJ2567" s="93"/>
      <c r="AK2567" s="94"/>
      <c r="AL2567" s="95"/>
      <c r="AM2567" s="97"/>
      <c r="AN2567" s="98"/>
      <c r="AO2567" s="62"/>
      <c r="AP2567" s="5"/>
      <c r="AQ2567" s="5"/>
      <c r="AR2567" s="5"/>
      <c r="AS2567" s="5"/>
      <c r="AT2567" s="5"/>
      <c r="AU2567" s="5"/>
      <c r="AV2567" s="64" t="str">
        <f ca="1">IFERROR(__xludf.DUMMYFUNCTION("IF(TRIM(AU2567)="""","""",AU2567/INDEX(FILTER(AT$3:AT2567,TRIM(AT$3:AT2567)&lt;&gt;""""),ROWS(FILTER(AT$3:AT2567,TRIM(AT$3:AT2567)&lt;&gt;"""")))-1)"),"")</f>
        <v/>
      </c>
      <c r="AW2567" s="5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</row>
    <row r="2568" spans="1:68" ht="19" x14ac:dyDescent="0.25">
      <c r="A2568" s="5"/>
      <c r="B2568" s="5"/>
      <c r="C2568" s="5"/>
      <c r="D2568" s="5"/>
      <c r="E2568" s="5"/>
      <c r="F2568" s="5"/>
      <c r="G2568" s="5"/>
      <c r="H2568" s="6"/>
      <c r="I2568" s="5"/>
      <c r="J2568" s="88"/>
      <c r="K2568" s="88"/>
      <c r="L2568" s="88"/>
      <c r="M2568" s="88"/>
      <c r="N2568" s="88"/>
      <c r="O2568" s="88"/>
      <c r="P2568" s="88"/>
      <c r="Q2568" s="89"/>
      <c r="R2568" s="88"/>
      <c r="S2568" s="88"/>
      <c r="T2568" s="90"/>
      <c r="U2568" s="6"/>
      <c r="V2568" s="92"/>
      <c r="W2568" s="77"/>
      <c r="X2568" s="91"/>
      <c r="Y2568" s="77"/>
      <c r="Z2568" s="5"/>
      <c r="AA2568" s="5"/>
      <c r="AB2568" s="5"/>
      <c r="AC2568" s="5"/>
      <c r="AD2568" s="5"/>
      <c r="AE2568" s="5"/>
      <c r="AF2568" s="5"/>
      <c r="AG2568" s="5"/>
      <c r="AH2568" s="6"/>
      <c r="AI2568" s="92"/>
      <c r="AJ2568" s="93"/>
      <c r="AK2568" s="94"/>
      <c r="AL2568" s="95"/>
      <c r="AM2568" s="97"/>
      <c r="AN2568" s="98"/>
      <c r="AO2568" s="62"/>
      <c r="AP2568" s="5"/>
      <c r="AQ2568" s="5"/>
      <c r="AR2568" s="5"/>
      <c r="AS2568" s="5"/>
      <c r="AT2568" s="5"/>
      <c r="AU2568" s="5"/>
      <c r="AV2568" s="64" t="str">
        <f ca="1">IFERROR(__xludf.DUMMYFUNCTION("IF(TRIM(AU2568)="""","""",AU2568/INDEX(FILTER(AT$3:AT2568,TRIM(AT$3:AT2568)&lt;&gt;""""),ROWS(FILTER(AT$3:AT2568,TRIM(AT$3:AT2568)&lt;&gt;"""")))-1)"),"")</f>
        <v/>
      </c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</row>
    <row r="2569" spans="1:68" ht="19" x14ac:dyDescent="0.25">
      <c r="A2569" s="5"/>
      <c r="B2569" s="5"/>
      <c r="C2569" s="5"/>
      <c r="D2569" s="5"/>
      <c r="E2569" s="5"/>
      <c r="F2569" s="5"/>
      <c r="G2569" s="5"/>
      <c r="H2569" s="6"/>
      <c r="I2569" s="5"/>
      <c r="J2569" s="88"/>
      <c r="K2569" s="88"/>
      <c r="L2569" s="88"/>
      <c r="M2569" s="88"/>
      <c r="N2569" s="88"/>
      <c r="O2569" s="88"/>
      <c r="P2569" s="88"/>
      <c r="Q2569" s="89"/>
      <c r="R2569" s="88"/>
      <c r="S2569" s="88"/>
      <c r="T2569" s="90"/>
      <c r="U2569" s="6"/>
      <c r="V2569" s="92"/>
      <c r="W2569" s="77"/>
      <c r="X2569" s="91"/>
      <c r="Y2569" s="77"/>
      <c r="Z2569" s="5"/>
      <c r="AA2569" s="5"/>
      <c r="AB2569" s="5"/>
      <c r="AC2569" s="5"/>
      <c r="AD2569" s="5"/>
      <c r="AE2569" s="5"/>
      <c r="AF2569" s="5"/>
      <c r="AG2569" s="5"/>
      <c r="AH2569" s="6"/>
      <c r="AI2569" s="92"/>
      <c r="AJ2569" s="93"/>
      <c r="AK2569" s="94"/>
      <c r="AL2569" s="95"/>
      <c r="AM2569" s="97"/>
      <c r="AN2569" s="98"/>
      <c r="AO2569" s="62"/>
      <c r="AP2569" s="5"/>
      <c r="AQ2569" s="5"/>
      <c r="AR2569" s="5"/>
      <c r="AS2569" s="5"/>
      <c r="AT2569" s="5"/>
      <c r="AU2569" s="5"/>
      <c r="AV2569" s="64" t="str">
        <f ca="1">IFERROR(__xludf.DUMMYFUNCTION("IF(TRIM(AU2569)="""","""",AU2569/INDEX(FILTER(AT$3:AT2569,TRIM(AT$3:AT2569)&lt;&gt;""""),ROWS(FILTER(AT$3:AT2569,TRIM(AT$3:AT2569)&lt;&gt;"""")))-1)"),"")</f>
        <v/>
      </c>
      <c r="AW2569" s="5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</row>
    <row r="2570" spans="1:68" ht="19" x14ac:dyDescent="0.25">
      <c r="A2570" s="5"/>
      <c r="B2570" s="5"/>
      <c r="C2570" s="5"/>
      <c r="D2570" s="5"/>
      <c r="E2570" s="5"/>
      <c r="F2570" s="5"/>
      <c r="G2570" s="5"/>
      <c r="H2570" s="6"/>
      <c r="I2570" s="5"/>
      <c r="J2570" s="88"/>
      <c r="K2570" s="88"/>
      <c r="L2570" s="88"/>
      <c r="M2570" s="88"/>
      <c r="N2570" s="88"/>
      <c r="O2570" s="88"/>
      <c r="P2570" s="88"/>
      <c r="Q2570" s="89"/>
      <c r="R2570" s="88"/>
      <c r="S2570" s="88"/>
      <c r="T2570" s="90"/>
      <c r="U2570" s="6"/>
      <c r="V2570" s="92"/>
      <c r="W2570" s="77"/>
      <c r="X2570" s="91"/>
      <c r="Y2570" s="77"/>
      <c r="Z2570" s="5"/>
      <c r="AA2570" s="5"/>
      <c r="AB2570" s="5"/>
      <c r="AC2570" s="5"/>
      <c r="AD2570" s="5"/>
      <c r="AE2570" s="5"/>
      <c r="AF2570" s="5"/>
      <c r="AG2570" s="5"/>
      <c r="AH2570" s="6"/>
      <c r="AI2570" s="92"/>
      <c r="AJ2570" s="93"/>
      <c r="AK2570" s="94"/>
      <c r="AL2570" s="95"/>
      <c r="AM2570" s="97"/>
      <c r="AN2570" s="98"/>
      <c r="AO2570" s="62"/>
      <c r="AP2570" s="5"/>
      <c r="AQ2570" s="5"/>
      <c r="AR2570" s="5"/>
      <c r="AS2570" s="5"/>
      <c r="AT2570" s="5"/>
      <c r="AU2570" s="5"/>
      <c r="AV2570" s="64" t="str">
        <f ca="1">IFERROR(__xludf.DUMMYFUNCTION("IF(TRIM(AU2570)="""","""",AU2570/INDEX(FILTER(AT$3:AT2570,TRIM(AT$3:AT2570)&lt;&gt;""""),ROWS(FILTER(AT$3:AT2570,TRIM(AT$3:AT2570)&lt;&gt;"""")))-1)"),"")</f>
        <v/>
      </c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</row>
    <row r="2571" spans="1:68" ht="19" x14ac:dyDescent="0.25">
      <c r="A2571" s="5"/>
      <c r="B2571" s="5"/>
      <c r="C2571" s="5"/>
      <c r="D2571" s="5"/>
      <c r="E2571" s="5"/>
      <c r="F2571" s="5"/>
      <c r="G2571" s="5"/>
      <c r="H2571" s="6"/>
      <c r="I2571" s="5"/>
      <c r="J2571" s="88"/>
      <c r="K2571" s="88"/>
      <c r="L2571" s="88"/>
      <c r="M2571" s="88"/>
      <c r="N2571" s="88"/>
      <c r="O2571" s="88"/>
      <c r="P2571" s="88"/>
      <c r="Q2571" s="89"/>
      <c r="R2571" s="88"/>
      <c r="S2571" s="88"/>
      <c r="T2571" s="90"/>
      <c r="U2571" s="6"/>
      <c r="V2571" s="92"/>
      <c r="W2571" s="77"/>
      <c r="X2571" s="91"/>
      <c r="Y2571" s="77"/>
      <c r="Z2571" s="5"/>
      <c r="AA2571" s="5"/>
      <c r="AB2571" s="5"/>
      <c r="AC2571" s="5"/>
      <c r="AD2571" s="5"/>
      <c r="AE2571" s="5"/>
      <c r="AF2571" s="5"/>
      <c r="AG2571" s="5"/>
      <c r="AH2571" s="6"/>
      <c r="AI2571" s="92"/>
      <c r="AJ2571" s="93"/>
      <c r="AK2571" s="94"/>
      <c r="AL2571" s="95"/>
      <c r="AM2571" s="97"/>
      <c r="AN2571" s="98"/>
      <c r="AO2571" s="62"/>
      <c r="AP2571" s="5"/>
      <c r="AQ2571" s="5"/>
      <c r="AR2571" s="5"/>
      <c r="AS2571" s="5"/>
      <c r="AT2571" s="5"/>
      <c r="AU2571" s="5"/>
      <c r="AV2571" s="64" t="str">
        <f ca="1">IFERROR(__xludf.DUMMYFUNCTION("IF(TRIM(AU2571)="""","""",AU2571/INDEX(FILTER(AT$3:AT2571,TRIM(AT$3:AT2571)&lt;&gt;""""),ROWS(FILTER(AT$3:AT2571,TRIM(AT$3:AT2571)&lt;&gt;"""")))-1)"),"")</f>
        <v/>
      </c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</row>
    <row r="2572" spans="1:68" ht="19" x14ac:dyDescent="0.25">
      <c r="A2572" s="5"/>
      <c r="B2572" s="5"/>
      <c r="C2572" s="5"/>
      <c r="D2572" s="5"/>
      <c r="E2572" s="5"/>
      <c r="F2572" s="5"/>
      <c r="G2572" s="5"/>
      <c r="H2572" s="6"/>
      <c r="I2572" s="5"/>
      <c r="J2572" s="88"/>
      <c r="K2572" s="88"/>
      <c r="L2572" s="88"/>
      <c r="M2572" s="88"/>
      <c r="N2572" s="88"/>
      <c r="O2572" s="88"/>
      <c r="P2572" s="88"/>
      <c r="Q2572" s="89"/>
      <c r="R2572" s="88"/>
      <c r="S2572" s="88"/>
      <c r="T2572" s="90"/>
      <c r="U2572" s="6"/>
      <c r="V2572" s="92"/>
      <c r="W2572" s="77"/>
      <c r="X2572" s="91"/>
      <c r="Y2572" s="77"/>
      <c r="Z2572" s="5"/>
      <c r="AA2572" s="5"/>
      <c r="AB2572" s="5"/>
      <c r="AC2572" s="5"/>
      <c r="AD2572" s="5"/>
      <c r="AE2572" s="5"/>
      <c r="AF2572" s="5"/>
      <c r="AG2572" s="5"/>
      <c r="AH2572" s="6"/>
      <c r="AI2572" s="92"/>
      <c r="AJ2572" s="93"/>
      <c r="AK2572" s="94"/>
      <c r="AL2572" s="95"/>
      <c r="AM2572" s="97"/>
      <c r="AN2572" s="98"/>
      <c r="AO2572" s="62"/>
      <c r="AP2572" s="5"/>
      <c r="AQ2572" s="5"/>
      <c r="AR2572" s="5"/>
      <c r="AS2572" s="5"/>
      <c r="AT2572" s="5"/>
      <c r="AU2572" s="5"/>
      <c r="AV2572" s="64" t="str">
        <f ca="1">IFERROR(__xludf.DUMMYFUNCTION("IF(TRIM(AU2572)="""","""",AU2572/INDEX(FILTER(AT$3:AT2572,TRIM(AT$3:AT2572)&lt;&gt;""""),ROWS(FILTER(AT$3:AT2572,TRIM(AT$3:AT2572)&lt;&gt;"""")))-1)"),"")</f>
        <v/>
      </c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</row>
    <row r="2573" spans="1:68" ht="19" x14ac:dyDescent="0.25">
      <c r="A2573" s="5"/>
      <c r="B2573" s="5"/>
      <c r="C2573" s="5"/>
      <c r="D2573" s="5"/>
      <c r="E2573" s="5"/>
      <c r="F2573" s="5"/>
      <c r="G2573" s="5"/>
      <c r="H2573" s="6"/>
      <c r="I2573" s="5"/>
      <c r="J2573" s="88"/>
      <c r="K2573" s="88"/>
      <c r="L2573" s="88"/>
      <c r="M2573" s="88"/>
      <c r="N2573" s="88"/>
      <c r="O2573" s="88"/>
      <c r="P2573" s="88"/>
      <c r="Q2573" s="89"/>
      <c r="R2573" s="88"/>
      <c r="S2573" s="88"/>
      <c r="T2573" s="90"/>
      <c r="U2573" s="6"/>
      <c r="V2573" s="92"/>
      <c r="W2573" s="77"/>
      <c r="X2573" s="91"/>
      <c r="Y2573" s="77"/>
      <c r="Z2573" s="5"/>
      <c r="AA2573" s="5"/>
      <c r="AB2573" s="5"/>
      <c r="AC2573" s="5"/>
      <c r="AD2573" s="5"/>
      <c r="AE2573" s="5"/>
      <c r="AF2573" s="5"/>
      <c r="AG2573" s="5"/>
      <c r="AH2573" s="6"/>
      <c r="AI2573" s="92"/>
      <c r="AJ2573" s="93"/>
      <c r="AK2573" s="94"/>
      <c r="AL2573" s="95"/>
      <c r="AM2573" s="97"/>
      <c r="AN2573" s="98"/>
      <c r="AO2573" s="62"/>
      <c r="AP2573" s="5"/>
      <c r="AQ2573" s="5"/>
      <c r="AR2573" s="5"/>
      <c r="AS2573" s="5"/>
      <c r="AT2573" s="5"/>
      <c r="AU2573" s="5"/>
      <c r="AV2573" s="64" t="str">
        <f ca="1">IFERROR(__xludf.DUMMYFUNCTION("IF(TRIM(AU2573)="""","""",AU2573/INDEX(FILTER(AT$3:AT2573,TRIM(AT$3:AT2573)&lt;&gt;""""),ROWS(FILTER(AT$3:AT2573,TRIM(AT$3:AT2573)&lt;&gt;"""")))-1)"),"")</f>
        <v/>
      </c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</row>
    <row r="2574" spans="1:68" ht="19" x14ac:dyDescent="0.25">
      <c r="A2574" s="5"/>
      <c r="B2574" s="5"/>
      <c r="C2574" s="5"/>
      <c r="D2574" s="5"/>
      <c r="E2574" s="5"/>
      <c r="F2574" s="5"/>
      <c r="G2574" s="5"/>
      <c r="H2574" s="6"/>
      <c r="I2574" s="5"/>
      <c r="J2574" s="88"/>
      <c r="K2574" s="88"/>
      <c r="L2574" s="88"/>
      <c r="M2574" s="88"/>
      <c r="N2574" s="88"/>
      <c r="O2574" s="88"/>
      <c r="P2574" s="88"/>
      <c r="Q2574" s="89"/>
      <c r="R2574" s="88"/>
      <c r="S2574" s="88"/>
      <c r="T2574" s="90"/>
      <c r="U2574" s="6"/>
      <c r="V2574" s="92"/>
      <c r="W2574" s="77"/>
      <c r="X2574" s="91"/>
      <c r="Y2574" s="77"/>
      <c r="Z2574" s="5"/>
      <c r="AA2574" s="5"/>
      <c r="AB2574" s="5"/>
      <c r="AC2574" s="5"/>
      <c r="AD2574" s="5"/>
      <c r="AE2574" s="5"/>
      <c r="AF2574" s="5"/>
      <c r="AG2574" s="5"/>
      <c r="AH2574" s="6"/>
      <c r="AI2574" s="92"/>
      <c r="AJ2574" s="93"/>
      <c r="AK2574" s="94"/>
      <c r="AL2574" s="95"/>
      <c r="AM2574" s="97"/>
      <c r="AN2574" s="98"/>
      <c r="AO2574" s="62"/>
      <c r="AP2574" s="5"/>
      <c r="AQ2574" s="5"/>
      <c r="AR2574" s="5"/>
      <c r="AS2574" s="5"/>
      <c r="AT2574" s="5"/>
      <c r="AU2574" s="5"/>
      <c r="AV2574" s="64" t="str">
        <f ca="1">IFERROR(__xludf.DUMMYFUNCTION("IF(TRIM(AU2574)="""","""",AU2574/INDEX(FILTER(AT$3:AT2574,TRIM(AT$3:AT2574)&lt;&gt;""""),ROWS(FILTER(AT$3:AT2574,TRIM(AT$3:AT2574)&lt;&gt;"""")))-1)"),"")</f>
        <v/>
      </c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</row>
  </sheetData>
  <hyperlinks>
    <hyperlink ref="C1" r:id="rId1" xr:uid="{00000000-0004-0000-0000-000000000000}"/>
    <hyperlink ref="C14" r:id="rId2" xr:uid="{00000000-0004-0000-0000-000001000000}"/>
    <hyperlink ref="C15" r:id="rId3" xr:uid="{00000000-0004-0000-0000-000002000000}"/>
    <hyperlink ref="C17" r:id="rId4" xr:uid="{00000000-0004-0000-0000-000003000000}"/>
    <hyperlink ref="D21" r:id="rId5" xr:uid="{00000000-0004-0000-0000-000004000000}"/>
    <hyperlink ref="D22" r:id="rId6" xr:uid="{00000000-0004-0000-0000-000005000000}"/>
    <hyperlink ref="C23" r:id="rId7" xr:uid="{00000000-0004-0000-0000-000006000000}"/>
    <hyperlink ref="C24" r:id="rId8" xr:uid="{00000000-0004-0000-00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Ilray Shamoeil Terkoor</cp:lastModifiedBy>
  <dcterms:created xsi:type="dcterms:W3CDTF">2026-04-01T06:40:50Z</dcterms:created>
  <dcterms:modified xsi:type="dcterms:W3CDTF">2026-04-01T06:45:12Z</dcterms:modified>
</cp:coreProperties>
</file>